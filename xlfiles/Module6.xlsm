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Ex3.xml" ContentType="application/vnd.ms-office.chartex+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bavanzi/Dropbox/Mac (3)/Documents/GitHub/ACTL20004-ACTL90021-2024/xlfiles/"/>
    </mc:Choice>
  </mc:AlternateContent>
  <xr:revisionPtr revIDLastSave="0" documentId="13_ncr:1_{99262A4E-C41C-F54D-92DD-66990AD6C3D4}" xr6:coauthVersionLast="47" xr6:coauthVersionMax="47" xr10:uidLastSave="{00000000-0000-0000-0000-000000000000}"/>
  <bookViews>
    <workbookView xWindow="4880" yWindow="760" windowWidth="29040" windowHeight="15840" activeTab="2" xr2:uid="{B7D3D78A-6740-C744-9570-1357A85CE16F}"/>
  </bookViews>
  <sheets>
    <sheet name="Pokemon data" sheetId="2" r:id="rId1"/>
    <sheet name="FIFA WWC" sheetId="3" r:id="rId2"/>
    <sheet name="M6.1 - Assumed Knowledge" sheetId="1" r:id="rId3"/>
    <sheet name="M6.2 - Pivot table" sheetId="6" r:id="rId4"/>
    <sheet name="M6.2 - Pivot chart" sheetId="8" r:id="rId5"/>
    <sheet name="M6.3 - Dynamic arrays" sheetId="9" r:id="rId6"/>
    <sheet name="M6.4 - Dynamic references" sheetId="12" r:id="rId7"/>
    <sheet name="M6.5 - Dependents" sheetId="5" r:id="rId8"/>
    <sheet name="M6.6 Simulations" sheetId="13" r:id="rId9"/>
    <sheet name="M6.6 Macros and VBA" sheetId="15" r:id="rId10"/>
  </sheets>
  <definedNames>
    <definedName name="_xlchart.v1.0" hidden="1">'M6.6 Simulations'!$O$4:$O$10003</definedName>
    <definedName name="_xlchart.v1.1" hidden="1">'M6.6 Simulations'!$B$13</definedName>
    <definedName name="_xlchart.v1.2" hidden="1">'M6.6 Simulations'!$B$14:$B$10013</definedName>
    <definedName name="_xlchart.v1.3" hidden="1">'M6.6 Simulations'!$X$4:$X$10003</definedName>
    <definedName name="age">'FIFA WWC'!$E$4:$E$139</definedName>
    <definedName name="assists">'FIFA WWC'!$L$4:$L$139</definedName>
    <definedName name="assists_per_90">'FIFA WWC'!$S$4:$S$139</definedName>
    <definedName name="Attacking">'Pokemon data'!$A$2:$A$19</definedName>
    <definedName name="Bug">'Pokemon data'!$M$2:$M$19</definedName>
    <definedName name="Dark">'Pokemon data'!$Q$2:$Q$19</definedName>
    <definedName name="Dragon">'Pokemon data'!$P$2:$P$19</definedName>
    <definedName name="Electric">'Pokemon data'!$E$2:$E$19</definedName>
    <definedName name="Fairy">'Pokemon data'!$S$2:$S$19</definedName>
    <definedName name="FiFA">'FIFA WWC'!$A$3:$V$139</definedName>
    <definedName name="Fighting">'Pokemon data'!$H$2:$H$19</definedName>
    <definedName name="Fire">'Pokemon data'!$C$2:$C$19</definedName>
    <definedName name="Flying">'Pokemon data'!$K$2:$K$19</definedName>
    <definedName name="Ghost">'Pokemon data'!$O$2:$O$19</definedName>
    <definedName name="goals">'FIFA WWC'!$K$4:$K$139</definedName>
    <definedName name="goals_minus_penalty_kicks_per_90">'FIFA WWC'!$U$4:$U$139</definedName>
    <definedName name="goals_per_90">'FIFA WWC'!$R$4:$R$139</definedName>
    <definedName name="goals_plus_assists_minus_penalty_kicks_per_90">'FIFA WWC'!$V$4:$V$139</definedName>
    <definedName name="goals_plus_assists_per_90">'FIFA WWC'!$T$4:$T$139</definedName>
    <definedName name="Grass">'Pokemon data'!$F$2:$F$19</definedName>
    <definedName name="Ground">'Pokemon data'!$J$2:$J$19</definedName>
    <definedName name="Ice">'Pokemon data'!$G$2:$G$19</definedName>
    <definedName name="id">'FIFA WWC'!$A$4:$A$139</definedName>
    <definedName name="loss_ratios">'M6.3 - Dynamic arrays'!$B$188:$B$191</definedName>
    <definedName name="lossratios">'M6.3 - Dynamic arrays'!$C$31:$F$35</definedName>
    <definedName name="matches_played">'FIFA WWC'!$G$4:$G$139</definedName>
    <definedName name="min_playing_time">'FIFA WWC'!$I$4:$I$139</definedName>
    <definedName name="minutes_played_90s">'FIFA WWC'!$J$4:$J$139</definedName>
    <definedName name="monthly_profit">'M6.4 - Dynamic references'!$B$4:$C$16</definedName>
    <definedName name="months">'M6.4 - Dynamic references'!$B$5:$B$16</definedName>
    <definedName name="non_penalty_goals">'FIFA WWC'!$M$4:$M$139</definedName>
    <definedName name="Normal">'Pokemon data'!$B$2:$S$2</definedName>
    <definedName name="penalty_kicks_attempted">'FIFA WWC'!$O$4:$O$139</definedName>
    <definedName name="penalty_kicks_made">'FIFA WWC'!$N$4:$N$139</definedName>
    <definedName name="players">'FIFA WWC'!$D$4:$D$139</definedName>
    <definedName name="Poison">'Pokemon data'!$I$2:$I$19</definedName>
    <definedName name="pokemon">'Pokemon data'!$A$1:$S$19</definedName>
    <definedName name="possesion">'FIFA WWC'!$F$4:$F$139</definedName>
    <definedName name="products">'M6.3 - Dynamic arrays'!$E$197:$E$201</definedName>
    <definedName name="Psychic">'Pokemon data'!$L$2:$L$19</definedName>
    <definedName name="red_cards">'FIFA WWC'!$Q$4:$Q$139</definedName>
    <definedName name="Rock">'Pokemon data'!$N$2:$N$19</definedName>
    <definedName name="Slicer_squad">#N/A</definedName>
    <definedName name="squad">'FIFA WWC'!$B$4:$B$139</definedName>
    <definedName name="starts">'FIFA WWC'!$H$4:$H$139</definedName>
    <definedName name="Steel">'Pokemon data'!$R$2:$R$19</definedName>
    <definedName name="tblProduct">'M6.3 - Dynamic arrays'!$E$196:$E$201</definedName>
    <definedName name="Water">'Pokemon data'!$D$2:$D$19</definedName>
    <definedName name="weekly_profit">'M6.4 - Dynamic references'!$B$38:$G$42</definedName>
    <definedName name="year">'FIFA WWC'!$C$4:$C$139</definedName>
    <definedName name="yellow_cards">'FIFA WWC'!$P$4:$P$139</definedName>
  </definedNames>
  <calcPr calcId="191028"/>
  <pivotCaches>
    <pivotCache cacheId="1"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4" i="15" l="1" a="1"/>
  <c r="V4" i="15" s="1"/>
  <c r="M4" i="15" a="1"/>
  <c r="M4" i="15" s="1"/>
  <c r="B15" i="15" a="1"/>
  <c r="B15" i="15" s="1"/>
  <c r="B4" i="15" a="1"/>
  <c r="B4" i="15" s="1"/>
  <c r="I29" i="12"/>
  <c r="P38" i="12" a="1"/>
  <c r="P38" i="12" s="1"/>
  <c r="N205" i="9"/>
  <c r="AG8" i="13" a="1"/>
  <c r="AG8" i="13" s="1"/>
  <c r="AH8" i="13" s="1" a="1"/>
  <c r="AH8" i="13" s="1"/>
  <c r="AA24" i="13"/>
  <c r="Z24" i="13"/>
  <c r="E34" i="13"/>
  <c r="X4" i="13" a="1"/>
  <c r="X4" i="13" s="1"/>
  <c r="O4" i="13" a="1"/>
  <c r="O4" i="13" s="1"/>
  <c r="B14" i="13" a="1"/>
  <c r="B14" i="13" s="1"/>
  <c r="I5" i="13" a="1"/>
  <c r="I5" i="13" s="1"/>
  <c r="D5" i="13" a="1"/>
  <c r="D5" i="13" s="1"/>
  <c r="B5" i="13"/>
  <c r="P39" i="12" a="1"/>
  <c r="P39" i="12" s="1"/>
  <c r="F11" i="12" a="1"/>
  <c r="F11" i="12" s="1"/>
  <c r="F6" i="12" a="1"/>
  <c r="F6" i="12" s="1"/>
  <c r="R210" i="9" a="1"/>
  <c r="R210" i="9"/>
  <c r="N210" i="9"/>
  <c r="N209" i="9"/>
  <c r="H207" i="9"/>
  <c r="H206" i="9"/>
  <c r="B187" i="9" a="1"/>
  <c r="B187" i="9"/>
  <c r="B9" i="1"/>
  <c r="F176" i="9" a="1"/>
  <c r="F176" i="9" s="1"/>
  <c r="A176" i="9" a="1"/>
  <c r="A176" i="9" s="1"/>
  <c r="A12" i="9" a="1"/>
  <c r="A12" i="9" s="1"/>
  <c r="H152" i="9" a="1"/>
  <c r="H152" i="9" s="1"/>
  <c r="H37" i="9"/>
  <c r="I37" i="9" s="1" a="1"/>
  <c r="I37" i="9" s="1"/>
  <c r="H32" i="9" a="1"/>
  <c r="H32" i="9" s="1"/>
  <c r="M32" i="9" s="1" a="1"/>
  <c r="M32" i="9" s="1"/>
  <c r="K12" i="9" a="1"/>
  <c r="K12" i="9" s="1"/>
  <c r="H12" i="9" a="1"/>
  <c r="H12" i="9" s="1"/>
  <c r="E153" i="9" s="1"/>
  <c r="C15" i="9" a="1"/>
  <c r="C15" i="9" s="1"/>
  <c r="C16" i="9" a="1"/>
  <c r="C16" i="9" s="1"/>
  <c r="C17" i="9" a="1"/>
  <c r="C17" i="9" s="1"/>
  <c r="C18" i="9" a="1"/>
  <c r="C18" i="9" s="1"/>
  <c r="C19" i="9" a="1"/>
  <c r="C19" i="9" s="1"/>
  <c r="C20" i="9" a="1"/>
  <c r="C20" i="9" s="1"/>
  <c r="C14" i="9" a="1"/>
  <c r="C14" i="9" s="1"/>
  <c r="B3" i="9" a="1"/>
  <c r="B3" i="9" s="1"/>
  <c r="B7" i="9" s="1" a="1"/>
  <c r="B7" i="9" s="1"/>
  <c r="F198" i="5"/>
  <c r="E40" i="5"/>
  <c r="E46" i="5"/>
  <c r="C196" i="5"/>
  <c r="C194" i="5"/>
  <c r="C190" i="5"/>
  <c r="C188" i="5"/>
  <c r="C184" i="5"/>
  <c r="C182" i="5"/>
  <c r="C181" i="5"/>
  <c r="C179" i="5"/>
  <c r="A151" i="5"/>
  <c r="A144" i="5"/>
  <c r="A142" i="5"/>
  <c r="A141" i="5"/>
  <c r="A137" i="5"/>
  <c r="A136" i="5"/>
  <c r="F133" i="5"/>
  <c r="G133" i="5" s="1"/>
  <c r="H133" i="5" s="1"/>
  <c r="I133" i="5" s="1"/>
  <c r="J133" i="5" s="1"/>
  <c r="K133" i="5" s="1"/>
  <c r="L133" i="5" s="1"/>
  <c r="M133" i="5" s="1"/>
  <c r="N133" i="5" s="1"/>
  <c r="O133" i="5" s="1"/>
  <c r="P133" i="5" s="1"/>
  <c r="Q133" i="5" s="1"/>
  <c r="R133" i="5" s="1"/>
  <c r="E133" i="5"/>
  <c r="D133" i="5"/>
  <c r="C133" i="5"/>
  <c r="A124" i="5"/>
  <c r="A196" i="5" s="1"/>
  <c r="A123" i="5"/>
  <c r="A195" i="5" s="1"/>
  <c r="A122" i="5"/>
  <c r="A121" i="5"/>
  <c r="A193" i="5" s="1"/>
  <c r="A120" i="5"/>
  <c r="A119" i="5"/>
  <c r="A191" i="5" s="1"/>
  <c r="A118" i="5"/>
  <c r="A117" i="5"/>
  <c r="A116" i="5"/>
  <c r="A188" i="5" s="1"/>
  <c r="A115" i="5"/>
  <c r="A114" i="5"/>
  <c r="A186" i="5" s="1"/>
  <c r="A113" i="5"/>
  <c r="A185" i="5" s="1"/>
  <c r="A112" i="5"/>
  <c r="A111" i="5"/>
  <c r="A183" i="5" s="1"/>
  <c r="A110" i="5"/>
  <c r="A182" i="5" s="1"/>
  <c r="A109" i="5"/>
  <c r="A181" i="5" s="1"/>
  <c r="A108" i="5"/>
  <c r="A180" i="5" s="1"/>
  <c r="A107" i="5"/>
  <c r="A179" i="5" s="1"/>
  <c r="F104" i="5"/>
  <c r="G104" i="5" s="1"/>
  <c r="H104" i="5" s="1"/>
  <c r="I104" i="5" s="1"/>
  <c r="J104" i="5" s="1"/>
  <c r="K104" i="5" s="1"/>
  <c r="L104" i="5" s="1"/>
  <c r="M104" i="5" s="1"/>
  <c r="N104" i="5" s="1"/>
  <c r="O104" i="5" s="1"/>
  <c r="P104" i="5" s="1"/>
  <c r="Q104" i="5" s="1"/>
  <c r="R104" i="5" s="1"/>
  <c r="S104" i="5" s="1"/>
  <c r="E104" i="5"/>
  <c r="D104" i="5"/>
  <c r="C104" i="5"/>
  <c r="C100" i="5"/>
  <c r="D99" i="5"/>
  <c r="C99" i="5"/>
  <c r="E98" i="5"/>
  <c r="D98" i="5"/>
  <c r="C98" i="5"/>
  <c r="F97" i="5"/>
  <c r="E97" i="5"/>
  <c r="D97" i="5"/>
  <c r="C97" i="5"/>
  <c r="G96" i="5"/>
  <c r="F96" i="5"/>
  <c r="E96" i="5"/>
  <c r="D96" i="5"/>
  <c r="C96" i="5"/>
  <c r="H95" i="5"/>
  <c r="G95" i="5"/>
  <c r="F95" i="5"/>
  <c r="E95" i="5"/>
  <c r="D95" i="5"/>
  <c r="C95" i="5"/>
  <c r="I94" i="5"/>
  <c r="H94" i="5"/>
  <c r="G94" i="5"/>
  <c r="F94" i="5"/>
  <c r="E94" i="5"/>
  <c r="D94" i="5"/>
  <c r="C94" i="5"/>
  <c r="J93" i="5"/>
  <c r="I93" i="5"/>
  <c r="H93" i="5"/>
  <c r="G93" i="5"/>
  <c r="F93" i="5"/>
  <c r="E93" i="5"/>
  <c r="D93" i="5"/>
  <c r="C93" i="5"/>
  <c r="K92" i="5"/>
  <c r="J92" i="5"/>
  <c r="I92" i="5"/>
  <c r="H92" i="5"/>
  <c r="G92" i="5"/>
  <c r="F92" i="5"/>
  <c r="E92" i="5"/>
  <c r="D92" i="5"/>
  <c r="C92" i="5"/>
  <c r="L91" i="5"/>
  <c r="K91" i="5"/>
  <c r="J91" i="5"/>
  <c r="I91" i="5"/>
  <c r="H91" i="5"/>
  <c r="G91" i="5"/>
  <c r="F91" i="5"/>
  <c r="E91" i="5"/>
  <c r="D91" i="5"/>
  <c r="C91" i="5"/>
  <c r="M90" i="5"/>
  <c r="L90" i="5"/>
  <c r="K90" i="5"/>
  <c r="J90" i="5"/>
  <c r="I90" i="5"/>
  <c r="H90" i="5"/>
  <c r="G90" i="5"/>
  <c r="F90" i="5"/>
  <c r="E90" i="5"/>
  <c r="D90" i="5"/>
  <c r="C90" i="5"/>
  <c r="M89" i="5"/>
  <c r="N89" i="5" s="1"/>
  <c r="L89" i="5"/>
  <c r="K89" i="5"/>
  <c r="J89" i="5"/>
  <c r="I89" i="5"/>
  <c r="H89" i="5"/>
  <c r="G89" i="5"/>
  <c r="F89" i="5"/>
  <c r="E89" i="5"/>
  <c r="D89" i="5"/>
  <c r="C89" i="5"/>
  <c r="M88" i="5"/>
  <c r="N88" i="5" s="1"/>
  <c r="O88" i="5" s="1"/>
  <c r="L88" i="5"/>
  <c r="K88" i="5"/>
  <c r="J88" i="5"/>
  <c r="I88" i="5"/>
  <c r="H88" i="5"/>
  <c r="G88" i="5"/>
  <c r="F88" i="5"/>
  <c r="E88" i="5"/>
  <c r="D88" i="5"/>
  <c r="C88" i="5"/>
  <c r="O87" i="5"/>
  <c r="P87" i="5" s="1"/>
  <c r="N87" i="5"/>
  <c r="M87" i="5"/>
  <c r="L87" i="5"/>
  <c r="K87" i="5"/>
  <c r="J87" i="5"/>
  <c r="I87" i="5"/>
  <c r="H87" i="5"/>
  <c r="G87" i="5"/>
  <c r="F87" i="5"/>
  <c r="E87" i="5"/>
  <c r="D87" i="5"/>
  <c r="C87" i="5"/>
  <c r="Q86" i="5"/>
  <c r="N86" i="5"/>
  <c r="O86" i="5" s="1"/>
  <c r="P86" i="5" s="1"/>
  <c r="M86" i="5"/>
  <c r="L86" i="5"/>
  <c r="K86" i="5"/>
  <c r="J86" i="5"/>
  <c r="I86" i="5"/>
  <c r="H86" i="5"/>
  <c r="G86" i="5"/>
  <c r="F86" i="5"/>
  <c r="E86" i="5"/>
  <c r="D86" i="5"/>
  <c r="C86" i="5"/>
  <c r="P85" i="5"/>
  <c r="Q85" i="5" s="1"/>
  <c r="R85" i="5" s="1"/>
  <c r="O85" i="5"/>
  <c r="N85" i="5"/>
  <c r="M85" i="5"/>
  <c r="L85" i="5"/>
  <c r="K85" i="5"/>
  <c r="J85" i="5"/>
  <c r="I85" i="5"/>
  <c r="H85" i="5"/>
  <c r="G85" i="5"/>
  <c r="F85" i="5"/>
  <c r="E85" i="5"/>
  <c r="D85" i="5"/>
  <c r="C85" i="5"/>
  <c r="O84" i="5"/>
  <c r="P84" i="5" s="1"/>
  <c r="Q84" i="5" s="1"/>
  <c r="R84" i="5" s="1"/>
  <c r="S84" i="5" s="1"/>
  <c r="N84" i="5"/>
  <c r="M84" i="5"/>
  <c r="L84" i="5"/>
  <c r="K84" i="5"/>
  <c r="J84" i="5"/>
  <c r="I84" i="5"/>
  <c r="H84" i="5"/>
  <c r="G84" i="5"/>
  <c r="F84" i="5"/>
  <c r="E84" i="5"/>
  <c r="D84" i="5"/>
  <c r="C84" i="5"/>
  <c r="B84" i="5"/>
  <c r="P74" i="5"/>
  <c r="O74" i="5"/>
  <c r="N74" i="5"/>
  <c r="P73" i="5"/>
  <c r="C195" i="5" s="1"/>
  <c r="N73" i="5"/>
  <c r="P72" i="5"/>
  <c r="N72" i="5"/>
  <c r="O72" i="5" s="1"/>
  <c r="P71" i="5"/>
  <c r="O71" i="5" s="1"/>
  <c r="N71" i="5"/>
  <c r="P70" i="5"/>
  <c r="C192" i="5" s="1"/>
  <c r="N70" i="5"/>
  <c r="O70" i="5" s="1"/>
  <c r="P69" i="5"/>
  <c r="O69" i="5" s="1"/>
  <c r="N69" i="5"/>
  <c r="P68" i="5"/>
  <c r="N68" i="5"/>
  <c r="O68" i="5" s="1"/>
  <c r="P67" i="5"/>
  <c r="C189" i="5" s="1"/>
  <c r="N67" i="5"/>
  <c r="P66" i="5"/>
  <c r="N66" i="5"/>
  <c r="O66" i="5" s="1"/>
  <c r="P65" i="5"/>
  <c r="C187" i="5" s="1"/>
  <c r="N65" i="5"/>
  <c r="P64" i="5"/>
  <c r="C186" i="5" s="1"/>
  <c r="N64" i="5"/>
  <c r="O64" i="5" s="1"/>
  <c r="P63" i="5"/>
  <c r="C185" i="5" s="1"/>
  <c r="N63" i="5"/>
  <c r="P62" i="5"/>
  <c r="O62" i="5"/>
  <c r="N62" i="5"/>
  <c r="P61" i="5"/>
  <c r="C183" i="5" s="1"/>
  <c r="N61" i="5"/>
  <c r="P60" i="5"/>
  <c r="N60" i="5"/>
  <c r="O60" i="5" s="1"/>
  <c r="P59" i="5"/>
  <c r="O59" i="5" s="1"/>
  <c r="N59" i="5"/>
  <c r="P58" i="5"/>
  <c r="C180" i="5" s="1"/>
  <c r="N58" i="5"/>
  <c r="O58" i="5" s="1"/>
  <c r="P57" i="5"/>
  <c r="O57" i="5" s="1"/>
  <c r="N57" i="5"/>
  <c r="C33" i="5"/>
  <c r="B109" i="5" s="1"/>
  <c r="B32" i="5"/>
  <c r="B33" i="5" s="1"/>
  <c r="D31" i="5"/>
  <c r="C107" i="5" s="1"/>
  <c r="C31" i="5"/>
  <c r="B107" i="5" s="1"/>
  <c r="A31" i="5"/>
  <c r="D28" i="5"/>
  <c r="E28" i="5" s="1"/>
  <c r="F28" i="5" s="1"/>
  <c r="G28" i="5" s="1"/>
  <c r="H28" i="5" s="1"/>
  <c r="I28" i="5" s="1"/>
  <c r="J28" i="5" s="1"/>
  <c r="K28" i="5" s="1"/>
  <c r="L28" i="5" s="1"/>
  <c r="M28" i="5" s="1"/>
  <c r="N28" i="5" s="1"/>
  <c r="O28" i="5" s="1"/>
  <c r="P28" i="5" s="1"/>
  <c r="Q28" i="5" s="1"/>
  <c r="R28" i="5" s="1"/>
  <c r="S28" i="5" s="1"/>
  <c r="T28" i="5" s="1"/>
  <c r="A9" i="5"/>
  <c r="A32" i="5" s="1"/>
  <c r="D5" i="5"/>
  <c r="E5" i="5" s="1"/>
  <c r="F5" i="5" s="1"/>
  <c r="G5" i="5" s="1"/>
  <c r="H5" i="5" s="1"/>
  <c r="I5" i="5" s="1"/>
  <c r="J5" i="5" s="1"/>
  <c r="K5" i="5" s="1"/>
  <c r="L5" i="5" s="1"/>
  <c r="M5" i="5" s="1"/>
  <c r="N5" i="5" s="1"/>
  <c r="O5" i="5" s="1"/>
  <c r="P5" i="5" s="1"/>
  <c r="Q5" i="5" s="1"/>
  <c r="R5" i="5" s="1"/>
  <c r="S5" i="5" s="1"/>
  <c r="T5" i="5" s="1"/>
  <c r="P44" i="12"/>
  <c r="D14" i="9" a="1"/>
  <c r="F152" i="9"/>
  <c r="M31" i="9"/>
  <c r="I64" i="12" a="1"/>
  <c r="I12" i="9"/>
  <c r="J64" i="12"/>
  <c r="I33" i="12" a="1"/>
  <c r="F153" i="9"/>
  <c r="J29" i="12"/>
  <c r="L67" i="12"/>
  <c r="D152" i="9"/>
  <c r="T197" i="9"/>
  <c r="B152" i="9"/>
  <c r="AG6" i="13"/>
  <c r="I206" i="9"/>
  <c r="G176" i="9"/>
  <c r="N204" i="9"/>
  <c r="I4" i="13"/>
  <c r="R209" i="9"/>
  <c r="B176" i="9"/>
  <c r="I39" i="12" a="1"/>
  <c r="B13" i="13"/>
  <c r="N197" i="9"/>
  <c r="B12" i="9"/>
  <c r="L152" i="9"/>
  <c r="H187" i="9"/>
  <c r="B4" i="13"/>
  <c r="J37" i="9"/>
  <c r="H6" i="12"/>
  <c r="M189" i="9"/>
  <c r="I152" i="9"/>
  <c r="L153" i="9"/>
  <c r="L12" i="9"/>
  <c r="X3" i="13"/>
  <c r="H197" i="9"/>
  <c r="I31" i="9"/>
  <c r="AG7" i="13"/>
  <c r="F45" i="12"/>
  <c r="P45" i="12"/>
  <c r="O209" i="9"/>
  <c r="I38" i="12" a="1"/>
  <c r="I207" i="9"/>
  <c r="D4" i="13"/>
  <c r="J33" i="12"/>
  <c r="H11" i="12"/>
  <c r="I67" i="12" a="1"/>
  <c r="O3" i="13"/>
  <c r="O210" i="9"/>
  <c r="F44" i="12"/>
  <c r="I64" i="12" l="1"/>
  <c r="I67" i="12"/>
  <c r="I38" i="12"/>
  <c r="I33" i="12"/>
  <c r="I39" i="12"/>
  <c r="T198" i="9"/>
  <c r="N198" i="9"/>
  <c r="H198" i="9" a="1"/>
  <c r="H198" i="9" s="1"/>
  <c r="H188" i="9" a="1"/>
  <c r="H188" i="9" s="1"/>
  <c r="M190" i="9" a="1"/>
  <c r="M190" i="9" s="1"/>
  <c r="Z20" i="13"/>
  <c r="AA20" i="13"/>
  <c r="D31" i="13"/>
  <c r="E31" i="13"/>
  <c r="Q20" i="13"/>
  <c r="R20" i="13"/>
  <c r="T199" i="9"/>
  <c r="T200" i="9"/>
  <c r="T201" i="9"/>
  <c r="N199" i="9"/>
  <c r="N200" i="9"/>
  <c r="N201" i="9"/>
  <c r="I35" i="9" a="1"/>
  <c r="I35" i="9" s="1"/>
  <c r="I34" i="9" a="1"/>
  <c r="I34" i="9" s="1"/>
  <c r="I33" i="9" a="1"/>
  <c r="I33" i="9" s="1"/>
  <c r="I32" i="9" a="1"/>
  <c r="I32" i="9" s="1"/>
  <c r="M35" i="9" a="1"/>
  <c r="M35" i="9" s="1"/>
  <c r="M34" i="9" a="1"/>
  <c r="M34" i="9" s="1"/>
  <c r="M33" i="9" a="1"/>
  <c r="M33" i="9" s="1"/>
  <c r="A152" i="9"/>
  <c r="C152" i="9" a="1"/>
  <c r="C152" i="9" s="1"/>
  <c r="E152" i="9"/>
  <c r="K153" i="9"/>
  <c r="K152" i="9"/>
  <c r="D14" i="9"/>
  <c r="B34" i="5"/>
  <c r="E31" i="5"/>
  <c r="D107" i="5" s="1"/>
  <c r="A10" i="5"/>
  <c r="B135" i="5"/>
  <c r="D32" i="5"/>
  <c r="C108" i="5" s="1"/>
  <c r="A190" i="5"/>
  <c r="A146" i="5"/>
  <c r="A194" i="5"/>
  <c r="A150" i="5"/>
  <c r="A143" i="5"/>
  <c r="A187" i="5"/>
  <c r="C32" i="5"/>
  <c r="B108" i="5" s="1"/>
  <c r="A189" i="5"/>
  <c r="A145" i="5"/>
  <c r="A192" i="5"/>
  <c r="A148" i="5"/>
  <c r="A138" i="5"/>
  <c r="A135" i="5"/>
  <c r="A149" i="5"/>
  <c r="C191" i="5"/>
  <c r="C193" i="5"/>
  <c r="O61" i="5"/>
  <c r="O63" i="5"/>
  <c r="O65" i="5"/>
  <c r="O76" i="5" s="1"/>
  <c r="O67" i="5"/>
  <c r="O73" i="5"/>
  <c r="A147" i="5"/>
  <c r="A140" i="5"/>
  <c r="A184" i="5"/>
  <c r="A139" i="5"/>
  <c r="AK10" i="13" l="1"/>
  <c r="AL10" i="13" s="1"/>
  <c r="AK11" i="13"/>
  <c r="AL11" i="13" s="1"/>
  <c r="AK12" i="13"/>
  <c r="AL12" i="13" s="1"/>
  <c r="A33" i="5"/>
  <c r="A11" i="5"/>
  <c r="C135" i="5"/>
  <c r="B136" i="5"/>
  <c r="B35" i="5"/>
  <c r="F31" i="5"/>
  <c r="E107" i="5" s="1"/>
  <c r="C34" i="5"/>
  <c r="B110" i="5" s="1"/>
  <c r="E32" i="5"/>
  <c r="D108" i="5" s="1"/>
  <c r="C136" i="5" s="1"/>
  <c r="D33" i="5"/>
  <c r="C109" i="5" s="1"/>
  <c r="B137" i="5" l="1"/>
  <c r="A34" i="5"/>
  <c r="A12" i="5"/>
  <c r="D135" i="5"/>
  <c r="B36" i="5"/>
  <c r="E33" i="5"/>
  <c r="D109" i="5" s="1"/>
  <c r="F32" i="5"/>
  <c r="E108" i="5" s="1"/>
  <c r="D136" i="5" s="1"/>
  <c r="G31" i="5"/>
  <c r="F107" i="5" s="1"/>
  <c r="C35" i="5"/>
  <c r="B111" i="5" s="1"/>
  <c r="D34" i="5"/>
  <c r="C110" i="5" s="1"/>
  <c r="B138" i="5" s="1"/>
  <c r="A35" i="5" l="1"/>
  <c r="A13" i="5"/>
  <c r="E135" i="5"/>
  <c r="C137" i="5"/>
  <c r="C36" i="5"/>
  <c r="B112" i="5" s="1"/>
  <c r="F33" i="5"/>
  <c r="E109" i="5" s="1"/>
  <c r="G32" i="5"/>
  <c r="F108" i="5" s="1"/>
  <c r="E136" i="5" s="1"/>
  <c r="E34" i="5"/>
  <c r="D110" i="5" s="1"/>
  <c r="C138" i="5" s="1"/>
  <c r="H31" i="5"/>
  <c r="G107" i="5" s="1"/>
  <c r="B37" i="5"/>
  <c r="D35" i="5"/>
  <c r="C111" i="5" s="1"/>
  <c r="B139" i="5" s="1"/>
  <c r="D137" i="5" l="1"/>
  <c r="A36" i="5"/>
  <c r="A14" i="5"/>
  <c r="F135" i="5"/>
  <c r="B38" i="5"/>
  <c r="D36" i="5"/>
  <c r="C112" i="5" s="1"/>
  <c r="F34" i="5"/>
  <c r="E110" i="5" s="1"/>
  <c r="D138" i="5" s="1"/>
  <c r="I31" i="5"/>
  <c r="H107" i="5" s="1"/>
  <c r="E35" i="5"/>
  <c r="D111" i="5" s="1"/>
  <c r="C139" i="5" s="1"/>
  <c r="G33" i="5"/>
  <c r="F109" i="5" s="1"/>
  <c r="E137" i="5" s="1"/>
  <c r="H32" i="5"/>
  <c r="G108" i="5" s="1"/>
  <c r="F136" i="5" s="1"/>
  <c r="C37" i="5"/>
  <c r="B113" i="5" s="1"/>
  <c r="G135" i="5" l="1"/>
  <c r="A37" i="5"/>
  <c r="A15" i="5"/>
  <c r="B140" i="5"/>
  <c r="G34" i="5"/>
  <c r="F110" i="5" s="1"/>
  <c r="E138" i="5" s="1"/>
  <c r="F35" i="5"/>
  <c r="E111" i="5" s="1"/>
  <c r="D139" i="5" s="1"/>
  <c r="C38" i="5"/>
  <c r="B114" i="5" s="1"/>
  <c r="E36" i="5"/>
  <c r="D112" i="5" s="1"/>
  <c r="C140" i="5" s="1"/>
  <c r="B39" i="5"/>
  <c r="I32" i="5"/>
  <c r="H108" i="5" s="1"/>
  <c r="G136" i="5" s="1"/>
  <c r="H33" i="5"/>
  <c r="G109" i="5" s="1"/>
  <c r="J31" i="5"/>
  <c r="I107" i="5" s="1"/>
  <c r="D37" i="5"/>
  <c r="C113" i="5" s="1"/>
  <c r="B141" i="5" s="1"/>
  <c r="C39" i="5" l="1"/>
  <c r="B115" i="5" s="1"/>
  <c r="D38" i="5"/>
  <c r="C114" i="5" s="1"/>
  <c r="B142" i="5" s="1"/>
  <c r="B40" i="5"/>
  <c r="G35" i="5"/>
  <c r="F111" i="5" s="1"/>
  <c r="E37" i="5"/>
  <c r="D113" i="5" s="1"/>
  <c r="C141" i="5" s="1"/>
  <c r="I33" i="5"/>
  <c r="H109" i="5" s="1"/>
  <c r="G137" i="5" s="1"/>
  <c r="J32" i="5"/>
  <c r="I108" i="5" s="1"/>
  <c r="H136" i="5" s="1"/>
  <c r="H34" i="5"/>
  <c r="G110" i="5" s="1"/>
  <c r="F138" i="5" s="1"/>
  <c r="F36" i="5"/>
  <c r="E112" i="5" s="1"/>
  <c r="K31" i="5"/>
  <c r="J107" i="5" s="1"/>
  <c r="H135" i="5"/>
  <c r="A38" i="5"/>
  <c r="A16" i="5"/>
  <c r="F137" i="5"/>
  <c r="I135" i="5" l="1"/>
  <c r="E139" i="5"/>
  <c r="D140" i="5"/>
  <c r="D39" i="5"/>
  <c r="C115" i="5" s="1"/>
  <c r="B143" i="5" s="1"/>
  <c r="E38" i="5"/>
  <c r="D114" i="5" s="1"/>
  <c r="C142" i="5" s="1"/>
  <c r="C40" i="5"/>
  <c r="B116" i="5" s="1"/>
  <c r="B41" i="5"/>
  <c r="H35" i="5"/>
  <c r="G111" i="5" s="1"/>
  <c r="F37" i="5"/>
  <c r="E113" i="5" s="1"/>
  <c r="D141" i="5" s="1"/>
  <c r="J33" i="5"/>
  <c r="I109" i="5" s="1"/>
  <c r="K32" i="5"/>
  <c r="J108" i="5" s="1"/>
  <c r="I136" i="5" s="1"/>
  <c r="I34" i="5"/>
  <c r="H110" i="5" s="1"/>
  <c r="G138" i="5" s="1"/>
  <c r="L31" i="5"/>
  <c r="K107" i="5" s="1"/>
  <c r="G36" i="5"/>
  <c r="F112" i="5" s="1"/>
  <c r="E140" i="5" s="1"/>
  <c r="A39" i="5"/>
  <c r="A17" i="5"/>
  <c r="J135" i="5" l="1"/>
  <c r="F139" i="5"/>
  <c r="D40" i="5"/>
  <c r="C116" i="5" s="1"/>
  <c r="B144" i="5" s="1"/>
  <c r="G37" i="5"/>
  <c r="F113" i="5" s="1"/>
  <c r="B42" i="5"/>
  <c r="E39" i="5"/>
  <c r="D115" i="5" s="1"/>
  <c r="C143" i="5" s="1"/>
  <c r="H36" i="5"/>
  <c r="G112" i="5" s="1"/>
  <c r="F140" i="5" s="1"/>
  <c r="K33" i="5"/>
  <c r="J109" i="5" s="1"/>
  <c r="I137" i="5" s="1"/>
  <c r="L32" i="5"/>
  <c r="K108" i="5" s="1"/>
  <c r="J136" i="5" s="1"/>
  <c r="C41" i="5"/>
  <c r="B117" i="5" s="1"/>
  <c r="I35" i="5"/>
  <c r="H111" i="5" s="1"/>
  <c r="G139" i="5" s="1"/>
  <c r="J34" i="5"/>
  <c r="I110" i="5" s="1"/>
  <c r="H138" i="5" s="1"/>
  <c r="M31" i="5"/>
  <c r="L107" i="5" s="1"/>
  <c r="F38" i="5"/>
  <c r="E114" i="5" s="1"/>
  <c r="A40" i="5"/>
  <c r="A18" i="5"/>
  <c r="H137" i="5"/>
  <c r="D142" i="5" l="1"/>
  <c r="A41" i="5"/>
  <c r="A19" i="5"/>
  <c r="E141" i="5"/>
  <c r="K135" i="5"/>
  <c r="D41" i="5"/>
  <c r="C117" i="5" s="1"/>
  <c r="B145" i="5" s="1"/>
  <c r="D116" i="5"/>
  <c r="C144" i="5" s="1"/>
  <c r="H37" i="5"/>
  <c r="G113" i="5" s="1"/>
  <c r="F39" i="5"/>
  <c r="E115" i="5" s="1"/>
  <c r="D143" i="5" s="1"/>
  <c r="I36" i="5"/>
  <c r="H112" i="5" s="1"/>
  <c r="G140" i="5" s="1"/>
  <c r="L33" i="5"/>
  <c r="K109" i="5" s="1"/>
  <c r="J137" i="5" s="1"/>
  <c r="M32" i="5"/>
  <c r="L108" i="5" s="1"/>
  <c r="K136" i="5" s="1"/>
  <c r="K34" i="5"/>
  <c r="J110" i="5" s="1"/>
  <c r="I138" i="5" s="1"/>
  <c r="N31" i="5"/>
  <c r="M107" i="5" s="1"/>
  <c r="B43" i="5"/>
  <c r="C42" i="5"/>
  <c r="B118" i="5" s="1"/>
  <c r="G38" i="5"/>
  <c r="F114" i="5" s="1"/>
  <c r="E142" i="5" s="1"/>
  <c r="J35" i="5"/>
  <c r="I111" i="5" s="1"/>
  <c r="G160" i="1" a="1"/>
  <c r="G160" i="1" s="1"/>
  <c r="E160" i="1" a="1"/>
  <c r="E160" i="1" s="1"/>
  <c r="A160" i="1" a="1"/>
  <c r="A160" i="1" s="1"/>
  <c r="I18" i="1"/>
  <c r="G18" i="1"/>
  <c r="E18" i="1" a="1"/>
  <c r="E18" i="1" s="1"/>
  <c r="C18" i="1" a="1"/>
  <c r="C18" i="1" s="1"/>
  <c r="A18" i="1" a="1"/>
  <c r="A18" i="1" s="1"/>
  <c r="N9" i="1"/>
  <c r="J9" i="1"/>
  <c r="F9" i="1"/>
  <c r="H139" i="5" l="1"/>
  <c r="A42" i="5"/>
  <c r="A20" i="5"/>
  <c r="B44" i="5"/>
  <c r="E41" i="5"/>
  <c r="D117" i="5" s="1"/>
  <c r="C43" i="5"/>
  <c r="B119" i="5" s="1"/>
  <c r="G39" i="5"/>
  <c r="F115" i="5" s="1"/>
  <c r="J36" i="5"/>
  <c r="I112" i="5" s="1"/>
  <c r="L34" i="5"/>
  <c r="K110" i="5" s="1"/>
  <c r="H38" i="5"/>
  <c r="G114" i="5" s="1"/>
  <c r="O31" i="5"/>
  <c r="N107" i="5" s="1"/>
  <c r="D42" i="5"/>
  <c r="C118" i="5" s="1"/>
  <c r="I37" i="5"/>
  <c r="H113" i="5" s="1"/>
  <c r="F40" i="5"/>
  <c r="E116" i="5" s="1"/>
  <c r="N32" i="5"/>
  <c r="M108" i="5" s="1"/>
  <c r="K35" i="5"/>
  <c r="J111" i="5" s="1"/>
  <c r="M33" i="5"/>
  <c r="L109" i="5" s="1"/>
  <c r="L135" i="5"/>
  <c r="F141" i="5"/>
  <c r="F142" i="5" l="1"/>
  <c r="D144" i="5"/>
  <c r="L136" i="5"/>
  <c r="I139" i="5"/>
  <c r="D43" i="5"/>
  <c r="C119" i="5" s="1"/>
  <c r="B147" i="5" s="1"/>
  <c r="C44" i="5"/>
  <c r="B120" i="5" s="1"/>
  <c r="M34" i="5"/>
  <c r="L110" i="5" s="1"/>
  <c r="I38" i="5"/>
  <c r="H114" i="5" s="1"/>
  <c r="G142" i="5" s="1"/>
  <c r="B45" i="5"/>
  <c r="L35" i="5"/>
  <c r="K111" i="5" s="1"/>
  <c r="J139" i="5" s="1"/>
  <c r="H39" i="5"/>
  <c r="G115" i="5" s="1"/>
  <c r="P31" i="5"/>
  <c r="O107" i="5" s="1"/>
  <c r="E42" i="5"/>
  <c r="D118" i="5" s="1"/>
  <c r="C146" i="5" s="1"/>
  <c r="G40" i="5"/>
  <c r="F116" i="5" s="1"/>
  <c r="E144" i="5" s="1"/>
  <c r="J37" i="5"/>
  <c r="I113" i="5" s="1"/>
  <c r="H141" i="5" s="1"/>
  <c r="K36" i="5"/>
  <c r="J112" i="5" s="1"/>
  <c r="I140" i="5" s="1"/>
  <c r="N33" i="5"/>
  <c r="M109" i="5" s="1"/>
  <c r="L137" i="5" s="1"/>
  <c r="F41" i="5"/>
  <c r="E117" i="5" s="1"/>
  <c r="D145" i="5" s="1"/>
  <c r="O32" i="5"/>
  <c r="N108" i="5" s="1"/>
  <c r="M136" i="5" s="1"/>
  <c r="J138" i="5"/>
  <c r="H140" i="5"/>
  <c r="A43" i="5"/>
  <c r="A21" i="5"/>
  <c r="G141" i="5"/>
  <c r="E143" i="5"/>
  <c r="B146" i="5"/>
  <c r="K137" i="5"/>
  <c r="M135" i="5"/>
  <c r="C145" i="5"/>
  <c r="N135" i="5" l="1"/>
  <c r="F143" i="5"/>
  <c r="A44" i="5"/>
  <c r="A22" i="5"/>
  <c r="F42" i="5"/>
  <c r="E118" i="5" s="1"/>
  <c r="D146" i="5" s="1"/>
  <c r="I39" i="5"/>
  <c r="H115" i="5" s="1"/>
  <c r="J38" i="5"/>
  <c r="I114" i="5" s="1"/>
  <c r="C45" i="5"/>
  <c r="B121" i="5" s="1"/>
  <c r="M35" i="5"/>
  <c r="L111" i="5" s="1"/>
  <c r="N34" i="5"/>
  <c r="M110" i="5" s="1"/>
  <c r="H40" i="5"/>
  <c r="G116" i="5" s="1"/>
  <c r="F144" i="5" s="1"/>
  <c r="K37" i="5"/>
  <c r="J113" i="5" s="1"/>
  <c r="I141" i="5" s="1"/>
  <c r="L36" i="5"/>
  <c r="K112" i="5" s="1"/>
  <c r="D44" i="5"/>
  <c r="C120" i="5" s="1"/>
  <c r="B148" i="5" s="1"/>
  <c r="O33" i="5"/>
  <c r="N109" i="5" s="1"/>
  <c r="P32" i="5"/>
  <c r="O108" i="5" s="1"/>
  <c r="N136" i="5" s="1"/>
  <c r="B46" i="5"/>
  <c r="E43" i="5"/>
  <c r="D119" i="5" s="1"/>
  <c r="G41" i="5"/>
  <c r="F117" i="5" s="1"/>
  <c r="E145" i="5" s="1"/>
  <c r="Q31" i="5"/>
  <c r="P107" i="5" s="1"/>
  <c r="K138" i="5"/>
  <c r="O135" i="5" l="1"/>
  <c r="J140" i="5"/>
  <c r="H142" i="5"/>
  <c r="C147" i="5"/>
  <c r="G143" i="5"/>
  <c r="B47" i="5"/>
  <c r="G42" i="5"/>
  <c r="F118" i="5" s="1"/>
  <c r="J39" i="5"/>
  <c r="I115" i="5" s="1"/>
  <c r="K38" i="5"/>
  <c r="J114" i="5" s="1"/>
  <c r="I40" i="5"/>
  <c r="H116" i="5" s="1"/>
  <c r="L37" i="5"/>
  <c r="K113" i="5" s="1"/>
  <c r="D45" i="5"/>
  <c r="C121" i="5" s="1"/>
  <c r="N35" i="5"/>
  <c r="M111" i="5" s="1"/>
  <c r="H41" i="5"/>
  <c r="G117" i="5" s="1"/>
  <c r="M36" i="5"/>
  <c r="L112" i="5" s="1"/>
  <c r="E44" i="5"/>
  <c r="D120" i="5" s="1"/>
  <c r="P33" i="5"/>
  <c r="O109" i="5" s="1"/>
  <c r="Q32" i="5"/>
  <c r="P108" i="5" s="1"/>
  <c r="F43" i="5"/>
  <c r="E119" i="5" s="1"/>
  <c r="O34" i="5"/>
  <c r="N110" i="5" s="1"/>
  <c r="R31" i="5"/>
  <c r="Q107" i="5" s="1"/>
  <c r="C46" i="5"/>
  <c r="B122" i="5" s="1"/>
  <c r="L138" i="5"/>
  <c r="A45" i="5"/>
  <c r="A23" i="5"/>
  <c r="M137" i="5"/>
  <c r="K139" i="5"/>
  <c r="N137" i="5" l="1"/>
  <c r="G144" i="5"/>
  <c r="K140" i="5"/>
  <c r="M138" i="5"/>
  <c r="H143" i="5"/>
  <c r="J141" i="5"/>
  <c r="A46" i="5"/>
  <c r="A24" i="5"/>
  <c r="C148" i="5"/>
  <c r="P135" i="5"/>
  <c r="I142" i="5"/>
  <c r="F145" i="5"/>
  <c r="D147" i="5"/>
  <c r="L139" i="5"/>
  <c r="E146" i="5"/>
  <c r="O136" i="5"/>
  <c r="B149" i="5"/>
  <c r="J40" i="5"/>
  <c r="I116" i="5" s="1"/>
  <c r="M37" i="5"/>
  <c r="L113" i="5" s="1"/>
  <c r="C47" i="5"/>
  <c r="B123" i="5" s="1"/>
  <c r="L38" i="5"/>
  <c r="K114" i="5" s="1"/>
  <c r="J142" i="5" s="1"/>
  <c r="I41" i="5"/>
  <c r="H117" i="5" s="1"/>
  <c r="G145" i="5" s="1"/>
  <c r="D46" i="5"/>
  <c r="C122" i="5" s="1"/>
  <c r="G43" i="5"/>
  <c r="F119" i="5" s="1"/>
  <c r="E147" i="5" s="1"/>
  <c r="H42" i="5"/>
  <c r="G118" i="5" s="1"/>
  <c r="F146" i="5" s="1"/>
  <c r="N36" i="5"/>
  <c r="M112" i="5" s="1"/>
  <c r="Q33" i="5"/>
  <c r="P109" i="5" s="1"/>
  <c r="R32" i="5"/>
  <c r="Q108" i="5" s="1"/>
  <c r="P136" i="5" s="1"/>
  <c r="E45" i="5"/>
  <c r="D121" i="5" s="1"/>
  <c r="C149" i="5" s="1"/>
  <c r="B48" i="5"/>
  <c r="F44" i="5"/>
  <c r="E120" i="5" s="1"/>
  <c r="S31" i="5"/>
  <c r="R107" i="5" s="1"/>
  <c r="O35" i="5"/>
  <c r="N111" i="5" s="1"/>
  <c r="K39" i="5"/>
  <c r="J115" i="5" s="1"/>
  <c r="P34" i="5"/>
  <c r="O110" i="5" s="1"/>
  <c r="K157" i="5" l="1"/>
  <c r="C48" i="5"/>
  <c r="B124" i="5" s="1"/>
  <c r="F45" i="5"/>
  <c r="E121" i="5" s="1"/>
  <c r="D160" i="5" s="1"/>
  <c r="D166" i="5" s="1"/>
  <c r="G44" i="5"/>
  <c r="F120" i="5" s="1"/>
  <c r="J41" i="5"/>
  <c r="I117" i="5" s="1"/>
  <c r="H163" i="5" s="1"/>
  <c r="D122" i="5"/>
  <c r="H43" i="5"/>
  <c r="G119" i="5" s="1"/>
  <c r="I42" i="5"/>
  <c r="H118" i="5" s="1"/>
  <c r="O36" i="5"/>
  <c r="N112" i="5" s="1"/>
  <c r="R33" i="5"/>
  <c r="Q109" i="5" s="1"/>
  <c r="S32" i="5"/>
  <c r="R108" i="5" s="1"/>
  <c r="K40" i="5"/>
  <c r="J116" i="5" s="1"/>
  <c r="N37" i="5"/>
  <c r="M113" i="5" s="1"/>
  <c r="Q34" i="5"/>
  <c r="P110" i="5" s="1"/>
  <c r="T31" i="5"/>
  <c r="S107" i="5" s="1"/>
  <c r="P35" i="5"/>
  <c r="O111" i="5" s="1"/>
  <c r="N157" i="5" s="1"/>
  <c r="M38" i="5"/>
  <c r="L114" i="5" s="1"/>
  <c r="D47" i="5"/>
  <c r="C123" i="5" s="1"/>
  <c r="L39" i="5"/>
  <c r="K115" i="5" s="1"/>
  <c r="M139" i="5"/>
  <c r="M157" i="5"/>
  <c r="B150" i="5"/>
  <c r="B160" i="5"/>
  <c r="B166" i="5" s="1"/>
  <c r="C160" i="5"/>
  <c r="C166" i="5" s="1"/>
  <c r="C163" i="5"/>
  <c r="I143" i="5"/>
  <c r="I160" i="5"/>
  <c r="O137" i="5"/>
  <c r="O157" i="5"/>
  <c r="M163" i="5"/>
  <c r="M166" i="5" s="1"/>
  <c r="L140" i="5"/>
  <c r="J163" i="5"/>
  <c r="J166" i="5" s="1"/>
  <c r="H144" i="5"/>
  <c r="H160" i="5"/>
  <c r="H166" i="5" s="1"/>
  <c r="N138" i="5"/>
  <c r="A47" i="5"/>
  <c r="A25" i="5"/>
  <c r="A48" i="5" s="1"/>
  <c r="G163" i="5"/>
  <c r="Q135" i="5"/>
  <c r="Q157" i="5"/>
  <c r="Q166" i="5" s="1"/>
  <c r="D148" i="5"/>
  <c r="K141" i="5"/>
  <c r="K160" i="5"/>
  <c r="D163" i="5"/>
  <c r="P137" i="5" l="1"/>
  <c r="B184" i="5"/>
  <c r="D184" i="5" s="1"/>
  <c r="F184" i="5" s="1"/>
  <c r="I184" i="5" s="1"/>
  <c r="M140" i="5"/>
  <c r="M160" i="5"/>
  <c r="O138" i="5"/>
  <c r="P157" i="5"/>
  <c r="E148" i="5"/>
  <c r="E157" i="5"/>
  <c r="E160" i="5"/>
  <c r="E166" i="5" s="1"/>
  <c r="J143" i="5"/>
  <c r="J160" i="5"/>
  <c r="J157" i="5"/>
  <c r="L141" i="5"/>
  <c r="L163" i="5"/>
  <c r="L166" i="5" s="1"/>
  <c r="L169" i="5" s="1"/>
  <c r="L171" i="5" s="1"/>
  <c r="B186" i="5" s="1"/>
  <c r="D186" i="5" s="1"/>
  <c r="F186" i="5" s="1"/>
  <c r="I186" i="5" s="1"/>
  <c r="L160" i="5"/>
  <c r="O163" i="5"/>
  <c r="O166" i="5" s="1"/>
  <c r="P163" i="5"/>
  <c r="P166" i="5" s="1"/>
  <c r="P169" i="5" s="1"/>
  <c r="P171" i="5" s="1"/>
  <c r="B182" i="5" s="1"/>
  <c r="D182" i="5" s="1"/>
  <c r="F182" i="5" s="1"/>
  <c r="I182" i="5" s="1"/>
  <c r="B151" i="5"/>
  <c r="B157" i="5"/>
  <c r="I144" i="5"/>
  <c r="I157" i="5"/>
  <c r="I163" i="5"/>
  <c r="I166" i="5" s="1"/>
  <c r="C150" i="5"/>
  <c r="C157" i="5"/>
  <c r="N139" i="5"/>
  <c r="B179" i="5"/>
  <c r="D179" i="5" s="1"/>
  <c r="F179" i="5" s="1"/>
  <c r="R135" i="5"/>
  <c r="R157" i="5"/>
  <c r="R166" i="5" s="1"/>
  <c r="R169" i="5" s="1"/>
  <c r="R171" i="5" s="1"/>
  <c r="D149" i="5"/>
  <c r="D157" i="5"/>
  <c r="E163" i="5"/>
  <c r="G146" i="5"/>
  <c r="G157" i="5"/>
  <c r="F147" i="5"/>
  <c r="F157" i="5"/>
  <c r="F163" i="5"/>
  <c r="F160" i="5"/>
  <c r="F166" i="5" s="1"/>
  <c r="B169" i="5" s="1"/>
  <c r="B171" i="5" s="1"/>
  <c r="B196" i="5" s="1"/>
  <c r="D196" i="5" s="1"/>
  <c r="F196" i="5" s="1"/>
  <c r="I196" i="5" s="1"/>
  <c r="G160" i="5"/>
  <c r="G166" i="5" s="1"/>
  <c r="Q169" i="5"/>
  <c r="Q171" i="5" s="1"/>
  <c r="B181" i="5" s="1"/>
  <c r="D181" i="5" s="1"/>
  <c r="F181" i="5" s="1"/>
  <c r="I181" i="5" s="1"/>
  <c r="L157" i="5"/>
  <c r="B163" i="5"/>
  <c r="K142" i="5"/>
  <c r="K163" i="5"/>
  <c r="K166" i="5" s="1"/>
  <c r="J169" i="5" s="1"/>
  <c r="J171" i="5" s="1"/>
  <c r="B188" i="5" s="1"/>
  <c r="D188" i="5" s="1"/>
  <c r="F188" i="5" s="1"/>
  <c r="I188" i="5" s="1"/>
  <c r="B180" i="5"/>
  <c r="D180" i="5" s="1"/>
  <c r="F180" i="5" s="1"/>
  <c r="I180" i="5" s="1"/>
  <c r="Q136" i="5"/>
  <c r="H145" i="5"/>
  <c r="H157" i="5"/>
  <c r="N163" i="5"/>
  <c r="N166" i="5" s="1"/>
  <c r="N169" i="5" s="1"/>
  <c r="N171" i="5" s="1"/>
  <c r="I179" i="5" l="1"/>
  <c r="I169" i="5"/>
  <c r="I171" i="5" s="1"/>
  <c r="B189" i="5" s="1"/>
  <c r="D189" i="5" s="1"/>
  <c r="F189" i="5" s="1"/>
  <c r="I189" i="5" s="1"/>
  <c r="G169" i="5"/>
  <c r="G171" i="5" s="1"/>
  <c r="B191" i="5" s="1"/>
  <c r="D191" i="5" s="1"/>
  <c r="F191" i="5" s="1"/>
  <c r="I191" i="5" s="1"/>
  <c r="C169" i="5"/>
  <c r="C171" i="5" s="1"/>
  <c r="B195" i="5" s="1"/>
  <c r="D195" i="5" s="1"/>
  <c r="F195" i="5" s="1"/>
  <c r="I195" i="5" s="1"/>
  <c r="F169" i="5"/>
  <c r="F171" i="5" s="1"/>
  <c r="B192" i="5" s="1"/>
  <c r="D192" i="5" s="1"/>
  <c r="F192" i="5" s="1"/>
  <c r="I192" i="5" s="1"/>
  <c r="E169" i="5"/>
  <c r="E171" i="5" s="1"/>
  <c r="B193" i="5" s="1"/>
  <c r="D193" i="5" s="1"/>
  <c r="F193" i="5" s="1"/>
  <c r="I193" i="5" s="1"/>
  <c r="M169" i="5"/>
  <c r="M171" i="5" s="1"/>
  <c r="B185" i="5" s="1"/>
  <c r="D185" i="5" s="1"/>
  <c r="F185" i="5" s="1"/>
  <c r="I185" i="5" s="1"/>
  <c r="K169" i="5"/>
  <c r="K171" i="5" s="1"/>
  <c r="B187" i="5" s="1"/>
  <c r="D187" i="5" s="1"/>
  <c r="F187" i="5" s="1"/>
  <c r="I187" i="5" s="1"/>
  <c r="H169" i="5"/>
  <c r="H171" i="5" s="1"/>
  <c r="B190" i="5" s="1"/>
  <c r="D190" i="5" s="1"/>
  <c r="F190" i="5" s="1"/>
  <c r="I190" i="5" s="1"/>
  <c r="O169" i="5"/>
  <c r="O171" i="5" s="1"/>
  <c r="B183" i="5" s="1"/>
  <c r="D183" i="5" s="1"/>
  <c r="F183" i="5" s="1"/>
  <c r="I183" i="5" s="1"/>
  <c r="D169" i="5"/>
  <c r="D171" i="5" s="1"/>
  <c r="B194" i="5" s="1"/>
  <c r="D194" i="5" s="1"/>
  <c r="F194" i="5" s="1"/>
  <c r="I194" i="5" s="1"/>
  <c r="I19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tc={F73317AD-2338-C446-8E48-6719AA927BD8}</author>
    <author>tc={AAFA770F-5E85-144B-9179-AF7F5981525F}</author>
  </authors>
  <commentList>
    <comment ref="C16" authorId="0" shapeId="0" xr:uid="{F73317AD-2338-C446-8E48-6719AA927BD8}">
      <text>
        <t>[Threaded comment]
Your version of Excel allows you to read this threaded comment; however, any edits to it will get removed if the file is opened in a newer version of Excel. Learn more: https://go.microsoft.com/fwlink/?linkid=870924
Comment:
    Note how the formula proceeds to the second condition only if the first is not verified.</t>
      </text>
    </comment>
    <comment ref="E16" authorId="1" shapeId="0" xr:uid="{AAFA770F-5E85-144B-9179-AF7F5981525F}">
      <text>
        <t>[Threaded comment]
Your version of Excel allows you to read this threaded comment; however, any edits to it will get removed if the file is opened in a newer version of Excel. Learn more: https://go.microsoft.com/fwlink/?linkid=870924
Comment:
    note how the “TRUE” condition at the end (which is always true!!) is a catch all condition (default if none of the preceding conditions are verified)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<sst xmlns="http://schemas.openxmlformats.org/spreadsheetml/2006/main" count="578" uniqueCount="313">
  <si>
    <t>Attacking</t>
  </si>
  <si>
    <t>Normal</t>
  </si>
  <si>
    <t>Fire</t>
  </si>
  <si>
    <t>Water</t>
  </si>
  <si>
    <t>Electric</t>
  </si>
  <si>
    <t>Grass</t>
  </si>
  <si>
    <t>Ice</t>
  </si>
  <si>
    <t>Fighting</t>
  </si>
  <si>
    <t>Poison</t>
  </si>
  <si>
    <t>Ground</t>
  </si>
  <si>
    <t>Flying</t>
  </si>
  <si>
    <t>Psychic</t>
  </si>
  <si>
    <t>Bug</t>
  </si>
  <si>
    <t>Rock</t>
  </si>
  <si>
    <t>Ghost</t>
  </si>
  <si>
    <t>Dragon</t>
  </si>
  <si>
    <t>Dark</t>
  </si>
  <si>
    <t>Steel</t>
  </si>
  <si>
    <t>Fairy</t>
  </si>
  <si>
    <t>Source:</t>
  </si>
  <si>
    <t>https://github.com/zonination/pokemon-chart/blob/master/chart.csv</t>
  </si>
  <si>
    <t>FIFA Women's World Cup Stats (1991 - 2019)</t>
  </si>
  <si>
    <t>id</t>
  </si>
  <si>
    <t>squad</t>
  </si>
  <si>
    <t>year</t>
  </si>
  <si>
    <t>players</t>
  </si>
  <si>
    <t>age</t>
  </si>
  <si>
    <t>possesion</t>
  </si>
  <si>
    <t>matches_played</t>
  </si>
  <si>
    <t>starts</t>
  </si>
  <si>
    <t>min_playing_time</t>
  </si>
  <si>
    <t>minutes_played_90s</t>
  </si>
  <si>
    <t>goals</t>
  </si>
  <si>
    <t>assists</t>
  </si>
  <si>
    <t>non_penalty_goals</t>
  </si>
  <si>
    <t>penalty_kicks_made</t>
  </si>
  <si>
    <t>penalty_kicks_attempted</t>
  </si>
  <si>
    <t>yellow_cards</t>
  </si>
  <si>
    <t>red_cards</t>
  </si>
  <si>
    <t>goals_per_90</t>
  </si>
  <si>
    <t>assists_per_90</t>
  </si>
  <si>
    <t>goals_plus_assists_per_90</t>
  </si>
  <si>
    <t>goals_minus_penalty_kicks_per_90</t>
  </si>
  <si>
    <t>goals_plus_assists_minus_penalty_kicks_per_90</t>
  </si>
  <si>
    <t>Argentina</t>
  </si>
  <si>
    <t>Australia</t>
  </si>
  <si>
    <t>Brazil</t>
  </si>
  <si>
    <t>Cameroon</t>
  </si>
  <si>
    <t>Canada</t>
  </si>
  <si>
    <t>Chile</t>
  </si>
  <si>
    <t>China PR</t>
  </si>
  <si>
    <t>England</t>
  </si>
  <si>
    <t>France</t>
  </si>
  <si>
    <t>Germany</t>
  </si>
  <si>
    <t>Italy</t>
  </si>
  <si>
    <t>Jamaica</t>
  </si>
  <si>
    <t>Japan</t>
  </si>
  <si>
    <t>Korea Rep</t>
  </si>
  <si>
    <t>Netherlands</t>
  </si>
  <si>
    <t>New Zealand</t>
  </si>
  <si>
    <t>Nigeria</t>
  </si>
  <si>
    <t>Norway</t>
  </si>
  <si>
    <t>Scotland</t>
  </si>
  <si>
    <t>South Africa</t>
  </si>
  <si>
    <t>Spain</t>
  </si>
  <si>
    <t>Sweden</t>
  </si>
  <si>
    <t>Thailand</t>
  </si>
  <si>
    <t>USA</t>
  </si>
  <si>
    <t>Colombia</t>
  </si>
  <si>
    <t>Costa Rica</t>
  </si>
  <si>
    <t>C√¥te d'Ivoire</t>
  </si>
  <si>
    <t>Ecuador</t>
  </si>
  <si>
    <t>Mexico</t>
  </si>
  <si>
    <t>Switzerland</t>
  </si>
  <si>
    <t>Equ. Guinea</t>
  </si>
  <si>
    <t>Korea DPR</t>
  </si>
  <si>
    <t>Denmark</t>
  </si>
  <si>
    <t>Ghana</t>
  </si>
  <si>
    <t>Russia</t>
  </si>
  <si>
    <t>Chinese Taipei</t>
  </si>
  <si>
    <t>Absolute and mixed cell references: Chapter 7 EE19, pages 332-342</t>
  </si>
  <si>
    <t>Pull the formula in the top left corner right, and down, over the yellow area. Can you explain the differences?</t>
  </si>
  <si>
    <t>New Excel 2019 functions (IFS, MAXIFS, MINIFS): Chapter 8, pages 381-398</t>
  </si>
  <si>
    <t>Simple if:</t>
  </si>
  <si>
    <t>IFS</t>
  </si>
  <si>
    <t>MAXIFS</t>
  </si>
  <si>
    <t>MINIFS</t>
  </si>
  <si>
    <t>Paste with transpose will achieve the same as transpose:</t>
  </si>
  <si>
    <t>(All)</t>
  </si>
  <si>
    <t>Row Labels</t>
  </si>
  <si>
    <t>Sum of matches_played</t>
  </si>
  <si>
    <t>Sum of goals</t>
  </si>
  <si>
    <t>Grand Total</t>
  </si>
  <si>
    <t>Average of possesion</t>
  </si>
  <si>
    <t>Spilling</t>
  </si>
  <si>
    <t>Hello</t>
  </si>
  <si>
    <t>&lt;-  =LEN(B3:B6)</t>
  </si>
  <si>
    <t xml:space="preserve">World </t>
  </si>
  <si>
    <t>of</t>
  </si>
  <si>
    <t>Actuaries</t>
  </si>
  <si>
    <t>Think in vectors</t>
  </si>
  <si>
    <t>How often is Fire&gt;Water?</t>
  </si>
  <si>
    <t>For which type of pokemon?</t>
  </si>
  <si>
    <t>Loss ratios</t>
  </si>
  <si>
    <t>NSW</t>
  </si>
  <si>
    <t>VIC</t>
  </si>
  <si>
    <t>ACT</t>
  </si>
  <si>
    <t>Motor</t>
  </si>
  <si>
    <t>Liability</t>
  </si>
  <si>
    <t>Life</t>
  </si>
  <si>
    <t>Property</t>
  </si>
  <si>
    <t>The # sign</t>
  </si>
  <si>
    <t xml:space="preserve">Try to change to SEQUENCE(10) and compare sum differences above </t>
  </si>
  <si>
    <t>Some new formulas</t>
  </si>
  <si>
    <t>Which teams played 7 matches?</t>
  </si>
  <si>
    <t>Lookup functions</t>
  </si>
  <si>
    <t>VLOOKUP</t>
  </si>
  <si>
    <t>You can specify a lookup array and find all the corresponding values.</t>
  </si>
  <si>
    <t>Or return multiple columns as previouly shown</t>
  </si>
  <si>
    <t>You can even return multiple rows with different columns!</t>
  </si>
  <si>
    <t>We use 'Products' as the lookup array</t>
  </si>
  <si>
    <t>It must be at the first column of your table</t>
  </si>
  <si>
    <t>-&gt; returning 2nd and 4th column in first row</t>
  </si>
  <si>
    <t>and we select the 4th column to return values.</t>
  </si>
  <si>
    <t>-&gt; 1st and 3rd column in 2nd row</t>
  </si>
  <si>
    <t>-&gt; return N/A if value does not exist.</t>
  </si>
  <si>
    <t>-&gt; 4th and 2nd column in 3rd row</t>
  </si>
  <si>
    <r>
      <rPr>
        <b/>
        <sz val="12"/>
        <color rgb="FFFF0000"/>
        <rFont val="Calibri"/>
        <family val="2"/>
      </rPr>
      <t>XLOOKUP</t>
    </r>
    <r>
      <rPr>
        <sz val="12"/>
        <color rgb="FFFF0000"/>
        <rFont val="Calibri"/>
        <family val="2"/>
      </rPr>
      <t xml:space="preserve"> - We don't have to specify the column number.</t>
    </r>
  </si>
  <si>
    <t>Product</t>
  </si>
  <si>
    <t xml:space="preserve">Specifying return values if not found </t>
  </si>
  <si>
    <r>
      <t xml:space="preserve">MATCH </t>
    </r>
    <r>
      <rPr>
        <sz val="12"/>
        <color rgb="FFFF0000"/>
        <rFont val="Calibri"/>
        <family val="2"/>
        <scheme val="minor"/>
      </rPr>
      <t>- Matching the index of your lookup array</t>
    </r>
  </si>
  <si>
    <t>Combining with INDEX makes it works like a lookup function</t>
  </si>
  <si>
    <t>XLOOKUP does not require your lookup array in your data table</t>
  </si>
  <si>
    <t>However your lookup and return array need to have same length.</t>
  </si>
  <si>
    <t>Travel</t>
  </si>
  <si>
    <t>INDEX</t>
  </si>
  <si>
    <t>INDEX returns the value inside your array with specified index.</t>
  </si>
  <si>
    <t xml:space="preserve">How many goals did Argentina scored? </t>
  </si>
  <si>
    <t>Specifying search mode</t>
  </si>
  <si>
    <t>1: First to last; -1: Last to first</t>
  </si>
  <si>
    <r>
      <rPr>
        <b/>
        <sz val="12"/>
        <color rgb="FFFF0000"/>
        <rFont val="Calibri"/>
        <family val="2"/>
        <scheme val="minor"/>
      </rPr>
      <t>XMATCH</t>
    </r>
    <r>
      <rPr>
        <sz val="12"/>
        <color rgb="FFFF0000"/>
        <rFont val="Calibri"/>
        <family val="2"/>
        <scheme val="minor"/>
      </rPr>
      <t xml:space="preserve"> - allows specified search mode</t>
    </r>
  </si>
  <si>
    <t>allows lookup from the last item.</t>
  </si>
  <si>
    <t>Argentina went to world cup for multiple years.</t>
  </si>
  <si>
    <t>So there will be different number of goals if we search in different order.</t>
  </si>
  <si>
    <t>Dynamic references</t>
  </si>
  <si>
    <t>OFFSET</t>
  </si>
  <si>
    <t>Month</t>
  </si>
  <si>
    <t>Profit</t>
  </si>
  <si>
    <t>Which month?</t>
  </si>
  <si>
    <t>Jan</t>
  </si>
  <si>
    <t>Feb</t>
  </si>
  <si>
    <t>Mar</t>
  </si>
  <si>
    <t>Apr</t>
  </si>
  <si>
    <t>May</t>
  </si>
  <si>
    <t>From</t>
  </si>
  <si>
    <t>To</t>
  </si>
  <si>
    <t>Jun</t>
  </si>
  <si>
    <t>&lt;- try change this</t>
  </si>
  <si>
    <t>Jul</t>
  </si>
  <si>
    <t>You can dynamically reference a specified period!</t>
  </si>
  <si>
    <t>Aug</t>
  </si>
  <si>
    <t>Sep</t>
  </si>
  <si>
    <t>First, select the whole table to offset.</t>
  </si>
  <si>
    <t>Oct</t>
  </si>
  <si>
    <t>Move down 'F10' rows to get to the starting month.</t>
  </si>
  <si>
    <t>Nov</t>
  </si>
  <si>
    <t>You don't need to offset by columns, so 0 as the third argument.</t>
  </si>
  <si>
    <t>Dec</t>
  </si>
  <si>
    <t>Then you select the number of rows between starting and ending mont.</t>
  </si>
  <si>
    <t>And you select 2 columns, which is the original width of your table.</t>
  </si>
  <si>
    <t>ADDRESS</t>
  </si>
  <si>
    <t>find the address of the specified rows and columns</t>
  </si>
  <si>
    <t>What is the address storing the month 'Jan' inside the table?</t>
  </si>
  <si>
    <t>&lt;- We are finding the address at row 26 and column 2, which stores the text 'Jan'.</t>
  </si>
  <si>
    <t>INDIRECT</t>
  </si>
  <si>
    <t>get the value of the address specified in cell</t>
  </si>
  <si>
    <t>What does that address contain?</t>
  </si>
  <si>
    <t>Combining together...</t>
  </si>
  <si>
    <t>You can reference any part of your table!</t>
  </si>
  <si>
    <t>You can do it with OFFSET too!</t>
  </si>
  <si>
    <t xml:space="preserve">To </t>
  </si>
  <si>
    <t>From Week</t>
  </si>
  <si>
    <t>Up to Week</t>
  </si>
  <si>
    <t>&lt;-</t>
  </si>
  <si>
    <t>Change them!</t>
  </si>
  <si>
    <t>-&gt;</t>
  </si>
  <si>
    <t>Week1</t>
  </si>
  <si>
    <t>Week2</t>
  </si>
  <si>
    <t>Week3</t>
  </si>
  <si>
    <t>Week4</t>
  </si>
  <si>
    <t>Get the months-&gt;</t>
  </si>
  <si>
    <t>Get the numbers-&gt;</t>
  </si>
  <si>
    <t>The trick here is similar as INDIRECT(ADDRESS()), we dynamically select the range by adding week numbers.</t>
  </si>
  <si>
    <t>Breakdown:</t>
  </si>
  <si>
    <t>To get the months:</t>
  </si>
  <si>
    <t xml:space="preserve">MATCH(I39,A26:G26,0) </t>
  </si>
  <si>
    <t>Find which column in A26:G26 contains the starting month</t>
  </si>
  <si>
    <t>ADDRESS(38, MATCH(I39,A26:G26,0) )</t>
  </si>
  <si>
    <t>That is the address of the cell inside the table containing the starting month</t>
  </si>
  <si>
    <t>INDIRECT(ADDRESS(..,MATCH()))</t>
  </si>
  <si>
    <t>This gives you the indirect reference to the starting month.</t>
  </si>
  <si>
    <t>The second INDIRECT gives you the indirect reference for the ending month.</t>
  </si>
  <si>
    <t>Combining them will give us the specified months.</t>
  </si>
  <si>
    <t>To get the data:</t>
  </si>
  <si>
    <t>Same as above</t>
  </si>
  <si>
    <t>ADDRESS(38+K39, MATCH(I39,A26:G26,0) )</t>
  </si>
  <si>
    <t>We move down few rows (+K39) based on the starting week</t>
  </si>
  <si>
    <t>This gives you the indirect reference corresponds to the value to the starting month at the starting week.</t>
  </si>
  <si>
    <t>The second INDIRECT gives you the indirect reference for the ending month at the ending week.</t>
  </si>
  <si>
    <t>Note: We need INDIRECT(address):INDIRECT(address) to select the range between two indirect addresses.</t>
  </si>
  <si>
    <t>top left</t>
  </si>
  <si>
    <t>F55</t>
  </si>
  <si>
    <t>bottom right</t>
  </si>
  <si>
    <t>H57</t>
  </si>
  <si>
    <t>Table 3.10</t>
  </si>
  <si>
    <t>Incurred Losses</t>
  </si>
  <si>
    <t>Period</t>
  </si>
  <si>
    <t>Incurred losses to end of development year n=</t>
  </si>
  <si>
    <t>of origin</t>
  </si>
  <si>
    <t>$000</t>
  </si>
  <si>
    <t xml:space="preserve">Inflation </t>
  </si>
  <si>
    <t>Incurred losses, as of 31/12/1995, to end of development year n=</t>
  </si>
  <si>
    <t>factor</t>
  </si>
  <si>
    <t>Table 2.2</t>
  </si>
  <si>
    <t>Forecast Numbers of IBNR Claims</t>
  </si>
  <si>
    <t>Number of claims notified, actual and forecast (bold), in development year</t>
  </si>
  <si>
    <t>Number</t>
  </si>
  <si>
    <t>11 &amp; later</t>
  </si>
  <si>
    <t>to 1995</t>
  </si>
  <si>
    <t>IBNR</t>
  </si>
  <si>
    <t>Total</t>
  </si>
  <si>
    <t>Cumulative reported claim counts</t>
  </si>
  <si>
    <t>Average incurred cost per reported claim, by period of origin and for develop period j=</t>
  </si>
  <si>
    <t>Incurred loss age to age factors</t>
  </si>
  <si>
    <t>Age to age factor from development year n to n+1</t>
  </si>
  <si>
    <t>development year n=</t>
  </si>
  <si>
    <t>Weighted</t>
  </si>
  <si>
    <t>averages:</t>
  </si>
  <si>
    <t>All</t>
  </si>
  <si>
    <t>Last 6</t>
  </si>
  <si>
    <t>experience</t>
  </si>
  <si>
    <t>years</t>
  </si>
  <si>
    <t>Last 3</t>
  </si>
  <si>
    <t>Model(un-</t>
  </si>
  <si>
    <t>smoothed)</t>
  </si>
  <si>
    <t>&lt;- we could decide to set this to 1 to be conservative</t>
  </si>
  <si>
    <t>age-to-</t>
  </si>
  <si>
    <t>ultimate</t>
  </si>
  <si>
    <t>prop-to-ult</t>
  </si>
  <si>
    <t>Paid losses</t>
  </si>
  <si>
    <t>to</t>
  </si>
  <si>
    <t>Out-</t>
  </si>
  <si>
    <t>Incurred</t>
  </si>
  <si>
    <t>Incurred CL/</t>
  </si>
  <si>
    <t>Paid CL</t>
  </si>
  <si>
    <t>Separation</t>
  </si>
  <si>
    <t>Average cost</t>
  </si>
  <si>
    <t xml:space="preserve">Claim </t>
  </si>
  <si>
    <t>Ultimate</t>
  </si>
  <si>
    <t>1995</t>
  </si>
  <si>
    <t>standing</t>
  </si>
  <si>
    <t>CL</t>
  </si>
  <si>
    <t>PPCI</t>
  </si>
  <si>
    <t>unadjusted</t>
  </si>
  <si>
    <t>adjusted</t>
  </si>
  <si>
    <t>method</t>
  </si>
  <si>
    <t>per claim</t>
  </si>
  <si>
    <t>numbers</t>
  </si>
  <si>
    <t>=SUM(F179:F196)</t>
  </si>
  <si>
    <t>this formula is show as text by adding a apostrophe ' in front of it.</t>
  </si>
  <si>
    <t>Basic random functions</t>
  </si>
  <si>
    <t>Simulating different distributions (Continuous)</t>
  </si>
  <si>
    <t>Simulating Discrete RV</t>
  </si>
  <si>
    <t>Weather</t>
  </si>
  <si>
    <t>Probability</t>
  </si>
  <si>
    <t>RAND</t>
  </si>
  <si>
    <t>RANDARRAY</t>
  </si>
  <si>
    <t>Good</t>
  </si>
  <si>
    <t>OK</t>
  </si>
  <si>
    <t>Bad</t>
  </si>
  <si>
    <t>Frequency</t>
  </si>
  <si>
    <t>Empirical Probability</t>
  </si>
  <si>
    <t>Mean</t>
  </si>
  <si>
    <t>SD</t>
  </si>
  <si>
    <t>Var</t>
  </si>
  <si>
    <t>Theoretical</t>
  </si>
  <si>
    <t>Variance</t>
  </si>
  <si>
    <t>Theoretical Variance</t>
  </si>
  <si>
    <t>Record a macro</t>
  </si>
  <si>
    <t>Try running recorded_example1 here!</t>
  </si>
  <si>
    <t>Absolute and relative references in macro</t>
  </si>
  <si>
    <t>Run recorded_absolute_example.</t>
  </si>
  <si>
    <t>Undo everything, select another cell outside the table and run it again. What happens?</t>
  </si>
  <si>
    <t>(You can clear all formatting by Home -&gt; Editing -&gt; Clear -&gt; Clear all formatting)</t>
  </si>
  <si>
    <t>Now click on cell B15 and run recorded_relative example.</t>
  </si>
  <si>
    <t>Click on cell E15 and run it again. What happens?</t>
  </si>
  <si>
    <t>This example shows the difference between absolute and relative referencing in recorded macro.</t>
  </si>
  <si>
    <t>Buttons in macro</t>
  </si>
  <si>
    <t>Try clicking this button!</t>
  </si>
  <si>
    <t>And this shape!</t>
  </si>
  <si>
    <t>Editing a macro</t>
  </si>
  <si>
    <t>Click on any cell between M5:P8. Run recorded_example1_edit.</t>
  </si>
  <si>
    <t>We added new lines, where the font size of the row you selected increases.</t>
  </si>
  <si>
    <t>Added the following lines:</t>
  </si>
  <si>
    <t>Try Here</t>
  </si>
  <si>
    <t>Writing VBA: Conditioning</t>
  </si>
  <si>
    <t>Click on any values under profit and press the button.</t>
  </si>
  <si>
    <t>Here we have three situations with conditioning.</t>
  </si>
  <si>
    <t>Writing VBA: Loop</t>
  </si>
  <si>
    <t>Example: Print numbers from 1 to k, each number n times</t>
  </si>
  <si>
    <t>For Loop</t>
  </si>
  <si>
    <t>While loop version of the previous example.</t>
  </si>
  <si>
    <t>Paste special: Chapter 11, pages 518-530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</si>
</sst>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0.000"/>
    <numFmt numFmtId="165" formatCode="0.0"/>
    <numFmt numFmtId="166" formatCode="0.0%"/>
    <numFmt numFmtId="167" formatCode="_(* #,##0_);_(* \(#,##0\);_(* &quot;-&quot;??_);_(@_)"/>
  </numFmts>
  <fonts count="22" x14ac:knownFonts="1">
    <font>
      <sz val="12"/>
      <color theme="1"/>
      <name val="Calibri"/>
      <family val="2"/>
      <scheme val="minor"/>
    </font>
    <font>
      <sz val="11"/>
      <color theme="1"/>
      <name val="Calibri"/>
      <family val="2"/>
      <scheme val="minor"/>
    </font>
    <font>
      <b/>
      <sz val="12"/>
      <color theme="1"/>
      <name val="Calibri"/>
      <family val="2"/>
      <scheme val="minor"/>
    </font>
    <font>
      <b/>
      <sz val="12"/>
      <color rgb="FFFF0000"/>
      <name val="Calibri"/>
      <family val="2"/>
      <scheme val="minor"/>
    </font>
    <font>
      <u/>
      <sz val="12"/>
      <color theme="10"/>
      <name val="Calibri"/>
      <family val="2"/>
      <scheme val="minor"/>
    </font>
    <font>
      <sz val="10"/>
      <color rgb="FF000000"/>
      <name val="Arial Unicode MS"/>
      <family val="2"/>
    </font>
    <font>
      <sz val="14"/>
      <color rgb="FF3C4043"/>
      <name val="Arial"/>
      <family val="2"/>
    </font>
    <font>
      <sz val="12"/>
      <color theme="1"/>
      <name val="Calibri"/>
      <family val="2"/>
      <scheme val="minor"/>
    </font>
    <font>
      <b/>
      <sz val="12"/>
      <color rgb="FF000000"/>
      <name val="Arial"/>
      <family val="2"/>
    </font>
    <font>
      <sz val="12"/>
      <color theme="1"/>
      <name val="Arial"/>
      <family val="2"/>
    </font>
    <font>
      <sz val="12"/>
      <color rgb="FF000000"/>
      <name val="Arial"/>
      <family val="2"/>
    </font>
    <font>
      <b/>
      <sz val="12"/>
      <color theme="1"/>
      <name val="Arial"/>
      <family val="2"/>
    </font>
    <font>
      <sz val="12"/>
      <name val="Arial"/>
      <family val="2"/>
    </font>
    <font>
      <sz val="12"/>
      <color rgb="FFFF0000"/>
      <name val="Calibri"/>
      <family val="2"/>
      <scheme val="minor"/>
    </font>
    <font>
      <b/>
      <sz val="12"/>
      <color rgb="FFFF0000"/>
      <name val="Calibri"/>
      <family val="2"/>
    </font>
    <font>
      <sz val="12"/>
      <color rgb="FFFF0000"/>
      <name val="Calibri"/>
      <family val="2"/>
    </font>
    <font>
      <b/>
      <sz val="12"/>
      <color rgb="FFFF0000"/>
      <name val="Calibri"/>
      <family val="2"/>
      <scheme val="minor"/>
    </font>
    <font>
      <sz val="12"/>
      <color rgb="FFFF0000"/>
      <name val="Calibri"/>
      <family val="2"/>
      <scheme val="minor"/>
    </font>
    <font>
      <sz val="12"/>
      <color rgb="FF000000"/>
      <name val="Calibri"/>
      <family val="2"/>
      <scheme val="minor"/>
    </font>
    <font>
      <sz val="11"/>
      <color rgb="FFFF0000"/>
      <name val="Calibri"/>
      <family val="2"/>
      <scheme val="minor"/>
    </font>
    <font>
      <sz val="18"/>
      <color theme="1"/>
      <name val="Calibri"/>
      <family val="2"/>
      <scheme val="minor"/>
    </font>
    <font>
      <sz val="12"/>
      <color rgb="FF000000"/>
      <name val="Calibri"/>
      <family val="2"/>
    </font>
  </fonts>
  <fills count="6">
    <fill>
      <patternFill patternType="none"/>
    </fill>
    <fill>
      <patternFill patternType="gray125"/>
    </fill>
    <fill>
      <patternFill patternType="solid">
        <fgColor rgb="FFFFFF00"/>
        <bgColor indexed="64"/>
      </patternFill>
    </fill>
    <fill>
      <patternFill patternType="solid">
        <fgColor theme="5" tint="0.59999389629810485"/>
        <bgColor indexed="64"/>
      </patternFill>
    </fill>
    <fill>
      <patternFill patternType="solid">
        <fgColor rgb="FFFFC000"/>
        <bgColor indexed="64"/>
      </patternFill>
    </fill>
    <fill>
      <patternFill patternType="solid">
        <fgColor theme="4" tint="0.59999389629810485"/>
        <bgColor indexed="64"/>
      </patternFill>
    </fill>
  </fills>
  <borders count="31">
    <border>
      <left/>
      <right/>
      <top/>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auto="1"/>
      </bottom>
      <diagonal/>
    </border>
    <border>
      <left/>
      <right style="thin">
        <color auto="1"/>
      </right>
      <top/>
      <bottom/>
      <diagonal/>
    </border>
    <border>
      <left style="thin">
        <color indexed="64"/>
      </left>
      <right/>
      <top/>
      <bottom/>
      <diagonal/>
    </border>
    <border>
      <left/>
      <right/>
      <top style="thin">
        <color indexed="64"/>
      </top>
      <bottom style="double">
        <color indexed="64"/>
      </bottom>
      <diagonal/>
    </border>
    <border>
      <left/>
      <right/>
      <top style="thin">
        <color indexed="64"/>
      </top>
      <bottom style="thin">
        <color auto="1"/>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3">
    <xf numFmtId="0" fontId="0" fillId="0" borderId="0"/>
    <xf numFmtId="0" fontId="4" fillId="0" borderId="0" applyNumberFormat="0" applyFill="0" applyBorder="0" applyAlignment="0" applyProtection="0"/>
    <xf numFmtId="9" fontId="7" fillId="0" borderId="0" applyFont="0" applyFill="0" applyBorder="0" applyAlignment="0" applyProtection="0"/>
  </cellStyleXfs>
  <cellXfs count="119">
    <xf numFmtId="0" fontId="0" fillId="0" borderId="0" xfId="0"/>
    <xf numFmtId="0" fontId="0" fillId="0" borderId="1" xfId="0" applyBorder="1"/>
    <xf numFmtId="0" fontId="0" fillId="2" borderId="0" xfId="0"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0" borderId="0" xfId="0" applyFont="1"/>
    <xf numFmtId="0" fontId="3" fillId="0" borderId="0" xfId="0" applyFont="1"/>
    <xf numFmtId="0" fontId="5" fillId="0" borderId="0" xfId="0" applyFont="1"/>
    <xf numFmtId="0" fontId="4" fillId="0" borderId="0" xfId="1"/>
    <xf numFmtId="0" fontId="6" fillId="0" borderId="0" xfId="0" applyFont="1"/>
    <xf numFmtId="0" fontId="8" fillId="0" borderId="0" xfId="0" applyFont="1" applyAlignment="1">
      <alignment horizontal="left"/>
    </xf>
    <xf numFmtId="0" fontId="9" fillId="0" borderId="0" xfId="0" applyFont="1"/>
    <xf numFmtId="0" fontId="10" fillId="0" borderId="0" xfId="0" applyFont="1"/>
    <xf numFmtId="0" fontId="8" fillId="0" borderId="0" xfId="0" applyFont="1" applyAlignment="1">
      <alignment horizontal="center"/>
    </xf>
    <xf numFmtId="0" fontId="11" fillId="0" borderId="0" xfId="0" applyFont="1" applyAlignment="1">
      <alignment horizontal="left"/>
    </xf>
    <xf numFmtId="0" fontId="8" fillId="0" borderId="10" xfId="0" applyFont="1" applyBorder="1"/>
    <xf numFmtId="0" fontId="11" fillId="0" borderId="0" xfId="0" applyFont="1"/>
    <xf numFmtId="0" fontId="8" fillId="0" borderId="10" xfId="0" applyFont="1" applyBorder="1" applyAlignment="1">
      <alignment horizontal="center"/>
    </xf>
    <xf numFmtId="0" fontId="11" fillId="0" borderId="10" xfId="0" applyFont="1" applyBorder="1"/>
    <xf numFmtId="0" fontId="10" fillId="0" borderId="0" xfId="0" applyFont="1" applyAlignment="1">
      <alignment horizontal="center"/>
    </xf>
    <xf numFmtId="41" fontId="10" fillId="0" borderId="0" xfId="0" applyNumberFormat="1" applyFont="1"/>
    <xf numFmtId="164" fontId="10" fillId="0" borderId="11" xfId="0" applyNumberFormat="1" applyFont="1" applyBorder="1"/>
    <xf numFmtId="0" fontId="11" fillId="0" borderId="12" xfId="0" applyFont="1" applyBorder="1"/>
    <xf numFmtId="0" fontId="11" fillId="0" borderId="0" xfId="0" applyFont="1" applyAlignment="1">
      <alignment horizontal="right"/>
    </xf>
    <xf numFmtId="0" fontId="12" fillId="0" borderId="0" xfId="0" applyFont="1"/>
    <xf numFmtId="0" fontId="9" fillId="0" borderId="12" xfId="0" applyFont="1" applyBorder="1"/>
    <xf numFmtId="165" fontId="9" fillId="0" borderId="0" xfId="0" applyNumberFormat="1" applyFont="1"/>
    <xf numFmtId="165" fontId="11" fillId="0" borderId="0" xfId="0" applyNumberFormat="1" applyFont="1"/>
    <xf numFmtId="165" fontId="9" fillId="0" borderId="12" xfId="0" applyNumberFormat="1" applyFont="1" applyBorder="1"/>
    <xf numFmtId="165" fontId="11" fillId="0" borderId="13" xfId="0" applyNumberFormat="1" applyFont="1" applyBorder="1"/>
    <xf numFmtId="0" fontId="10" fillId="0" borderId="0" xfId="0" applyFont="1" applyAlignment="1">
      <alignment horizontal="left"/>
    </xf>
    <xf numFmtId="0" fontId="10" fillId="0" borderId="10" xfId="0" applyFont="1" applyBorder="1" applyAlignment="1">
      <alignment horizontal="center"/>
    </xf>
    <xf numFmtId="0" fontId="10" fillId="0" borderId="10" xfId="0" applyFont="1" applyBorder="1" applyAlignment="1">
      <alignment horizontal="left"/>
    </xf>
    <xf numFmtId="0" fontId="10" fillId="0" borderId="10" xfId="0" applyFont="1" applyBorder="1"/>
    <xf numFmtId="164" fontId="10" fillId="0" borderId="0" xfId="0" applyNumberFormat="1" applyFont="1"/>
    <xf numFmtId="165" fontId="10" fillId="0" borderId="0" xfId="0" applyNumberFormat="1" applyFont="1"/>
    <xf numFmtId="164" fontId="10" fillId="2" borderId="0" xfId="0" applyNumberFormat="1" applyFont="1" applyFill="1"/>
    <xf numFmtId="164" fontId="10" fillId="3" borderId="0" xfId="0" applyNumberFormat="1" applyFont="1" applyFill="1"/>
    <xf numFmtId="164" fontId="10" fillId="4" borderId="0" xfId="0" applyNumberFormat="1" applyFont="1" applyFill="1"/>
    <xf numFmtId="0" fontId="9" fillId="5" borderId="0" xfId="0" applyFont="1" applyFill="1"/>
    <xf numFmtId="0" fontId="9" fillId="0" borderId="0" xfId="0" applyFont="1" applyAlignment="1">
      <alignment horizontal="center"/>
    </xf>
    <xf numFmtId="166" fontId="9" fillId="0" borderId="0" xfId="2" applyNumberFormat="1" applyFont="1"/>
    <xf numFmtId="0" fontId="8" fillId="0" borderId="14" xfId="0" applyFont="1" applyBorder="1" applyAlignment="1">
      <alignment horizontal="center"/>
    </xf>
    <xf numFmtId="0" fontId="8" fillId="0" borderId="1" xfId="0" applyFont="1" applyBorder="1" applyAlignment="1">
      <alignment horizontal="center"/>
    </xf>
    <xf numFmtId="0" fontId="8" fillId="0" borderId="0" xfId="0" applyFont="1"/>
    <xf numFmtId="41" fontId="9" fillId="0" borderId="0" xfId="0" applyNumberFormat="1" applyFont="1"/>
    <xf numFmtId="167" fontId="11" fillId="0" borderId="0" xfId="0" applyNumberFormat="1" applyFont="1"/>
    <xf numFmtId="167" fontId="9" fillId="0" borderId="0" xfId="0" applyNumberFormat="1" applyFont="1"/>
    <xf numFmtId="41" fontId="8" fillId="0" borderId="0" xfId="0" applyNumberFormat="1" applyFont="1"/>
    <xf numFmtId="9" fontId="9" fillId="0" borderId="0" xfId="2" applyFont="1"/>
    <xf numFmtId="43" fontId="9" fillId="0" borderId="0" xfId="0" applyNumberFormat="1" applyFont="1"/>
    <xf numFmtId="41" fontId="8" fillId="0" borderId="10" xfId="0" applyNumberFormat="1" applyFont="1" applyBorder="1"/>
    <xf numFmtId="41" fontId="11" fillId="0" borderId="0" xfId="0" applyNumberFormat="1" applyFont="1"/>
    <xf numFmtId="167" fontId="10" fillId="0" borderId="10" xfId="0" applyNumberFormat="1" applyFont="1" applyBorder="1"/>
    <xf numFmtId="167" fontId="8" fillId="0" borderId="10" xfId="0" applyNumberFormat="1" applyFont="1" applyBorder="1"/>
    <xf numFmtId="0" fontId="9" fillId="0" borderId="0" xfId="0" quotePrefix="1" applyFont="1"/>
    <xf numFmtId="0" fontId="0" fillId="0" borderId="0" xfId="0" pivotButton="1"/>
    <xf numFmtId="0" fontId="0" fillId="0" borderId="0" xfId="0" applyAlignment="1">
      <alignment horizontal="left"/>
    </xf>
    <xf numFmtId="0" fontId="0" fillId="0" borderId="0" xfId="0" quotePrefix="1"/>
    <xf numFmtId="0" fontId="0" fillId="0" borderId="13" xfId="0" applyBorder="1"/>
    <xf numFmtId="0" fontId="0" fillId="0" borderId="10" xfId="0" applyBorder="1"/>
    <xf numFmtId="0" fontId="13" fillId="0" borderId="0" xfId="0" applyFont="1"/>
    <xf numFmtId="164" fontId="0" fillId="0" borderId="0" xfId="0" applyNumberFormat="1"/>
    <xf numFmtId="164" fontId="0" fillId="0" borderId="6" xfId="0" applyNumberFormat="1" applyBorder="1"/>
    <xf numFmtId="164" fontId="0" fillId="0" borderId="8" xfId="0" applyNumberFormat="1" applyBorder="1"/>
    <xf numFmtId="164" fontId="0" fillId="0" borderId="9" xfId="0" applyNumberFormat="1"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14" fillId="0" borderId="0" xfId="0" applyFont="1"/>
    <xf numFmtId="0" fontId="16" fillId="0" borderId="0" xfId="0" applyFont="1"/>
    <xf numFmtId="0" fontId="17" fillId="0" borderId="0" xfId="0" applyFont="1"/>
    <xf numFmtId="0" fontId="18" fillId="0" borderId="0" xfId="0" applyFont="1"/>
    <xf numFmtId="0" fontId="0" fillId="2" borderId="17" xfId="0" applyFill="1" applyBorder="1"/>
    <xf numFmtId="0" fontId="0" fillId="2" borderId="19"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2" borderId="25" xfId="0" applyFill="1" applyBorder="1"/>
    <xf numFmtId="0" fontId="0" fillId="2" borderId="26" xfId="0" applyFill="1" applyBorder="1"/>
    <xf numFmtId="0" fontId="13" fillId="0" borderId="0" xfId="0" applyFont="1" applyAlignment="1">
      <alignment horizontal="center"/>
    </xf>
    <xf numFmtId="0" fontId="13" fillId="0" borderId="0" xfId="0" applyFont="1" applyAlignment="1">
      <alignment horizontal="right"/>
    </xf>
    <xf numFmtId="0" fontId="0" fillId="5" borderId="0" xfId="0" applyFill="1"/>
    <xf numFmtId="0" fontId="13" fillId="0" borderId="18" xfId="0" applyFont="1" applyBorder="1"/>
    <xf numFmtId="0" fontId="3" fillId="0" borderId="17" xfId="0" applyFont="1" applyBorder="1"/>
    <xf numFmtId="0" fontId="0" fillId="0" borderId="27" xfId="0" applyBorder="1"/>
    <xf numFmtId="0" fontId="0" fillId="0" borderId="28" xfId="0" applyBorder="1"/>
    <xf numFmtId="0" fontId="0" fillId="0" borderId="12" xfId="0" applyBorder="1"/>
    <xf numFmtId="0" fontId="0" fillId="0" borderId="11" xfId="0" applyBorder="1"/>
    <xf numFmtId="0" fontId="0" fillId="0" borderId="29" xfId="0" applyBorder="1"/>
    <xf numFmtId="0" fontId="0" fillId="0" borderId="30" xfId="0" applyBorder="1"/>
    <xf numFmtId="0" fontId="1" fillId="0" borderId="0" xfId="0" applyFont="1" applyAlignment="1">
      <alignment horizontal="right"/>
    </xf>
    <xf numFmtId="0" fontId="19" fillId="0" borderId="0" xfId="0" applyFont="1" applyAlignment="1">
      <alignment horizontal="right"/>
    </xf>
    <xf numFmtId="0" fontId="1" fillId="2" borderId="0" xfId="0" applyFont="1" applyFill="1" applyAlignment="1">
      <alignment horizontal="right"/>
    </xf>
    <xf numFmtId="0" fontId="19" fillId="2" borderId="0" xfId="0" applyFont="1" applyFill="1" applyAlignment="1">
      <alignment horizontal="right"/>
    </xf>
    <xf numFmtId="0" fontId="3" fillId="0" borderId="1" xfId="0" applyFont="1" applyBorder="1"/>
    <xf numFmtId="0" fontId="20" fillId="0" borderId="0" xfId="0" applyFont="1"/>
    <xf numFmtId="0" fontId="20" fillId="0" borderId="11" xfId="0" applyFont="1" applyBorder="1"/>
    <xf numFmtId="0" fontId="20" fillId="0" borderId="12" xfId="0" applyFont="1" applyBorder="1"/>
    <xf numFmtId="0" fontId="20" fillId="2" borderId="0" xfId="0" applyFont="1" applyFill="1"/>
    <xf numFmtId="0" fontId="2" fillId="0" borderId="15" xfId="0" applyFont="1" applyBorder="1"/>
    <xf numFmtId="0" fontId="0" fillId="2" borderId="0" xfId="0" applyFill="1" applyBorder="1"/>
  </cellXfs>
  <cellStyles count="3">
    <cellStyle name="Hyperlink" xfId="1" builtinId="8"/>
    <cellStyle name="Normal" xfId="0" builtinId="0"/>
    <cellStyle name="Per cent 2" xfId="2" xr:uid="{905027FE-9333-1A4A-81D0-E99E9246473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[Module6.xlsm]M6.2 - Pivot chart!PivotTable4</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'M6.2 - Pivot chart'!$B$3</c:f>
              <c:strCache>
                <c:ptCount val="1"/>
                <c:pt idx="0">
                  <c:v>Sum of matches_played</c:v>
                </c:pt>
              </c:strCache>
            </c:strRef>
          </c:tx>
          <c:spPr>
            <a:solidFill>
              <a:schemeClr val="accent1"/>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chart'!$B$4:$B$11</c:f>
              <c:numCache>
                <c:formatCode>General</c:formatCode>
                <c:ptCount val="7"/>
                <c:pt idx="0">
                  <c:v>3</c:v>
                </c:pt>
                <c:pt idx="1">
                  <c:v>3</c:v>
                </c:pt>
                <c:pt idx="2">
                  <c:v>3</c:v>
                </c:pt>
                <c:pt idx="3">
                  <c:v>4</c:v>
                </c:pt>
                <c:pt idx="4">
                  <c:v>4</c:v>
                </c:pt>
                <c:pt idx="5">
                  <c:v>5</c:v>
                </c:pt>
                <c:pt idx="6">
                  <c:v>4</c:v>
                </c:pt>
              </c:numCache>
            </c:numRef>
          </c:val>
          <c:extLst>
            <c:ext xmlns:c16="http://schemas.microsoft.com/office/drawing/2014/chart" uri="{C3380CC4-5D6E-409C-BE32-E72D297353CC}">
              <c16:uniqueId val="{00000000-DB96-4667-A91C-18020170F659}"/>
            </c:ext>
          </c:extLst>
        </c:ser>
        <c:ser>
          <c:idx val="1"/>
          <c:order val="1"/>
          <c:tx>
            <c:strRef>
              <c:f>'M6.2 - Pivot chart'!$C$3</c:f>
              <c:strCache>
                <c:ptCount val="1"/>
                <c:pt idx="0">
                  <c:v>Sum of goals</c:v>
                </c:pt>
              </c:strCache>
            </c:strRef>
          </c:tx>
          <c:spPr>
            <a:solidFill>
              <a:schemeClr val="accent2"/>
            </a:solidFill>
            <a:ln>
              <a:noFill/>
            </a:ln>
            <a:effectLst/>
          </c:spPr>
          <c:invertIfNegative val="0"/>
          <c:cat>
            <c:strRef>
              <c:f>'M6.2 - Pivot chart'!$A$4:$A$11</c:f>
              <c:strCache>
                <c:ptCount val="7"/>
                <c:pt idx="0">
                  <c:v>1995</c:v>
                </c:pt>
                <c:pt idx="1">
                  <c:v>1999</c:v>
                </c:pt>
                <c:pt idx="2">
                  <c:v>2003</c:v>
                </c:pt>
                <c:pt idx="3">
                  <c:v>2007</c:v>
                </c:pt>
                <c:pt idx="4">
                  <c:v>2011</c:v>
                </c:pt>
                <c:pt idx="5">
                  <c:v>2015</c:v>
                </c:pt>
                <c:pt idx="6">
                  <c:v>2019</c:v>
                </c:pt>
              </c:strCache>
            </c:strRef>
          </c:cat>
          <c:val>
            <c:numRef>
              <c:f>'M6.2 - Pivot chart'!$C$4:$C$11</c:f>
              <c:numCache>
                <c:formatCode>General</c:formatCode>
                <c:ptCount val="7"/>
                <c:pt idx="0">
                  <c:v>3</c:v>
                </c:pt>
                <c:pt idx="1">
                  <c:v>3</c:v>
                </c:pt>
                <c:pt idx="2">
                  <c:v>3</c:v>
                </c:pt>
                <c:pt idx="3">
                  <c:v>9</c:v>
                </c:pt>
                <c:pt idx="4">
                  <c:v>6</c:v>
                </c:pt>
                <c:pt idx="5">
                  <c:v>5</c:v>
                </c:pt>
                <c:pt idx="6">
                  <c:v>8</c:v>
                </c:pt>
              </c:numCache>
            </c:numRef>
          </c:val>
          <c:extLst>
            <c:ext xmlns:c16="http://schemas.microsoft.com/office/drawing/2014/chart" uri="{C3380CC4-5D6E-409C-BE32-E72D297353CC}">
              <c16:uniqueId val="{00000001-DB96-4667-A91C-18020170F659}"/>
            </c:ext>
          </c:extLst>
        </c:ser>
        <c:dLbls>
          <c:showLegendKey val="0"/>
          <c:showVal val="0"/>
          <c:showCatName val="0"/>
          <c:showSerName val="0"/>
          <c:showPercent val="0"/>
          <c:showBubbleSize val="0"/>
        </c:dLbls>
        <c:gapWidth val="219"/>
        <c:axId val="408426607"/>
        <c:axId val="2039344704"/>
      </c:barChart>
      <c:lineChart>
        <c:grouping val="standard"/>
        <c:varyColors val="0"/>
        <c:ser>
          <c:idx val="2"/>
          <c:order val="2"/>
          <c:tx>
            <c:strRef>
              <c:f>'M6.2 - Pivot chart'!$D$3</c:f>
              <c:strCache>
                <c:ptCount val="1"/>
                <c:pt idx="0">
                  <c:v>Average of possesion</c:v>
                </c:pt>
              </c:strCache>
            </c:strRef>
          </c:tx>
          <c:spPr>
            <a:ln w="28575" cap="rnd">
              <a:solidFill>
                <a:schemeClr val="accent3"/>
              </a:solidFill>
              <a:round/>
            </a:ln>
            <a:effectLst/>
          </c:spPr>
          <c:marker>
            <c:symbol val="none"/>
          </c:marker>
          <c:cat>
            <c:strRef>
              <c:f>'M6.2 - Pivot chart'!$A$4:$A$11</c:f>
              <c:strCache>
                <c:ptCount val="7"/>
                <c:pt idx="0">
                  <c:v>1995</c:v>
                </c:pt>
                <c:pt idx="1">
                  <c:v>1999</c:v>
                </c:pt>
                <c:pt idx="2">
                  <c:v>2003</c:v>
                </c:pt>
                <c:pt idx="3">
                  <c:v>2007</c:v>
                </c:pt>
                <c:pt idx="4">
                  <c:v>2011</c:v>
                </c:pt>
                <c:pt idx="5">
                  <c:v>2015</c:v>
                </c:pt>
                <c:pt idx="6">
                  <c:v>2019</c:v>
                </c:pt>
              </c:strCache>
            </c:strRef>
          </c:cat>
          <c:val>
            <c:numRef>
              <c:f>'M6.2 - Pivot chart'!$D$4:$D$11</c:f>
              <c:numCache>
                <c:formatCode>General</c:formatCode>
                <c:ptCount val="7"/>
                <c:pt idx="2">
                  <c:v>49</c:v>
                </c:pt>
                <c:pt idx="3">
                  <c:v>48.3</c:v>
                </c:pt>
                <c:pt idx="4">
                  <c:v>53.5</c:v>
                </c:pt>
                <c:pt idx="5">
                  <c:v>46.2</c:v>
                </c:pt>
                <c:pt idx="6">
                  <c:v>61.3</c:v>
                </c:pt>
              </c:numCache>
            </c:numRef>
          </c:val>
          <c:smooth val="0"/>
          <c:extLst>
            <c:ext xmlns:c16="http://schemas.microsoft.com/office/drawing/2014/chart" uri="{C3380CC4-5D6E-409C-BE32-E72D297353CC}">
              <c16:uniqueId val="{00000002-DB96-4667-A91C-18020170F659}"/>
            </c:ext>
          </c:extLst>
        </c:ser>
        <c:dLbls>
          <c:showLegendKey val="0"/>
          <c:showVal val="0"/>
          <c:showCatName val="0"/>
          <c:showSerName val="0"/>
          <c:showPercent val="0"/>
          <c:showBubbleSize val="0"/>
        </c:dLbls>
        <c:marker val="1"/>
        <c:smooth val="0"/>
        <c:axId val="2091505488"/>
        <c:axId val="2091503760"/>
      </c:lineChart>
      <c:catAx>
        <c:axId val="4084266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9344704"/>
        <c:crosses val="autoZero"/>
        <c:auto val="1"/>
        <c:lblAlgn val="ctr"/>
        <c:lblOffset val="100"/>
        <c:noMultiLvlLbl val="0"/>
      </c:catAx>
      <c:valAx>
        <c:axId val="2039344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26607"/>
        <c:crosses val="autoZero"/>
        <c:crossBetween val="between"/>
      </c:valAx>
      <c:valAx>
        <c:axId val="209150376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1505488"/>
        <c:crosses val="max"/>
        <c:crossBetween val="between"/>
      </c:valAx>
      <c:catAx>
        <c:axId val="2091505488"/>
        <c:scaling>
          <c:orientation val="minMax"/>
        </c:scaling>
        <c:delete val="1"/>
        <c:axPos val="b"/>
        <c:numFmt formatCode="General" sourceLinked="1"/>
        <c:majorTickMark val="out"/>
        <c:minorTickMark val="none"/>
        <c:tickLblPos val="nextTo"/>
        <c:crossAx val="209150376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txData>
          <cx:v>Simulated U(0,1)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U(0,1)</a:t>
          </a:r>
        </a:p>
      </cx:txPr>
    </cx:title>
    <cx:plotArea>
      <cx:plotAreaRegion>
        <cx:series layoutId="clusteredColumn" uniqueId="{F0B8C912-EE1A-4FB5-9F75-1FD9082BA9B6}">
          <cx:tx>
            <cx:txData>
              <cx:f>_xlchart.v1.1</cx:f>
              <cx:v>=RANDARRAY(10000)</cx:v>
            </cx:txData>
          </cx:tx>
          <cx:data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dataLabels>
          <cx:dataId val="0"/>
          <cx:layoutPr>
            <cx:binning intervalClosed="r">
              <cx:binSize val="0.050000000000000003"/>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max="1000" min="0"/>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Simulated N(0,1)</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N(0,1)</a:t>
          </a:r>
        </a:p>
      </cx:txPr>
    </cx:title>
    <cx:plotArea>
      <cx:plotAreaRegion>
        <cx:series layoutId="clusteredColumn" uniqueId="{1692C4DA-5B04-49FA-9E9F-A2137BED9647}">
          <cx:dataId val="0"/>
          <cx:layoutPr>
            <cx:binning intervalClosed="r">
              <cx:binSize val="0.10000000000000001"/>
            </cx:binning>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txData>
          <cx:v>Simulated Gamma(10,5)</cx:v>
        </cx:txData>
      </cx:tx>
      <cx:txPr>
        <a:bodyPr vertOverflow="overflow" horzOverflow="overflow" wrap="square" lIns="0" tIns="0" rIns="0" bIns="0"/>
        <a:lstStyle/>
        <a:p>
          <a:pPr algn="ctr" rtl="0">
            <a:defRPr sz="1400" b="0" i="0">
              <a:solidFill>
                <a:srgbClr val="7F7F7F"/>
              </a:solidFill>
              <a:latin typeface="Calibri" panose="020F0502020204030204" pitchFamily="34" charset="0"/>
              <a:ea typeface="Calibri" panose="020F0502020204030204" pitchFamily="34" charset="0"/>
              <a:cs typeface="Calibri" panose="020F0502020204030204" pitchFamily="34" charset="0"/>
            </a:defRPr>
          </a:pPr>
          <a:r>
            <a:t>Simulated Gamma(10,5)</a:t>
          </a:r>
        </a:p>
      </cx:txPr>
    </cx:title>
    <cx:plotArea>
      <cx:plotAreaRegion>
        <cx:series layoutId="clusteredColumn" uniqueId="{8445B9F1-82DF-49F7-9362-A52051D3C46F}">
          <cx:dataId val="0"/>
          <cx:layoutPr>
            <cx:binning intervalClosed="r"/>
          </cx:layoutPr>
        </cx:series>
      </cx:plotAreaRegion>
      <cx:axis id="0">
        <cx:catScaling gapWidth="0"/>
        <cx:tickLabels/>
        <cx:numFmt formatCode="#,##0.00" sourceLinked="0"/>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axis id="1">
        <cx:valScaling/>
        <cx:majorGridlines/>
        <cx:tickLabels/>
        <cx:txPr>
          <a:bodyPr vertOverflow="overflow" horzOverflow="overflow" wrap="square" lIns="0" tIns="0" rIns="0" bIns="0"/>
          <a:lstStyle/>
          <a:p>
            <a:pPr algn="ctr" rtl="0">
              <a:defRPr sz="1200" b="0" i="0">
                <a:solidFill>
                  <a:srgbClr val="000000"/>
                </a:solidFill>
                <a:latin typeface="Calibri" panose="020F0502020204030204" pitchFamily="34" charset="0"/>
                <a:ea typeface="Calibri" panose="020F0502020204030204" pitchFamily="34" charset="0"/>
                <a:cs typeface="Calibri" panose="020F0502020204030204" pitchFamily="34" charset="0"/>
              </a:defRPr>
            </a:pPr>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microsoft.com/office/2014/relationships/chartEx" Target="../charts/chartEx3.xml"/><Relationship Id="rId2" Type="http://schemas.microsoft.com/office/2014/relationships/chartEx" Target="../charts/chartEx2.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4.png"/><Relationship Id="rId5" Type="http://schemas.microsoft.com/office/2007/relationships/hdphoto" Target="../media/hdphoto2.wdp"/><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oneCellAnchor>
    <xdr:from>
      <xdr:col>10</xdr:col>
      <xdr:colOff>431800</xdr:colOff>
      <xdr:row>32</xdr:row>
      <xdr:rowOff>82550</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8686800" y="68389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88900</xdr:colOff>
      <xdr:row>16</xdr:row>
      <xdr:rowOff>25400</xdr:rowOff>
    </xdr:from>
    <xdr:to>
      <xdr:col>2</xdr:col>
      <xdr:colOff>304800</xdr:colOff>
      <xdr:row>29</xdr:row>
      <xdr:rowOff>3172</xdr:rowOff>
    </xdr:to>
    <mc:AlternateContent xmlns:mc="http://schemas.openxmlformats.org/markup-compatibility/2006" xmlns:a14="http://schemas.microsoft.com/office/drawing/2010/main">
      <mc:Choice Requires="a14">
        <xdr:graphicFrame macro="">
          <xdr:nvGraphicFramePr>
            <xdr:cNvPr id="3" name="squad">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squad"/>
            </a:graphicData>
          </a:graphic>
        </xdr:graphicFrame>
      </mc:Choice>
      <mc:Fallback xmlns="">
        <xdr:sp macro="" textlink="">
          <xdr:nvSpPr>
            <xdr:cNvPr id="0" name=""/>
            <xdr:cNvSpPr>
              <a:spLocks noTextEdit="1"/>
            </xdr:cNvSpPr>
          </xdr:nvSpPr>
          <xdr:spPr>
            <a:xfrm>
              <a:off x="1079500" y="3276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695325</xdr:colOff>
      <xdr:row>0</xdr:row>
      <xdr:rowOff>161925</xdr:rowOff>
    </xdr:from>
    <xdr:to>
      <xdr:col>18</xdr:col>
      <xdr:colOff>203200</xdr:colOff>
      <xdr:row>36</xdr:row>
      <xdr:rowOff>123825</xdr:rowOff>
    </xdr:to>
    <xdr:graphicFrame macro="">
      <xdr:nvGraphicFramePr>
        <xdr:cNvPr id="4" name="圖表 3">
          <a:extLst>
            <a:ext uri="{FF2B5EF4-FFF2-40B4-BE49-F238E27FC236}">
              <a16:creationId xmlns:a16="http://schemas.microsoft.com/office/drawing/2014/main" id="{00000000-0008-0000-0400-000004000000}"/>
            </a:ext>
            <a:ext uri="{147F2762-F138-4A5C-976F-8EAC2B608ADB}">
              <a16:predDERef xmlns:a16="http://schemas.microsoft.com/office/drawing/2014/main" pred="{391C3527-C6FA-3533-7E21-BBB72A6D5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xdr:colOff>
      <xdr:row>14</xdr:row>
      <xdr:rowOff>0</xdr:rowOff>
    </xdr:from>
    <xdr:to>
      <xdr:col>9</xdr:col>
      <xdr:colOff>466725</xdr:colOff>
      <xdr:row>27</xdr:row>
      <xdr:rowOff>142875</xdr:rowOff>
    </xdr:to>
    <mc:AlternateContent xmlns:mc="http://schemas.openxmlformats.org/markup-compatibility/2006">
      <mc:Choice xmlns:cx1="http://schemas.microsoft.com/office/drawing/2015/9/8/chartex" Requires="cx1">
        <xdr:graphicFrame macro="">
          <xdr:nvGraphicFramePr>
            <xdr:cNvPr id="3" name="圖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028825" y="2844800"/>
              <a:ext cx="449580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15</xdr:col>
      <xdr:colOff>114300</xdr:colOff>
      <xdr:row>3</xdr:row>
      <xdr:rowOff>47625</xdr:rowOff>
    </xdr:from>
    <xdr:to>
      <xdr:col>22</xdr:col>
      <xdr:colOff>276225</xdr:colOff>
      <xdr:row>16</xdr:row>
      <xdr:rowOff>190500</xdr:rowOff>
    </xdr:to>
    <mc:AlternateContent xmlns:mc="http://schemas.openxmlformats.org/markup-compatibility/2006">
      <mc:Choice xmlns:cx1="http://schemas.microsoft.com/office/drawing/2015/9/8/chartex" Requires="cx1">
        <xdr:graphicFrame macro="">
          <xdr:nvGraphicFramePr>
            <xdr:cNvPr id="4" name="圖表 3">
              <a:extLst>
                <a:ext uri="{FF2B5EF4-FFF2-40B4-BE49-F238E27FC236}">
                  <a16:creationId xmlns:a16="http://schemas.microsoft.com/office/drawing/2014/main" id="{00000000-0008-0000-0800-000004000000}"/>
                </a:ext>
                <a:ext uri="{147F2762-F138-4A5C-976F-8EAC2B608ADB}">
                  <a16:predDERef xmlns:a16="http://schemas.microsoft.com/office/drawing/2014/main" pred="{6AECB59A-E807-A6CE-27E5-50C505B5B12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223500" y="657225"/>
              <a:ext cx="4873625"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104775</xdr:colOff>
      <xdr:row>3</xdr:row>
      <xdr:rowOff>0</xdr:rowOff>
    </xdr:from>
    <xdr:to>
      <xdr:col>30</xdr:col>
      <xdr:colOff>619125</xdr:colOff>
      <xdr:row>16</xdr:row>
      <xdr:rowOff>142875</xdr:rowOff>
    </xdr:to>
    <mc:AlternateContent xmlns:mc="http://schemas.openxmlformats.org/markup-compatibility/2006">
      <mc:Choice xmlns:cx1="http://schemas.microsoft.com/office/drawing/2015/9/8/chartex" Requires="cx1">
        <xdr:graphicFrame macro="">
          <xdr:nvGraphicFramePr>
            <xdr:cNvPr id="5" name="圖表 4">
              <a:extLst>
                <a:ext uri="{FF2B5EF4-FFF2-40B4-BE49-F238E27FC236}">
                  <a16:creationId xmlns:a16="http://schemas.microsoft.com/office/drawing/2014/main" id="{00000000-0008-0000-0800-000005000000}"/>
                </a:ext>
                <a:ext uri="{147F2762-F138-4A5C-976F-8EAC2B608ADB}">
                  <a16:predDERef xmlns:a16="http://schemas.microsoft.com/office/drawing/2014/main" pred="{E6002B3E-A065-EE2C-8D16-28124F50755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6271875" y="609600"/>
              <a:ext cx="4552950" cy="27844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304800</xdr:colOff>
          <xdr:row>2</xdr:row>
          <xdr:rowOff>63500</xdr:rowOff>
        </xdr:from>
        <xdr:to>
          <xdr:col>9</xdr:col>
          <xdr:colOff>279400</xdr:colOff>
          <xdr:row>3</xdr:row>
          <xdr:rowOff>101600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xdr:from>
      <xdr:col>7</xdr:col>
      <xdr:colOff>209549</xdr:colOff>
      <xdr:row>5</xdr:row>
      <xdr:rowOff>66676</xdr:rowOff>
    </xdr:from>
    <xdr:to>
      <xdr:col>9</xdr:col>
      <xdr:colOff>314324</xdr:colOff>
      <xdr:row>7</xdr:row>
      <xdr:rowOff>85726</xdr:rowOff>
    </xdr:to>
    <xdr:sp macro="[0]!recorded_example1" textlink="">
      <xdr:nvSpPr>
        <xdr:cNvPr id="2" name="Cube 1">
          <a:extLst>
            <a:ext uri="{FF2B5EF4-FFF2-40B4-BE49-F238E27FC236}">
              <a16:creationId xmlns:a16="http://schemas.microsoft.com/office/drawing/2014/main" id="{00000000-0008-0000-0900-000002000000}"/>
            </a:ext>
          </a:extLst>
        </xdr:cNvPr>
        <xdr:cNvSpPr/>
      </xdr:nvSpPr>
      <xdr:spPr>
        <a:xfrm>
          <a:off x="5048249" y="1266826"/>
          <a:ext cx="1476375" cy="419100"/>
        </a:xfrm>
        <a:prstGeom prst="cub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recorded_example1</a:t>
          </a:r>
        </a:p>
      </xdr:txBody>
    </xdr:sp>
    <xdr:clientData/>
  </xdr:twoCellAnchor>
  <mc:AlternateContent xmlns:mc="http://schemas.openxmlformats.org/markup-compatibility/2006">
    <mc:Choice xmlns:a14="http://schemas.microsoft.com/office/drawing/2010/main" Requires="a14">
      <xdr:twoCellAnchor editAs="oneCell">
        <xdr:from>
          <xdr:col>14</xdr:col>
          <xdr:colOff>0</xdr:colOff>
          <xdr:row>11</xdr:row>
          <xdr:rowOff>50800</xdr:rowOff>
        </xdr:from>
        <xdr:to>
          <xdr:col>16</xdr:col>
          <xdr:colOff>406400</xdr:colOff>
          <xdr:row>12</xdr:row>
          <xdr:rowOff>101600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recorded_example1_edit</a:t>
              </a:r>
            </a:p>
            <a:p>
              <a:pPr algn="ctr" rtl="0">
                <a:defRPr sz="1000"/>
              </a:pPr>
              <a:endParaRPr lang="en-GB"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12</xdr:col>
      <xdr:colOff>104776</xdr:colOff>
      <xdr:row>15</xdr:row>
      <xdr:rowOff>133350</xdr:rowOff>
    </xdr:from>
    <xdr:to>
      <xdr:col>18</xdr:col>
      <xdr:colOff>588753</xdr:colOff>
      <xdr:row>24</xdr:row>
      <xdr:rowOff>28575</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5000"/>
                  </a14:imgEffect>
                </a14:imgLayer>
              </a14:imgProps>
            </a:ext>
            <a:ext uri="{28A0092B-C50C-407E-A947-70E740481C1C}">
              <a14:useLocalDpi xmlns:a14="http://schemas.microsoft.com/office/drawing/2010/main" val="0"/>
            </a:ext>
          </a:extLst>
        </a:blip>
        <a:stretch>
          <a:fillRect/>
        </a:stretch>
      </xdr:blipFill>
      <xdr:spPr>
        <a:xfrm>
          <a:off x="8372476" y="3324225"/>
          <a:ext cx="4951202" cy="18859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317500</xdr:colOff>
          <xdr:row>12</xdr:row>
          <xdr:rowOff>139700</xdr:rowOff>
        </xdr:from>
        <xdr:to>
          <xdr:col>10</xdr:col>
          <xdr:colOff>520700</xdr:colOff>
          <xdr:row>17</xdr:row>
          <xdr:rowOff>228600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Click here to clear all formats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23</xdr:col>
          <xdr:colOff>228600</xdr:colOff>
          <xdr:row>14</xdr:row>
          <xdr:rowOff>177800</xdr:rowOff>
        </xdr:from>
        <xdr:to>
          <xdr:col>24</xdr:col>
          <xdr:colOff>596900</xdr:colOff>
          <xdr:row>15</xdr:row>
          <xdr:rowOff>127000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Good Profit?</a:t>
              </a:r>
            </a:p>
          </xdr:txBody>
        </xdr:sp>
        <xdr:clientData fPrintsWithSheet="0"/>
      </xdr:twoCellAnchor>
    </mc:Choice>
    <mc:Fallback/>
  </mc:AlternateContent>
  <xdr:twoCellAnchor editAs="oneCell">
    <xdr:from>
      <xdr:col>21</xdr:col>
      <xdr:colOff>104776</xdr:colOff>
      <xdr:row>19</xdr:row>
      <xdr:rowOff>95250</xdr:rowOff>
    </xdr:from>
    <xdr:to>
      <xdr:col>25</xdr:col>
      <xdr:colOff>638176</xdr:colOff>
      <xdr:row>30</xdr:row>
      <xdr:rowOff>88476</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4897101" y="4276725"/>
          <a:ext cx="3276600" cy="2193501"/>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25400</xdr:colOff>
          <xdr:row>16</xdr:row>
          <xdr:rowOff>25400</xdr:rowOff>
        </xdr:from>
        <xdr:to>
          <xdr:col>7</xdr:col>
          <xdr:colOff>596900</xdr:colOff>
          <xdr:row>16</xdr:row>
          <xdr:rowOff>266700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900-000005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Relative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660400</xdr:colOff>
          <xdr:row>14</xdr:row>
          <xdr:rowOff>76200</xdr:rowOff>
        </xdr:from>
        <xdr:to>
          <xdr:col>7</xdr:col>
          <xdr:colOff>673100</xdr:colOff>
          <xdr:row>15</xdr:row>
          <xdr:rowOff>25400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9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Absolute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50800</xdr:colOff>
          <xdr:row>4</xdr:row>
          <xdr:rowOff>25400</xdr:rowOff>
        </xdr:from>
        <xdr:to>
          <xdr:col>29</xdr:col>
          <xdr:colOff>520700</xdr:colOff>
          <xdr:row>4</xdr:row>
          <xdr:rowOff>266700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a:t>
              </a:r>
            </a:p>
          </xdr:txBody>
        </xdr:sp>
        <xdr:clientData fPrintsWithSheet="0"/>
      </xdr:twoCellAnchor>
    </mc:Choice>
    <mc:Fallback/>
  </mc:AlternateContent>
  <xdr:twoCellAnchor editAs="oneCell">
    <xdr:from>
      <xdr:col>30</xdr:col>
      <xdr:colOff>209550</xdr:colOff>
      <xdr:row>4</xdr:row>
      <xdr:rowOff>38100</xdr:rowOff>
    </xdr:from>
    <xdr:to>
      <xdr:col>35</xdr:col>
      <xdr:colOff>495300</xdr:colOff>
      <xdr:row>14</xdr:row>
      <xdr:rowOff>104102</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25000"/>
                  </a14:imgEffect>
                </a14:imgLayer>
              </a14:imgProps>
            </a:ext>
            <a:ext uri="{28A0092B-C50C-407E-A947-70E740481C1C}">
              <a14:useLocalDpi xmlns:a14="http://schemas.microsoft.com/office/drawing/2010/main" val="0"/>
            </a:ext>
          </a:extLst>
        </a:blip>
        <a:stretch>
          <a:fillRect/>
        </a:stretch>
      </xdr:blipFill>
      <xdr:spPr>
        <a:xfrm>
          <a:off x="21174075" y="838200"/>
          <a:ext cx="3714750" cy="235200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37</xdr:col>
          <xdr:colOff>190500</xdr:colOff>
          <xdr:row>4</xdr:row>
          <xdr:rowOff>25400</xdr:rowOff>
        </xdr:from>
        <xdr:to>
          <xdr:col>39</xdr:col>
          <xdr:colOff>292100</xdr:colOff>
          <xdr:row>4</xdr:row>
          <xdr:rowOff>266700</xdr:rowOff>
        </xdr:to>
        <xdr:sp macro="" textlink="">
          <xdr:nvSpPr>
            <xdr:cNvPr id="11272" name="Button 8" hidden="1">
              <a:extLst>
                <a:ext uri="{63B3BB69-23CF-44E3-9099-C40C66FF867C}">
                  <a14:compatExt spid="_x0000_s11272"/>
                </a:ext>
                <a:ext uri="{FF2B5EF4-FFF2-40B4-BE49-F238E27FC236}">
                  <a16:creationId xmlns:a16="http://schemas.microsoft.com/office/drawing/2014/main" id="{00000000-0008-0000-0900-000008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Print numbers (While)</a:t>
              </a:r>
            </a:p>
          </xdr:txBody>
        </xdr:sp>
        <xdr:clientData fPrintsWithSheet="0"/>
      </xdr:twoCellAnchor>
    </mc:Choice>
    <mc:Fallback/>
  </mc:AlternateContent>
  <xdr:twoCellAnchor editAs="oneCell">
    <xdr:from>
      <xdr:col>39</xdr:col>
      <xdr:colOff>66675</xdr:colOff>
      <xdr:row>5</xdr:row>
      <xdr:rowOff>190500</xdr:rowOff>
    </xdr:from>
    <xdr:to>
      <xdr:col>43</xdr:col>
      <xdr:colOff>638638</xdr:colOff>
      <xdr:row>17</xdr:row>
      <xdr:rowOff>67046</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7203400" y="1285875"/>
          <a:ext cx="3315163" cy="265784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Benjamin Avanzi" id="{41D526D4-9D67-3148-83A7-7F4FDCAD8DB6}" userId="S::b.avanzi@unimelb.edu.au::4c1a0c65-cf17-4469-a7d7-15c887ee25bb"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158.870142939813" createdVersion="8" refreshedVersion="8" minRefreshableVersion="3" recordCount="136" xr:uid="{61FC52FC-B3E2-3643-BB68-795569812EE9}">
  <cacheSource type="worksheet">
    <worksheetSource ref="A3:V139" sheet="FIFA WWC"/>
  </cacheSource>
  <cacheFields count="22">
    <cacheField name="id" numFmtId="0">
      <sharedItems containsSemiMixedTypes="0" containsString="0" containsNumber="1" containsInteger="1" minValue="1" maxValue="136"/>
    </cacheField>
    <cacheField name="squad" numFmtId="0">
      <sharedItems count="36">
        <s v="Argentina"/>
        <s v="Australia"/>
        <s v="Brazil"/>
        <s v="Cameroon"/>
        <s v="Canada"/>
        <s v="Chile"/>
        <s v="China PR"/>
        <s v="England"/>
        <s v="France"/>
        <s v="Germany"/>
        <s v="Italy"/>
        <s v="Jamaica"/>
        <s v="Japan"/>
        <s v="Korea Rep"/>
        <s v="Netherlands"/>
        <s v="New Zealand"/>
        <s v="Nigeria"/>
        <s v="Norway"/>
        <s v="Scotland"/>
        <s v="South Africa"/>
        <s v="Spain"/>
        <s v="Sweden"/>
        <s v="Thailand"/>
        <s v="USA"/>
        <s v="Colombia"/>
        <s v="Costa Rica"/>
        <s v="C√¥te d'Ivoire"/>
        <s v="Ecuador"/>
        <s v="Mexico"/>
        <s v="Switzerland"/>
        <s v="Equ. Guinea"/>
        <s v="Korea DPR"/>
        <s v="Denmark"/>
        <s v="Ghana"/>
        <s v="Russia"/>
        <s v="Chinese Taipei"/>
      </sharedItems>
    </cacheField>
    <cacheField name="year" numFmtId="0">
      <sharedItems containsSemiMixedTypes="0" containsString="0" containsNumber="1" containsInteger="1" minValue="1991" maxValue="2019" count="8">
        <n v="2019"/>
        <n v="2015"/>
        <n v="2011"/>
        <n v="2007"/>
        <n v="2003"/>
        <n v="1999"/>
        <n v="1995"/>
        <n v="1991"/>
      </sharedItems>
    </cacheField>
    <cacheField name="players" numFmtId="0">
      <sharedItems containsSemiMixedTypes="0" containsString="0" containsNumber="1" containsInteger="1" minValue="13" maxValue="23" count="11">
        <n v="18"/>
        <n v="20"/>
        <n v="16"/>
        <n v="17"/>
        <n v="22"/>
        <n v="19"/>
        <n v="21"/>
        <n v="15"/>
        <n v="23"/>
        <n v="14"/>
        <n v="13"/>
      </sharedItems>
    </cacheField>
    <cacheField name="age" numFmtId="0">
      <sharedItems containsSemiMixedTypes="0" containsString="0" containsNumber="1" minValue="18.2" maxValue="29.7"/>
    </cacheField>
    <cacheField name="possesion" numFmtId="0">
      <sharedItems containsString="0" containsBlank="1" containsNumber="1" minValue="30" maxValue="63"/>
    </cacheField>
    <cacheField name="matches_played" numFmtId="0">
      <sharedItems containsSemiMixedTypes="0" containsString="0" containsNumber="1" containsInteger="1" minValue="3" maxValue="7" count="5">
        <n v="3"/>
        <n v="4"/>
        <n v="7"/>
        <n v="5"/>
        <n v="6"/>
      </sharedItems>
    </cacheField>
    <cacheField name="starts" numFmtId="0">
      <sharedItems containsSemiMixedTypes="0" containsString="0" containsNumber="1" containsInteger="1" minValue="33" maxValue="77"/>
    </cacheField>
    <cacheField name="min_playing_time" numFmtId="0">
      <sharedItems containsSemiMixedTypes="0" containsString="0" containsNumber="1" containsInteger="1" minValue="240" maxValue="690"/>
    </cacheField>
    <cacheField name="minutes_played_90s" numFmtId="0">
      <sharedItems containsSemiMixedTypes="0" containsString="0" containsNumber="1" minValue="2.7" maxValue="7.7"/>
    </cacheField>
    <cacheField name="goals" numFmtId="0">
      <sharedItems containsSemiMixedTypes="0" containsString="0" containsNumber="1" containsInteger="1" minValue="0" maxValue="25"/>
    </cacheField>
    <cacheField name="assists" numFmtId="0">
      <sharedItems containsSemiMixedTypes="0" containsString="0" containsNumber="1" containsInteger="1" minValue="0" maxValue="17"/>
    </cacheField>
    <cacheField name="non_penalty_goals" numFmtId="0">
      <sharedItems containsSemiMixedTypes="0" containsString="0" containsNumber="1" containsInteger="1" minValue="0" maxValue="25"/>
    </cacheField>
    <cacheField name="penalty_kicks_made" numFmtId="0">
      <sharedItems containsSemiMixedTypes="0" containsString="0" containsNumber="1" containsInteger="1" minValue="0" maxValue="4"/>
    </cacheField>
    <cacheField name="penalty_kicks_attempted" numFmtId="0">
      <sharedItems containsSemiMixedTypes="0" containsString="0" containsNumber="1" containsInteger="1" minValue="0" maxValue="4"/>
    </cacheField>
    <cacheField name="yellow_cards" numFmtId="0">
      <sharedItems containsString="0" containsBlank="1" containsNumber="1" containsInteger="1" minValue="0" maxValue="8"/>
    </cacheField>
    <cacheField name="red_cards" numFmtId="0">
      <sharedItems containsString="0" containsBlank="1" containsNumber="1" containsInteger="1" minValue="0" maxValue="1"/>
    </cacheField>
    <cacheField name="goals_per_90" numFmtId="0">
      <sharedItems containsSemiMixedTypes="0" containsString="0" containsNumber="1" minValue="0" maxValue="4.6900000000000004"/>
    </cacheField>
    <cacheField name="assists_per_90" numFmtId="0">
      <sharedItems containsSemiMixedTypes="0" containsString="0" containsNumber="1" minValue="0" maxValue="2.4300000000000002"/>
    </cacheField>
    <cacheField name="goals_plus_assists_per_90" numFmtId="0">
      <sharedItems containsSemiMixedTypes="0" containsString="0" containsNumber="1" minValue="0" maxValue="6.75"/>
    </cacheField>
    <cacheField name="goals_minus_penalty_kicks_per_90" numFmtId="0">
      <sharedItems containsSemiMixedTypes="0" containsString="0" containsNumber="1" minValue="0" maxValue="4.5"/>
    </cacheField>
    <cacheField name="goals_plus_assists_minus_penalty_kicks_per_90" numFmtId="0">
      <sharedItems containsSemiMixedTypes="0" containsString="0" containsNumber="1" minValue="0" maxValue="6.56"/>
    </cacheField>
  </cacheFields>
  <extLst>
    <ext xmlns:x14="http://schemas.microsoft.com/office/spreadsheetml/2009/9/main" uri="{725AE2AE-9491-48be-B2B4-4EB974FC3084}">
      <x14:pivotCacheDefinition pivotCacheId="16805936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6">
  <r>
    <n v="1"/>
    <x v="0"/>
    <x v="0"/>
    <x v="0"/>
    <n v="26.8"/>
    <n v="34.700000000000003"/>
    <x v="0"/>
    <n v="33"/>
    <n v="270"/>
    <n v="3"/>
    <n v="2"/>
    <n v="1"/>
    <n v="1"/>
    <n v="1"/>
    <n v="1"/>
    <n v="3"/>
    <n v="0"/>
    <n v="0.67"/>
    <n v="0.33"/>
    <n v="1"/>
    <n v="0.33"/>
    <n v="0.67"/>
  </r>
  <r>
    <n v="2"/>
    <x v="1"/>
    <x v="0"/>
    <x v="0"/>
    <n v="25.4"/>
    <n v="61.3"/>
    <x v="1"/>
    <n v="44"/>
    <n v="390"/>
    <n v="4.3"/>
    <n v="8"/>
    <n v="4"/>
    <n v="8"/>
    <n v="0"/>
    <n v="1"/>
    <n v="2"/>
    <n v="0"/>
    <n v="1.85"/>
    <n v="0.92"/>
    <n v="2.77"/>
    <n v="1.85"/>
    <n v="2.77"/>
  </r>
  <r>
    <n v="3"/>
    <x v="2"/>
    <x v="0"/>
    <x v="0"/>
    <n v="29.7"/>
    <n v="51.5"/>
    <x v="1"/>
    <n v="44"/>
    <n v="390"/>
    <n v="4.3"/>
    <n v="7"/>
    <n v="3"/>
    <n v="5"/>
    <n v="2"/>
    <n v="3"/>
    <n v="7"/>
    <n v="0"/>
    <n v="1.62"/>
    <n v="0.69"/>
    <n v="2.31"/>
    <n v="1.1499999999999999"/>
    <n v="1.85"/>
  </r>
  <r>
    <n v="4"/>
    <x v="3"/>
    <x v="0"/>
    <x v="1"/>
    <n v="27.7"/>
    <n v="36"/>
    <x v="1"/>
    <n v="44"/>
    <n v="360"/>
    <n v="4"/>
    <n v="3"/>
    <n v="3"/>
    <n v="3"/>
    <n v="0"/>
    <n v="0"/>
    <n v="6"/>
    <n v="0"/>
    <n v="0.75"/>
    <n v="0.75"/>
    <n v="1.5"/>
    <n v="0.75"/>
    <n v="1.5"/>
  </r>
  <r>
    <n v="5"/>
    <x v="4"/>
    <x v="0"/>
    <x v="2"/>
    <n v="27"/>
    <n v="63"/>
    <x v="1"/>
    <n v="44"/>
    <n v="360"/>
    <n v="4"/>
    <n v="4"/>
    <n v="3"/>
    <n v="4"/>
    <n v="0"/>
    <n v="1"/>
    <n v="2"/>
    <n v="0"/>
    <n v="1"/>
    <n v="0.75"/>
    <n v="1.75"/>
    <n v="1"/>
    <n v="1.75"/>
  </r>
  <r>
    <n v="6"/>
    <x v="5"/>
    <x v="0"/>
    <x v="0"/>
    <n v="26.8"/>
    <n v="42"/>
    <x v="0"/>
    <n v="33"/>
    <n v="270"/>
    <n v="3"/>
    <n v="1"/>
    <n v="1"/>
    <n v="1"/>
    <n v="0"/>
    <n v="1"/>
    <n v="5"/>
    <n v="0"/>
    <n v="0.33"/>
    <n v="0.33"/>
    <n v="0.67"/>
    <n v="0.33"/>
    <n v="0.67"/>
  </r>
  <r>
    <n v="7"/>
    <x v="6"/>
    <x v="0"/>
    <x v="3"/>
    <n v="26.6"/>
    <n v="47"/>
    <x v="1"/>
    <n v="44"/>
    <n v="360"/>
    <n v="4"/>
    <n v="1"/>
    <n v="1"/>
    <n v="1"/>
    <n v="0"/>
    <n v="0"/>
    <n v="5"/>
    <n v="0"/>
    <n v="0.25"/>
    <n v="0.25"/>
    <n v="0.5"/>
    <n v="0.25"/>
    <n v="0.5"/>
  </r>
  <r>
    <n v="8"/>
    <x v="7"/>
    <x v="0"/>
    <x v="4"/>
    <n v="27.8"/>
    <n v="60.4"/>
    <x v="2"/>
    <n v="77"/>
    <n v="630"/>
    <n v="7"/>
    <n v="13"/>
    <n v="12"/>
    <n v="12"/>
    <n v="1"/>
    <n v="4"/>
    <n v="1"/>
    <n v="1"/>
    <n v="1.86"/>
    <n v="1.71"/>
    <n v="3.57"/>
    <n v="1.71"/>
    <n v="3.43"/>
  </r>
  <r>
    <n v="9"/>
    <x v="8"/>
    <x v="0"/>
    <x v="3"/>
    <n v="27.8"/>
    <n v="58.8"/>
    <x v="3"/>
    <n v="55"/>
    <n v="480"/>
    <n v="5.3"/>
    <n v="10"/>
    <n v="8"/>
    <n v="8"/>
    <n v="2"/>
    <n v="2"/>
    <n v="2"/>
    <n v="0"/>
    <n v="1.87"/>
    <n v="1.5"/>
    <n v="3.38"/>
    <n v="1.5"/>
    <n v="3"/>
  </r>
  <r>
    <n v="10"/>
    <x v="9"/>
    <x v="0"/>
    <x v="5"/>
    <n v="25.5"/>
    <n v="57.2"/>
    <x v="3"/>
    <n v="55"/>
    <n v="450"/>
    <n v="5"/>
    <n v="10"/>
    <n v="4"/>
    <n v="9"/>
    <n v="1"/>
    <n v="1"/>
    <n v="2"/>
    <n v="0"/>
    <n v="2"/>
    <n v="0.8"/>
    <n v="2.8"/>
    <n v="1.8"/>
    <n v="2.6"/>
  </r>
  <r>
    <n v="11"/>
    <x v="10"/>
    <x v="0"/>
    <x v="3"/>
    <n v="26.5"/>
    <n v="43.4"/>
    <x v="3"/>
    <n v="55"/>
    <n v="450"/>
    <n v="5"/>
    <n v="9"/>
    <n v="6"/>
    <n v="8"/>
    <n v="1"/>
    <n v="1"/>
    <n v="4"/>
    <n v="0"/>
    <n v="1.8"/>
    <n v="1.2"/>
    <n v="3"/>
    <n v="1.6"/>
    <n v="2.8"/>
  </r>
  <r>
    <n v="12"/>
    <x v="11"/>
    <x v="0"/>
    <x v="1"/>
    <n v="22.9"/>
    <n v="36.700000000000003"/>
    <x v="0"/>
    <n v="33"/>
    <n v="270"/>
    <n v="3"/>
    <n v="1"/>
    <n v="1"/>
    <n v="1"/>
    <n v="0"/>
    <n v="0"/>
    <n v="4"/>
    <n v="0"/>
    <n v="0.33"/>
    <n v="0.33"/>
    <n v="0.67"/>
    <n v="0.33"/>
    <n v="0.67"/>
  </r>
  <r>
    <n v="13"/>
    <x v="12"/>
    <x v="0"/>
    <x v="3"/>
    <n v="24.8"/>
    <n v="53.8"/>
    <x v="1"/>
    <n v="44"/>
    <n v="360"/>
    <n v="4"/>
    <n v="3"/>
    <n v="2"/>
    <n v="2"/>
    <n v="1"/>
    <n v="1"/>
    <n v="4"/>
    <n v="0"/>
    <n v="0.75"/>
    <n v="0.5"/>
    <n v="1.25"/>
    <n v="0.5"/>
    <n v="1"/>
  </r>
  <r>
    <n v="14"/>
    <x v="13"/>
    <x v="0"/>
    <x v="5"/>
    <n v="26.9"/>
    <n v="52"/>
    <x v="0"/>
    <n v="33"/>
    <n v="270"/>
    <n v="3"/>
    <n v="1"/>
    <n v="1"/>
    <n v="1"/>
    <n v="0"/>
    <n v="0"/>
    <n v="4"/>
    <n v="0"/>
    <n v="0.33"/>
    <n v="0.33"/>
    <n v="0.67"/>
    <n v="0.33"/>
    <n v="0.67"/>
  </r>
  <r>
    <n v="15"/>
    <x v="14"/>
    <x v="0"/>
    <x v="2"/>
    <n v="26.1"/>
    <n v="57.1"/>
    <x v="2"/>
    <n v="77"/>
    <n v="660"/>
    <n v="7.3"/>
    <n v="11"/>
    <n v="7"/>
    <n v="10"/>
    <n v="1"/>
    <n v="1"/>
    <n v="0"/>
    <n v="0"/>
    <n v="1.5"/>
    <n v="0.95"/>
    <n v="2.4500000000000002"/>
    <n v="1.36"/>
    <n v="2.3199999999999998"/>
  </r>
  <r>
    <n v="16"/>
    <x v="15"/>
    <x v="0"/>
    <x v="3"/>
    <n v="27.6"/>
    <n v="39.299999999999997"/>
    <x v="0"/>
    <n v="33"/>
    <n v="270"/>
    <n v="3"/>
    <n v="0"/>
    <n v="0"/>
    <n v="0"/>
    <n v="0"/>
    <n v="0"/>
    <n v="1"/>
    <n v="0"/>
    <n v="0"/>
    <n v="0"/>
    <n v="0"/>
    <n v="0"/>
    <n v="0"/>
  </r>
  <r>
    <n v="17"/>
    <x v="16"/>
    <x v="0"/>
    <x v="1"/>
    <n v="25.7"/>
    <n v="34.799999999999997"/>
    <x v="1"/>
    <n v="44"/>
    <n v="360"/>
    <n v="4"/>
    <n v="1"/>
    <n v="1"/>
    <n v="1"/>
    <n v="0"/>
    <n v="0"/>
    <n v="6"/>
    <n v="1"/>
    <n v="0.25"/>
    <n v="0.25"/>
    <n v="0.5"/>
    <n v="0.25"/>
    <n v="0.5"/>
  </r>
  <r>
    <n v="18"/>
    <x v="17"/>
    <x v="0"/>
    <x v="3"/>
    <n v="26.8"/>
    <n v="50.2"/>
    <x v="3"/>
    <n v="55"/>
    <n v="480"/>
    <n v="5.3"/>
    <n v="5"/>
    <n v="3"/>
    <n v="3"/>
    <n v="2"/>
    <n v="2"/>
    <n v="1"/>
    <n v="0"/>
    <n v="0.94"/>
    <n v="0.56000000000000005"/>
    <n v="1.5"/>
    <n v="0.56000000000000005"/>
    <n v="1.1299999999999999"/>
  </r>
  <r>
    <n v="19"/>
    <x v="18"/>
    <x v="0"/>
    <x v="5"/>
    <n v="26.4"/>
    <n v="47"/>
    <x v="0"/>
    <n v="33"/>
    <n v="270"/>
    <n v="3"/>
    <n v="5"/>
    <n v="3"/>
    <n v="5"/>
    <n v="0"/>
    <n v="0"/>
    <n v="6"/>
    <n v="0"/>
    <n v="1.67"/>
    <n v="1"/>
    <n v="2.67"/>
    <n v="1.67"/>
    <n v="2.67"/>
  </r>
  <r>
    <n v="20"/>
    <x v="19"/>
    <x v="0"/>
    <x v="5"/>
    <n v="27.5"/>
    <n v="38"/>
    <x v="0"/>
    <n v="33"/>
    <n v="270"/>
    <n v="3"/>
    <n v="1"/>
    <n v="1"/>
    <n v="1"/>
    <n v="0"/>
    <n v="0"/>
    <n v="7"/>
    <n v="1"/>
    <n v="0.33"/>
    <n v="0.33"/>
    <n v="0.67"/>
    <n v="0.33"/>
    <n v="0.67"/>
  </r>
  <r>
    <n v="21"/>
    <x v="20"/>
    <x v="0"/>
    <x v="5"/>
    <n v="25.2"/>
    <n v="62.5"/>
    <x v="1"/>
    <n v="44"/>
    <n v="360"/>
    <n v="4"/>
    <n v="4"/>
    <n v="2"/>
    <n v="2"/>
    <n v="2"/>
    <n v="2"/>
    <n v="1"/>
    <n v="0"/>
    <n v="1"/>
    <n v="0.5"/>
    <n v="1.5"/>
    <n v="0.5"/>
    <n v="1"/>
  </r>
  <r>
    <n v="22"/>
    <x v="21"/>
    <x v="0"/>
    <x v="1"/>
    <n v="28.5"/>
    <n v="48.4"/>
    <x v="2"/>
    <n v="77"/>
    <n v="660"/>
    <n v="7.3"/>
    <n v="12"/>
    <n v="7"/>
    <n v="11"/>
    <n v="1"/>
    <n v="1"/>
    <n v="2"/>
    <n v="0"/>
    <n v="1.64"/>
    <n v="0.95"/>
    <n v="2.59"/>
    <n v="1.5"/>
    <n v="2.4500000000000002"/>
  </r>
  <r>
    <n v="23"/>
    <x v="22"/>
    <x v="0"/>
    <x v="0"/>
    <n v="27.8"/>
    <n v="30"/>
    <x v="0"/>
    <n v="33"/>
    <n v="270"/>
    <n v="3"/>
    <n v="1"/>
    <n v="1"/>
    <n v="1"/>
    <n v="0"/>
    <n v="0"/>
    <n v="5"/>
    <n v="0"/>
    <n v="0.33"/>
    <n v="0.33"/>
    <n v="0.67"/>
    <n v="0.33"/>
    <n v="0.67"/>
  </r>
  <r>
    <n v="24"/>
    <x v="23"/>
    <x v="0"/>
    <x v="6"/>
    <n v="28.8"/>
    <n v="56"/>
    <x v="2"/>
    <n v="77"/>
    <n v="630"/>
    <n v="7"/>
    <n v="25"/>
    <n v="17"/>
    <n v="22"/>
    <n v="3"/>
    <n v="4"/>
    <n v="0"/>
    <n v="0"/>
    <n v="3.57"/>
    <n v="2.4300000000000002"/>
    <n v="6"/>
    <n v="3.14"/>
    <n v="5.57"/>
  </r>
  <r>
    <n v="25"/>
    <x v="1"/>
    <x v="1"/>
    <x v="3"/>
    <n v="23.6"/>
    <n v="46.2"/>
    <x v="3"/>
    <n v="55"/>
    <n v="450"/>
    <n v="5"/>
    <n v="5"/>
    <n v="4"/>
    <n v="5"/>
    <n v="0"/>
    <n v="0"/>
    <n v="0"/>
    <n v="0"/>
    <n v="1"/>
    <n v="0.8"/>
    <n v="1.8"/>
    <n v="1"/>
    <n v="1.8"/>
  </r>
  <r>
    <n v="26"/>
    <x v="2"/>
    <x v="1"/>
    <x v="1"/>
    <n v="27.4"/>
    <n v="59"/>
    <x v="1"/>
    <n v="44"/>
    <n v="360"/>
    <n v="4"/>
    <n v="4"/>
    <n v="1"/>
    <n v="3"/>
    <n v="1"/>
    <n v="1"/>
    <n v="1"/>
    <n v="0"/>
    <n v="1"/>
    <n v="0.25"/>
    <n v="1.25"/>
    <n v="0.75"/>
    <n v="1"/>
  </r>
  <r>
    <n v="27"/>
    <x v="3"/>
    <x v="1"/>
    <x v="3"/>
    <n v="25.1"/>
    <n v="48.8"/>
    <x v="1"/>
    <n v="44"/>
    <n v="360"/>
    <n v="4"/>
    <n v="9"/>
    <n v="5"/>
    <n v="5"/>
    <n v="4"/>
    <n v="4"/>
    <n v="6"/>
    <n v="0"/>
    <n v="2.25"/>
    <n v="1.25"/>
    <n v="3.5"/>
    <n v="1.25"/>
    <n v="2.5"/>
  </r>
  <r>
    <n v="28"/>
    <x v="4"/>
    <x v="1"/>
    <x v="0"/>
    <n v="27.2"/>
    <n v="55"/>
    <x v="3"/>
    <n v="55"/>
    <n v="450"/>
    <n v="5"/>
    <n v="4"/>
    <n v="1"/>
    <n v="3"/>
    <n v="1"/>
    <n v="1"/>
    <n v="3"/>
    <n v="0"/>
    <n v="0.8"/>
    <n v="0.2"/>
    <n v="1"/>
    <n v="0.6"/>
    <n v="0.8"/>
  </r>
  <r>
    <n v="29"/>
    <x v="6"/>
    <x v="1"/>
    <x v="0"/>
    <n v="23.6"/>
    <n v="48.6"/>
    <x v="3"/>
    <n v="55"/>
    <n v="450"/>
    <n v="5"/>
    <n v="4"/>
    <n v="2"/>
    <n v="3"/>
    <n v="1"/>
    <n v="1"/>
    <n v="2"/>
    <n v="0"/>
    <n v="0.8"/>
    <n v="0.4"/>
    <n v="1.2"/>
    <n v="0.6"/>
    <n v="1"/>
  </r>
  <r>
    <n v="30"/>
    <x v="24"/>
    <x v="1"/>
    <x v="0"/>
    <n v="24.3"/>
    <n v="44.3"/>
    <x v="1"/>
    <n v="44"/>
    <n v="360"/>
    <n v="4"/>
    <n v="4"/>
    <n v="4"/>
    <n v="4"/>
    <n v="0"/>
    <n v="0"/>
    <n v="8"/>
    <n v="0"/>
    <n v="1"/>
    <n v="1"/>
    <n v="2"/>
    <n v="1"/>
    <n v="2"/>
  </r>
  <r>
    <n v="31"/>
    <x v="25"/>
    <x v="1"/>
    <x v="7"/>
    <n v="25"/>
    <n v="42.3"/>
    <x v="0"/>
    <n v="33"/>
    <n v="270"/>
    <n v="3"/>
    <n v="3"/>
    <n v="3"/>
    <n v="3"/>
    <n v="0"/>
    <n v="0"/>
    <n v="0"/>
    <n v="0"/>
    <n v="1"/>
    <n v="1"/>
    <n v="2"/>
    <n v="1"/>
    <n v="2"/>
  </r>
  <r>
    <n v="32"/>
    <x v="26"/>
    <x v="1"/>
    <x v="5"/>
    <n v="25"/>
    <n v="45"/>
    <x v="0"/>
    <n v="33"/>
    <n v="270"/>
    <n v="3"/>
    <n v="3"/>
    <n v="0"/>
    <n v="3"/>
    <n v="0"/>
    <n v="0"/>
    <n v="8"/>
    <n v="0"/>
    <n v="1"/>
    <n v="0"/>
    <n v="1"/>
    <n v="1"/>
    <n v="1"/>
  </r>
  <r>
    <n v="33"/>
    <x v="27"/>
    <x v="1"/>
    <x v="5"/>
    <n v="23.4"/>
    <n v="38.700000000000003"/>
    <x v="0"/>
    <n v="33"/>
    <n v="270"/>
    <n v="3"/>
    <n v="1"/>
    <n v="0"/>
    <n v="0"/>
    <n v="1"/>
    <n v="1"/>
    <n v="6"/>
    <n v="1"/>
    <n v="0.33"/>
    <n v="0"/>
    <n v="0.33"/>
    <n v="0"/>
    <n v="0"/>
  </r>
  <r>
    <n v="34"/>
    <x v="7"/>
    <x v="1"/>
    <x v="4"/>
    <n v="27.6"/>
    <n v="48.1"/>
    <x v="2"/>
    <n v="77"/>
    <n v="660"/>
    <n v="7.3"/>
    <n v="10"/>
    <n v="4"/>
    <n v="7"/>
    <n v="3"/>
    <n v="3"/>
    <n v="3"/>
    <n v="0"/>
    <n v="1.36"/>
    <n v="0.55000000000000004"/>
    <n v="1.91"/>
    <n v="0.95"/>
    <n v="1.5"/>
  </r>
  <r>
    <n v="35"/>
    <x v="8"/>
    <x v="1"/>
    <x v="5"/>
    <n v="27.3"/>
    <n v="53.6"/>
    <x v="3"/>
    <n v="55"/>
    <n v="480"/>
    <n v="5.3"/>
    <n v="9"/>
    <n v="7"/>
    <n v="9"/>
    <n v="0"/>
    <n v="0"/>
    <n v="0"/>
    <n v="0"/>
    <n v="1.69"/>
    <n v="1.31"/>
    <n v="3"/>
    <n v="1.69"/>
    <n v="3"/>
  </r>
  <r>
    <n v="36"/>
    <x v="9"/>
    <x v="1"/>
    <x v="6"/>
    <n v="26.9"/>
    <n v="54.7"/>
    <x v="2"/>
    <n v="77"/>
    <n v="690"/>
    <n v="7.7"/>
    <n v="20"/>
    <n v="11"/>
    <n v="18"/>
    <n v="2"/>
    <n v="2"/>
    <n v="1"/>
    <n v="0"/>
    <n v="2.61"/>
    <n v="1.43"/>
    <n v="4.04"/>
    <n v="2.35"/>
    <n v="3.78"/>
  </r>
  <r>
    <n v="37"/>
    <x v="12"/>
    <x v="1"/>
    <x v="8"/>
    <n v="27.9"/>
    <n v="55.1"/>
    <x v="2"/>
    <n v="77"/>
    <n v="630"/>
    <n v="7"/>
    <n v="9"/>
    <n v="5"/>
    <n v="7"/>
    <n v="2"/>
    <n v="2"/>
    <n v="1"/>
    <n v="0"/>
    <n v="1.29"/>
    <n v="0.71"/>
    <n v="2"/>
    <n v="1"/>
    <n v="1.71"/>
  </r>
  <r>
    <n v="38"/>
    <x v="13"/>
    <x v="1"/>
    <x v="5"/>
    <n v="26.1"/>
    <n v="43.8"/>
    <x v="1"/>
    <n v="44"/>
    <n v="360"/>
    <n v="4"/>
    <n v="4"/>
    <n v="3"/>
    <n v="3"/>
    <n v="1"/>
    <n v="1"/>
    <n v="5"/>
    <n v="0"/>
    <n v="1"/>
    <n v="0.75"/>
    <n v="1.75"/>
    <n v="0.75"/>
    <n v="1.5"/>
  </r>
  <r>
    <n v="39"/>
    <x v="28"/>
    <x v="1"/>
    <x v="3"/>
    <n v="24.3"/>
    <n v="52.3"/>
    <x v="0"/>
    <n v="33"/>
    <n v="270"/>
    <n v="3"/>
    <n v="2"/>
    <n v="1"/>
    <n v="2"/>
    <n v="0"/>
    <n v="0"/>
    <n v="4"/>
    <n v="0"/>
    <n v="0.67"/>
    <n v="0.33"/>
    <n v="1"/>
    <n v="0.67"/>
    <n v="1"/>
  </r>
  <r>
    <n v="40"/>
    <x v="14"/>
    <x v="1"/>
    <x v="0"/>
    <n v="24.3"/>
    <n v="49"/>
    <x v="1"/>
    <n v="44"/>
    <n v="360"/>
    <n v="4"/>
    <n v="3"/>
    <n v="3"/>
    <n v="3"/>
    <n v="0"/>
    <n v="0"/>
    <n v="3"/>
    <n v="0"/>
    <n v="0.75"/>
    <n v="0.75"/>
    <n v="1.5"/>
    <n v="0.75"/>
    <n v="1.5"/>
  </r>
  <r>
    <n v="41"/>
    <x v="15"/>
    <x v="1"/>
    <x v="7"/>
    <n v="24.9"/>
    <n v="46.7"/>
    <x v="0"/>
    <n v="33"/>
    <n v="270"/>
    <n v="3"/>
    <n v="2"/>
    <n v="2"/>
    <n v="2"/>
    <n v="0"/>
    <n v="0"/>
    <n v="4"/>
    <n v="0"/>
    <n v="0.67"/>
    <n v="0.67"/>
    <n v="1.33"/>
    <n v="0.67"/>
    <n v="1.33"/>
  </r>
  <r>
    <n v="42"/>
    <x v="16"/>
    <x v="1"/>
    <x v="3"/>
    <n v="24.6"/>
    <n v="48.3"/>
    <x v="0"/>
    <n v="33"/>
    <n v="270"/>
    <n v="3"/>
    <n v="3"/>
    <n v="3"/>
    <n v="3"/>
    <n v="0"/>
    <n v="0"/>
    <n v="6"/>
    <n v="1"/>
    <n v="1"/>
    <n v="1"/>
    <n v="2"/>
    <n v="1"/>
    <n v="2"/>
  </r>
  <r>
    <n v="43"/>
    <x v="17"/>
    <x v="1"/>
    <x v="0"/>
    <n v="26.7"/>
    <n v="54.5"/>
    <x v="1"/>
    <n v="44"/>
    <n v="360"/>
    <n v="4"/>
    <n v="9"/>
    <n v="6"/>
    <n v="9"/>
    <n v="0"/>
    <n v="0"/>
    <n v="1"/>
    <n v="0"/>
    <n v="2.25"/>
    <n v="1.5"/>
    <n v="3.75"/>
    <n v="2.25"/>
    <n v="3.75"/>
  </r>
  <r>
    <n v="44"/>
    <x v="20"/>
    <x v="1"/>
    <x v="3"/>
    <n v="25.3"/>
    <n v="50.7"/>
    <x v="0"/>
    <n v="33"/>
    <n v="270"/>
    <n v="3"/>
    <n v="2"/>
    <n v="2"/>
    <n v="2"/>
    <n v="0"/>
    <n v="0"/>
    <n v="3"/>
    <n v="0"/>
    <n v="0.67"/>
    <n v="0.67"/>
    <n v="1.33"/>
    <n v="0.67"/>
    <n v="1.33"/>
  </r>
  <r>
    <n v="45"/>
    <x v="21"/>
    <x v="1"/>
    <x v="0"/>
    <n v="28.1"/>
    <n v="49.3"/>
    <x v="1"/>
    <n v="44"/>
    <n v="360"/>
    <n v="4"/>
    <n v="4"/>
    <n v="2"/>
    <n v="4"/>
    <n v="0"/>
    <n v="0"/>
    <n v="0"/>
    <n v="0"/>
    <n v="1"/>
    <n v="0.5"/>
    <n v="1.5"/>
    <n v="1"/>
    <n v="1.5"/>
  </r>
  <r>
    <n v="46"/>
    <x v="29"/>
    <x v="1"/>
    <x v="3"/>
    <n v="25"/>
    <n v="55.3"/>
    <x v="1"/>
    <n v="44"/>
    <n v="360"/>
    <n v="4"/>
    <n v="9"/>
    <n v="7"/>
    <n v="8"/>
    <n v="1"/>
    <n v="1"/>
    <n v="4"/>
    <n v="0"/>
    <n v="2.25"/>
    <n v="1.75"/>
    <n v="4"/>
    <n v="2"/>
    <n v="3.75"/>
  </r>
  <r>
    <n v="47"/>
    <x v="22"/>
    <x v="1"/>
    <x v="3"/>
    <n v="25.7"/>
    <n v="40"/>
    <x v="0"/>
    <n v="33"/>
    <n v="270"/>
    <n v="3"/>
    <n v="3"/>
    <n v="3"/>
    <n v="3"/>
    <n v="0"/>
    <n v="0"/>
    <n v="3"/>
    <n v="0"/>
    <n v="1"/>
    <n v="1"/>
    <n v="2"/>
    <n v="1"/>
    <n v="2"/>
  </r>
  <r>
    <n v="48"/>
    <x v="23"/>
    <x v="1"/>
    <x v="1"/>
    <n v="28.4"/>
    <n v="52.9"/>
    <x v="2"/>
    <n v="77"/>
    <n v="630"/>
    <n v="7"/>
    <n v="14"/>
    <n v="7"/>
    <n v="12"/>
    <n v="2"/>
    <n v="2"/>
    <n v="2"/>
    <n v="0"/>
    <n v="2"/>
    <n v="1"/>
    <n v="3"/>
    <n v="1.71"/>
    <n v="2.71"/>
  </r>
  <r>
    <n v="49"/>
    <x v="1"/>
    <x v="2"/>
    <x v="1"/>
    <n v="22.8"/>
    <n v="53.5"/>
    <x v="1"/>
    <n v="44"/>
    <n v="360"/>
    <n v="4"/>
    <n v="6"/>
    <n v="6"/>
    <n v="6"/>
    <n v="0"/>
    <n v="0"/>
    <n v="0"/>
    <n v="0"/>
    <n v="1.5"/>
    <n v="1.5"/>
    <n v="3"/>
    <n v="1.5"/>
    <n v="3"/>
  </r>
  <r>
    <n v="50"/>
    <x v="2"/>
    <x v="2"/>
    <x v="2"/>
    <n v="27"/>
    <n v="53.3"/>
    <x v="1"/>
    <n v="44"/>
    <n v="390"/>
    <n v="4.3"/>
    <n v="9"/>
    <n v="6"/>
    <n v="7"/>
    <n v="2"/>
    <n v="2"/>
    <n v="0"/>
    <n v="0"/>
    <n v="2.08"/>
    <n v="1.38"/>
    <n v="3.46"/>
    <n v="1.62"/>
    <n v="3"/>
  </r>
  <r>
    <n v="51"/>
    <x v="4"/>
    <x v="2"/>
    <x v="5"/>
    <n v="25.9"/>
    <n v="47.3"/>
    <x v="0"/>
    <n v="33"/>
    <n v="270"/>
    <n v="3"/>
    <n v="1"/>
    <n v="0"/>
    <n v="1"/>
    <n v="0"/>
    <n v="0"/>
    <n v="0"/>
    <n v="0"/>
    <n v="0.33"/>
    <n v="0"/>
    <n v="0.33"/>
    <n v="0.33"/>
    <n v="0.33"/>
  </r>
  <r>
    <n v="52"/>
    <x v="24"/>
    <x v="2"/>
    <x v="3"/>
    <n v="22.4"/>
    <n v="49.3"/>
    <x v="0"/>
    <n v="33"/>
    <n v="270"/>
    <n v="3"/>
    <n v="0"/>
    <n v="0"/>
    <n v="0"/>
    <n v="0"/>
    <n v="0"/>
    <n v="0"/>
    <n v="0"/>
    <n v="0"/>
    <n v="0"/>
    <n v="0"/>
    <n v="0"/>
    <n v="0"/>
  </r>
  <r>
    <n v="53"/>
    <x v="7"/>
    <x v="2"/>
    <x v="0"/>
    <n v="26.9"/>
    <n v="49.3"/>
    <x v="1"/>
    <n v="44"/>
    <n v="390"/>
    <n v="4.3"/>
    <n v="6"/>
    <n v="7"/>
    <n v="6"/>
    <n v="0"/>
    <n v="0"/>
    <n v="0"/>
    <n v="0"/>
    <n v="1.38"/>
    <n v="1.62"/>
    <n v="3"/>
    <n v="1.38"/>
    <n v="3"/>
  </r>
  <r>
    <n v="54"/>
    <x v="30"/>
    <x v="2"/>
    <x v="7"/>
    <n v="26.1"/>
    <n v="40.700000000000003"/>
    <x v="0"/>
    <n v="33"/>
    <n v="270"/>
    <n v="3"/>
    <n v="2"/>
    <n v="0"/>
    <n v="2"/>
    <n v="0"/>
    <n v="0"/>
    <m/>
    <m/>
    <n v="0.67"/>
    <n v="0"/>
    <n v="0.67"/>
    <n v="0.67"/>
    <n v="0.67"/>
  </r>
  <r>
    <n v="55"/>
    <x v="8"/>
    <x v="2"/>
    <x v="1"/>
    <n v="26.7"/>
    <n v="52.3"/>
    <x v="4"/>
    <n v="66"/>
    <n v="570"/>
    <n v="6.3"/>
    <n v="10"/>
    <n v="9"/>
    <n v="10"/>
    <n v="0"/>
    <n v="0"/>
    <n v="0"/>
    <n v="0"/>
    <n v="1.58"/>
    <n v="1.42"/>
    <n v="3"/>
    <n v="1.58"/>
    <n v="3"/>
  </r>
  <r>
    <n v="56"/>
    <x v="9"/>
    <x v="2"/>
    <x v="3"/>
    <n v="26.4"/>
    <n v="50"/>
    <x v="1"/>
    <n v="44"/>
    <n v="390"/>
    <n v="4.3"/>
    <n v="7"/>
    <n v="6"/>
    <n v="6"/>
    <n v="1"/>
    <n v="1"/>
    <n v="0"/>
    <n v="0"/>
    <n v="1.62"/>
    <n v="1.38"/>
    <n v="3"/>
    <n v="1.38"/>
    <n v="2.77"/>
  </r>
  <r>
    <n v="57"/>
    <x v="12"/>
    <x v="2"/>
    <x v="0"/>
    <n v="25.4"/>
    <n v="56.5"/>
    <x v="4"/>
    <n v="66"/>
    <n v="600"/>
    <n v="6.7"/>
    <n v="12"/>
    <n v="10"/>
    <n v="12"/>
    <n v="0"/>
    <n v="0"/>
    <n v="0"/>
    <n v="0"/>
    <n v="1.8"/>
    <n v="1.5"/>
    <n v="3.3"/>
    <n v="1.8"/>
    <n v="3.3"/>
  </r>
  <r>
    <n v="58"/>
    <x v="31"/>
    <x v="2"/>
    <x v="3"/>
    <n v="21.1"/>
    <n v="50.7"/>
    <x v="0"/>
    <n v="33"/>
    <n v="270"/>
    <n v="3"/>
    <n v="0"/>
    <n v="0"/>
    <n v="0"/>
    <n v="0"/>
    <n v="0"/>
    <m/>
    <m/>
    <n v="0"/>
    <n v="0"/>
    <n v="0"/>
    <n v="0"/>
    <n v="0"/>
  </r>
  <r>
    <n v="59"/>
    <x v="28"/>
    <x v="2"/>
    <x v="0"/>
    <n v="23.1"/>
    <n v="47.7"/>
    <x v="0"/>
    <n v="33"/>
    <n v="270"/>
    <n v="3"/>
    <n v="3"/>
    <n v="3"/>
    <n v="3"/>
    <n v="0"/>
    <n v="0"/>
    <n v="0"/>
    <n v="0"/>
    <n v="1"/>
    <n v="1"/>
    <n v="2"/>
    <n v="1"/>
    <n v="2"/>
  </r>
  <r>
    <n v="60"/>
    <x v="15"/>
    <x v="2"/>
    <x v="2"/>
    <n v="24.4"/>
    <n v="45.7"/>
    <x v="0"/>
    <n v="33"/>
    <n v="270"/>
    <n v="3"/>
    <n v="4"/>
    <n v="3"/>
    <n v="4"/>
    <n v="0"/>
    <n v="0"/>
    <n v="0"/>
    <n v="0"/>
    <n v="1.33"/>
    <n v="1"/>
    <n v="2.33"/>
    <n v="1.33"/>
    <n v="2.33"/>
  </r>
  <r>
    <n v="61"/>
    <x v="16"/>
    <x v="2"/>
    <x v="3"/>
    <n v="24.3"/>
    <n v="50.7"/>
    <x v="0"/>
    <n v="33"/>
    <n v="270"/>
    <n v="3"/>
    <n v="1"/>
    <n v="0"/>
    <n v="1"/>
    <n v="0"/>
    <n v="0"/>
    <n v="0"/>
    <n v="0"/>
    <n v="0.33"/>
    <n v="0"/>
    <n v="0.33"/>
    <n v="0.33"/>
    <n v="0.33"/>
  </r>
  <r>
    <n v="62"/>
    <x v="17"/>
    <x v="2"/>
    <x v="0"/>
    <n v="24.7"/>
    <n v="50.7"/>
    <x v="0"/>
    <n v="33"/>
    <n v="270"/>
    <n v="3"/>
    <n v="2"/>
    <n v="1"/>
    <n v="2"/>
    <n v="0"/>
    <n v="0"/>
    <n v="0"/>
    <n v="0"/>
    <n v="0.67"/>
    <n v="0.33"/>
    <n v="1"/>
    <n v="0.67"/>
    <n v="1"/>
  </r>
  <r>
    <n v="63"/>
    <x v="21"/>
    <x v="2"/>
    <x v="5"/>
    <n v="28.4"/>
    <n v="45.3"/>
    <x v="4"/>
    <n v="66"/>
    <n v="540"/>
    <n v="6"/>
    <n v="10"/>
    <n v="4"/>
    <n v="9"/>
    <n v="1"/>
    <n v="1"/>
    <n v="0"/>
    <n v="0"/>
    <n v="1.67"/>
    <n v="0.67"/>
    <n v="2.33"/>
    <n v="1.5"/>
    <n v="2.17"/>
  </r>
  <r>
    <n v="64"/>
    <x v="23"/>
    <x v="2"/>
    <x v="0"/>
    <n v="28.3"/>
    <n v="50.5"/>
    <x v="4"/>
    <n v="66"/>
    <n v="600"/>
    <n v="6.7"/>
    <n v="12"/>
    <n v="9"/>
    <n v="12"/>
    <n v="0"/>
    <n v="0"/>
    <n v="0"/>
    <n v="0"/>
    <n v="1.8"/>
    <n v="1.35"/>
    <n v="3.15"/>
    <n v="1.8"/>
    <n v="3.15"/>
  </r>
  <r>
    <n v="65"/>
    <x v="0"/>
    <x v="3"/>
    <x v="5"/>
    <n v="21"/>
    <n v="38.299999999999997"/>
    <x v="0"/>
    <n v="33"/>
    <n v="270"/>
    <n v="3"/>
    <n v="1"/>
    <n v="0"/>
    <n v="1"/>
    <n v="0"/>
    <n v="0"/>
    <m/>
    <m/>
    <n v="0.33"/>
    <n v="0"/>
    <n v="0.33"/>
    <n v="0.33"/>
    <n v="0.33"/>
  </r>
  <r>
    <n v="66"/>
    <x v="1"/>
    <x v="3"/>
    <x v="0"/>
    <n v="24.7"/>
    <n v="48.3"/>
    <x v="1"/>
    <n v="44"/>
    <n v="360"/>
    <n v="4"/>
    <n v="9"/>
    <n v="6"/>
    <n v="9"/>
    <n v="0"/>
    <n v="0"/>
    <m/>
    <m/>
    <n v="2.25"/>
    <n v="1.5"/>
    <n v="3.75"/>
    <n v="2.25"/>
    <n v="3.75"/>
  </r>
  <r>
    <n v="67"/>
    <x v="2"/>
    <x v="3"/>
    <x v="2"/>
    <n v="25.7"/>
    <n v="61.3"/>
    <x v="4"/>
    <n v="66"/>
    <n v="540"/>
    <n v="6"/>
    <n v="16"/>
    <n v="7"/>
    <n v="16"/>
    <n v="0"/>
    <n v="0"/>
    <m/>
    <m/>
    <n v="2.67"/>
    <n v="1.17"/>
    <n v="3.83"/>
    <n v="2.67"/>
    <n v="3.83"/>
  </r>
  <r>
    <n v="68"/>
    <x v="4"/>
    <x v="3"/>
    <x v="0"/>
    <n v="23.8"/>
    <n v="39.299999999999997"/>
    <x v="0"/>
    <n v="33"/>
    <n v="270"/>
    <n v="3"/>
    <n v="7"/>
    <n v="3"/>
    <n v="7"/>
    <n v="0"/>
    <n v="0"/>
    <m/>
    <m/>
    <n v="2.33"/>
    <n v="1"/>
    <n v="3.33"/>
    <n v="2.33"/>
    <n v="3.33"/>
  </r>
  <r>
    <n v="69"/>
    <x v="6"/>
    <x v="3"/>
    <x v="0"/>
    <n v="24.9"/>
    <n v="47.3"/>
    <x v="1"/>
    <n v="44"/>
    <n v="360"/>
    <n v="4"/>
    <n v="5"/>
    <n v="0"/>
    <n v="5"/>
    <n v="0"/>
    <n v="0"/>
    <m/>
    <m/>
    <n v="1.25"/>
    <n v="0"/>
    <n v="1.25"/>
    <n v="1.25"/>
    <n v="1.25"/>
  </r>
  <r>
    <n v="70"/>
    <x v="32"/>
    <x v="3"/>
    <x v="2"/>
    <n v="26.9"/>
    <n v="50.7"/>
    <x v="0"/>
    <n v="33"/>
    <n v="270"/>
    <n v="3"/>
    <n v="4"/>
    <n v="2"/>
    <n v="4"/>
    <n v="0"/>
    <n v="0"/>
    <m/>
    <m/>
    <n v="1.33"/>
    <n v="0.67"/>
    <n v="2"/>
    <n v="1.33"/>
    <n v="2"/>
  </r>
  <r>
    <n v="71"/>
    <x v="7"/>
    <x v="3"/>
    <x v="0"/>
    <n v="24.8"/>
    <n v="52.5"/>
    <x v="1"/>
    <n v="44"/>
    <n v="360"/>
    <n v="4"/>
    <n v="7"/>
    <n v="5"/>
    <n v="5"/>
    <n v="2"/>
    <n v="2"/>
    <m/>
    <m/>
    <n v="1.75"/>
    <n v="1.25"/>
    <n v="3"/>
    <n v="1.25"/>
    <n v="2.5"/>
  </r>
  <r>
    <n v="72"/>
    <x v="9"/>
    <x v="3"/>
    <x v="3"/>
    <n v="26.5"/>
    <n v="49.5"/>
    <x v="4"/>
    <n v="66"/>
    <n v="540"/>
    <n v="6"/>
    <n v="20"/>
    <n v="11"/>
    <n v="19"/>
    <n v="1"/>
    <n v="1"/>
    <m/>
    <m/>
    <n v="3.33"/>
    <n v="1.83"/>
    <n v="5.17"/>
    <n v="3.17"/>
    <n v="5"/>
  </r>
  <r>
    <n v="73"/>
    <x v="33"/>
    <x v="3"/>
    <x v="5"/>
    <n v="24.5"/>
    <n v="52.3"/>
    <x v="0"/>
    <n v="33"/>
    <n v="270"/>
    <n v="3"/>
    <n v="3"/>
    <n v="0"/>
    <n v="2"/>
    <n v="1"/>
    <n v="1"/>
    <m/>
    <m/>
    <n v="1"/>
    <n v="0"/>
    <n v="1"/>
    <n v="0.67"/>
    <n v="0.67"/>
  </r>
  <r>
    <n v="74"/>
    <x v="12"/>
    <x v="3"/>
    <x v="2"/>
    <n v="24.7"/>
    <n v="56"/>
    <x v="0"/>
    <n v="33"/>
    <n v="270"/>
    <n v="3"/>
    <n v="3"/>
    <n v="0"/>
    <n v="3"/>
    <n v="0"/>
    <n v="0"/>
    <m/>
    <m/>
    <n v="1"/>
    <n v="0"/>
    <n v="1"/>
    <n v="1"/>
    <n v="1"/>
  </r>
  <r>
    <n v="75"/>
    <x v="31"/>
    <x v="3"/>
    <x v="7"/>
    <n v="22.8"/>
    <n v="52.8"/>
    <x v="1"/>
    <n v="44"/>
    <n v="360"/>
    <n v="4"/>
    <n v="5"/>
    <n v="1"/>
    <n v="5"/>
    <n v="0"/>
    <n v="0"/>
    <m/>
    <m/>
    <n v="1.25"/>
    <n v="0.25"/>
    <n v="1.5"/>
    <n v="1.25"/>
    <n v="1.5"/>
  </r>
  <r>
    <n v="76"/>
    <x v="15"/>
    <x v="3"/>
    <x v="0"/>
    <n v="24.5"/>
    <n v="39.700000000000003"/>
    <x v="0"/>
    <n v="33"/>
    <n v="270"/>
    <n v="3"/>
    <n v="0"/>
    <n v="0"/>
    <n v="0"/>
    <n v="0"/>
    <n v="0"/>
    <m/>
    <m/>
    <n v="0"/>
    <n v="0"/>
    <n v="0"/>
    <n v="0"/>
    <n v="0"/>
  </r>
  <r>
    <n v="77"/>
    <x v="16"/>
    <x v="3"/>
    <x v="7"/>
    <n v="23.6"/>
    <n v="51"/>
    <x v="0"/>
    <n v="33"/>
    <n v="270"/>
    <n v="3"/>
    <n v="1"/>
    <n v="0"/>
    <n v="1"/>
    <n v="0"/>
    <n v="0"/>
    <m/>
    <m/>
    <n v="0.33"/>
    <n v="0"/>
    <n v="0.33"/>
    <n v="0.33"/>
    <n v="0.33"/>
  </r>
  <r>
    <n v="78"/>
    <x v="17"/>
    <x v="3"/>
    <x v="5"/>
    <n v="26.3"/>
    <n v="53.7"/>
    <x v="4"/>
    <n v="66"/>
    <n v="540"/>
    <n v="6"/>
    <n v="12"/>
    <n v="10"/>
    <n v="11"/>
    <n v="1"/>
    <n v="1"/>
    <m/>
    <m/>
    <n v="2"/>
    <n v="1.67"/>
    <n v="3.67"/>
    <n v="1.83"/>
    <n v="3.5"/>
  </r>
  <r>
    <n v="79"/>
    <x v="21"/>
    <x v="3"/>
    <x v="2"/>
    <n v="26.1"/>
    <n v="49.7"/>
    <x v="0"/>
    <n v="33"/>
    <n v="270"/>
    <n v="3"/>
    <n v="3"/>
    <n v="3"/>
    <n v="3"/>
    <n v="0"/>
    <n v="0"/>
    <m/>
    <m/>
    <n v="1"/>
    <n v="1"/>
    <n v="2"/>
    <n v="1"/>
    <n v="2"/>
  </r>
  <r>
    <n v="80"/>
    <x v="23"/>
    <x v="3"/>
    <x v="0"/>
    <n v="26.7"/>
    <n v="46.5"/>
    <x v="4"/>
    <n v="66"/>
    <n v="540"/>
    <n v="6"/>
    <n v="12"/>
    <n v="3"/>
    <n v="11"/>
    <n v="1"/>
    <n v="1"/>
    <m/>
    <m/>
    <n v="2"/>
    <n v="0.5"/>
    <n v="2.5"/>
    <n v="1.83"/>
    <n v="2.33"/>
  </r>
  <r>
    <n v="81"/>
    <x v="0"/>
    <x v="4"/>
    <x v="2"/>
    <n v="23"/>
    <n v="49"/>
    <x v="0"/>
    <n v="33"/>
    <n v="270"/>
    <n v="3"/>
    <n v="1"/>
    <n v="0"/>
    <n v="1"/>
    <n v="0"/>
    <n v="0"/>
    <m/>
    <m/>
    <n v="0.33"/>
    <n v="0"/>
    <n v="0.33"/>
    <n v="0.33"/>
    <n v="0.33"/>
  </r>
  <r>
    <n v="82"/>
    <x v="1"/>
    <x v="4"/>
    <x v="2"/>
    <n v="23.4"/>
    <n v="49"/>
    <x v="0"/>
    <n v="33"/>
    <n v="270"/>
    <n v="3"/>
    <n v="3"/>
    <n v="0"/>
    <n v="3"/>
    <n v="0"/>
    <n v="0"/>
    <m/>
    <m/>
    <n v="1"/>
    <n v="0"/>
    <n v="1"/>
    <n v="1"/>
    <n v="1"/>
  </r>
  <r>
    <n v="83"/>
    <x v="2"/>
    <x v="4"/>
    <x v="2"/>
    <n v="22.4"/>
    <n v="55"/>
    <x v="1"/>
    <n v="44"/>
    <n v="360"/>
    <n v="4"/>
    <n v="9"/>
    <n v="0"/>
    <n v="9"/>
    <n v="0"/>
    <n v="0"/>
    <m/>
    <m/>
    <n v="2.25"/>
    <n v="0"/>
    <n v="2.25"/>
    <n v="2.25"/>
    <n v="2.25"/>
  </r>
  <r>
    <n v="84"/>
    <x v="4"/>
    <x v="4"/>
    <x v="3"/>
    <n v="22.7"/>
    <n v="41.7"/>
    <x v="4"/>
    <n v="66"/>
    <n v="540"/>
    <n v="6"/>
    <n v="10"/>
    <n v="0"/>
    <n v="10"/>
    <n v="0"/>
    <n v="0"/>
    <m/>
    <m/>
    <n v="1.67"/>
    <n v="0"/>
    <n v="1.67"/>
    <n v="1.67"/>
    <n v="1.67"/>
  </r>
  <r>
    <n v="85"/>
    <x v="6"/>
    <x v="4"/>
    <x v="0"/>
    <n v="27"/>
    <n v="61"/>
    <x v="1"/>
    <n v="44"/>
    <n v="360"/>
    <n v="4"/>
    <n v="3"/>
    <n v="0"/>
    <n v="3"/>
    <n v="0"/>
    <n v="0"/>
    <m/>
    <m/>
    <n v="0.75"/>
    <n v="0"/>
    <n v="0.75"/>
    <n v="0.75"/>
    <n v="0.75"/>
  </r>
  <r>
    <n v="86"/>
    <x v="8"/>
    <x v="4"/>
    <x v="3"/>
    <n v="25.2"/>
    <n v="46.3"/>
    <x v="0"/>
    <n v="33"/>
    <n v="270"/>
    <n v="3"/>
    <n v="2"/>
    <n v="0"/>
    <n v="2"/>
    <n v="0"/>
    <n v="0"/>
    <m/>
    <m/>
    <n v="0.67"/>
    <n v="0"/>
    <n v="0.67"/>
    <n v="0.67"/>
    <n v="0.67"/>
  </r>
  <r>
    <n v="87"/>
    <x v="9"/>
    <x v="4"/>
    <x v="5"/>
    <n v="27"/>
    <n v="51.8"/>
    <x v="4"/>
    <n v="66"/>
    <n v="570"/>
    <n v="6.3"/>
    <n v="25"/>
    <n v="0"/>
    <n v="25"/>
    <n v="0"/>
    <n v="0"/>
    <m/>
    <m/>
    <n v="3.95"/>
    <n v="0"/>
    <n v="3.95"/>
    <n v="3.95"/>
    <n v="3.95"/>
  </r>
  <r>
    <n v="88"/>
    <x v="33"/>
    <x v="4"/>
    <x v="7"/>
    <n v="25.4"/>
    <n v="47.7"/>
    <x v="0"/>
    <n v="33"/>
    <n v="270"/>
    <n v="3"/>
    <n v="2"/>
    <n v="0"/>
    <n v="2"/>
    <n v="0"/>
    <n v="0"/>
    <m/>
    <m/>
    <n v="0.67"/>
    <n v="0"/>
    <n v="0.67"/>
    <n v="0.67"/>
    <n v="0.67"/>
  </r>
  <r>
    <n v="89"/>
    <x v="12"/>
    <x v="4"/>
    <x v="2"/>
    <n v="24.2"/>
    <n v="54.7"/>
    <x v="0"/>
    <n v="33"/>
    <n v="270"/>
    <n v="3"/>
    <n v="7"/>
    <n v="0"/>
    <n v="7"/>
    <n v="0"/>
    <n v="0"/>
    <m/>
    <m/>
    <n v="2.33"/>
    <n v="0"/>
    <n v="2.33"/>
    <n v="2.33"/>
    <n v="2.33"/>
  </r>
  <r>
    <n v="90"/>
    <x v="31"/>
    <x v="4"/>
    <x v="7"/>
    <n v="24.6"/>
    <n v="52.3"/>
    <x v="0"/>
    <n v="33"/>
    <n v="270"/>
    <n v="3"/>
    <n v="3"/>
    <n v="0"/>
    <n v="3"/>
    <n v="0"/>
    <n v="0"/>
    <m/>
    <m/>
    <n v="1"/>
    <n v="0"/>
    <n v="1"/>
    <n v="1"/>
    <n v="1"/>
  </r>
  <r>
    <n v="91"/>
    <x v="13"/>
    <x v="4"/>
    <x v="0"/>
    <n v="22.2"/>
    <n v="48.7"/>
    <x v="0"/>
    <n v="33"/>
    <n v="270"/>
    <n v="3"/>
    <n v="1"/>
    <n v="0"/>
    <n v="1"/>
    <n v="0"/>
    <n v="0"/>
    <m/>
    <m/>
    <n v="0.33"/>
    <n v="0"/>
    <n v="0.33"/>
    <n v="0.33"/>
    <n v="0.33"/>
  </r>
  <r>
    <n v="92"/>
    <x v="16"/>
    <x v="4"/>
    <x v="2"/>
    <n v="24.7"/>
    <n v="51.3"/>
    <x v="0"/>
    <n v="33"/>
    <n v="270"/>
    <n v="3"/>
    <n v="0"/>
    <n v="0"/>
    <n v="0"/>
    <n v="0"/>
    <n v="0"/>
    <m/>
    <m/>
    <n v="0"/>
    <n v="0"/>
    <n v="0"/>
    <n v="0"/>
    <n v="0"/>
  </r>
  <r>
    <n v="93"/>
    <x v="17"/>
    <x v="4"/>
    <x v="2"/>
    <n v="25.3"/>
    <n v="48"/>
    <x v="1"/>
    <n v="44"/>
    <n v="360"/>
    <n v="4"/>
    <n v="10"/>
    <n v="1"/>
    <n v="10"/>
    <n v="0"/>
    <n v="0"/>
    <m/>
    <m/>
    <n v="2.5"/>
    <n v="0.25"/>
    <n v="2.75"/>
    <n v="2.5"/>
    <n v="2.75"/>
  </r>
  <r>
    <n v="94"/>
    <x v="34"/>
    <x v="4"/>
    <x v="3"/>
    <n v="28.1"/>
    <n v="45"/>
    <x v="1"/>
    <n v="44"/>
    <n v="360"/>
    <n v="4"/>
    <n v="5"/>
    <n v="1"/>
    <n v="5"/>
    <n v="0"/>
    <n v="0"/>
    <m/>
    <m/>
    <n v="1.25"/>
    <n v="0.25"/>
    <n v="1.5"/>
    <n v="1.25"/>
    <n v="1.5"/>
  </r>
  <r>
    <n v="95"/>
    <x v="21"/>
    <x v="4"/>
    <x v="0"/>
    <n v="25.9"/>
    <n v="48.2"/>
    <x v="4"/>
    <n v="66"/>
    <n v="570"/>
    <n v="6.3"/>
    <n v="10"/>
    <n v="0"/>
    <n v="10"/>
    <n v="0"/>
    <n v="0"/>
    <m/>
    <m/>
    <n v="1.58"/>
    <n v="0"/>
    <n v="1.58"/>
    <n v="1.58"/>
    <n v="1.58"/>
  </r>
  <r>
    <n v="96"/>
    <x v="23"/>
    <x v="4"/>
    <x v="0"/>
    <n v="28.1"/>
    <n v="52.8"/>
    <x v="4"/>
    <n v="66"/>
    <n v="540"/>
    <n v="6"/>
    <n v="15"/>
    <n v="4"/>
    <n v="15"/>
    <n v="0"/>
    <n v="0"/>
    <m/>
    <m/>
    <n v="2.5"/>
    <n v="0.67"/>
    <n v="3.17"/>
    <n v="2.5"/>
    <n v="3.17"/>
  </r>
  <r>
    <n v="97"/>
    <x v="1"/>
    <x v="5"/>
    <x v="3"/>
    <n v="25"/>
    <m/>
    <x v="0"/>
    <n v="33"/>
    <n v="270"/>
    <n v="3"/>
    <n v="3"/>
    <n v="1"/>
    <n v="3"/>
    <n v="0"/>
    <n v="0"/>
    <m/>
    <m/>
    <n v="1"/>
    <n v="0.33"/>
    <n v="1.33"/>
    <n v="1"/>
    <n v="1.33"/>
  </r>
  <r>
    <n v="98"/>
    <x v="2"/>
    <x v="5"/>
    <x v="7"/>
    <n v="25"/>
    <m/>
    <x v="4"/>
    <n v="66"/>
    <n v="554"/>
    <n v="6.2"/>
    <n v="16"/>
    <n v="10"/>
    <n v="16"/>
    <n v="0"/>
    <n v="0"/>
    <m/>
    <m/>
    <n v="2.6"/>
    <n v="1.62"/>
    <n v="4.22"/>
    <n v="2.6"/>
    <n v="4.22"/>
  </r>
  <r>
    <n v="99"/>
    <x v="4"/>
    <x v="5"/>
    <x v="7"/>
    <n v="25.9"/>
    <m/>
    <x v="0"/>
    <n v="33"/>
    <n v="270"/>
    <n v="3"/>
    <n v="3"/>
    <n v="3"/>
    <n v="3"/>
    <n v="0"/>
    <n v="0"/>
    <m/>
    <m/>
    <n v="1"/>
    <n v="1"/>
    <n v="2"/>
    <n v="1"/>
    <n v="2"/>
  </r>
  <r>
    <n v="100"/>
    <x v="6"/>
    <x v="5"/>
    <x v="9"/>
    <n v="26.6"/>
    <m/>
    <x v="4"/>
    <n v="66"/>
    <n v="570"/>
    <n v="6.3"/>
    <n v="19"/>
    <n v="9"/>
    <n v="18"/>
    <n v="1"/>
    <n v="1"/>
    <m/>
    <m/>
    <n v="3"/>
    <n v="1.42"/>
    <n v="4.42"/>
    <n v="2.84"/>
    <n v="4.26"/>
  </r>
  <r>
    <n v="101"/>
    <x v="32"/>
    <x v="5"/>
    <x v="3"/>
    <n v="25.5"/>
    <m/>
    <x v="0"/>
    <n v="33"/>
    <n v="270"/>
    <n v="3"/>
    <n v="1"/>
    <n v="0"/>
    <n v="1"/>
    <n v="0"/>
    <n v="0"/>
    <m/>
    <m/>
    <n v="0.33"/>
    <n v="0"/>
    <n v="0.33"/>
    <n v="0.33"/>
    <n v="0.33"/>
  </r>
  <r>
    <n v="102"/>
    <x v="9"/>
    <x v="5"/>
    <x v="0"/>
    <n v="24.4"/>
    <m/>
    <x v="1"/>
    <n v="44"/>
    <n v="360"/>
    <n v="4"/>
    <n v="11"/>
    <n v="4"/>
    <n v="11"/>
    <n v="0"/>
    <n v="0"/>
    <m/>
    <m/>
    <n v="2.75"/>
    <n v="1"/>
    <n v="3.75"/>
    <n v="2.75"/>
    <n v="3.75"/>
  </r>
  <r>
    <n v="103"/>
    <x v="33"/>
    <x v="5"/>
    <x v="2"/>
    <n v="23.6"/>
    <m/>
    <x v="0"/>
    <n v="33"/>
    <n v="270"/>
    <n v="3"/>
    <n v="1"/>
    <n v="0"/>
    <n v="1"/>
    <n v="0"/>
    <n v="0"/>
    <m/>
    <m/>
    <n v="0.33"/>
    <n v="0"/>
    <n v="0.33"/>
    <n v="0.33"/>
    <n v="0.33"/>
  </r>
  <r>
    <n v="104"/>
    <x v="10"/>
    <x v="5"/>
    <x v="3"/>
    <n v="26.7"/>
    <m/>
    <x v="0"/>
    <n v="33"/>
    <n v="270"/>
    <n v="3"/>
    <n v="3"/>
    <n v="1"/>
    <n v="3"/>
    <n v="0"/>
    <n v="0"/>
    <m/>
    <m/>
    <n v="1"/>
    <n v="0.33"/>
    <n v="1.33"/>
    <n v="1"/>
    <n v="1.33"/>
  </r>
  <r>
    <n v="105"/>
    <x v="12"/>
    <x v="5"/>
    <x v="7"/>
    <n v="23"/>
    <m/>
    <x v="0"/>
    <n v="33"/>
    <n v="270"/>
    <n v="3"/>
    <n v="1"/>
    <n v="1"/>
    <n v="1"/>
    <n v="0"/>
    <n v="0"/>
    <m/>
    <m/>
    <n v="0.33"/>
    <n v="0.33"/>
    <n v="0.67"/>
    <n v="0.33"/>
    <n v="0.67"/>
  </r>
  <r>
    <n v="106"/>
    <x v="31"/>
    <x v="5"/>
    <x v="2"/>
    <n v="24.5"/>
    <m/>
    <x v="0"/>
    <n v="33"/>
    <n v="270"/>
    <n v="3"/>
    <n v="4"/>
    <n v="2"/>
    <n v="4"/>
    <n v="0"/>
    <n v="0"/>
    <m/>
    <m/>
    <n v="1.33"/>
    <n v="0.67"/>
    <n v="2"/>
    <n v="1.33"/>
    <n v="2"/>
  </r>
  <r>
    <n v="107"/>
    <x v="28"/>
    <x v="5"/>
    <x v="7"/>
    <n v="21.5"/>
    <m/>
    <x v="0"/>
    <n v="33"/>
    <n v="270"/>
    <n v="3"/>
    <n v="1"/>
    <n v="0"/>
    <n v="1"/>
    <n v="0"/>
    <n v="0"/>
    <m/>
    <m/>
    <n v="0.33"/>
    <n v="0"/>
    <n v="0.33"/>
    <n v="0.33"/>
    <n v="0.33"/>
  </r>
  <r>
    <n v="108"/>
    <x v="16"/>
    <x v="5"/>
    <x v="2"/>
    <n v="23.5"/>
    <m/>
    <x v="1"/>
    <n v="44"/>
    <n v="374"/>
    <n v="4.2"/>
    <n v="8"/>
    <n v="3"/>
    <n v="8"/>
    <n v="0"/>
    <n v="0"/>
    <m/>
    <m/>
    <n v="1.93"/>
    <n v="0.72"/>
    <n v="2.65"/>
    <n v="1.93"/>
    <n v="2.65"/>
  </r>
  <r>
    <n v="109"/>
    <x v="17"/>
    <x v="5"/>
    <x v="5"/>
    <n v="25.1"/>
    <m/>
    <x v="4"/>
    <n v="66"/>
    <n v="540"/>
    <n v="6"/>
    <n v="15"/>
    <n v="10"/>
    <n v="15"/>
    <n v="0"/>
    <n v="0"/>
    <m/>
    <m/>
    <n v="2.5"/>
    <n v="1.67"/>
    <n v="4.17"/>
    <n v="2.5"/>
    <n v="4.17"/>
  </r>
  <r>
    <n v="110"/>
    <x v="34"/>
    <x v="5"/>
    <x v="7"/>
    <n v="25.6"/>
    <m/>
    <x v="1"/>
    <n v="44"/>
    <n v="360"/>
    <n v="4"/>
    <n v="10"/>
    <n v="9"/>
    <n v="10"/>
    <n v="0"/>
    <n v="0"/>
    <m/>
    <m/>
    <n v="2.5"/>
    <n v="2.25"/>
    <n v="4.75"/>
    <n v="2.5"/>
    <n v="4.75"/>
  </r>
  <r>
    <n v="111"/>
    <x v="21"/>
    <x v="5"/>
    <x v="3"/>
    <n v="24.6"/>
    <m/>
    <x v="1"/>
    <n v="44"/>
    <n v="360"/>
    <n v="4"/>
    <n v="7"/>
    <n v="5"/>
    <n v="7"/>
    <n v="0"/>
    <n v="0"/>
    <m/>
    <m/>
    <n v="1.75"/>
    <n v="1.25"/>
    <n v="3"/>
    <n v="1.75"/>
    <n v="3"/>
  </r>
  <r>
    <n v="112"/>
    <x v="23"/>
    <x v="5"/>
    <x v="0"/>
    <n v="27.4"/>
    <m/>
    <x v="4"/>
    <n v="66"/>
    <n v="570"/>
    <n v="6.3"/>
    <n v="17"/>
    <n v="15"/>
    <n v="16"/>
    <n v="1"/>
    <n v="1"/>
    <m/>
    <m/>
    <n v="2.68"/>
    <n v="2.37"/>
    <n v="5.05"/>
    <n v="2.5299999999999998"/>
    <n v="4.8899999999999997"/>
  </r>
  <r>
    <n v="113"/>
    <x v="1"/>
    <x v="6"/>
    <x v="3"/>
    <n v="25"/>
    <m/>
    <x v="0"/>
    <n v="33"/>
    <n v="270"/>
    <n v="3"/>
    <n v="3"/>
    <n v="0"/>
    <n v="3"/>
    <n v="0"/>
    <n v="0"/>
    <m/>
    <m/>
    <n v="1"/>
    <n v="0"/>
    <n v="1"/>
    <n v="1"/>
    <n v="1"/>
  </r>
  <r>
    <n v="114"/>
    <x v="2"/>
    <x v="6"/>
    <x v="2"/>
    <n v="27.9"/>
    <m/>
    <x v="0"/>
    <n v="33"/>
    <n v="270"/>
    <n v="3"/>
    <n v="3"/>
    <n v="1"/>
    <n v="3"/>
    <n v="0"/>
    <n v="0"/>
    <m/>
    <m/>
    <n v="1"/>
    <n v="0.33"/>
    <n v="1.33"/>
    <n v="1"/>
    <n v="1.33"/>
  </r>
  <r>
    <n v="115"/>
    <x v="4"/>
    <x v="6"/>
    <x v="7"/>
    <n v="26.2"/>
    <m/>
    <x v="0"/>
    <n v="33"/>
    <n v="270"/>
    <n v="3"/>
    <n v="5"/>
    <n v="0"/>
    <n v="5"/>
    <n v="0"/>
    <n v="0"/>
    <m/>
    <m/>
    <n v="1.67"/>
    <n v="0"/>
    <n v="1.67"/>
    <n v="1.67"/>
    <n v="1.67"/>
  </r>
  <r>
    <n v="116"/>
    <x v="6"/>
    <x v="6"/>
    <x v="2"/>
    <n v="24.3"/>
    <m/>
    <x v="4"/>
    <n v="66"/>
    <n v="570"/>
    <n v="6.3"/>
    <n v="11"/>
    <n v="0"/>
    <n v="11"/>
    <n v="0"/>
    <n v="0"/>
    <m/>
    <m/>
    <n v="1.74"/>
    <n v="0"/>
    <n v="1.74"/>
    <n v="1.74"/>
    <n v="1.74"/>
  </r>
  <r>
    <n v="117"/>
    <x v="32"/>
    <x v="6"/>
    <x v="3"/>
    <n v="21.3"/>
    <m/>
    <x v="1"/>
    <n v="44"/>
    <n v="360"/>
    <n v="4"/>
    <n v="7"/>
    <n v="0"/>
    <n v="7"/>
    <n v="0"/>
    <n v="0"/>
    <m/>
    <m/>
    <n v="1.75"/>
    <n v="0"/>
    <n v="1.75"/>
    <n v="1.75"/>
    <n v="1.75"/>
  </r>
  <r>
    <n v="118"/>
    <x v="7"/>
    <x v="6"/>
    <x v="2"/>
    <n v="27.8"/>
    <m/>
    <x v="1"/>
    <n v="44"/>
    <n v="360"/>
    <n v="4"/>
    <n v="6"/>
    <n v="0"/>
    <n v="6"/>
    <n v="0"/>
    <n v="0"/>
    <m/>
    <m/>
    <n v="1.5"/>
    <n v="0"/>
    <n v="1.5"/>
    <n v="1.5"/>
    <n v="1.5"/>
  </r>
  <r>
    <n v="119"/>
    <x v="9"/>
    <x v="6"/>
    <x v="3"/>
    <n v="25.3"/>
    <m/>
    <x v="4"/>
    <n v="66"/>
    <n v="540"/>
    <n v="6"/>
    <n v="13"/>
    <n v="0"/>
    <n v="13"/>
    <n v="0"/>
    <n v="0"/>
    <m/>
    <m/>
    <n v="2.17"/>
    <n v="0"/>
    <n v="2.17"/>
    <n v="2.17"/>
    <n v="2.17"/>
  </r>
  <r>
    <n v="120"/>
    <x v="12"/>
    <x v="6"/>
    <x v="9"/>
    <n v="22.6"/>
    <m/>
    <x v="1"/>
    <n v="44"/>
    <n v="360"/>
    <n v="4"/>
    <n v="2"/>
    <n v="0"/>
    <n v="2"/>
    <n v="0"/>
    <n v="0"/>
    <m/>
    <m/>
    <n v="0.5"/>
    <n v="0"/>
    <n v="0.5"/>
    <n v="0.5"/>
    <n v="0.5"/>
  </r>
  <r>
    <n v="121"/>
    <x v="16"/>
    <x v="6"/>
    <x v="2"/>
    <n v="20.6"/>
    <m/>
    <x v="0"/>
    <n v="33"/>
    <n v="270"/>
    <n v="3"/>
    <n v="5"/>
    <n v="0"/>
    <n v="5"/>
    <n v="0"/>
    <n v="0"/>
    <m/>
    <m/>
    <n v="1.67"/>
    <n v="0"/>
    <n v="1.67"/>
    <n v="1.67"/>
    <n v="1.67"/>
  </r>
  <r>
    <n v="122"/>
    <x v="17"/>
    <x v="6"/>
    <x v="3"/>
    <n v="24.6"/>
    <m/>
    <x v="4"/>
    <n v="66"/>
    <n v="540"/>
    <n v="6"/>
    <n v="23"/>
    <n v="0"/>
    <n v="23"/>
    <n v="0"/>
    <n v="0"/>
    <m/>
    <m/>
    <n v="3.83"/>
    <n v="0"/>
    <n v="3.83"/>
    <n v="3.83"/>
    <n v="3.83"/>
  </r>
  <r>
    <n v="123"/>
    <x v="21"/>
    <x v="6"/>
    <x v="0"/>
    <n v="27.5"/>
    <m/>
    <x v="1"/>
    <n v="44"/>
    <n v="390"/>
    <n v="4.3"/>
    <n v="6"/>
    <n v="0"/>
    <n v="6"/>
    <n v="0"/>
    <n v="0"/>
    <m/>
    <m/>
    <n v="1.38"/>
    <n v="0"/>
    <n v="1.38"/>
    <n v="1.38"/>
    <n v="1.38"/>
  </r>
  <r>
    <n v="124"/>
    <x v="23"/>
    <x v="6"/>
    <x v="0"/>
    <n v="24.1"/>
    <m/>
    <x v="4"/>
    <n v="66"/>
    <n v="540"/>
    <n v="6"/>
    <n v="15"/>
    <n v="4"/>
    <n v="15"/>
    <n v="0"/>
    <n v="0"/>
    <m/>
    <m/>
    <n v="2.5"/>
    <n v="0.67"/>
    <n v="3.17"/>
    <n v="2.5"/>
    <n v="3.17"/>
  </r>
  <r>
    <n v="125"/>
    <x v="2"/>
    <x v="7"/>
    <x v="3"/>
    <n v="25.7"/>
    <m/>
    <x v="0"/>
    <n v="33"/>
    <n v="240"/>
    <n v="2.7"/>
    <n v="1"/>
    <n v="0"/>
    <n v="1"/>
    <n v="0"/>
    <n v="0"/>
    <m/>
    <m/>
    <n v="0.37"/>
    <n v="0"/>
    <n v="0.37"/>
    <n v="0.37"/>
    <n v="0.37"/>
  </r>
  <r>
    <n v="126"/>
    <x v="6"/>
    <x v="7"/>
    <x v="7"/>
    <n v="22.1"/>
    <m/>
    <x v="1"/>
    <n v="44"/>
    <n v="320"/>
    <n v="3.6"/>
    <n v="10"/>
    <n v="3"/>
    <n v="10"/>
    <n v="0"/>
    <n v="0"/>
    <m/>
    <m/>
    <n v="2.81"/>
    <n v="0.84"/>
    <n v="3.66"/>
    <n v="2.81"/>
    <n v="3.66"/>
  </r>
  <r>
    <n v="127"/>
    <x v="35"/>
    <x v="7"/>
    <x v="2"/>
    <n v="21.2"/>
    <m/>
    <x v="1"/>
    <n v="44"/>
    <n v="320"/>
    <n v="3.6"/>
    <n v="2"/>
    <n v="1"/>
    <n v="2"/>
    <n v="0"/>
    <n v="0"/>
    <m/>
    <m/>
    <n v="0.56000000000000005"/>
    <n v="0.28000000000000003"/>
    <n v="0.84"/>
    <n v="0.56000000000000005"/>
    <n v="0.84"/>
  </r>
  <r>
    <n v="128"/>
    <x v="32"/>
    <x v="7"/>
    <x v="7"/>
    <n v="23.8"/>
    <m/>
    <x v="1"/>
    <n v="44"/>
    <n v="340"/>
    <n v="3.8"/>
    <n v="7"/>
    <n v="5"/>
    <n v="5"/>
    <n v="2"/>
    <n v="2"/>
    <m/>
    <m/>
    <n v="1.85"/>
    <n v="1.32"/>
    <n v="3.18"/>
    <n v="1.32"/>
    <n v="2.65"/>
  </r>
  <r>
    <n v="129"/>
    <x v="9"/>
    <x v="7"/>
    <x v="0"/>
    <n v="23.8"/>
    <m/>
    <x v="4"/>
    <n v="66"/>
    <n v="500"/>
    <n v="5.6"/>
    <n v="13"/>
    <n v="9"/>
    <n v="12"/>
    <n v="1"/>
    <n v="1"/>
    <m/>
    <m/>
    <n v="2.34"/>
    <n v="1.62"/>
    <n v="3.96"/>
    <n v="2.16"/>
    <n v="3.78"/>
  </r>
  <r>
    <n v="130"/>
    <x v="10"/>
    <x v="7"/>
    <x v="3"/>
    <n v="24.2"/>
    <m/>
    <x v="1"/>
    <n v="44"/>
    <n v="340"/>
    <n v="3.8"/>
    <n v="8"/>
    <n v="5"/>
    <n v="8"/>
    <n v="0"/>
    <n v="0"/>
    <m/>
    <m/>
    <n v="2.12"/>
    <n v="1.32"/>
    <n v="3.44"/>
    <n v="2.12"/>
    <n v="3.44"/>
  </r>
  <r>
    <n v="131"/>
    <x v="12"/>
    <x v="7"/>
    <x v="10"/>
    <n v="24.3"/>
    <m/>
    <x v="0"/>
    <n v="33"/>
    <n v="240"/>
    <n v="2.7"/>
    <n v="0"/>
    <n v="0"/>
    <n v="0"/>
    <n v="0"/>
    <n v="0"/>
    <m/>
    <m/>
    <n v="0"/>
    <n v="0"/>
    <n v="0"/>
    <n v="0"/>
    <n v="0"/>
  </r>
  <r>
    <n v="132"/>
    <x v="15"/>
    <x v="7"/>
    <x v="7"/>
    <n v="25.5"/>
    <m/>
    <x v="0"/>
    <n v="33"/>
    <n v="240"/>
    <n v="2.7"/>
    <n v="1"/>
    <n v="1"/>
    <n v="1"/>
    <n v="0"/>
    <n v="0"/>
    <m/>
    <m/>
    <n v="0.37"/>
    <n v="0.37"/>
    <n v="0.75"/>
    <n v="0.37"/>
    <n v="0.75"/>
  </r>
  <r>
    <n v="133"/>
    <x v="16"/>
    <x v="7"/>
    <x v="3"/>
    <n v="18.2"/>
    <m/>
    <x v="0"/>
    <n v="33"/>
    <n v="240"/>
    <n v="2.7"/>
    <n v="0"/>
    <n v="0"/>
    <n v="0"/>
    <n v="0"/>
    <n v="0"/>
    <m/>
    <m/>
    <n v="0"/>
    <n v="0"/>
    <n v="0"/>
    <n v="0"/>
    <n v="0"/>
  </r>
  <r>
    <n v="134"/>
    <x v="17"/>
    <x v="7"/>
    <x v="7"/>
    <n v="24.1"/>
    <m/>
    <x v="4"/>
    <n v="66"/>
    <n v="500"/>
    <n v="5.6"/>
    <n v="13"/>
    <n v="6"/>
    <n v="12"/>
    <n v="1"/>
    <n v="1"/>
    <m/>
    <m/>
    <n v="2.34"/>
    <n v="1.08"/>
    <n v="3.42"/>
    <n v="2.16"/>
    <n v="3.24"/>
  </r>
  <r>
    <n v="135"/>
    <x v="21"/>
    <x v="7"/>
    <x v="0"/>
    <n v="25.4"/>
    <m/>
    <x v="4"/>
    <n v="66"/>
    <n v="480"/>
    <n v="5.3"/>
    <n v="17"/>
    <n v="11"/>
    <n v="16"/>
    <n v="1"/>
    <n v="1"/>
    <m/>
    <m/>
    <n v="3.19"/>
    <n v="2.06"/>
    <n v="5.25"/>
    <n v="3"/>
    <n v="5.0599999999999996"/>
  </r>
  <r>
    <n v="136"/>
    <x v="23"/>
    <x v="7"/>
    <x v="2"/>
    <n v="23"/>
    <m/>
    <x v="4"/>
    <n v="66"/>
    <n v="480"/>
    <n v="5.3"/>
    <n v="25"/>
    <n v="11"/>
    <n v="24"/>
    <n v="1"/>
    <n v="1"/>
    <m/>
    <m/>
    <n v="4.6900000000000004"/>
    <n v="2.06"/>
    <n v="6.75"/>
    <n v="4.5"/>
    <n v="6.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C5C0B95-95B2-0B43-AAB5-55D34F086EBC}"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40" firstHeaderRow="0" firstDataRow="1" firstDataCol="1" rowPageCount="1" colPageCount="1"/>
  <pivotFields count="22">
    <pivotField showAll="0"/>
    <pivotField axis="axisRow" showAll="0">
      <items count="37">
        <item x="0"/>
        <item x="1"/>
        <item x="2"/>
        <item x="26"/>
        <item x="3"/>
        <item x="4"/>
        <item x="5"/>
        <item x="6"/>
        <item x="35"/>
        <item x="24"/>
        <item x="25"/>
        <item x="32"/>
        <item x="27"/>
        <item x="7"/>
        <item x="30"/>
        <item x="8"/>
        <item x="9"/>
        <item x="33"/>
        <item x="10"/>
        <item x="11"/>
        <item x="12"/>
        <item x="31"/>
        <item x="13"/>
        <item x="28"/>
        <item x="14"/>
        <item x="15"/>
        <item x="16"/>
        <item x="17"/>
        <item x="34"/>
        <item x="18"/>
        <item x="19"/>
        <item x="20"/>
        <item x="21"/>
        <item x="29"/>
        <item x="22"/>
        <item x="23"/>
        <item t="default"/>
      </items>
    </pivotField>
    <pivotField axis="axisPage" showAll="0">
      <items count="9">
        <item x="7"/>
        <item x="6"/>
        <item x="5"/>
        <item x="4"/>
        <item x="3"/>
        <item x="2"/>
        <item x="1"/>
        <item x="0"/>
        <item t="default"/>
      </items>
    </pivotField>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Fields count="1">
    <field x="-2"/>
  </colFields>
  <colItems count="2">
    <i>
      <x/>
    </i>
    <i i="1">
      <x v="1"/>
    </i>
  </colItems>
  <pageFields count="1">
    <pageField fld="2" hier="-1"/>
  </pageFields>
  <dataFields count="2">
    <dataField name="Sum of matches_played" fld="6" baseField="0" baseItem="0"/>
    <dataField name="Sum of goals"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4287B85-2685-1048-B561-3F05CD3B0AA0}"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1" firstHeaderRow="0" firstDataRow="1" firstDataCol="1" rowPageCount="1" colPageCount="1"/>
  <pivotFields count="22">
    <pivotField showAll="0"/>
    <pivotField axis="axisPage" multipleItemSelectionAllowed="1" showAll="0">
      <items count="37">
        <item h="1" x="0"/>
        <item x="1"/>
        <item h="1" x="2"/>
        <item h="1" x="26"/>
        <item h="1" x="3"/>
        <item h="1" x="4"/>
        <item h="1" x="5"/>
        <item h="1" x="6"/>
        <item h="1" x="35"/>
        <item h="1" x="24"/>
        <item h="1" x="25"/>
        <item h="1" x="32"/>
        <item h="1" x="27"/>
        <item h="1" x="7"/>
        <item h="1" x="30"/>
        <item h="1" x="8"/>
        <item h="1" x="9"/>
        <item h="1" x="33"/>
        <item h="1" x="10"/>
        <item h="1" x="11"/>
        <item h="1" x="12"/>
        <item h="1" x="31"/>
        <item h="1" x="13"/>
        <item h="1" x="28"/>
        <item h="1" x="14"/>
        <item h="1" x="15"/>
        <item h="1" x="16"/>
        <item h="1" x="17"/>
        <item h="1" x="34"/>
        <item h="1" x="18"/>
        <item h="1" x="19"/>
        <item h="1" x="20"/>
        <item h="1" x="21"/>
        <item h="1" x="29"/>
        <item h="1" x="22"/>
        <item h="1" x="23"/>
        <item t="default"/>
      </items>
    </pivotField>
    <pivotField axis="axisRow" showAll="0">
      <items count="9">
        <item x="7"/>
        <item x="6"/>
        <item x="5"/>
        <item x="4"/>
        <item x="3"/>
        <item x="2"/>
        <item x="1"/>
        <item x="0"/>
        <item t="default"/>
      </items>
    </pivotField>
    <pivotField showAll="0"/>
    <pivotField showAll="0"/>
    <pivotField dataField="1" showAll="0"/>
    <pivotField dataField="1" showAll="0">
      <items count="6">
        <item x="0"/>
        <item x="1"/>
        <item x="3"/>
        <item x="4"/>
        <item x="2"/>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8">
    <i>
      <x v="1"/>
    </i>
    <i>
      <x v="2"/>
    </i>
    <i>
      <x v="3"/>
    </i>
    <i>
      <x v="4"/>
    </i>
    <i>
      <x v="5"/>
    </i>
    <i>
      <x v="6"/>
    </i>
    <i>
      <x v="7"/>
    </i>
    <i t="grand">
      <x/>
    </i>
  </rowItems>
  <colFields count="1">
    <field x="-2"/>
  </colFields>
  <colItems count="3">
    <i>
      <x/>
    </i>
    <i i="1">
      <x v="1"/>
    </i>
    <i i="2">
      <x v="2"/>
    </i>
  </colItems>
  <pageFields count="1">
    <pageField fld="1" hier="-1"/>
  </pageFields>
  <dataFields count="3">
    <dataField name="Sum of matches_played" fld="6" baseField="0" baseItem="0"/>
    <dataField name="Sum of goals" fld="10" baseField="0" baseItem="0"/>
    <dataField name="Average of possesion" fld="5" subtotal="average" baseField="0" baseItem="0"/>
  </dataFields>
  <chartFormats count="15">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 format="5" series="1">
      <pivotArea type="data" outline="0" fieldPosition="0">
        <references count="1">
          <reference field="4294967294" count="1" selected="0">
            <x v="0"/>
          </reference>
        </references>
      </pivotArea>
    </chartFormat>
    <chartFormat chart="1" format="6" series="1">
      <pivotArea type="data" outline="0" fieldPosition="0">
        <references count="1">
          <reference field="4294967294" count="1" selected="0">
            <x v="1"/>
          </reference>
        </references>
      </pivotArea>
    </chartFormat>
    <chartFormat chart="1" format="7" series="1">
      <pivotArea type="data" outline="0" fieldPosition="0">
        <references count="1">
          <reference field="4294967294"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series="1">
      <pivotArea type="data" outline="0" fieldPosition="0">
        <references count="1">
          <reference field="4294967294" count="1" selected="0">
            <x v="1"/>
          </reference>
        </references>
      </pivotArea>
    </chartFormat>
    <chartFormat chart="2"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0"/>
          </reference>
        </references>
      </pivotArea>
    </chartFormat>
    <chartFormat chart="3" format="12" series="1">
      <pivotArea type="data" outline="0" fieldPosition="0">
        <references count="1">
          <reference field="4294967294" count="1" selected="0">
            <x v="1"/>
          </reference>
        </references>
      </pivotArea>
    </chartFormat>
    <chartFormat chart="3" format="13" series="1">
      <pivotArea type="data" outline="0" fieldPosition="0">
        <references count="1">
          <reference field="4294967294" count="1" selected="0">
            <x v="2"/>
          </reference>
        </references>
      </pivotArea>
    </chartFormat>
    <chartFormat chart="4" format="14" series="1">
      <pivotArea type="data" outline="0" fieldPosition="0">
        <references count="1">
          <reference field="4294967294" count="1" selected="0">
            <x v="0"/>
          </reference>
        </references>
      </pivotArea>
    </chartFormat>
    <chartFormat chart="4" format="15" series="1">
      <pivotArea type="data" outline="0" fieldPosition="0">
        <references count="1">
          <reference field="4294967294" count="1" selected="0">
            <x v="1"/>
          </reference>
        </references>
      </pivotArea>
    </chartFormat>
    <chartFormat chart="4" format="16"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Matches, goals and possessio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quad" xr10:uid="{39507514-BCAA-DE4E-82BE-9CACED3CD5EA}" sourceName="squad">
  <pivotTables>
    <pivotTable tabId="8" name="PivotTable4"/>
  </pivotTables>
  <data>
    <tabular pivotCacheId="1680593638">
      <items count="36">
        <i x="0"/>
        <i x="1" s="1"/>
        <i x="2"/>
        <i x="26"/>
        <i x="3"/>
        <i x="4"/>
        <i x="5"/>
        <i x="6"/>
        <i x="35"/>
        <i x="24"/>
        <i x="25"/>
        <i x="32"/>
        <i x="27"/>
        <i x="7"/>
        <i x="30"/>
        <i x="8"/>
        <i x="9"/>
        <i x="33"/>
        <i x="10"/>
        <i x="11"/>
        <i x="12"/>
        <i x="31"/>
        <i x="13"/>
        <i x="28"/>
        <i x="14"/>
        <i x="15"/>
        <i x="16"/>
        <i x="17"/>
        <i x="34"/>
        <i x="18"/>
        <i x="19"/>
        <i x="20"/>
        <i x="21"/>
        <i x="29"/>
        <i x="22"/>
        <i x="2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quad" xr10:uid="{455DA9B7-5FDA-7249-9F52-1296C7E6A8F7}" cache="Slicer_squad" caption="squad" rowHeight="251883"/>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6" dT="2023-08-17T09:47:37.39" personId="{41D526D4-9D67-3148-83A7-7F4FDCAD8DB6}" id="{F73317AD-2338-C446-8E48-6719AA927BD8}">
    <text>Note how the formula proceeds to the second condition only if the first is not verified.</text>
  </threadedComment>
  <threadedComment ref="E16" dT="2023-08-17T09:47:37.39" personId="{41D526D4-9D67-3148-83A7-7F4FDCAD8DB6}" id="{AAFA770F-5E85-144B-9179-AF7F5981525F}">
    <text>note how the “TRUE” condition at the end (which is always true!!) is a catch all condition (default if none of the preceding conditions are verified)</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github.com/zonination/pokemon-chart/blob/master/chart.csv" TargetMode="Externa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5C904-E326-9543-B211-79A5D7A9CA2E}">
  <sheetPr codeName="Sheet1"/>
  <dimension ref="A1:S22"/>
  <sheetViews>
    <sheetView workbookViewId="0">
      <selection activeCell="B25" sqref="B25"/>
    </sheetView>
  </sheetViews>
  <sheetFormatPr baseColWidth="10" defaultColWidth="11" defaultRowHeight="16" x14ac:dyDescent="0.2"/>
  <sheetData>
    <row r="1" spans="1:19" ht="17" x14ac:dyDescent="0.25">
      <c r="A1" s="13"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row>
    <row r="2" spans="1:19" ht="17" x14ac:dyDescent="0.25">
      <c r="A2" s="13" t="s">
        <v>1</v>
      </c>
      <c r="B2">
        <v>1</v>
      </c>
      <c r="C2">
        <v>1</v>
      </c>
      <c r="D2">
        <v>1</v>
      </c>
      <c r="E2">
        <v>1</v>
      </c>
      <c r="F2">
        <v>1</v>
      </c>
      <c r="G2">
        <v>1</v>
      </c>
      <c r="H2">
        <v>1</v>
      </c>
      <c r="I2">
        <v>1</v>
      </c>
      <c r="J2">
        <v>1</v>
      </c>
      <c r="K2">
        <v>1</v>
      </c>
      <c r="L2">
        <v>1</v>
      </c>
      <c r="M2">
        <v>1</v>
      </c>
      <c r="N2">
        <v>0.5</v>
      </c>
      <c r="O2">
        <v>0</v>
      </c>
      <c r="P2">
        <v>1</v>
      </c>
      <c r="Q2">
        <v>1</v>
      </c>
      <c r="R2">
        <v>0.5</v>
      </c>
      <c r="S2">
        <v>1</v>
      </c>
    </row>
    <row r="3" spans="1:19" ht="17" x14ac:dyDescent="0.25">
      <c r="A3" s="13" t="s">
        <v>2</v>
      </c>
      <c r="B3">
        <v>1</v>
      </c>
      <c r="C3">
        <v>0.5</v>
      </c>
      <c r="D3">
        <v>0.5</v>
      </c>
      <c r="E3">
        <v>1</v>
      </c>
      <c r="F3">
        <v>2</v>
      </c>
      <c r="G3">
        <v>2</v>
      </c>
      <c r="H3">
        <v>1</v>
      </c>
      <c r="I3">
        <v>1</v>
      </c>
      <c r="J3">
        <v>1</v>
      </c>
      <c r="K3">
        <v>1</v>
      </c>
      <c r="L3">
        <v>1</v>
      </c>
      <c r="M3">
        <v>2</v>
      </c>
      <c r="N3">
        <v>0.5</v>
      </c>
      <c r="O3">
        <v>1</v>
      </c>
      <c r="P3">
        <v>0.5</v>
      </c>
      <c r="Q3">
        <v>1</v>
      </c>
      <c r="R3">
        <v>2</v>
      </c>
      <c r="S3">
        <v>1</v>
      </c>
    </row>
    <row r="4" spans="1:19" ht="17" x14ac:dyDescent="0.25">
      <c r="A4" s="13" t="s">
        <v>3</v>
      </c>
      <c r="B4">
        <v>1</v>
      </c>
      <c r="C4">
        <v>2</v>
      </c>
      <c r="D4">
        <v>0.5</v>
      </c>
      <c r="E4">
        <v>1</v>
      </c>
      <c r="F4">
        <v>0.5</v>
      </c>
      <c r="G4">
        <v>1</v>
      </c>
      <c r="H4">
        <v>1</v>
      </c>
      <c r="I4">
        <v>1</v>
      </c>
      <c r="J4">
        <v>2</v>
      </c>
      <c r="K4">
        <v>1</v>
      </c>
      <c r="L4">
        <v>1</v>
      </c>
      <c r="M4">
        <v>1</v>
      </c>
      <c r="N4">
        <v>2</v>
      </c>
      <c r="O4">
        <v>1</v>
      </c>
      <c r="P4">
        <v>0.5</v>
      </c>
      <c r="Q4">
        <v>1</v>
      </c>
      <c r="R4">
        <v>1</v>
      </c>
      <c r="S4">
        <v>1</v>
      </c>
    </row>
    <row r="5" spans="1:19" ht="17" x14ac:dyDescent="0.25">
      <c r="A5" s="13" t="s">
        <v>4</v>
      </c>
      <c r="B5">
        <v>1</v>
      </c>
      <c r="C5">
        <v>1</v>
      </c>
      <c r="D5">
        <v>2</v>
      </c>
      <c r="E5">
        <v>0.5</v>
      </c>
      <c r="F5">
        <v>0.5</v>
      </c>
      <c r="G5">
        <v>1</v>
      </c>
      <c r="H5">
        <v>1</v>
      </c>
      <c r="I5">
        <v>1</v>
      </c>
      <c r="J5">
        <v>0</v>
      </c>
      <c r="K5">
        <v>2</v>
      </c>
      <c r="L5">
        <v>1</v>
      </c>
      <c r="M5">
        <v>1</v>
      </c>
      <c r="N5">
        <v>1</v>
      </c>
      <c r="O5">
        <v>1</v>
      </c>
      <c r="P5">
        <v>0.5</v>
      </c>
      <c r="Q5">
        <v>1</v>
      </c>
      <c r="R5">
        <v>1</v>
      </c>
      <c r="S5">
        <v>1</v>
      </c>
    </row>
    <row r="6" spans="1:19" ht="17" x14ac:dyDescent="0.25">
      <c r="A6" s="13" t="s">
        <v>5</v>
      </c>
      <c r="B6">
        <v>1</v>
      </c>
      <c r="C6">
        <v>0.5</v>
      </c>
      <c r="D6">
        <v>2</v>
      </c>
      <c r="E6">
        <v>1</v>
      </c>
      <c r="F6">
        <v>0.5</v>
      </c>
      <c r="G6">
        <v>1</v>
      </c>
      <c r="H6">
        <v>1</v>
      </c>
      <c r="I6">
        <v>0.5</v>
      </c>
      <c r="J6">
        <v>2</v>
      </c>
      <c r="K6">
        <v>0.5</v>
      </c>
      <c r="L6">
        <v>1</v>
      </c>
      <c r="M6">
        <v>0.5</v>
      </c>
      <c r="N6">
        <v>2</v>
      </c>
      <c r="O6">
        <v>1</v>
      </c>
      <c r="P6">
        <v>0.5</v>
      </c>
      <c r="Q6">
        <v>1</v>
      </c>
      <c r="R6">
        <v>0.5</v>
      </c>
      <c r="S6">
        <v>1</v>
      </c>
    </row>
    <row r="7" spans="1:19" ht="17" x14ac:dyDescent="0.25">
      <c r="A7" s="13" t="s">
        <v>6</v>
      </c>
      <c r="B7">
        <v>1</v>
      </c>
      <c r="C7">
        <v>0.5</v>
      </c>
      <c r="D7">
        <v>0.5</v>
      </c>
      <c r="E7">
        <v>1</v>
      </c>
      <c r="F7">
        <v>2</v>
      </c>
      <c r="G7">
        <v>0.5</v>
      </c>
      <c r="H7">
        <v>1</v>
      </c>
      <c r="I7">
        <v>1</v>
      </c>
      <c r="J7">
        <v>2</v>
      </c>
      <c r="K7">
        <v>2</v>
      </c>
      <c r="L7">
        <v>1</v>
      </c>
      <c r="M7">
        <v>1</v>
      </c>
      <c r="N7">
        <v>1</v>
      </c>
      <c r="O7">
        <v>1</v>
      </c>
      <c r="P7">
        <v>2</v>
      </c>
      <c r="Q7">
        <v>1</v>
      </c>
      <c r="R7">
        <v>0.5</v>
      </c>
      <c r="S7">
        <v>1</v>
      </c>
    </row>
    <row r="8" spans="1:19" ht="17" x14ac:dyDescent="0.25">
      <c r="A8" s="13" t="s">
        <v>7</v>
      </c>
      <c r="B8">
        <v>2</v>
      </c>
      <c r="C8">
        <v>1</v>
      </c>
      <c r="D8">
        <v>1</v>
      </c>
      <c r="E8">
        <v>1</v>
      </c>
      <c r="F8">
        <v>1</v>
      </c>
      <c r="G8">
        <v>2</v>
      </c>
      <c r="H8">
        <v>1</v>
      </c>
      <c r="I8">
        <v>0.5</v>
      </c>
      <c r="J8">
        <v>1</v>
      </c>
      <c r="K8">
        <v>0.5</v>
      </c>
      <c r="L8">
        <v>0.5</v>
      </c>
      <c r="M8">
        <v>0.5</v>
      </c>
      <c r="N8">
        <v>2</v>
      </c>
      <c r="O8">
        <v>0</v>
      </c>
      <c r="P8">
        <v>1</v>
      </c>
      <c r="Q8">
        <v>2</v>
      </c>
      <c r="R8">
        <v>2</v>
      </c>
      <c r="S8">
        <v>0.5</v>
      </c>
    </row>
    <row r="9" spans="1:19" ht="17" x14ac:dyDescent="0.25">
      <c r="A9" s="13" t="s">
        <v>8</v>
      </c>
      <c r="B9">
        <v>1</v>
      </c>
      <c r="C9">
        <v>1</v>
      </c>
      <c r="D9">
        <v>1</v>
      </c>
      <c r="E9">
        <v>1</v>
      </c>
      <c r="F9">
        <v>2</v>
      </c>
      <c r="G9">
        <v>1</v>
      </c>
      <c r="H9">
        <v>1</v>
      </c>
      <c r="I9">
        <v>0.5</v>
      </c>
      <c r="J9">
        <v>0.5</v>
      </c>
      <c r="K9">
        <v>1</v>
      </c>
      <c r="L9">
        <v>1</v>
      </c>
      <c r="M9">
        <v>1</v>
      </c>
      <c r="N9">
        <v>0.5</v>
      </c>
      <c r="O9">
        <v>0.5</v>
      </c>
      <c r="P9">
        <v>1</v>
      </c>
      <c r="Q9">
        <v>1</v>
      </c>
      <c r="R9">
        <v>0</v>
      </c>
      <c r="S9">
        <v>2</v>
      </c>
    </row>
    <row r="10" spans="1:19" ht="17" x14ac:dyDescent="0.25">
      <c r="A10" s="13" t="s">
        <v>9</v>
      </c>
      <c r="B10">
        <v>1</v>
      </c>
      <c r="C10">
        <v>2</v>
      </c>
      <c r="D10">
        <v>1</v>
      </c>
      <c r="E10">
        <v>2</v>
      </c>
      <c r="F10">
        <v>0.5</v>
      </c>
      <c r="G10">
        <v>1</v>
      </c>
      <c r="H10">
        <v>1</v>
      </c>
      <c r="I10">
        <v>2</v>
      </c>
      <c r="J10">
        <v>1</v>
      </c>
      <c r="K10">
        <v>0</v>
      </c>
      <c r="L10">
        <v>1</v>
      </c>
      <c r="M10">
        <v>0.5</v>
      </c>
      <c r="N10">
        <v>2</v>
      </c>
      <c r="O10">
        <v>1</v>
      </c>
      <c r="P10">
        <v>1</v>
      </c>
      <c r="Q10">
        <v>1</v>
      </c>
      <c r="R10">
        <v>2</v>
      </c>
      <c r="S10">
        <v>1</v>
      </c>
    </row>
    <row r="11" spans="1:19" ht="17" x14ac:dyDescent="0.25">
      <c r="A11" s="13" t="s">
        <v>10</v>
      </c>
      <c r="B11">
        <v>1</v>
      </c>
      <c r="C11">
        <v>1</v>
      </c>
      <c r="D11">
        <v>1</v>
      </c>
      <c r="E11">
        <v>0.5</v>
      </c>
      <c r="F11">
        <v>2</v>
      </c>
      <c r="G11">
        <v>1</v>
      </c>
      <c r="H11">
        <v>2</v>
      </c>
      <c r="I11">
        <v>1</v>
      </c>
      <c r="J11">
        <v>1</v>
      </c>
      <c r="K11">
        <v>1</v>
      </c>
      <c r="L11">
        <v>1</v>
      </c>
      <c r="M11">
        <v>2</v>
      </c>
      <c r="N11">
        <v>0.5</v>
      </c>
      <c r="O11">
        <v>1</v>
      </c>
      <c r="P11">
        <v>1</v>
      </c>
      <c r="Q11">
        <v>1</v>
      </c>
      <c r="R11">
        <v>0.5</v>
      </c>
      <c r="S11">
        <v>1</v>
      </c>
    </row>
    <row r="12" spans="1:19" ht="17" x14ac:dyDescent="0.25">
      <c r="A12" s="13" t="s">
        <v>11</v>
      </c>
      <c r="B12">
        <v>1</v>
      </c>
      <c r="C12">
        <v>1</v>
      </c>
      <c r="D12">
        <v>1</v>
      </c>
      <c r="E12">
        <v>1</v>
      </c>
      <c r="F12">
        <v>1</v>
      </c>
      <c r="G12">
        <v>1</v>
      </c>
      <c r="H12">
        <v>2</v>
      </c>
      <c r="I12">
        <v>2</v>
      </c>
      <c r="J12">
        <v>1</v>
      </c>
      <c r="K12">
        <v>1</v>
      </c>
      <c r="L12">
        <v>0.5</v>
      </c>
      <c r="M12">
        <v>1</v>
      </c>
      <c r="N12">
        <v>1</v>
      </c>
      <c r="O12">
        <v>1</v>
      </c>
      <c r="P12">
        <v>1</v>
      </c>
      <c r="Q12">
        <v>0</v>
      </c>
      <c r="R12">
        <v>0.5</v>
      </c>
      <c r="S12">
        <v>1</v>
      </c>
    </row>
    <row r="13" spans="1:19" ht="17" x14ac:dyDescent="0.25">
      <c r="A13" s="13" t="s">
        <v>12</v>
      </c>
      <c r="B13">
        <v>1</v>
      </c>
      <c r="C13">
        <v>0.5</v>
      </c>
      <c r="D13">
        <v>1</v>
      </c>
      <c r="E13">
        <v>1</v>
      </c>
      <c r="F13">
        <v>2</v>
      </c>
      <c r="G13">
        <v>1</v>
      </c>
      <c r="H13">
        <v>0.5</v>
      </c>
      <c r="I13">
        <v>0.5</v>
      </c>
      <c r="J13">
        <v>1</v>
      </c>
      <c r="K13">
        <v>0.5</v>
      </c>
      <c r="L13">
        <v>2</v>
      </c>
      <c r="M13">
        <v>1</v>
      </c>
      <c r="N13">
        <v>1</v>
      </c>
      <c r="O13">
        <v>0.5</v>
      </c>
      <c r="P13">
        <v>1</v>
      </c>
      <c r="Q13">
        <v>2</v>
      </c>
      <c r="R13">
        <v>0.5</v>
      </c>
      <c r="S13">
        <v>0.5</v>
      </c>
    </row>
    <row r="14" spans="1:19" ht="17" x14ac:dyDescent="0.25">
      <c r="A14" s="13" t="s">
        <v>13</v>
      </c>
      <c r="B14">
        <v>1</v>
      </c>
      <c r="C14">
        <v>2</v>
      </c>
      <c r="D14">
        <v>1</v>
      </c>
      <c r="E14">
        <v>1</v>
      </c>
      <c r="F14">
        <v>1</v>
      </c>
      <c r="G14">
        <v>2</v>
      </c>
      <c r="H14">
        <v>0.5</v>
      </c>
      <c r="I14">
        <v>1</v>
      </c>
      <c r="J14">
        <v>0.5</v>
      </c>
      <c r="K14">
        <v>2</v>
      </c>
      <c r="L14">
        <v>1</v>
      </c>
      <c r="M14">
        <v>2</v>
      </c>
      <c r="N14">
        <v>1</v>
      </c>
      <c r="O14">
        <v>1</v>
      </c>
      <c r="P14">
        <v>1</v>
      </c>
      <c r="Q14">
        <v>1</v>
      </c>
      <c r="R14">
        <v>0.5</v>
      </c>
      <c r="S14">
        <v>1</v>
      </c>
    </row>
    <row r="15" spans="1:19" ht="17" x14ac:dyDescent="0.25">
      <c r="A15" s="13" t="s">
        <v>14</v>
      </c>
      <c r="B15">
        <v>0</v>
      </c>
      <c r="C15">
        <v>1</v>
      </c>
      <c r="D15">
        <v>1</v>
      </c>
      <c r="E15">
        <v>1</v>
      </c>
      <c r="F15">
        <v>1</v>
      </c>
      <c r="G15">
        <v>1</v>
      </c>
      <c r="H15">
        <v>1</v>
      </c>
      <c r="I15">
        <v>1</v>
      </c>
      <c r="J15">
        <v>1</v>
      </c>
      <c r="K15">
        <v>1</v>
      </c>
      <c r="L15">
        <v>2</v>
      </c>
      <c r="M15">
        <v>1</v>
      </c>
      <c r="N15">
        <v>1</v>
      </c>
      <c r="O15">
        <v>2</v>
      </c>
      <c r="P15">
        <v>1</v>
      </c>
      <c r="Q15">
        <v>0.5</v>
      </c>
      <c r="R15">
        <v>1</v>
      </c>
      <c r="S15">
        <v>1</v>
      </c>
    </row>
    <row r="16" spans="1:19" ht="17" x14ac:dyDescent="0.25">
      <c r="A16" s="13" t="s">
        <v>15</v>
      </c>
      <c r="B16">
        <v>1</v>
      </c>
      <c r="C16">
        <v>1</v>
      </c>
      <c r="D16">
        <v>1</v>
      </c>
      <c r="E16">
        <v>1</v>
      </c>
      <c r="F16">
        <v>1</v>
      </c>
      <c r="G16">
        <v>1</v>
      </c>
      <c r="H16">
        <v>1</v>
      </c>
      <c r="I16">
        <v>1</v>
      </c>
      <c r="J16">
        <v>1</v>
      </c>
      <c r="K16">
        <v>1</v>
      </c>
      <c r="L16">
        <v>1</v>
      </c>
      <c r="M16">
        <v>1</v>
      </c>
      <c r="N16">
        <v>1</v>
      </c>
      <c r="O16">
        <v>1</v>
      </c>
      <c r="P16">
        <v>2</v>
      </c>
      <c r="Q16">
        <v>1</v>
      </c>
      <c r="R16">
        <v>0.5</v>
      </c>
      <c r="S16">
        <v>0</v>
      </c>
    </row>
    <row r="17" spans="1:19" ht="17" x14ac:dyDescent="0.25">
      <c r="A17" s="13" t="s">
        <v>16</v>
      </c>
      <c r="B17">
        <v>1</v>
      </c>
      <c r="C17">
        <v>1</v>
      </c>
      <c r="D17">
        <v>1</v>
      </c>
      <c r="E17">
        <v>1</v>
      </c>
      <c r="F17">
        <v>1</v>
      </c>
      <c r="G17">
        <v>1</v>
      </c>
      <c r="H17">
        <v>0.5</v>
      </c>
      <c r="I17">
        <v>1</v>
      </c>
      <c r="J17">
        <v>1</v>
      </c>
      <c r="K17">
        <v>1</v>
      </c>
      <c r="L17">
        <v>2</v>
      </c>
      <c r="M17">
        <v>1</v>
      </c>
      <c r="N17">
        <v>1</v>
      </c>
      <c r="O17">
        <v>2</v>
      </c>
      <c r="P17">
        <v>1</v>
      </c>
      <c r="Q17">
        <v>0.5</v>
      </c>
      <c r="R17">
        <v>1</v>
      </c>
      <c r="S17">
        <v>0.5</v>
      </c>
    </row>
    <row r="18" spans="1:19" ht="17" x14ac:dyDescent="0.25">
      <c r="A18" s="13" t="s">
        <v>17</v>
      </c>
      <c r="B18">
        <v>1</v>
      </c>
      <c r="C18">
        <v>0.5</v>
      </c>
      <c r="D18">
        <v>0.5</v>
      </c>
      <c r="E18">
        <v>0.5</v>
      </c>
      <c r="F18">
        <v>1</v>
      </c>
      <c r="G18">
        <v>2</v>
      </c>
      <c r="H18">
        <v>1</v>
      </c>
      <c r="I18">
        <v>1</v>
      </c>
      <c r="J18">
        <v>1</v>
      </c>
      <c r="K18">
        <v>1</v>
      </c>
      <c r="L18">
        <v>1</v>
      </c>
      <c r="M18">
        <v>1</v>
      </c>
      <c r="N18">
        <v>2</v>
      </c>
      <c r="O18">
        <v>1</v>
      </c>
      <c r="P18">
        <v>1</v>
      </c>
      <c r="Q18">
        <v>1</v>
      </c>
      <c r="R18">
        <v>0.5</v>
      </c>
      <c r="S18">
        <v>2</v>
      </c>
    </row>
    <row r="19" spans="1:19" ht="17" x14ac:dyDescent="0.25">
      <c r="A19" s="13" t="s">
        <v>18</v>
      </c>
      <c r="B19">
        <v>1</v>
      </c>
      <c r="C19">
        <v>0.5</v>
      </c>
      <c r="D19">
        <v>1</v>
      </c>
      <c r="E19">
        <v>1</v>
      </c>
      <c r="F19">
        <v>1</v>
      </c>
      <c r="G19">
        <v>1</v>
      </c>
      <c r="H19">
        <v>2</v>
      </c>
      <c r="I19">
        <v>0.5</v>
      </c>
      <c r="J19">
        <v>1</v>
      </c>
      <c r="K19">
        <v>1</v>
      </c>
      <c r="L19">
        <v>1</v>
      </c>
      <c r="M19">
        <v>1</v>
      </c>
      <c r="N19">
        <v>1</v>
      </c>
      <c r="O19">
        <v>1</v>
      </c>
      <c r="P19">
        <v>2</v>
      </c>
      <c r="Q19">
        <v>2</v>
      </c>
      <c r="R19">
        <v>0.5</v>
      </c>
      <c r="S19">
        <v>1</v>
      </c>
    </row>
    <row r="22" spans="1:19" ht="17" x14ac:dyDescent="0.25">
      <c r="A22" s="13" t="s">
        <v>19</v>
      </c>
      <c r="B22" s="14" t="s">
        <v>20</v>
      </c>
    </row>
  </sheetData>
  <hyperlinks>
    <hyperlink ref="B22" r:id="rId1" xr:uid="{86729434-85F6-AA47-8D13-C198526A046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99C1C-D30A-8A45-AEF3-1A6BD10676CA}">
  <sheetPr codeName="Sheet2"/>
  <dimension ref="A1:V139"/>
  <sheetViews>
    <sheetView workbookViewId="0">
      <selection activeCell="B84" sqref="B84"/>
    </sheetView>
  </sheetViews>
  <sheetFormatPr baseColWidth="10" defaultColWidth="11" defaultRowHeight="16" x14ac:dyDescent="0.2"/>
  <sheetData>
    <row r="1" spans="1:22" ht="18" x14ac:dyDescent="0.2">
      <c r="A1" s="15" t="s">
        <v>21</v>
      </c>
    </row>
    <row r="3" spans="1:22" x14ac:dyDescent="0.2">
      <c r="A3" t="s">
        <v>22</v>
      </c>
      <c r="B3" t="s">
        <v>23</v>
      </c>
      <c r="C3" t="s">
        <v>24</v>
      </c>
      <c r="D3" t="s">
        <v>25</v>
      </c>
      <c r="E3" t="s">
        <v>26</v>
      </c>
      <c r="F3" t="s">
        <v>27</v>
      </c>
      <c r="G3" t="s">
        <v>28</v>
      </c>
      <c r="H3" t="s">
        <v>29</v>
      </c>
      <c r="I3" t="s">
        <v>30</v>
      </c>
      <c r="J3" t="s">
        <v>31</v>
      </c>
      <c r="K3" t="s">
        <v>32</v>
      </c>
      <c r="L3" t="s">
        <v>33</v>
      </c>
      <c r="M3" t="s">
        <v>34</v>
      </c>
      <c r="N3" t="s">
        <v>35</v>
      </c>
      <c r="O3" t="s">
        <v>36</v>
      </c>
      <c r="P3" t="s">
        <v>37</v>
      </c>
      <c r="Q3" t="s">
        <v>38</v>
      </c>
      <c r="R3" t="s">
        <v>39</v>
      </c>
      <c r="S3" t="s">
        <v>40</v>
      </c>
      <c r="T3" t="s">
        <v>41</v>
      </c>
      <c r="U3" t="s">
        <v>42</v>
      </c>
      <c r="V3" t="s">
        <v>43</v>
      </c>
    </row>
    <row r="4" spans="1:22" x14ac:dyDescent="0.2">
      <c r="A4">
        <v>1</v>
      </c>
      <c r="B4" t="s">
        <v>44</v>
      </c>
      <c r="C4">
        <v>2019</v>
      </c>
      <c r="D4">
        <v>18</v>
      </c>
      <c r="E4">
        <v>26.8</v>
      </c>
      <c r="F4">
        <v>34.700000000000003</v>
      </c>
      <c r="G4">
        <v>3</v>
      </c>
      <c r="H4">
        <v>33</v>
      </c>
      <c r="I4">
        <v>270</v>
      </c>
      <c r="J4">
        <v>3</v>
      </c>
      <c r="K4">
        <v>2</v>
      </c>
      <c r="L4">
        <v>1</v>
      </c>
      <c r="M4">
        <v>1</v>
      </c>
      <c r="N4">
        <v>1</v>
      </c>
      <c r="O4">
        <v>1</v>
      </c>
      <c r="P4">
        <v>3</v>
      </c>
      <c r="Q4">
        <v>0</v>
      </c>
      <c r="R4">
        <v>0.67</v>
      </c>
      <c r="S4">
        <v>0.33</v>
      </c>
      <c r="T4">
        <v>1</v>
      </c>
      <c r="U4">
        <v>0.33</v>
      </c>
      <c r="V4">
        <v>0.67</v>
      </c>
    </row>
    <row r="5" spans="1:22" x14ac:dyDescent="0.2">
      <c r="A5">
        <v>2</v>
      </c>
      <c r="B5" t="s">
        <v>45</v>
      </c>
      <c r="C5">
        <v>2019</v>
      </c>
      <c r="D5">
        <v>18</v>
      </c>
      <c r="E5">
        <v>25.4</v>
      </c>
      <c r="F5">
        <v>61.3</v>
      </c>
      <c r="G5">
        <v>4</v>
      </c>
      <c r="H5">
        <v>44</v>
      </c>
      <c r="I5">
        <v>390</v>
      </c>
      <c r="J5">
        <v>4.3</v>
      </c>
      <c r="K5">
        <v>8</v>
      </c>
      <c r="L5">
        <v>4</v>
      </c>
      <c r="M5">
        <v>8</v>
      </c>
      <c r="N5">
        <v>0</v>
      </c>
      <c r="O5">
        <v>1</v>
      </c>
      <c r="P5">
        <v>2</v>
      </c>
      <c r="Q5">
        <v>0</v>
      </c>
      <c r="R5">
        <v>1.85</v>
      </c>
      <c r="S5">
        <v>0.92</v>
      </c>
      <c r="T5">
        <v>2.77</v>
      </c>
      <c r="U5">
        <v>1.85</v>
      </c>
      <c r="V5">
        <v>2.77</v>
      </c>
    </row>
    <row r="6" spans="1:22" x14ac:dyDescent="0.2">
      <c r="A6">
        <v>3</v>
      </c>
      <c r="B6" t="s">
        <v>46</v>
      </c>
      <c r="C6">
        <v>2019</v>
      </c>
      <c r="D6">
        <v>18</v>
      </c>
      <c r="E6">
        <v>29.7</v>
      </c>
      <c r="F6">
        <v>51.5</v>
      </c>
      <c r="G6">
        <v>4</v>
      </c>
      <c r="H6">
        <v>44</v>
      </c>
      <c r="I6">
        <v>390</v>
      </c>
      <c r="J6">
        <v>4.3</v>
      </c>
      <c r="K6">
        <v>7</v>
      </c>
      <c r="L6">
        <v>3</v>
      </c>
      <c r="M6">
        <v>5</v>
      </c>
      <c r="N6">
        <v>2</v>
      </c>
      <c r="O6">
        <v>3</v>
      </c>
      <c r="P6">
        <v>7</v>
      </c>
      <c r="Q6">
        <v>0</v>
      </c>
      <c r="R6">
        <v>1.62</v>
      </c>
      <c r="S6">
        <v>0.69</v>
      </c>
      <c r="T6">
        <v>2.31</v>
      </c>
      <c r="U6">
        <v>1.1499999999999999</v>
      </c>
      <c r="V6">
        <v>1.85</v>
      </c>
    </row>
    <row r="7" spans="1:22" x14ac:dyDescent="0.2">
      <c r="A7">
        <v>4</v>
      </c>
      <c r="B7" t="s">
        <v>47</v>
      </c>
      <c r="C7">
        <v>2019</v>
      </c>
      <c r="D7">
        <v>20</v>
      </c>
      <c r="E7">
        <v>27.7</v>
      </c>
      <c r="F7">
        <v>36</v>
      </c>
      <c r="G7">
        <v>4</v>
      </c>
      <c r="H7">
        <v>44</v>
      </c>
      <c r="I7">
        <v>360</v>
      </c>
      <c r="J7">
        <v>4</v>
      </c>
      <c r="K7">
        <v>3</v>
      </c>
      <c r="L7">
        <v>3</v>
      </c>
      <c r="M7">
        <v>3</v>
      </c>
      <c r="N7">
        <v>0</v>
      </c>
      <c r="O7">
        <v>0</v>
      </c>
      <c r="P7">
        <v>6</v>
      </c>
      <c r="Q7">
        <v>0</v>
      </c>
      <c r="R7">
        <v>0.75</v>
      </c>
      <c r="S7">
        <v>0.75</v>
      </c>
      <c r="T7">
        <v>1.5</v>
      </c>
      <c r="U7">
        <v>0.75</v>
      </c>
      <c r="V7">
        <v>1.5</v>
      </c>
    </row>
    <row r="8" spans="1:22" x14ac:dyDescent="0.2">
      <c r="A8">
        <v>5</v>
      </c>
      <c r="B8" t="s">
        <v>48</v>
      </c>
      <c r="C8">
        <v>2019</v>
      </c>
      <c r="D8">
        <v>16</v>
      </c>
      <c r="E8">
        <v>27</v>
      </c>
      <c r="F8">
        <v>63</v>
      </c>
      <c r="G8">
        <v>4</v>
      </c>
      <c r="H8">
        <v>44</v>
      </c>
      <c r="I8">
        <v>360</v>
      </c>
      <c r="J8">
        <v>4</v>
      </c>
      <c r="K8">
        <v>4</v>
      </c>
      <c r="L8">
        <v>3</v>
      </c>
      <c r="M8">
        <v>4</v>
      </c>
      <c r="N8">
        <v>0</v>
      </c>
      <c r="O8">
        <v>1</v>
      </c>
      <c r="P8">
        <v>2</v>
      </c>
      <c r="Q8">
        <v>0</v>
      </c>
      <c r="R8">
        <v>1</v>
      </c>
      <c r="S8">
        <v>0.75</v>
      </c>
      <c r="T8">
        <v>1.75</v>
      </c>
      <c r="U8">
        <v>1</v>
      </c>
      <c r="V8">
        <v>1.75</v>
      </c>
    </row>
    <row r="9" spans="1:22" x14ac:dyDescent="0.2">
      <c r="A9">
        <v>6</v>
      </c>
      <c r="B9" t="s">
        <v>49</v>
      </c>
      <c r="C9">
        <v>2019</v>
      </c>
      <c r="D9">
        <v>18</v>
      </c>
      <c r="E9">
        <v>26.8</v>
      </c>
      <c r="F9">
        <v>42</v>
      </c>
      <c r="G9">
        <v>3</v>
      </c>
      <c r="H9">
        <v>33</v>
      </c>
      <c r="I9">
        <v>270</v>
      </c>
      <c r="J9">
        <v>3</v>
      </c>
      <c r="K9">
        <v>1</v>
      </c>
      <c r="L9">
        <v>1</v>
      </c>
      <c r="M9">
        <v>1</v>
      </c>
      <c r="N9">
        <v>0</v>
      </c>
      <c r="O9">
        <v>1</v>
      </c>
      <c r="P9">
        <v>5</v>
      </c>
      <c r="Q9">
        <v>0</v>
      </c>
      <c r="R9">
        <v>0.33</v>
      </c>
      <c r="S9">
        <v>0.33</v>
      </c>
      <c r="T9">
        <v>0.67</v>
      </c>
      <c r="U9">
        <v>0.33</v>
      </c>
      <c r="V9">
        <v>0.67</v>
      </c>
    </row>
    <row r="10" spans="1:22" x14ac:dyDescent="0.2">
      <c r="A10">
        <v>7</v>
      </c>
      <c r="B10" t="s">
        <v>50</v>
      </c>
      <c r="C10">
        <v>2019</v>
      </c>
      <c r="D10">
        <v>17</v>
      </c>
      <c r="E10">
        <v>26.6</v>
      </c>
      <c r="F10">
        <v>47</v>
      </c>
      <c r="G10">
        <v>4</v>
      </c>
      <c r="H10">
        <v>44</v>
      </c>
      <c r="I10">
        <v>360</v>
      </c>
      <c r="J10">
        <v>4</v>
      </c>
      <c r="K10">
        <v>1</v>
      </c>
      <c r="L10">
        <v>1</v>
      </c>
      <c r="M10">
        <v>1</v>
      </c>
      <c r="N10">
        <v>0</v>
      </c>
      <c r="O10">
        <v>0</v>
      </c>
      <c r="P10">
        <v>5</v>
      </c>
      <c r="Q10">
        <v>0</v>
      </c>
      <c r="R10">
        <v>0.25</v>
      </c>
      <c r="S10">
        <v>0.25</v>
      </c>
      <c r="T10">
        <v>0.5</v>
      </c>
      <c r="U10">
        <v>0.25</v>
      </c>
      <c r="V10">
        <v>0.5</v>
      </c>
    </row>
    <row r="11" spans="1:22" x14ac:dyDescent="0.2">
      <c r="A11">
        <v>8</v>
      </c>
      <c r="B11" t="s">
        <v>51</v>
      </c>
      <c r="C11">
        <v>2019</v>
      </c>
      <c r="D11">
        <v>22</v>
      </c>
      <c r="E11">
        <v>27.8</v>
      </c>
      <c r="F11">
        <v>60.4</v>
      </c>
      <c r="G11">
        <v>7</v>
      </c>
      <c r="H11">
        <v>77</v>
      </c>
      <c r="I11">
        <v>630</v>
      </c>
      <c r="J11">
        <v>7</v>
      </c>
      <c r="K11">
        <v>13</v>
      </c>
      <c r="L11">
        <v>12</v>
      </c>
      <c r="M11">
        <v>12</v>
      </c>
      <c r="N11">
        <v>1</v>
      </c>
      <c r="O11">
        <v>4</v>
      </c>
      <c r="P11">
        <v>1</v>
      </c>
      <c r="Q11">
        <v>1</v>
      </c>
      <c r="R11">
        <v>1.86</v>
      </c>
      <c r="S11">
        <v>1.71</v>
      </c>
      <c r="T11">
        <v>3.57</v>
      </c>
      <c r="U11">
        <v>1.71</v>
      </c>
      <c r="V11">
        <v>3.43</v>
      </c>
    </row>
    <row r="12" spans="1:22" x14ac:dyDescent="0.2">
      <c r="A12">
        <v>9</v>
      </c>
      <c r="B12" t="s">
        <v>52</v>
      </c>
      <c r="C12">
        <v>2019</v>
      </c>
      <c r="D12">
        <v>17</v>
      </c>
      <c r="E12">
        <v>27.8</v>
      </c>
      <c r="F12">
        <v>58.8</v>
      </c>
      <c r="G12">
        <v>5</v>
      </c>
      <c r="H12">
        <v>55</v>
      </c>
      <c r="I12">
        <v>480</v>
      </c>
      <c r="J12">
        <v>5.3</v>
      </c>
      <c r="K12">
        <v>10</v>
      </c>
      <c r="L12">
        <v>8</v>
      </c>
      <c r="M12">
        <v>8</v>
      </c>
      <c r="N12">
        <v>2</v>
      </c>
      <c r="O12">
        <v>2</v>
      </c>
      <c r="P12">
        <v>2</v>
      </c>
      <c r="Q12">
        <v>0</v>
      </c>
      <c r="R12">
        <v>1.87</v>
      </c>
      <c r="S12">
        <v>1.5</v>
      </c>
      <c r="T12">
        <v>3.38</v>
      </c>
      <c r="U12">
        <v>1.5</v>
      </c>
      <c r="V12">
        <v>3</v>
      </c>
    </row>
    <row r="13" spans="1:22" x14ac:dyDescent="0.2">
      <c r="A13">
        <v>10</v>
      </c>
      <c r="B13" t="s">
        <v>53</v>
      </c>
      <c r="C13">
        <v>2019</v>
      </c>
      <c r="D13">
        <v>19</v>
      </c>
      <c r="E13">
        <v>25.5</v>
      </c>
      <c r="F13">
        <v>57.2</v>
      </c>
      <c r="G13">
        <v>5</v>
      </c>
      <c r="H13">
        <v>55</v>
      </c>
      <c r="I13">
        <v>450</v>
      </c>
      <c r="J13">
        <v>5</v>
      </c>
      <c r="K13">
        <v>10</v>
      </c>
      <c r="L13">
        <v>4</v>
      </c>
      <c r="M13">
        <v>9</v>
      </c>
      <c r="N13">
        <v>1</v>
      </c>
      <c r="O13">
        <v>1</v>
      </c>
      <c r="P13">
        <v>2</v>
      </c>
      <c r="Q13">
        <v>0</v>
      </c>
      <c r="R13">
        <v>2</v>
      </c>
      <c r="S13">
        <v>0.8</v>
      </c>
      <c r="T13">
        <v>2.8</v>
      </c>
      <c r="U13">
        <v>1.8</v>
      </c>
      <c r="V13">
        <v>2.6</v>
      </c>
    </row>
    <row r="14" spans="1:22" x14ac:dyDescent="0.2">
      <c r="A14">
        <v>11</v>
      </c>
      <c r="B14" t="s">
        <v>54</v>
      </c>
      <c r="C14">
        <v>2019</v>
      </c>
      <c r="D14">
        <v>17</v>
      </c>
      <c r="E14">
        <v>26.5</v>
      </c>
      <c r="F14">
        <v>43.4</v>
      </c>
      <c r="G14">
        <v>5</v>
      </c>
      <c r="H14">
        <v>55</v>
      </c>
      <c r="I14">
        <v>450</v>
      </c>
      <c r="J14">
        <v>5</v>
      </c>
      <c r="K14">
        <v>9</v>
      </c>
      <c r="L14">
        <v>6</v>
      </c>
      <c r="M14">
        <v>8</v>
      </c>
      <c r="N14">
        <v>1</v>
      </c>
      <c r="O14">
        <v>1</v>
      </c>
      <c r="P14">
        <v>4</v>
      </c>
      <c r="Q14">
        <v>0</v>
      </c>
      <c r="R14">
        <v>1.8</v>
      </c>
      <c r="S14">
        <v>1.2</v>
      </c>
      <c r="T14">
        <v>3</v>
      </c>
      <c r="U14">
        <v>1.6</v>
      </c>
      <c r="V14">
        <v>2.8</v>
      </c>
    </row>
    <row r="15" spans="1:22" x14ac:dyDescent="0.2">
      <c r="A15">
        <v>12</v>
      </c>
      <c r="B15" t="s">
        <v>55</v>
      </c>
      <c r="C15">
        <v>2019</v>
      </c>
      <c r="D15">
        <v>20</v>
      </c>
      <c r="E15">
        <v>22.9</v>
      </c>
      <c r="F15">
        <v>36.700000000000003</v>
      </c>
      <c r="G15">
        <v>3</v>
      </c>
      <c r="H15">
        <v>33</v>
      </c>
      <c r="I15">
        <v>270</v>
      </c>
      <c r="J15">
        <v>3</v>
      </c>
      <c r="K15">
        <v>1</v>
      </c>
      <c r="L15">
        <v>1</v>
      </c>
      <c r="M15">
        <v>1</v>
      </c>
      <c r="N15">
        <v>0</v>
      </c>
      <c r="O15">
        <v>0</v>
      </c>
      <c r="P15">
        <v>4</v>
      </c>
      <c r="Q15">
        <v>0</v>
      </c>
      <c r="R15">
        <v>0.33</v>
      </c>
      <c r="S15">
        <v>0.33</v>
      </c>
      <c r="T15">
        <v>0.67</v>
      </c>
      <c r="U15">
        <v>0.33</v>
      </c>
      <c r="V15">
        <v>0.67</v>
      </c>
    </row>
    <row r="16" spans="1:22" x14ac:dyDescent="0.2">
      <c r="A16">
        <v>13</v>
      </c>
      <c r="B16" t="s">
        <v>56</v>
      </c>
      <c r="C16">
        <v>2019</v>
      </c>
      <c r="D16">
        <v>17</v>
      </c>
      <c r="E16">
        <v>24.8</v>
      </c>
      <c r="F16">
        <v>53.8</v>
      </c>
      <c r="G16">
        <v>4</v>
      </c>
      <c r="H16">
        <v>44</v>
      </c>
      <c r="I16">
        <v>360</v>
      </c>
      <c r="J16">
        <v>4</v>
      </c>
      <c r="K16">
        <v>3</v>
      </c>
      <c r="L16">
        <v>2</v>
      </c>
      <c r="M16">
        <v>2</v>
      </c>
      <c r="N16">
        <v>1</v>
      </c>
      <c r="O16">
        <v>1</v>
      </c>
      <c r="P16">
        <v>4</v>
      </c>
      <c r="Q16">
        <v>0</v>
      </c>
      <c r="R16">
        <v>0.75</v>
      </c>
      <c r="S16">
        <v>0.5</v>
      </c>
      <c r="T16">
        <v>1.25</v>
      </c>
      <c r="U16">
        <v>0.5</v>
      </c>
      <c r="V16">
        <v>1</v>
      </c>
    </row>
    <row r="17" spans="1:22" x14ac:dyDescent="0.2">
      <c r="A17">
        <v>14</v>
      </c>
      <c r="B17" t="s">
        <v>57</v>
      </c>
      <c r="C17">
        <v>2019</v>
      </c>
      <c r="D17">
        <v>19</v>
      </c>
      <c r="E17">
        <v>26.9</v>
      </c>
      <c r="F17">
        <v>52</v>
      </c>
      <c r="G17">
        <v>3</v>
      </c>
      <c r="H17">
        <v>33</v>
      </c>
      <c r="I17">
        <v>270</v>
      </c>
      <c r="J17">
        <v>3</v>
      </c>
      <c r="K17">
        <v>1</v>
      </c>
      <c r="L17">
        <v>1</v>
      </c>
      <c r="M17">
        <v>1</v>
      </c>
      <c r="N17">
        <v>0</v>
      </c>
      <c r="O17">
        <v>0</v>
      </c>
      <c r="P17">
        <v>4</v>
      </c>
      <c r="Q17">
        <v>0</v>
      </c>
      <c r="R17">
        <v>0.33</v>
      </c>
      <c r="S17">
        <v>0.33</v>
      </c>
      <c r="T17">
        <v>0.67</v>
      </c>
      <c r="U17">
        <v>0.33</v>
      </c>
      <c r="V17">
        <v>0.67</v>
      </c>
    </row>
    <row r="18" spans="1:22" x14ac:dyDescent="0.2">
      <c r="A18">
        <v>15</v>
      </c>
      <c r="B18" t="s">
        <v>58</v>
      </c>
      <c r="C18">
        <v>2019</v>
      </c>
      <c r="D18">
        <v>16</v>
      </c>
      <c r="E18">
        <v>26.1</v>
      </c>
      <c r="F18">
        <v>57.1</v>
      </c>
      <c r="G18">
        <v>7</v>
      </c>
      <c r="H18">
        <v>77</v>
      </c>
      <c r="I18">
        <v>660</v>
      </c>
      <c r="J18">
        <v>7.3</v>
      </c>
      <c r="K18">
        <v>11</v>
      </c>
      <c r="L18">
        <v>7</v>
      </c>
      <c r="M18">
        <v>10</v>
      </c>
      <c r="N18">
        <v>1</v>
      </c>
      <c r="O18">
        <v>1</v>
      </c>
      <c r="P18">
        <v>0</v>
      </c>
      <c r="Q18">
        <v>0</v>
      </c>
      <c r="R18">
        <v>1.5</v>
      </c>
      <c r="S18">
        <v>0.95</v>
      </c>
      <c r="T18">
        <v>2.4500000000000002</v>
      </c>
      <c r="U18">
        <v>1.36</v>
      </c>
      <c r="V18">
        <v>2.3199999999999998</v>
      </c>
    </row>
    <row r="19" spans="1:22" x14ac:dyDescent="0.2">
      <c r="A19">
        <v>16</v>
      </c>
      <c r="B19" t="s">
        <v>59</v>
      </c>
      <c r="C19">
        <v>2019</v>
      </c>
      <c r="D19">
        <v>17</v>
      </c>
      <c r="E19">
        <v>27.6</v>
      </c>
      <c r="F19">
        <v>39.299999999999997</v>
      </c>
      <c r="G19">
        <v>3</v>
      </c>
      <c r="H19">
        <v>33</v>
      </c>
      <c r="I19">
        <v>270</v>
      </c>
      <c r="J19">
        <v>3</v>
      </c>
      <c r="K19">
        <v>0</v>
      </c>
      <c r="L19">
        <v>0</v>
      </c>
      <c r="M19">
        <v>0</v>
      </c>
      <c r="N19">
        <v>0</v>
      </c>
      <c r="O19">
        <v>0</v>
      </c>
      <c r="P19">
        <v>1</v>
      </c>
      <c r="Q19">
        <v>0</v>
      </c>
      <c r="R19">
        <v>0</v>
      </c>
      <c r="S19">
        <v>0</v>
      </c>
      <c r="T19">
        <v>0</v>
      </c>
      <c r="U19">
        <v>0</v>
      </c>
      <c r="V19">
        <v>0</v>
      </c>
    </row>
    <row r="20" spans="1:22" x14ac:dyDescent="0.2">
      <c r="A20">
        <v>17</v>
      </c>
      <c r="B20" t="s">
        <v>60</v>
      </c>
      <c r="C20">
        <v>2019</v>
      </c>
      <c r="D20">
        <v>20</v>
      </c>
      <c r="E20">
        <v>25.7</v>
      </c>
      <c r="F20">
        <v>34.799999999999997</v>
      </c>
      <c r="G20">
        <v>4</v>
      </c>
      <c r="H20">
        <v>44</v>
      </c>
      <c r="I20">
        <v>360</v>
      </c>
      <c r="J20">
        <v>4</v>
      </c>
      <c r="K20">
        <v>1</v>
      </c>
      <c r="L20">
        <v>1</v>
      </c>
      <c r="M20">
        <v>1</v>
      </c>
      <c r="N20">
        <v>0</v>
      </c>
      <c r="O20">
        <v>0</v>
      </c>
      <c r="P20">
        <v>6</v>
      </c>
      <c r="Q20">
        <v>1</v>
      </c>
      <c r="R20">
        <v>0.25</v>
      </c>
      <c r="S20">
        <v>0.25</v>
      </c>
      <c r="T20">
        <v>0.5</v>
      </c>
      <c r="U20">
        <v>0.25</v>
      </c>
      <c r="V20">
        <v>0.5</v>
      </c>
    </row>
    <row r="21" spans="1:22" x14ac:dyDescent="0.2">
      <c r="A21">
        <v>18</v>
      </c>
      <c r="B21" t="s">
        <v>61</v>
      </c>
      <c r="C21">
        <v>2019</v>
      </c>
      <c r="D21">
        <v>17</v>
      </c>
      <c r="E21">
        <v>26.8</v>
      </c>
      <c r="F21">
        <v>50.2</v>
      </c>
      <c r="G21">
        <v>5</v>
      </c>
      <c r="H21">
        <v>55</v>
      </c>
      <c r="I21">
        <v>480</v>
      </c>
      <c r="J21">
        <v>5.3</v>
      </c>
      <c r="K21">
        <v>5</v>
      </c>
      <c r="L21">
        <v>3</v>
      </c>
      <c r="M21">
        <v>3</v>
      </c>
      <c r="N21">
        <v>2</v>
      </c>
      <c r="O21">
        <v>2</v>
      </c>
      <c r="P21">
        <v>1</v>
      </c>
      <c r="Q21">
        <v>0</v>
      </c>
      <c r="R21">
        <v>0.94</v>
      </c>
      <c r="S21">
        <v>0.56000000000000005</v>
      </c>
      <c r="T21">
        <v>1.5</v>
      </c>
      <c r="U21">
        <v>0.56000000000000005</v>
      </c>
      <c r="V21">
        <v>1.1299999999999999</v>
      </c>
    </row>
    <row r="22" spans="1:22" x14ac:dyDescent="0.2">
      <c r="A22">
        <v>19</v>
      </c>
      <c r="B22" t="s">
        <v>62</v>
      </c>
      <c r="C22">
        <v>2019</v>
      </c>
      <c r="D22">
        <v>19</v>
      </c>
      <c r="E22">
        <v>26.4</v>
      </c>
      <c r="F22">
        <v>47</v>
      </c>
      <c r="G22">
        <v>3</v>
      </c>
      <c r="H22">
        <v>33</v>
      </c>
      <c r="I22">
        <v>270</v>
      </c>
      <c r="J22">
        <v>3</v>
      </c>
      <c r="K22">
        <v>5</v>
      </c>
      <c r="L22">
        <v>3</v>
      </c>
      <c r="M22">
        <v>5</v>
      </c>
      <c r="N22">
        <v>0</v>
      </c>
      <c r="O22">
        <v>0</v>
      </c>
      <c r="P22">
        <v>6</v>
      </c>
      <c r="Q22">
        <v>0</v>
      </c>
      <c r="R22">
        <v>1.67</v>
      </c>
      <c r="S22">
        <v>1</v>
      </c>
      <c r="T22">
        <v>2.67</v>
      </c>
      <c r="U22">
        <v>1.67</v>
      </c>
      <c r="V22">
        <v>2.67</v>
      </c>
    </row>
    <row r="23" spans="1:22" x14ac:dyDescent="0.2">
      <c r="A23">
        <v>20</v>
      </c>
      <c r="B23" t="s">
        <v>63</v>
      </c>
      <c r="C23">
        <v>2019</v>
      </c>
      <c r="D23">
        <v>19</v>
      </c>
      <c r="E23">
        <v>27.5</v>
      </c>
      <c r="F23">
        <v>38</v>
      </c>
      <c r="G23">
        <v>3</v>
      </c>
      <c r="H23">
        <v>33</v>
      </c>
      <c r="I23">
        <v>270</v>
      </c>
      <c r="J23">
        <v>3</v>
      </c>
      <c r="K23">
        <v>1</v>
      </c>
      <c r="L23">
        <v>1</v>
      </c>
      <c r="M23">
        <v>1</v>
      </c>
      <c r="N23">
        <v>0</v>
      </c>
      <c r="O23">
        <v>0</v>
      </c>
      <c r="P23">
        <v>7</v>
      </c>
      <c r="Q23">
        <v>1</v>
      </c>
      <c r="R23">
        <v>0.33</v>
      </c>
      <c r="S23">
        <v>0.33</v>
      </c>
      <c r="T23">
        <v>0.67</v>
      </c>
      <c r="U23">
        <v>0.33</v>
      </c>
      <c r="V23">
        <v>0.67</v>
      </c>
    </row>
    <row r="24" spans="1:22" x14ac:dyDescent="0.2">
      <c r="A24">
        <v>21</v>
      </c>
      <c r="B24" t="s">
        <v>64</v>
      </c>
      <c r="C24">
        <v>2019</v>
      </c>
      <c r="D24">
        <v>19</v>
      </c>
      <c r="E24">
        <v>25.2</v>
      </c>
      <c r="F24">
        <v>62.5</v>
      </c>
      <c r="G24">
        <v>4</v>
      </c>
      <c r="H24">
        <v>44</v>
      </c>
      <c r="I24">
        <v>360</v>
      </c>
      <c r="J24">
        <v>4</v>
      </c>
      <c r="K24">
        <v>4</v>
      </c>
      <c r="L24">
        <v>2</v>
      </c>
      <c r="M24">
        <v>2</v>
      </c>
      <c r="N24">
        <v>2</v>
      </c>
      <c r="O24">
        <v>2</v>
      </c>
      <c r="P24">
        <v>1</v>
      </c>
      <c r="Q24">
        <v>0</v>
      </c>
      <c r="R24">
        <v>1</v>
      </c>
      <c r="S24">
        <v>0.5</v>
      </c>
      <c r="T24">
        <v>1.5</v>
      </c>
      <c r="U24">
        <v>0.5</v>
      </c>
      <c r="V24">
        <v>1</v>
      </c>
    </row>
    <row r="25" spans="1:22" x14ac:dyDescent="0.2">
      <c r="A25">
        <v>22</v>
      </c>
      <c r="B25" t="s">
        <v>65</v>
      </c>
      <c r="C25">
        <v>2019</v>
      </c>
      <c r="D25">
        <v>20</v>
      </c>
      <c r="E25">
        <v>28.5</v>
      </c>
      <c r="F25">
        <v>48.4</v>
      </c>
      <c r="G25">
        <v>7</v>
      </c>
      <c r="H25">
        <v>77</v>
      </c>
      <c r="I25">
        <v>660</v>
      </c>
      <c r="J25">
        <v>7.3</v>
      </c>
      <c r="K25">
        <v>12</v>
      </c>
      <c r="L25">
        <v>7</v>
      </c>
      <c r="M25">
        <v>11</v>
      </c>
      <c r="N25">
        <v>1</v>
      </c>
      <c r="O25">
        <v>1</v>
      </c>
      <c r="P25">
        <v>2</v>
      </c>
      <c r="Q25">
        <v>0</v>
      </c>
      <c r="R25">
        <v>1.64</v>
      </c>
      <c r="S25">
        <v>0.95</v>
      </c>
      <c r="T25">
        <v>2.59</v>
      </c>
      <c r="U25">
        <v>1.5</v>
      </c>
      <c r="V25">
        <v>2.4500000000000002</v>
      </c>
    </row>
    <row r="26" spans="1:22" x14ac:dyDescent="0.2">
      <c r="A26">
        <v>23</v>
      </c>
      <c r="B26" t="s">
        <v>66</v>
      </c>
      <c r="C26">
        <v>2019</v>
      </c>
      <c r="D26">
        <v>18</v>
      </c>
      <c r="E26">
        <v>27.8</v>
      </c>
      <c r="F26">
        <v>30</v>
      </c>
      <c r="G26">
        <v>3</v>
      </c>
      <c r="H26">
        <v>33</v>
      </c>
      <c r="I26">
        <v>270</v>
      </c>
      <c r="J26">
        <v>3</v>
      </c>
      <c r="K26">
        <v>1</v>
      </c>
      <c r="L26">
        <v>1</v>
      </c>
      <c r="M26">
        <v>1</v>
      </c>
      <c r="N26">
        <v>0</v>
      </c>
      <c r="O26">
        <v>0</v>
      </c>
      <c r="P26">
        <v>5</v>
      </c>
      <c r="Q26">
        <v>0</v>
      </c>
      <c r="R26">
        <v>0.33</v>
      </c>
      <c r="S26">
        <v>0.33</v>
      </c>
      <c r="T26">
        <v>0.67</v>
      </c>
      <c r="U26">
        <v>0.33</v>
      </c>
      <c r="V26">
        <v>0.67</v>
      </c>
    </row>
    <row r="27" spans="1:22" x14ac:dyDescent="0.2">
      <c r="A27">
        <v>24</v>
      </c>
      <c r="B27" t="s">
        <v>67</v>
      </c>
      <c r="C27">
        <v>2019</v>
      </c>
      <c r="D27">
        <v>21</v>
      </c>
      <c r="E27">
        <v>28.8</v>
      </c>
      <c r="F27">
        <v>56</v>
      </c>
      <c r="G27">
        <v>7</v>
      </c>
      <c r="H27">
        <v>77</v>
      </c>
      <c r="I27">
        <v>630</v>
      </c>
      <c r="J27">
        <v>7</v>
      </c>
      <c r="K27">
        <v>25</v>
      </c>
      <c r="L27">
        <v>17</v>
      </c>
      <c r="M27">
        <v>22</v>
      </c>
      <c r="N27">
        <v>3</v>
      </c>
      <c r="O27">
        <v>4</v>
      </c>
      <c r="P27">
        <v>0</v>
      </c>
      <c r="Q27">
        <v>0</v>
      </c>
      <c r="R27">
        <v>3.57</v>
      </c>
      <c r="S27">
        <v>2.4300000000000002</v>
      </c>
      <c r="T27">
        <v>6</v>
      </c>
      <c r="U27">
        <v>3.14</v>
      </c>
      <c r="V27">
        <v>5.57</v>
      </c>
    </row>
    <row r="28" spans="1:22" x14ac:dyDescent="0.2">
      <c r="A28">
        <v>25</v>
      </c>
      <c r="B28" t="s">
        <v>45</v>
      </c>
      <c r="C28">
        <v>2015</v>
      </c>
      <c r="D28">
        <v>17</v>
      </c>
      <c r="E28">
        <v>23.6</v>
      </c>
      <c r="F28">
        <v>46.2</v>
      </c>
      <c r="G28">
        <v>5</v>
      </c>
      <c r="H28">
        <v>55</v>
      </c>
      <c r="I28">
        <v>450</v>
      </c>
      <c r="J28">
        <v>5</v>
      </c>
      <c r="K28">
        <v>5</v>
      </c>
      <c r="L28">
        <v>4</v>
      </c>
      <c r="M28">
        <v>5</v>
      </c>
      <c r="N28">
        <v>0</v>
      </c>
      <c r="O28">
        <v>0</v>
      </c>
      <c r="P28">
        <v>0</v>
      </c>
      <c r="Q28">
        <v>0</v>
      </c>
      <c r="R28">
        <v>1</v>
      </c>
      <c r="S28">
        <v>0.8</v>
      </c>
      <c r="T28">
        <v>1.8</v>
      </c>
      <c r="U28">
        <v>1</v>
      </c>
      <c r="V28">
        <v>1.8</v>
      </c>
    </row>
    <row r="29" spans="1:22" x14ac:dyDescent="0.2">
      <c r="A29">
        <v>26</v>
      </c>
      <c r="B29" t="s">
        <v>46</v>
      </c>
      <c r="C29">
        <v>2015</v>
      </c>
      <c r="D29">
        <v>20</v>
      </c>
      <c r="E29">
        <v>27.4</v>
      </c>
      <c r="F29">
        <v>59</v>
      </c>
      <c r="G29">
        <v>4</v>
      </c>
      <c r="H29">
        <v>44</v>
      </c>
      <c r="I29">
        <v>360</v>
      </c>
      <c r="J29">
        <v>4</v>
      </c>
      <c r="K29">
        <v>4</v>
      </c>
      <c r="L29">
        <v>1</v>
      </c>
      <c r="M29">
        <v>3</v>
      </c>
      <c r="N29">
        <v>1</v>
      </c>
      <c r="O29">
        <v>1</v>
      </c>
      <c r="P29">
        <v>1</v>
      </c>
      <c r="Q29">
        <v>0</v>
      </c>
      <c r="R29">
        <v>1</v>
      </c>
      <c r="S29">
        <v>0.25</v>
      </c>
      <c r="T29">
        <v>1.25</v>
      </c>
      <c r="U29">
        <v>0.75</v>
      </c>
      <c r="V29">
        <v>1</v>
      </c>
    </row>
    <row r="30" spans="1:22" x14ac:dyDescent="0.2">
      <c r="A30">
        <v>27</v>
      </c>
      <c r="B30" t="s">
        <v>47</v>
      </c>
      <c r="C30">
        <v>2015</v>
      </c>
      <c r="D30">
        <v>17</v>
      </c>
      <c r="E30">
        <v>25.1</v>
      </c>
      <c r="F30">
        <v>48.8</v>
      </c>
      <c r="G30">
        <v>4</v>
      </c>
      <c r="H30">
        <v>44</v>
      </c>
      <c r="I30">
        <v>360</v>
      </c>
      <c r="J30">
        <v>4</v>
      </c>
      <c r="K30">
        <v>9</v>
      </c>
      <c r="L30">
        <v>5</v>
      </c>
      <c r="M30">
        <v>5</v>
      </c>
      <c r="N30">
        <v>4</v>
      </c>
      <c r="O30">
        <v>4</v>
      </c>
      <c r="P30">
        <v>6</v>
      </c>
      <c r="Q30">
        <v>0</v>
      </c>
      <c r="R30">
        <v>2.25</v>
      </c>
      <c r="S30">
        <v>1.25</v>
      </c>
      <c r="T30">
        <v>3.5</v>
      </c>
      <c r="U30">
        <v>1.25</v>
      </c>
      <c r="V30">
        <v>2.5</v>
      </c>
    </row>
    <row r="31" spans="1:22" x14ac:dyDescent="0.2">
      <c r="A31">
        <v>28</v>
      </c>
      <c r="B31" t="s">
        <v>48</v>
      </c>
      <c r="C31">
        <v>2015</v>
      </c>
      <c r="D31">
        <v>18</v>
      </c>
      <c r="E31">
        <v>27.2</v>
      </c>
      <c r="F31">
        <v>55</v>
      </c>
      <c r="G31">
        <v>5</v>
      </c>
      <c r="H31">
        <v>55</v>
      </c>
      <c r="I31">
        <v>450</v>
      </c>
      <c r="J31">
        <v>5</v>
      </c>
      <c r="K31">
        <v>4</v>
      </c>
      <c r="L31">
        <v>1</v>
      </c>
      <c r="M31">
        <v>3</v>
      </c>
      <c r="N31">
        <v>1</v>
      </c>
      <c r="O31">
        <v>1</v>
      </c>
      <c r="P31">
        <v>3</v>
      </c>
      <c r="Q31">
        <v>0</v>
      </c>
      <c r="R31">
        <v>0.8</v>
      </c>
      <c r="S31">
        <v>0.2</v>
      </c>
      <c r="T31">
        <v>1</v>
      </c>
      <c r="U31">
        <v>0.6</v>
      </c>
      <c r="V31">
        <v>0.8</v>
      </c>
    </row>
    <row r="32" spans="1:22" x14ac:dyDescent="0.2">
      <c r="A32">
        <v>29</v>
      </c>
      <c r="B32" t="s">
        <v>50</v>
      </c>
      <c r="C32">
        <v>2015</v>
      </c>
      <c r="D32">
        <v>18</v>
      </c>
      <c r="E32">
        <v>23.6</v>
      </c>
      <c r="F32">
        <v>48.6</v>
      </c>
      <c r="G32">
        <v>5</v>
      </c>
      <c r="H32">
        <v>55</v>
      </c>
      <c r="I32">
        <v>450</v>
      </c>
      <c r="J32">
        <v>5</v>
      </c>
      <c r="K32">
        <v>4</v>
      </c>
      <c r="L32">
        <v>2</v>
      </c>
      <c r="M32">
        <v>3</v>
      </c>
      <c r="N32">
        <v>1</v>
      </c>
      <c r="O32">
        <v>1</v>
      </c>
      <c r="P32">
        <v>2</v>
      </c>
      <c r="Q32">
        <v>0</v>
      </c>
      <c r="R32">
        <v>0.8</v>
      </c>
      <c r="S32">
        <v>0.4</v>
      </c>
      <c r="T32">
        <v>1.2</v>
      </c>
      <c r="U32">
        <v>0.6</v>
      </c>
      <c r="V32">
        <v>1</v>
      </c>
    </row>
    <row r="33" spans="1:22" x14ac:dyDescent="0.2">
      <c r="A33">
        <v>30</v>
      </c>
      <c r="B33" t="s">
        <v>68</v>
      </c>
      <c r="C33">
        <v>2015</v>
      </c>
      <c r="D33">
        <v>18</v>
      </c>
      <c r="E33">
        <v>24.3</v>
      </c>
      <c r="F33">
        <v>44.3</v>
      </c>
      <c r="G33">
        <v>4</v>
      </c>
      <c r="H33">
        <v>44</v>
      </c>
      <c r="I33">
        <v>360</v>
      </c>
      <c r="J33">
        <v>4</v>
      </c>
      <c r="K33">
        <v>4</v>
      </c>
      <c r="L33">
        <v>4</v>
      </c>
      <c r="M33">
        <v>4</v>
      </c>
      <c r="N33">
        <v>0</v>
      </c>
      <c r="O33">
        <v>0</v>
      </c>
      <c r="P33">
        <v>8</v>
      </c>
      <c r="Q33">
        <v>0</v>
      </c>
      <c r="R33">
        <v>1</v>
      </c>
      <c r="S33">
        <v>1</v>
      </c>
      <c r="T33">
        <v>2</v>
      </c>
      <c r="U33">
        <v>1</v>
      </c>
      <c r="V33">
        <v>2</v>
      </c>
    </row>
    <row r="34" spans="1:22" x14ac:dyDescent="0.2">
      <c r="A34">
        <v>31</v>
      </c>
      <c r="B34" t="s">
        <v>69</v>
      </c>
      <c r="C34">
        <v>2015</v>
      </c>
      <c r="D34">
        <v>15</v>
      </c>
      <c r="E34">
        <v>25</v>
      </c>
      <c r="F34">
        <v>42.3</v>
      </c>
      <c r="G34">
        <v>3</v>
      </c>
      <c r="H34">
        <v>33</v>
      </c>
      <c r="I34">
        <v>270</v>
      </c>
      <c r="J34">
        <v>3</v>
      </c>
      <c r="K34">
        <v>3</v>
      </c>
      <c r="L34">
        <v>3</v>
      </c>
      <c r="M34">
        <v>3</v>
      </c>
      <c r="N34">
        <v>0</v>
      </c>
      <c r="O34">
        <v>0</v>
      </c>
      <c r="P34">
        <v>0</v>
      </c>
      <c r="Q34">
        <v>0</v>
      </c>
      <c r="R34">
        <v>1</v>
      </c>
      <c r="S34">
        <v>1</v>
      </c>
      <c r="T34">
        <v>2</v>
      </c>
      <c r="U34">
        <v>1</v>
      </c>
      <c r="V34">
        <v>2</v>
      </c>
    </row>
    <row r="35" spans="1:22" x14ac:dyDescent="0.2">
      <c r="A35">
        <v>32</v>
      </c>
      <c r="B35" t="s">
        <v>70</v>
      </c>
      <c r="C35">
        <v>2015</v>
      </c>
      <c r="D35">
        <v>19</v>
      </c>
      <c r="E35">
        <v>25</v>
      </c>
      <c r="F35">
        <v>45</v>
      </c>
      <c r="G35">
        <v>3</v>
      </c>
      <c r="H35">
        <v>33</v>
      </c>
      <c r="I35">
        <v>270</v>
      </c>
      <c r="J35">
        <v>3</v>
      </c>
      <c r="K35">
        <v>3</v>
      </c>
      <c r="L35">
        <v>0</v>
      </c>
      <c r="M35">
        <v>3</v>
      </c>
      <c r="N35">
        <v>0</v>
      </c>
      <c r="O35">
        <v>0</v>
      </c>
      <c r="P35">
        <v>8</v>
      </c>
      <c r="Q35">
        <v>0</v>
      </c>
      <c r="R35">
        <v>1</v>
      </c>
      <c r="S35">
        <v>0</v>
      </c>
      <c r="T35">
        <v>1</v>
      </c>
      <c r="U35">
        <v>1</v>
      </c>
      <c r="V35">
        <v>1</v>
      </c>
    </row>
    <row r="36" spans="1:22" x14ac:dyDescent="0.2">
      <c r="A36">
        <v>33</v>
      </c>
      <c r="B36" t="s">
        <v>71</v>
      </c>
      <c r="C36">
        <v>2015</v>
      </c>
      <c r="D36">
        <v>19</v>
      </c>
      <c r="E36">
        <v>23.4</v>
      </c>
      <c r="F36">
        <v>38.700000000000003</v>
      </c>
      <c r="G36">
        <v>3</v>
      </c>
      <c r="H36">
        <v>33</v>
      </c>
      <c r="I36">
        <v>270</v>
      </c>
      <c r="J36">
        <v>3</v>
      </c>
      <c r="K36">
        <v>1</v>
      </c>
      <c r="L36">
        <v>0</v>
      </c>
      <c r="M36">
        <v>0</v>
      </c>
      <c r="N36">
        <v>1</v>
      </c>
      <c r="O36">
        <v>1</v>
      </c>
      <c r="P36">
        <v>6</v>
      </c>
      <c r="Q36">
        <v>1</v>
      </c>
      <c r="R36">
        <v>0.33</v>
      </c>
      <c r="S36">
        <v>0</v>
      </c>
      <c r="T36">
        <v>0.33</v>
      </c>
      <c r="U36">
        <v>0</v>
      </c>
      <c r="V36">
        <v>0</v>
      </c>
    </row>
    <row r="37" spans="1:22" x14ac:dyDescent="0.2">
      <c r="A37">
        <v>34</v>
      </c>
      <c r="B37" t="s">
        <v>51</v>
      </c>
      <c r="C37">
        <v>2015</v>
      </c>
      <c r="D37">
        <v>22</v>
      </c>
      <c r="E37">
        <v>27.6</v>
      </c>
      <c r="F37">
        <v>48.1</v>
      </c>
      <c r="G37">
        <v>7</v>
      </c>
      <c r="H37">
        <v>77</v>
      </c>
      <c r="I37">
        <v>660</v>
      </c>
      <c r="J37">
        <v>7.3</v>
      </c>
      <c r="K37">
        <v>10</v>
      </c>
      <c r="L37">
        <v>4</v>
      </c>
      <c r="M37">
        <v>7</v>
      </c>
      <c r="N37">
        <v>3</v>
      </c>
      <c r="O37">
        <v>3</v>
      </c>
      <c r="P37">
        <v>3</v>
      </c>
      <c r="Q37">
        <v>0</v>
      </c>
      <c r="R37">
        <v>1.36</v>
      </c>
      <c r="S37">
        <v>0.55000000000000004</v>
      </c>
      <c r="T37">
        <v>1.91</v>
      </c>
      <c r="U37">
        <v>0.95</v>
      </c>
      <c r="V37">
        <v>1.5</v>
      </c>
    </row>
    <row r="38" spans="1:22" x14ac:dyDescent="0.2">
      <c r="A38">
        <v>35</v>
      </c>
      <c r="B38" t="s">
        <v>52</v>
      </c>
      <c r="C38">
        <v>2015</v>
      </c>
      <c r="D38">
        <v>19</v>
      </c>
      <c r="E38">
        <v>27.3</v>
      </c>
      <c r="F38">
        <v>53.6</v>
      </c>
      <c r="G38">
        <v>5</v>
      </c>
      <c r="H38">
        <v>55</v>
      </c>
      <c r="I38">
        <v>480</v>
      </c>
      <c r="J38">
        <v>5.3</v>
      </c>
      <c r="K38">
        <v>9</v>
      </c>
      <c r="L38">
        <v>7</v>
      </c>
      <c r="M38">
        <v>9</v>
      </c>
      <c r="N38">
        <v>0</v>
      </c>
      <c r="O38">
        <v>0</v>
      </c>
      <c r="P38">
        <v>0</v>
      </c>
      <c r="Q38">
        <v>0</v>
      </c>
      <c r="R38">
        <v>1.69</v>
      </c>
      <c r="S38">
        <v>1.31</v>
      </c>
      <c r="T38">
        <v>3</v>
      </c>
      <c r="U38">
        <v>1.69</v>
      </c>
      <c r="V38">
        <v>3</v>
      </c>
    </row>
    <row r="39" spans="1:22" x14ac:dyDescent="0.2">
      <c r="A39">
        <v>36</v>
      </c>
      <c r="B39" t="s">
        <v>53</v>
      </c>
      <c r="C39">
        <v>2015</v>
      </c>
      <c r="D39">
        <v>21</v>
      </c>
      <c r="E39">
        <v>26.9</v>
      </c>
      <c r="F39">
        <v>54.7</v>
      </c>
      <c r="G39">
        <v>7</v>
      </c>
      <c r="H39">
        <v>77</v>
      </c>
      <c r="I39">
        <v>690</v>
      </c>
      <c r="J39">
        <v>7.7</v>
      </c>
      <c r="K39">
        <v>20</v>
      </c>
      <c r="L39">
        <v>11</v>
      </c>
      <c r="M39">
        <v>18</v>
      </c>
      <c r="N39">
        <v>2</v>
      </c>
      <c r="O39">
        <v>2</v>
      </c>
      <c r="P39">
        <v>1</v>
      </c>
      <c r="Q39">
        <v>0</v>
      </c>
      <c r="R39">
        <v>2.61</v>
      </c>
      <c r="S39">
        <v>1.43</v>
      </c>
      <c r="T39">
        <v>4.04</v>
      </c>
      <c r="U39">
        <v>2.35</v>
      </c>
      <c r="V39">
        <v>3.78</v>
      </c>
    </row>
    <row r="40" spans="1:22" x14ac:dyDescent="0.2">
      <c r="A40">
        <v>37</v>
      </c>
      <c r="B40" t="s">
        <v>56</v>
      </c>
      <c r="C40">
        <v>2015</v>
      </c>
      <c r="D40">
        <v>23</v>
      </c>
      <c r="E40">
        <v>27.9</v>
      </c>
      <c r="F40">
        <v>55.1</v>
      </c>
      <c r="G40">
        <v>7</v>
      </c>
      <c r="H40">
        <v>77</v>
      </c>
      <c r="I40">
        <v>630</v>
      </c>
      <c r="J40">
        <v>7</v>
      </c>
      <c r="K40">
        <v>9</v>
      </c>
      <c r="L40">
        <v>5</v>
      </c>
      <c r="M40">
        <v>7</v>
      </c>
      <c r="N40">
        <v>2</v>
      </c>
      <c r="O40">
        <v>2</v>
      </c>
      <c r="P40">
        <v>1</v>
      </c>
      <c r="Q40">
        <v>0</v>
      </c>
      <c r="R40">
        <v>1.29</v>
      </c>
      <c r="S40">
        <v>0.71</v>
      </c>
      <c r="T40">
        <v>2</v>
      </c>
      <c r="U40">
        <v>1</v>
      </c>
      <c r="V40">
        <v>1.71</v>
      </c>
    </row>
    <row r="41" spans="1:22" x14ac:dyDescent="0.2">
      <c r="A41">
        <v>38</v>
      </c>
      <c r="B41" t="s">
        <v>57</v>
      </c>
      <c r="C41">
        <v>2015</v>
      </c>
      <c r="D41">
        <v>19</v>
      </c>
      <c r="E41">
        <v>26.1</v>
      </c>
      <c r="F41">
        <v>43.8</v>
      </c>
      <c r="G41">
        <v>4</v>
      </c>
      <c r="H41">
        <v>44</v>
      </c>
      <c r="I41">
        <v>360</v>
      </c>
      <c r="J41">
        <v>4</v>
      </c>
      <c r="K41">
        <v>4</v>
      </c>
      <c r="L41">
        <v>3</v>
      </c>
      <c r="M41">
        <v>3</v>
      </c>
      <c r="N41">
        <v>1</v>
      </c>
      <c r="O41">
        <v>1</v>
      </c>
      <c r="P41">
        <v>5</v>
      </c>
      <c r="Q41">
        <v>0</v>
      </c>
      <c r="R41">
        <v>1</v>
      </c>
      <c r="S41">
        <v>0.75</v>
      </c>
      <c r="T41">
        <v>1.75</v>
      </c>
      <c r="U41">
        <v>0.75</v>
      </c>
      <c r="V41">
        <v>1.5</v>
      </c>
    </row>
    <row r="42" spans="1:22" x14ac:dyDescent="0.2">
      <c r="A42">
        <v>39</v>
      </c>
      <c r="B42" t="s">
        <v>72</v>
      </c>
      <c r="C42">
        <v>2015</v>
      </c>
      <c r="D42">
        <v>17</v>
      </c>
      <c r="E42">
        <v>24.3</v>
      </c>
      <c r="F42">
        <v>52.3</v>
      </c>
      <c r="G42">
        <v>3</v>
      </c>
      <c r="H42">
        <v>33</v>
      </c>
      <c r="I42">
        <v>270</v>
      </c>
      <c r="J42">
        <v>3</v>
      </c>
      <c r="K42">
        <v>2</v>
      </c>
      <c r="L42">
        <v>1</v>
      </c>
      <c r="M42">
        <v>2</v>
      </c>
      <c r="N42">
        <v>0</v>
      </c>
      <c r="O42">
        <v>0</v>
      </c>
      <c r="P42">
        <v>4</v>
      </c>
      <c r="Q42">
        <v>0</v>
      </c>
      <c r="R42">
        <v>0.67</v>
      </c>
      <c r="S42">
        <v>0.33</v>
      </c>
      <c r="T42">
        <v>1</v>
      </c>
      <c r="U42">
        <v>0.67</v>
      </c>
      <c r="V42">
        <v>1</v>
      </c>
    </row>
    <row r="43" spans="1:22" x14ac:dyDescent="0.2">
      <c r="A43">
        <v>40</v>
      </c>
      <c r="B43" t="s">
        <v>58</v>
      </c>
      <c r="C43">
        <v>2015</v>
      </c>
      <c r="D43">
        <v>18</v>
      </c>
      <c r="E43">
        <v>24.3</v>
      </c>
      <c r="F43">
        <v>49</v>
      </c>
      <c r="G43">
        <v>4</v>
      </c>
      <c r="H43">
        <v>44</v>
      </c>
      <c r="I43">
        <v>360</v>
      </c>
      <c r="J43">
        <v>4</v>
      </c>
      <c r="K43">
        <v>3</v>
      </c>
      <c r="L43">
        <v>3</v>
      </c>
      <c r="M43">
        <v>3</v>
      </c>
      <c r="N43">
        <v>0</v>
      </c>
      <c r="O43">
        <v>0</v>
      </c>
      <c r="P43">
        <v>3</v>
      </c>
      <c r="Q43">
        <v>0</v>
      </c>
      <c r="R43">
        <v>0.75</v>
      </c>
      <c r="S43">
        <v>0.75</v>
      </c>
      <c r="T43">
        <v>1.5</v>
      </c>
      <c r="U43">
        <v>0.75</v>
      </c>
      <c r="V43">
        <v>1.5</v>
      </c>
    </row>
    <row r="44" spans="1:22" x14ac:dyDescent="0.2">
      <c r="A44">
        <v>41</v>
      </c>
      <c r="B44" t="s">
        <v>59</v>
      </c>
      <c r="C44">
        <v>2015</v>
      </c>
      <c r="D44">
        <v>15</v>
      </c>
      <c r="E44">
        <v>24.9</v>
      </c>
      <c r="F44">
        <v>46.7</v>
      </c>
      <c r="G44">
        <v>3</v>
      </c>
      <c r="H44">
        <v>33</v>
      </c>
      <c r="I44">
        <v>270</v>
      </c>
      <c r="J44">
        <v>3</v>
      </c>
      <c r="K44">
        <v>2</v>
      </c>
      <c r="L44">
        <v>2</v>
      </c>
      <c r="M44">
        <v>2</v>
      </c>
      <c r="N44">
        <v>0</v>
      </c>
      <c r="O44">
        <v>0</v>
      </c>
      <c r="P44">
        <v>4</v>
      </c>
      <c r="Q44">
        <v>0</v>
      </c>
      <c r="R44">
        <v>0.67</v>
      </c>
      <c r="S44">
        <v>0.67</v>
      </c>
      <c r="T44">
        <v>1.33</v>
      </c>
      <c r="U44">
        <v>0.67</v>
      </c>
      <c r="V44">
        <v>1.33</v>
      </c>
    </row>
    <row r="45" spans="1:22" x14ac:dyDescent="0.2">
      <c r="A45">
        <v>42</v>
      </c>
      <c r="B45" t="s">
        <v>60</v>
      </c>
      <c r="C45">
        <v>2015</v>
      </c>
      <c r="D45">
        <v>17</v>
      </c>
      <c r="E45">
        <v>24.6</v>
      </c>
      <c r="F45">
        <v>48.3</v>
      </c>
      <c r="G45">
        <v>3</v>
      </c>
      <c r="H45">
        <v>33</v>
      </c>
      <c r="I45">
        <v>270</v>
      </c>
      <c r="J45">
        <v>3</v>
      </c>
      <c r="K45">
        <v>3</v>
      </c>
      <c r="L45">
        <v>3</v>
      </c>
      <c r="M45">
        <v>3</v>
      </c>
      <c r="N45">
        <v>0</v>
      </c>
      <c r="O45">
        <v>0</v>
      </c>
      <c r="P45">
        <v>6</v>
      </c>
      <c r="Q45">
        <v>1</v>
      </c>
      <c r="R45">
        <v>1</v>
      </c>
      <c r="S45">
        <v>1</v>
      </c>
      <c r="T45">
        <v>2</v>
      </c>
      <c r="U45">
        <v>1</v>
      </c>
      <c r="V45">
        <v>2</v>
      </c>
    </row>
    <row r="46" spans="1:22" x14ac:dyDescent="0.2">
      <c r="A46">
        <v>43</v>
      </c>
      <c r="B46" t="s">
        <v>61</v>
      </c>
      <c r="C46">
        <v>2015</v>
      </c>
      <c r="D46">
        <v>18</v>
      </c>
      <c r="E46">
        <v>26.7</v>
      </c>
      <c r="F46">
        <v>54.5</v>
      </c>
      <c r="G46">
        <v>4</v>
      </c>
      <c r="H46">
        <v>44</v>
      </c>
      <c r="I46">
        <v>360</v>
      </c>
      <c r="J46">
        <v>4</v>
      </c>
      <c r="K46">
        <v>9</v>
      </c>
      <c r="L46">
        <v>6</v>
      </c>
      <c r="M46">
        <v>9</v>
      </c>
      <c r="N46">
        <v>0</v>
      </c>
      <c r="O46">
        <v>0</v>
      </c>
      <c r="P46">
        <v>1</v>
      </c>
      <c r="Q46">
        <v>0</v>
      </c>
      <c r="R46">
        <v>2.25</v>
      </c>
      <c r="S46">
        <v>1.5</v>
      </c>
      <c r="T46">
        <v>3.75</v>
      </c>
      <c r="U46">
        <v>2.25</v>
      </c>
      <c r="V46">
        <v>3.75</v>
      </c>
    </row>
    <row r="47" spans="1:22" x14ac:dyDescent="0.2">
      <c r="A47">
        <v>44</v>
      </c>
      <c r="B47" t="s">
        <v>64</v>
      </c>
      <c r="C47">
        <v>2015</v>
      </c>
      <c r="D47">
        <v>17</v>
      </c>
      <c r="E47">
        <v>25.3</v>
      </c>
      <c r="F47">
        <v>50.7</v>
      </c>
      <c r="G47">
        <v>3</v>
      </c>
      <c r="H47">
        <v>33</v>
      </c>
      <c r="I47">
        <v>270</v>
      </c>
      <c r="J47">
        <v>3</v>
      </c>
      <c r="K47">
        <v>2</v>
      </c>
      <c r="L47">
        <v>2</v>
      </c>
      <c r="M47">
        <v>2</v>
      </c>
      <c r="N47">
        <v>0</v>
      </c>
      <c r="O47">
        <v>0</v>
      </c>
      <c r="P47">
        <v>3</v>
      </c>
      <c r="Q47">
        <v>0</v>
      </c>
      <c r="R47">
        <v>0.67</v>
      </c>
      <c r="S47">
        <v>0.67</v>
      </c>
      <c r="T47">
        <v>1.33</v>
      </c>
      <c r="U47">
        <v>0.67</v>
      </c>
      <c r="V47">
        <v>1.33</v>
      </c>
    </row>
    <row r="48" spans="1:22" x14ac:dyDescent="0.2">
      <c r="A48">
        <v>45</v>
      </c>
      <c r="B48" t="s">
        <v>65</v>
      </c>
      <c r="C48">
        <v>2015</v>
      </c>
      <c r="D48">
        <v>18</v>
      </c>
      <c r="E48">
        <v>28.1</v>
      </c>
      <c r="F48">
        <v>49.3</v>
      </c>
      <c r="G48">
        <v>4</v>
      </c>
      <c r="H48">
        <v>44</v>
      </c>
      <c r="I48">
        <v>360</v>
      </c>
      <c r="J48">
        <v>4</v>
      </c>
      <c r="K48">
        <v>4</v>
      </c>
      <c r="L48">
        <v>2</v>
      </c>
      <c r="M48">
        <v>4</v>
      </c>
      <c r="N48">
        <v>0</v>
      </c>
      <c r="O48">
        <v>0</v>
      </c>
      <c r="P48">
        <v>0</v>
      </c>
      <c r="Q48">
        <v>0</v>
      </c>
      <c r="R48">
        <v>1</v>
      </c>
      <c r="S48">
        <v>0.5</v>
      </c>
      <c r="T48">
        <v>1.5</v>
      </c>
      <c r="U48">
        <v>1</v>
      </c>
      <c r="V48">
        <v>1.5</v>
      </c>
    </row>
    <row r="49" spans="1:22" x14ac:dyDescent="0.2">
      <c r="A49">
        <v>46</v>
      </c>
      <c r="B49" t="s">
        <v>73</v>
      </c>
      <c r="C49">
        <v>2015</v>
      </c>
      <c r="D49">
        <v>17</v>
      </c>
      <c r="E49">
        <v>25</v>
      </c>
      <c r="F49">
        <v>55.3</v>
      </c>
      <c r="G49">
        <v>4</v>
      </c>
      <c r="H49">
        <v>44</v>
      </c>
      <c r="I49">
        <v>360</v>
      </c>
      <c r="J49">
        <v>4</v>
      </c>
      <c r="K49">
        <v>9</v>
      </c>
      <c r="L49">
        <v>7</v>
      </c>
      <c r="M49">
        <v>8</v>
      </c>
      <c r="N49">
        <v>1</v>
      </c>
      <c r="O49">
        <v>1</v>
      </c>
      <c r="P49">
        <v>4</v>
      </c>
      <c r="Q49">
        <v>0</v>
      </c>
      <c r="R49">
        <v>2.25</v>
      </c>
      <c r="S49">
        <v>1.75</v>
      </c>
      <c r="T49">
        <v>4</v>
      </c>
      <c r="U49">
        <v>2</v>
      </c>
      <c r="V49">
        <v>3.75</v>
      </c>
    </row>
    <row r="50" spans="1:22" x14ac:dyDescent="0.2">
      <c r="A50">
        <v>47</v>
      </c>
      <c r="B50" t="s">
        <v>66</v>
      </c>
      <c r="C50">
        <v>2015</v>
      </c>
      <c r="D50">
        <v>17</v>
      </c>
      <c r="E50">
        <v>25.7</v>
      </c>
      <c r="F50">
        <v>40</v>
      </c>
      <c r="G50">
        <v>3</v>
      </c>
      <c r="H50">
        <v>33</v>
      </c>
      <c r="I50">
        <v>270</v>
      </c>
      <c r="J50">
        <v>3</v>
      </c>
      <c r="K50">
        <v>3</v>
      </c>
      <c r="L50">
        <v>3</v>
      </c>
      <c r="M50">
        <v>3</v>
      </c>
      <c r="N50">
        <v>0</v>
      </c>
      <c r="O50">
        <v>0</v>
      </c>
      <c r="P50">
        <v>3</v>
      </c>
      <c r="Q50">
        <v>0</v>
      </c>
      <c r="R50">
        <v>1</v>
      </c>
      <c r="S50">
        <v>1</v>
      </c>
      <c r="T50">
        <v>2</v>
      </c>
      <c r="U50">
        <v>1</v>
      </c>
      <c r="V50">
        <v>2</v>
      </c>
    </row>
    <row r="51" spans="1:22" x14ac:dyDescent="0.2">
      <c r="A51">
        <v>48</v>
      </c>
      <c r="B51" t="s">
        <v>67</v>
      </c>
      <c r="C51">
        <v>2015</v>
      </c>
      <c r="D51">
        <v>20</v>
      </c>
      <c r="E51">
        <v>28.4</v>
      </c>
      <c r="F51">
        <v>52.9</v>
      </c>
      <c r="G51">
        <v>7</v>
      </c>
      <c r="H51">
        <v>77</v>
      </c>
      <c r="I51">
        <v>630</v>
      </c>
      <c r="J51">
        <v>7</v>
      </c>
      <c r="K51">
        <v>14</v>
      </c>
      <c r="L51">
        <v>7</v>
      </c>
      <c r="M51">
        <v>12</v>
      </c>
      <c r="N51">
        <v>2</v>
      </c>
      <c r="O51">
        <v>2</v>
      </c>
      <c r="P51">
        <v>2</v>
      </c>
      <c r="Q51">
        <v>0</v>
      </c>
      <c r="R51">
        <v>2</v>
      </c>
      <c r="S51">
        <v>1</v>
      </c>
      <c r="T51">
        <v>3</v>
      </c>
      <c r="U51">
        <v>1.71</v>
      </c>
      <c r="V51">
        <v>2.71</v>
      </c>
    </row>
    <row r="52" spans="1:22" x14ac:dyDescent="0.2">
      <c r="A52">
        <v>49</v>
      </c>
      <c r="B52" t="s">
        <v>45</v>
      </c>
      <c r="C52">
        <v>2011</v>
      </c>
      <c r="D52">
        <v>20</v>
      </c>
      <c r="E52">
        <v>22.8</v>
      </c>
      <c r="F52">
        <v>53.5</v>
      </c>
      <c r="G52">
        <v>4</v>
      </c>
      <c r="H52">
        <v>44</v>
      </c>
      <c r="I52">
        <v>360</v>
      </c>
      <c r="J52">
        <v>4</v>
      </c>
      <c r="K52">
        <v>6</v>
      </c>
      <c r="L52">
        <v>6</v>
      </c>
      <c r="M52">
        <v>6</v>
      </c>
      <c r="N52">
        <v>0</v>
      </c>
      <c r="O52">
        <v>0</v>
      </c>
      <c r="P52">
        <v>0</v>
      </c>
      <c r="Q52">
        <v>0</v>
      </c>
      <c r="R52">
        <v>1.5</v>
      </c>
      <c r="S52">
        <v>1.5</v>
      </c>
      <c r="T52">
        <v>3</v>
      </c>
      <c r="U52">
        <v>1.5</v>
      </c>
      <c r="V52">
        <v>3</v>
      </c>
    </row>
    <row r="53" spans="1:22" x14ac:dyDescent="0.2">
      <c r="A53">
        <v>50</v>
      </c>
      <c r="B53" t="s">
        <v>46</v>
      </c>
      <c r="C53">
        <v>2011</v>
      </c>
      <c r="D53">
        <v>16</v>
      </c>
      <c r="E53">
        <v>27</v>
      </c>
      <c r="F53">
        <v>53.3</v>
      </c>
      <c r="G53">
        <v>4</v>
      </c>
      <c r="H53">
        <v>44</v>
      </c>
      <c r="I53">
        <v>390</v>
      </c>
      <c r="J53">
        <v>4.3</v>
      </c>
      <c r="K53">
        <v>9</v>
      </c>
      <c r="L53">
        <v>6</v>
      </c>
      <c r="M53">
        <v>7</v>
      </c>
      <c r="N53">
        <v>2</v>
      </c>
      <c r="O53">
        <v>2</v>
      </c>
      <c r="P53">
        <v>0</v>
      </c>
      <c r="Q53">
        <v>0</v>
      </c>
      <c r="R53">
        <v>2.08</v>
      </c>
      <c r="S53">
        <v>1.38</v>
      </c>
      <c r="T53">
        <v>3.46</v>
      </c>
      <c r="U53">
        <v>1.62</v>
      </c>
      <c r="V53">
        <v>3</v>
      </c>
    </row>
    <row r="54" spans="1:22" x14ac:dyDescent="0.2">
      <c r="A54">
        <v>51</v>
      </c>
      <c r="B54" t="s">
        <v>48</v>
      </c>
      <c r="C54">
        <v>2011</v>
      </c>
      <c r="D54">
        <v>19</v>
      </c>
      <c r="E54">
        <v>25.9</v>
      </c>
      <c r="F54">
        <v>47.3</v>
      </c>
      <c r="G54">
        <v>3</v>
      </c>
      <c r="H54">
        <v>33</v>
      </c>
      <c r="I54">
        <v>270</v>
      </c>
      <c r="J54">
        <v>3</v>
      </c>
      <c r="K54">
        <v>1</v>
      </c>
      <c r="L54">
        <v>0</v>
      </c>
      <c r="M54">
        <v>1</v>
      </c>
      <c r="N54">
        <v>0</v>
      </c>
      <c r="O54">
        <v>0</v>
      </c>
      <c r="P54">
        <v>0</v>
      </c>
      <c r="Q54">
        <v>0</v>
      </c>
      <c r="R54">
        <v>0.33</v>
      </c>
      <c r="S54">
        <v>0</v>
      </c>
      <c r="T54">
        <v>0.33</v>
      </c>
      <c r="U54">
        <v>0.33</v>
      </c>
      <c r="V54">
        <v>0.33</v>
      </c>
    </row>
    <row r="55" spans="1:22" x14ac:dyDescent="0.2">
      <c r="A55">
        <v>52</v>
      </c>
      <c r="B55" t="s">
        <v>68</v>
      </c>
      <c r="C55">
        <v>2011</v>
      </c>
      <c r="D55">
        <v>17</v>
      </c>
      <c r="E55">
        <v>22.4</v>
      </c>
      <c r="F55">
        <v>49.3</v>
      </c>
      <c r="G55">
        <v>3</v>
      </c>
      <c r="H55">
        <v>33</v>
      </c>
      <c r="I55">
        <v>270</v>
      </c>
      <c r="J55">
        <v>3</v>
      </c>
      <c r="K55">
        <v>0</v>
      </c>
      <c r="L55">
        <v>0</v>
      </c>
      <c r="M55">
        <v>0</v>
      </c>
      <c r="N55">
        <v>0</v>
      </c>
      <c r="O55">
        <v>0</v>
      </c>
      <c r="P55">
        <v>0</v>
      </c>
      <c r="Q55">
        <v>0</v>
      </c>
      <c r="R55">
        <v>0</v>
      </c>
      <c r="S55">
        <v>0</v>
      </c>
      <c r="T55">
        <v>0</v>
      </c>
      <c r="U55">
        <v>0</v>
      </c>
      <c r="V55">
        <v>0</v>
      </c>
    </row>
    <row r="56" spans="1:22" x14ac:dyDescent="0.2">
      <c r="A56">
        <v>53</v>
      </c>
      <c r="B56" t="s">
        <v>51</v>
      </c>
      <c r="C56">
        <v>2011</v>
      </c>
      <c r="D56">
        <v>18</v>
      </c>
      <c r="E56">
        <v>26.9</v>
      </c>
      <c r="F56">
        <v>49.3</v>
      </c>
      <c r="G56">
        <v>4</v>
      </c>
      <c r="H56">
        <v>44</v>
      </c>
      <c r="I56">
        <v>390</v>
      </c>
      <c r="J56">
        <v>4.3</v>
      </c>
      <c r="K56">
        <v>6</v>
      </c>
      <c r="L56">
        <v>7</v>
      </c>
      <c r="M56">
        <v>6</v>
      </c>
      <c r="N56">
        <v>0</v>
      </c>
      <c r="O56">
        <v>0</v>
      </c>
      <c r="P56">
        <v>0</v>
      </c>
      <c r="Q56">
        <v>0</v>
      </c>
      <c r="R56">
        <v>1.38</v>
      </c>
      <c r="S56">
        <v>1.62</v>
      </c>
      <c r="T56">
        <v>3</v>
      </c>
      <c r="U56">
        <v>1.38</v>
      </c>
      <c r="V56">
        <v>3</v>
      </c>
    </row>
    <row r="57" spans="1:22" x14ac:dyDescent="0.2">
      <c r="A57">
        <v>54</v>
      </c>
      <c r="B57" t="s">
        <v>74</v>
      </c>
      <c r="C57">
        <v>2011</v>
      </c>
      <c r="D57">
        <v>15</v>
      </c>
      <c r="E57">
        <v>26.1</v>
      </c>
      <c r="F57">
        <v>40.700000000000003</v>
      </c>
      <c r="G57">
        <v>3</v>
      </c>
      <c r="H57">
        <v>33</v>
      </c>
      <c r="I57">
        <v>270</v>
      </c>
      <c r="J57">
        <v>3</v>
      </c>
      <c r="K57">
        <v>2</v>
      </c>
      <c r="L57">
        <v>0</v>
      </c>
      <c r="M57">
        <v>2</v>
      </c>
      <c r="N57">
        <v>0</v>
      </c>
      <c r="O57">
        <v>0</v>
      </c>
      <c r="R57">
        <v>0.67</v>
      </c>
      <c r="S57">
        <v>0</v>
      </c>
      <c r="T57">
        <v>0.67</v>
      </c>
      <c r="U57">
        <v>0.67</v>
      </c>
      <c r="V57">
        <v>0.67</v>
      </c>
    </row>
    <row r="58" spans="1:22" x14ac:dyDescent="0.2">
      <c r="A58">
        <v>55</v>
      </c>
      <c r="B58" t="s">
        <v>52</v>
      </c>
      <c r="C58">
        <v>2011</v>
      </c>
      <c r="D58">
        <v>20</v>
      </c>
      <c r="E58">
        <v>26.7</v>
      </c>
      <c r="F58">
        <v>52.3</v>
      </c>
      <c r="G58">
        <v>6</v>
      </c>
      <c r="H58">
        <v>66</v>
      </c>
      <c r="I58">
        <v>570</v>
      </c>
      <c r="J58">
        <v>6.3</v>
      </c>
      <c r="K58">
        <v>10</v>
      </c>
      <c r="L58">
        <v>9</v>
      </c>
      <c r="M58">
        <v>10</v>
      </c>
      <c r="N58">
        <v>0</v>
      </c>
      <c r="O58">
        <v>0</v>
      </c>
      <c r="P58">
        <v>0</v>
      </c>
      <c r="Q58">
        <v>0</v>
      </c>
      <c r="R58">
        <v>1.58</v>
      </c>
      <c r="S58">
        <v>1.42</v>
      </c>
      <c r="T58">
        <v>3</v>
      </c>
      <c r="U58">
        <v>1.58</v>
      </c>
      <c r="V58">
        <v>3</v>
      </c>
    </row>
    <row r="59" spans="1:22" x14ac:dyDescent="0.2">
      <c r="A59">
        <v>56</v>
      </c>
      <c r="B59" t="s">
        <v>53</v>
      </c>
      <c r="C59">
        <v>2011</v>
      </c>
      <c r="D59">
        <v>17</v>
      </c>
      <c r="E59">
        <v>26.4</v>
      </c>
      <c r="F59">
        <v>50</v>
      </c>
      <c r="G59">
        <v>4</v>
      </c>
      <c r="H59">
        <v>44</v>
      </c>
      <c r="I59">
        <v>390</v>
      </c>
      <c r="J59">
        <v>4.3</v>
      </c>
      <c r="K59">
        <v>7</v>
      </c>
      <c r="L59">
        <v>6</v>
      </c>
      <c r="M59">
        <v>6</v>
      </c>
      <c r="N59">
        <v>1</v>
      </c>
      <c r="O59">
        <v>1</v>
      </c>
      <c r="P59">
        <v>0</v>
      </c>
      <c r="Q59">
        <v>0</v>
      </c>
      <c r="R59">
        <v>1.62</v>
      </c>
      <c r="S59">
        <v>1.38</v>
      </c>
      <c r="T59">
        <v>3</v>
      </c>
      <c r="U59">
        <v>1.38</v>
      </c>
      <c r="V59">
        <v>2.77</v>
      </c>
    </row>
    <row r="60" spans="1:22" x14ac:dyDescent="0.2">
      <c r="A60">
        <v>57</v>
      </c>
      <c r="B60" t="s">
        <v>56</v>
      </c>
      <c r="C60">
        <v>2011</v>
      </c>
      <c r="D60">
        <v>18</v>
      </c>
      <c r="E60">
        <v>25.4</v>
      </c>
      <c r="F60">
        <v>56.5</v>
      </c>
      <c r="G60">
        <v>6</v>
      </c>
      <c r="H60">
        <v>66</v>
      </c>
      <c r="I60">
        <v>600</v>
      </c>
      <c r="J60">
        <v>6.7</v>
      </c>
      <c r="K60">
        <v>12</v>
      </c>
      <c r="L60">
        <v>10</v>
      </c>
      <c r="M60">
        <v>12</v>
      </c>
      <c r="N60">
        <v>0</v>
      </c>
      <c r="O60">
        <v>0</v>
      </c>
      <c r="P60">
        <v>0</v>
      </c>
      <c r="Q60">
        <v>0</v>
      </c>
      <c r="R60">
        <v>1.8</v>
      </c>
      <c r="S60">
        <v>1.5</v>
      </c>
      <c r="T60">
        <v>3.3</v>
      </c>
      <c r="U60">
        <v>1.8</v>
      </c>
      <c r="V60">
        <v>3.3</v>
      </c>
    </row>
    <row r="61" spans="1:22" x14ac:dyDescent="0.2">
      <c r="A61">
        <v>58</v>
      </c>
      <c r="B61" t="s">
        <v>75</v>
      </c>
      <c r="C61">
        <v>2011</v>
      </c>
      <c r="D61">
        <v>17</v>
      </c>
      <c r="E61">
        <v>21.1</v>
      </c>
      <c r="F61">
        <v>50.7</v>
      </c>
      <c r="G61">
        <v>3</v>
      </c>
      <c r="H61">
        <v>33</v>
      </c>
      <c r="I61">
        <v>270</v>
      </c>
      <c r="J61">
        <v>3</v>
      </c>
      <c r="K61">
        <v>0</v>
      </c>
      <c r="L61">
        <v>0</v>
      </c>
      <c r="M61">
        <v>0</v>
      </c>
      <c r="N61">
        <v>0</v>
      </c>
      <c r="O61">
        <v>0</v>
      </c>
      <c r="R61">
        <v>0</v>
      </c>
      <c r="S61">
        <v>0</v>
      </c>
      <c r="T61">
        <v>0</v>
      </c>
      <c r="U61">
        <v>0</v>
      </c>
      <c r="V61">
        <v>0</v>
      </c>
    </row>
    <row r="62" spans="1:22" x14ac:dyDescent="0.2">
      <c r="A62">
        <v>59</v>
      </c>
      <c r="B62" t="s">
        <v>72</v>
      </c>
      <c r="C62">
        <v>2011</v>
      </c>
      <c r="D62">
        <v>18</v>
      </c>
      <c r="E62">
        <v>23.1</v>
      </c>
      <c r="F62">
        <v>47.7</v>
      </c>
      <c r="G62">
        <v>3</v>
      </c>
      <c r="H62">
        <v>33</v>
      </c>
      <c r="I62">
        <v>270</v>
      </c>
      <c r="J62">
        <v>3</v>
      </c>
      <c r="K62">
        <v>3</v>
      </c>
      <c r="L62">
        <v>3</v>
      </c>
      <c r="M62">
        <v>3</v>
      </c>
      <c r="N62">
        <v>0</v>
      </c>
      <c r="O62">
        <v>0</v>
      </c>
      <c r="P62">
        <v>0</v>
      </c>
      <c r="Q62">
        <v>0</v>
      </c>
      <c r="R62">
        <v>1</v>
      </c>
      <c r="S62">
        <v>1</v>
      </c>
      <c r="T62">
        <v>2</v>
      </c>
      <c r="U62">
        <v>1</v>
      </c>
      <c r="V62">
        <v>2</v>
      </c>
    </row>
    <row r="63" spans="1:22" x14ac:dyDescent="0.2">
      <c r="A63">
        <v>60</v>
      </c>
      <c r="B63" t="s">
        <v>59</v>
      </c>
      <c r="C63">
        <v>2011</v>
      </c>
      <c r="D63">
        <v>16</v>
      </c>
      <c r="E63">
        <v>24.4</v>
      </c>
      <c r="F63">
        <v>45.7</v>
      </c>
      <c r="G63">
        <v>3</v>
      </c>
      <c r="H63">
        <v>33</v>
      </c>
      <c r="I63">
        <v>270</v>
      </c>
      <c r="J63">
        <v>3</v>
      </c>
      <c r="K63">
        <v>4</v>
      </c>
      <c r="L63">
        <v>3</v>
      </c>
      <c r="M63">
        <v>4</v>
      </c>
      <c r="N63">
        <v>0</v>
      </c>
      <c r="O63">
        <v>0</v>
      </c>
      <c r="P63">
        <v>0</v>
      </c>
      <c r="Q63">
        <v>0</v>
      </c>
      <c r="R63">
        <v>1.33</v>
      </c>
      <c r="S63">
        <v>1</v>
      </c>
      <c r="T63">
        <v>2.33</v>
      </c>
      <c r="U63">
        <v>1.33</v>
      </c>
      <c r="V63">
        <v>2.33</v>
      </c>
    </row>
    <row r="64" spans="1:22" x14ac:dyDescent="0.2">
      <c r="A64">
        <v>61</v>
      </c>
      <c r="B64" t="s">
        <v>60</v>
      </c>
      <c r="C64">
        <v>2011</v>
      </c>
      <c r="D64">
        <v>17</v>
      </c>
      <c r="E64">
        <v>24.3</v>
      </c>
      <c r="F64">
        <v>50.7</v>
      </c>
      <c r="G64">
        <v>3</v>
      </c>
      <c r="H64">
        <v>33</v>
      </c>
      <c r="I64">
        <v>270</v>
      </c>
      <c r="J64">
        <v>3</v>
      </c>
      <c r="K64">
        <v>1</v>
      </c>
      <c r="L64">
        <v>0</v>
      </c>
      <c r="M64">
        <v>1</v>
      </c>
      <c r="N64">
        <v>0</v>
      </c>
      <c r="O64">
        <v>0</v>
      </c>
      <c r="P64">
        <v>0</v>
      </c>
      <c r="Q64">
        <v>0</v>
      </c>
      <c r="R64">
        <v>0.33</v>
      </c>
      <c r="S64">
        <v>0</v>
      </c>
      <c r="T64">
        <v>0.33</v>
      </c>
      <c r="U64">
        <v>0.33</v>
      </c>
      <c r="V64">
        <v>0.33</v>
      </c>
    </row>
    <row r="65" spans="1:22" x14ac:dyDescent="0.2">
      <c r="A65">
        <v>62</v>
      </c>
      <c r="B65" t="s">
        <v>61</v>
      </c>
      <c r="C65">
        <v>2011</v>
      </c>
      <c r="D65">
        <v>18</v>
      </c>
      <c r="E65">
        <v>24.7</v>
      </c>
      <c r="F65">
        <v>50.7</v>
      </c>
      <c r="G65">
        <v>3</v>
      </c>
      <c r="H65">
        <v>33</v>
      </c>
      <c r="I65">
        <v>270</v>
      </c>
      <c r="J65">
        <v>3</v>
      </c>
      <c r="K65">
        <v>2</v>
      </c>
      <c r="L65">
        <v>1</v>
      </c>
      <c r="M65">
        <v>2</v>
      </c>
      <c r="N65">
        <v>0</v>
      </c>
      <c r="O65">
        <v>0</v>
      </c>
      <c r="P65">
        <v>0</v>
      </c>
      <c r="Q65">
        <v>0</v>
      </c>
      <c r="R65">
        <v>0.67</v>
      </c>
      <c r="S65">
        <v>0.33</v>
      </c>
      <c r="T65">
        <v>1</v>
      </c>
      <c r="U65">
        <v>0.67</v>
      </c>
      <c r="V65">
        <v>1</v>
      </c>
    </row>
    <row r="66" spans="1:22" x14ac:dyDescent="0.2">
      <c r="A66">
        <v>63</v>
      </c>
      <c r="B66" t="s">
        <v>65</v>
      </c>
      <c r="C66">
        <v>2011</v>
      </c>
      <c r="D66">
        <v>19</v>
      </c>
      <c r="E66">
        <v>28.4</v>
      </c>
      <c r="F66">
        <v>45.3</v>
      </c>
      <c r="G66">
        <v>6</v>
      </c>
      <c r="H66">
        <v>66</v>
      </c>
      <c r="I66">
        <v>540</v>
      </c>
      <c r="J66">
        <v>6</v>
      </c>
      <c r="K66">
        <v>10</v>
      </c>
      <c r="L66">
        <v>4</v>
      </c>
      <c r="M66">
        <v>9</v>
      </c>
      <c r="N66">
        <v>1</v>
      </c>
      <c r="O66">
        <v>1</v>
      </c>
      <c r="P66">
        <v>0</v>
      </c>
      <c r="Q66">
        <v>0</v>
      </c>
      <c r="R66">
        <v>1.67</v>
      </c>
      <c r="S66">
        <v>0.67</v>
      </c>
      <c r="T66">
        <v>2.33</v>
      </c>
      <c r="U66">
        <v>1.5</v>
      </c>
      <c r="V66">
        <v>2.17</v>
      </c>
    </row>
    <row r="67" spans="1:22" x14ac:dyDescent="0.2">
      <c r="A67">
        <v>64</v>
      </c>
      <c r="B67" t="s">
        <v>67</v>
      </c>
      <c r="C67">
        <v>2011</v>
      </c>
      <c r="D67">
        <v>18</v>
      </c>
      <c r="E67">
        <v>28.3</v>
      </c>
      <c r="F67">
        <v>50.5</v>
      </c>
      <c r="G67">
        <v>6</v>
      </c>
      <c r="H67">
        <v>66</v>
      </c>
      <c r="I67">
        <v>600</v>
      </c>
      <c r="J67">
        <v>6.7</v>
      </c>
      <c r="K67">
        <v>12</v>
      </c>
      <c r="L67">
        <v>9</v>
      </c>
      <c r="M67">
        <v>12</v>
      </c>
      <c r="N67">
        <v>0</v>
      </c>
      <c r="O67">
        <v>0</v>
      </c>
      <c r="P67">
        <v>0</v>
      </c>
      <c r="Q67">
        <v>0</v>
      </c>
      <c r="R67">
        <v>1.8</v>
      </c>
      <c r="S67">
        <v>1.35</v>
      </c>
      <c r="T67">
        <v>3.15</v>
      </c>
      <c r="U67">
        <v>1.8</v>
      </c>
      <c r="V67">
        <v>3.15</v>
      </c>
    </row>
    <row r="68" spans="1:22" x14ac:dyDescent="0.2">
      <c r="A68">
        <v>65</v>
      </c>
      <c r="B68" t="s">
        <v>44</v>
      </c>
      <c r="C68">
        <v>2007</v>
      </c>
      <c r="D68">
        <v>19</v>
      </c>
      <c r="E68">
        <v>21</v>
      </c>
      <c r="F68">
        <v>38.299999999999997</v>
      </c>
      <c r="G68">
        <v>3</v>
      </c>
      <c r="H68">
        <v>33</v>
      </c>
      <c r="I68">
        <v>270</v>
      </c>
      <c r="J68">
        <v>3</v>
      </c>
      <c r="K68">
        <v>1</v>
      </c>
      <c r="L68">
        <v>0</v>
      </c>
      <c r="M68">
        <v>1</v>
      </c>
      <c r="N68">
        <v>0</v>
      </c>
      <c r="O68">
        <v>0</v>
      </c>
      <c r="R68">
        <v>0.33</v>
      </c>
      <c r="S68">
        <v>0</v>
      </c>
      <c r="T68">
        <v>0.33</v>
      </c>
      <c r="U68">
        <v>0.33</v>
      </c>
      <c r="V68">
        <v>0.33</v>
      </c>
    </row>
    <row r="69" spans="1:22" x14ac:dyDescent="0.2">
      <c r="A69">
        <v>66</v>
      </c>
      <c r="B69" t="s">
        <v>45</v>
      </c>
      <c r="C69">
        <v>2007</v>
      </c>
      <c r="D69">
        <v>18</v>
      </c>
      <c r="E69">
        <v>24.7</v>
      </c>
      <c r="F69">
        <v>48.3</v>
      </c>
      <c r="G69">
        <v>4</v>
      </c>
      <c r="H69">
        <v>44</v>
      </c>
      <c r="I69">
        <v>360</v>
      </c>
      <c r="J69">
        <v>4</v>
      </c>
      <c r="K69">
        <v>9</v>
      </c>
      <c r="L69">
        <v>6</v>
      </c>
      <c r="M69">
        <v>9</v>
      </c>
      <c r="N69">
        <v>0</v>
      </c>
      <c r="O69">
        <v>0</v>
      </c>
      <c r="R69">
        <v>2.25</v>
      </c>
      <c r="S69">
        <v>1.5</v>
      </c>
      <c r="T69">
        <v>3.75</v>
      </c>
      <c r="U69">
        <v>2.25</v>
      </c>
      <c r="V69">
        <v>3.75</v>
      </c>
    </row>
    <row r="70" spans="1:22" x14ac:dyDescent="0.2">
      <c r="A70">
        <v>67</v>
      </c>
      <c r="B70" t="s">
        <v>46</v>
      </c>
      <c r="C70">
        <v>2007</v>
      </c>
      <c r="D70">
        <v>16</v>
      </c>
      <c r="E70">
        <v>25.7</v>
      </c>
      <c r="F70">
        <v>61.3</v>
      </c>
      <c r="G70">
        <v>6</v>
      </c>
      <c r="H70">
        <v>66</v>
      </c>
      <c r="I70">
        <v>540</v>
      </c>
      <c r="J70">
        <v>6</v>
      </c>
      <c r="K70">
        <v>16</v>
      </c>
      <c r="L70">
        <v>7</v>
      </c>
      <c r="M70">
        <v>16</v>
      </c>
      <c r="N70">
        <v>0</v>
      </c>
      <c r="O70">
        <v>0</v>
      </c>
      <c r="R70">
        <v>2.67</v>
      </c>
      <c r="S70">
        <v>1.17</v>
      </c>
      <c r="T70">
        <v>3.83</v>
      </c>
      <c r="U70">
        <v>2.67</v>
      </c>
      <c r="V70">
        <v>3.83</v>
      </c>
    </row>
    <row r="71" spans="1:22" x14ac:dyDescent="0.2">
      <c r="A71">
        <v>68</v>
      </c>
      <c r="B71" t="s">
        <v>48</v>
      </c>
      <c r="C71">
        <v>2007</v>
      </c>
      <c r="D71">
        <v>18</v>
      </c>
      <c r="E71">
        <v>23.8</v>
      </c>
      <c r="F71">
        <v>39.299999999999997</v>
      </c>
      <c r="G71">
        <v>3</v>
      </c>
      <c r="H71">
        <v>33</v>
      </c>
      <c r="I71">
        <v>270</v>
      </c>
      <c r="J71">
        <v>3</v>
      </c>
      <c r="K71">
        <v>7</v>
      </c>
      <c r="L71">
        <v>3</v>
      </c>
      <c r="M71">
        <v>7</v>
      </c>
      <c r="N71">
        <v>0</v>
      </c>
      <c r="O71">
        <v>0</v>
      </c>
      <c r="R71">
        <v>2.33</v>
      </c>
      <c r="S71">
        <v>1</v>
      </c>
      <c r="T71">
        <v>3.33</v>
      </c>
      <c r="U71">
        <v>2.33</v>
      </c>
      <c r="V71">
        <v>3.33</v>
      </c>
    </row>
    <row r="72" spans="1:22" x14ac:dyDescent="0.2">
      <c r="A72">
        <v>69</v>
      </c>
      <c r="B72" t="s">
        <v>50</v>
      </c>
      <c r="C72">
        <v>2007</v>
      </c>
      <c r="D72">
        <v>18</v>
      </c>
      <c r="E72">
        <v>24.9</v>
      </c>
      <c r="F72">
        <v>47.3</v>
      </c>
      <c r="G72">
        <v>4</v>
      </c>
      <c r="H72">
        <v>44</v>
      </c>
      <c r="I72">
        <v>360</v>
      </c>
      <c r="J72">
        <v>4</v>
      </c>
      <c r="K72">
        <v>5</v>
      </c>
      <c r="L72">
        <v>0</v>
      </c>
      <c r="M72">
        <v>5</v>
      </c>
      <c r="N72">
        <v>0</v>
      </c>
      <c r="O72">
        <v>0</v>
      </c>
      <c r="R72">
        <v>1.25</v>
      </c>
      <c r="S72">
        <v>0</v>
      </c>
      <c r="T72">
        <v>1.25</v>
      </c>
      <c r="U72">
        <v>1.25</v>
      </c>
      <c r="V72">
        <v>1.25</v>
      </c>
    </row>
    <row r="73" spans="1:22" x14ac:dyDescent="0.2">
      <c r="A73">
        <v>70</v>
      </c>
      <c r="B73" t="s">
        <v>76</v>
      </c>
      <c r="C73">
        <v>2007</v>
      </c>
      <c r="D73">
        <v>16</v>
      </c>
      <c r="E73">
        <v>26.9</v>
      </c>
      <c r="F73">
        <v>50.7</v>
      </c>
      <c r="G73">
        <v>3</v>
      </c>
      <c r="H73">
        <v>33</v>
      </c>
      <c r="I73">
        <v>270</v>
      </c>
      <c r="J73">
        <v>3</v>
      </c>
      <c r="K73">
        <v>4</v>
      </c>
      <c r="L73">
        <v>2</v>
      </c>
      <c r="M73">
        <v>4</v>
      </c>
      <c r="N73">
        <v>0</v>
      </c>
      <c r="O73">
        <v>0</v>
      </c>
      <c r="R73">
        <v>1.33</v>
      </c>
      <c r="S73">
        <v>0.67</v>
      </c>
      <c r="T73">
        <v>2</v>
      </c>
      <c r="U73">
        <v>1.33</v>
      </c>
      <c r="V73">
        <v>2</v>
      </c>
    </row>
    <row r="74" spans="1:22" x14ac:dyDescent="0.2">
      <c r="A74">
        <v>71</v>
      </c>
      <c r="B74" t="s">
        <v>51</v>
      </c>
      <c r="C74">
        <v>2007</v>
      </c>
      <c r="D74">
        <v>18</v>
      </c>
      <c r="E74">
        <v>24.8</v>
      </c>
      <c r="F74">
        <v>52.5</v>
      </c>
      <c r="G74">
        <v>4</v>
      </c>
      <c r="H74">
        <v>44</v>
      </c>
      <c r="I74">
        <v>360</v>
      </c>
      <c r="J74">
        <v>4</v>
      </c>
      <c r="K74">
        <v>7</v>
      </c>
      <c r="L74">
        <v>5</v>
      </c>
      <c r="M74">
        <v>5</v>
      </c>
      <c r="N74">
        <v>2</v>
      </c>
      <c r="O74">
        <v>2</v>
      </c>
      <c r="R74">
        <v>1.75</v>
      </c>
      <c r="S74">
        <v>1.25</v>
      </c>
      <c r="T74">
        <v>3</v>
      </c>
      <c r="U74">
        <v>1.25</v>
      </c>
      <c r="V74">
        <v>2.5</v>
      </c>
    </row>
    <row r="75" spans="1:22" x14ac:dyDescent="0.2">
      <c r="A75">
        <v>72</v>
      </c>
      <c r="B75" t="s">
        <v>53</v>
      </c>
      <c r="C75">
        <v>2007</v>
      </c>
      <c r="D75">
        <v>17</v>
      </c>
      <c r="E75">
        <v>26.5</v>
      </c>
      <c r="F75">
        <v>49.5</v>
      </c>
      <c r="G75">
        <v>6</v>
      </c>
      <c r="H75">
        <v>66</v>
      </c>
      <c r="I75">
        <v>540</v>
      </c>
      <c r="J75">
        <v>6</v>
      </c>
      <c r="K75">
        <v>20</v>
      </c>
      <c r="L75">
        <v>11</v>
      </c>
      <c r="M75">
        <v>19</v>
      </c>
      <c r="N75">
        <v>1</v>
      </c>
      <c r="O75">
        <v>1</v>
      </c>
      <c r="R75">
        <v>3.33</v>
      </c>
      <c r="S75">
        <v>1.83</v>
      </c>
      <c r="T75">
        <v>5.17</v>
      </c>
      <c r="U75">
        <v>3.17</v>
      </c>
      <c r="V75">
        <v>5</v>
      </c>
    </row>
    <row r="76" spans="1:22" x14ac:dyDescent="0.2">
      <c r="A76">
        <v>73</v>
      </c>
      <c r="B76" t="s">
        <v>77</v>
      </c>
      <c r="C76">
        <v>2007</v>
      </c>
      <c r="D76">
        <v>19</v>
      </c>
      <c r="E76">
        <v>24.5</v>
      </c>
      <c r="F76">
        <v>52.3</v>
      </c>
      <c r="G76">
        <v>3</v>
      </c>
      <c r="H76">
        <v>33</v>
      </c>
      <c r="I76">
        <v>270</v>
      </c>
      <c r="J76">
        <v>3</v>
      </c>
      <c r="K76">
        <v>3</v>
      </c>
      <c r="L76">
        <v>0</v>
      </c>
      <c r="M76">
        <v>2</v>
      </c>
      <c r="N76">
        <v>1</v>
      </c>
      <c r="O76">
        <v>1</v>
      </c>
      <c r="R76">
        <v>1</v>
      </c>
      <c r="S76">
        <v>0</v>
      </c>
      <c r="T76">
        <v>1</v>
      </c>
      <c r="U76">
        <v>0.67</v>
      </c>
      <c r="V76">
        <v>0.67</v>
      </c>
    </row>
    <row r="77" spans="1:22" x14ac:dyDescent="0.2">
      <c r="A77">
        <v>74</v>
      </c>
      <c r="B77" t="s">
        <v>56</v>
      </c>
      <c r="C77">
        <v>2007</v>
      </c>
      <c r="D77">
        <v>16</v>
      </c>
      <c r="E77">
        <v>24.7</v>
      </c>
      <c r="F77">
        <v>56</v>
      </c>
      <c r="G77">
        <v>3</v>
      </c>
      <c r="H77">
        <v>33</v>
      </c>
      <c r="I77">
        <v>270</v>
      </c>
      <c r="J77">
        <v>3</v>
      </c>
      <c r="K77">
        <v>3</v>
      </c>
      <c r="L77">
        <v>0</v>
      </c>
      <c r="M77">
        <v>3</v>
      </c>
      <c r="N77">
        <v>0</v>
      </c>
      <c r="O77">
        <v>0</v>
      </c>
      <c r="R77">
        <v>1</v>
      </c>
      <c r="S77">
        <v>0</v>
      </c>
      <c r="T77">
        <v>1</v>
      </c>
      <c r="U77">
        <v>1</v>
      </c>
      <c r="V77">
        <v>1</v>
      </c>
    </row>
    <row r="78" spans="1:22" x14ac:dyDescent="0.2">
      <c r="A78">
        <v>75</v>
      </c>
      <c r="B78" t="s">
        <v>75</v>
      </c>
      <c r="C78">
        <v>2007</v>
      </c>
      <c r="D78">
        <v>15</v>
      </c>
      <c r="E78">
        <v>22.8</v>
      </c>
      <c r="F78">
        <v>52.8</v>
      </c>
      <c r="G78">
        <v>4</v>
      </c>
      <c r="H78">
        <v>44</v>
      </c>
      <c r="I78">
        <v>360</v>
      </c>
      <c r="J78">
        <v>4</v>
      </c>
      <c r="K78">
        <v>5</v>
      </c>
      <c r="L78">
        <v>1</v>
      </c>
      <c r="M78">
        <v>5</v>
      </c>
      <c r="N78">
        <v>0</v>
      </c>
      <c r="O78">
        <v>0</v>
      </c>
      <c r="R78">
        <v>1.25</v>
      </c>
      <c r="S78">
        <v>0.25</v>
      </c>
      <c r="T78">
        <v>1.5</v>
      </c>
      <c r="U78">
        <v>1.25</v>
      </c>
      <c r="V78">
        <v>1.5</v>
      </c>
    </row>
    <row r="79" spans="1:22" x14ac:dyDescent="0.2">
      <c r="A79">
        <v>76</v>
      </c>
      <c r="B79" t="s">
        <v>59</v>
      </c>
      <c r="C79">
        <v>2007</v>
      </c>
      <c r="D79">
        <v>18</v>
      </c>
      <c r="E79">
        <v>24.5</v>
      </c>
      <c r="F79">
        <v>39.700000000000003</v>
      </c>
      <c r="G79">
        <v>3</v>
      </c>
      <c r="H79">
        <v>33</v>
      </c>
      <c r="I79">
        <v>270</v>
      </c>
      <c r="J79">
        <v>3</v>
      </c>
      <c r="K79">
        <v>0</v>
      </c>
      <c r="L79">
        <v>0</v>
      </c>
      <c r="M79">
        <v>0</v>
      </c>
      <c r="N79">
        <v>0</v>
      </c>
      <c r="O79">
        <v>0</v>
      </c>
      <c r="R79">
        <v>0</v>
      </c>
      <c r="S79">
        <v>0</v>
      </c>
      <c r="T79">
        <v>0</v>
      </c>
      <c r="U79">
        <v>0</v>
      </c>
      <c r="V79">
        <v>0</v>
      </c>
    </row>
    <row r="80" spans="1:22" x14ac:dyDescent="0.2">
      <c r="A80">
        <v>77</v>
      </c>
      <c r="B80" t="s">
        <v>60</v>
      </c>
      <c r="C80">
        <v>2007</v>
      </c>
      <c r="D80">
        <v>15</v>
      </c>
      <c r="E80">
        <v>23.6</v>
      </c>
      <c r="F80">
        <v>51</v>
      </c>
      <c r="G80">
        <v>3</v>
      </c>
      <c r="H80">
        <v>33</v>
      </c>
      <c r="I80">
        <v>270</v>
      </c>
      <c r="J80">
        <v>3</v>
      </c>
      <c r="K80">
        <v>1</v>
      </c>
      <c r="L80">
        <v>0</v>
      </c>
      <c r="M80">
        <v>1</v>
      </c>
      <c r="N80">
        <v>0</v>
      </c>
      <c r="O80">
        <v>0</v>
      </c>
      <c r="R80">
        <v>0.33</v>
      </c>
      <c r="S80">
        <v>0</v>
      </c>
      <c r="T80">
        <v>0.33</v>
      </c>
      <c r="U80">
        <v>0.33</v>
      </c>
      <c r="V80">
        <v>0.33</v>
      </c>
    </row>
    <row r="81" spans="1:22" x14ac:dyDescent="0.2">
      <c r="A81">
        <v>78</v>
      </c>
      <c r="B81" t="s">
        <v>61</v>
      </c>
      <c r="C81">
        <v>2007</v>
      </c>
      <c r="D81">
        <v>19</v>
      </c>
      <c r="E81">
        <v>26.3</v>
      </c>
      <c r="F81">
        <v>53.7</v>
      </c>
      <c r="G81">
        <v>6</v>
      </c>
      <c r="H81">
        <v>66</v>
      </c>
      <c r="I81">
        <v>540</v>
      </c>
      <c r="J81">
        <v>6</v>
      </c>
      <c r="K81">
        <v>12</v>
      </c>
      <c r="L81">
        <v>10</v>
      </c>
      <c r="M81">
        <v>11</v>
      </c>
      <c r="N81">
        <v>1</v>
      </c>
      <c r="O81">
        <v>1</v>
      </c>
      <c r="R81">
        <v>2</v>
      </c>
      <c r="S81">
        <v>1.67</v>
      </c>
      <c r="T81">
        <v>3.67</v>
      </c>
      <c r="U81">
        <v>1.83</v>
      </c>
      <c r="V81">
        <v>3.5</v>
      </c>
    </row>
    <row r="82" spans="1:22" x14ac:dyDescent="0.2">
      <c r="A82">
        <v>79</v>
      </c>
      <c r="B82" t="s">
        <v>65</v>
      </c>
      <c r="C82">
        <v>2007</v>
      </c>
      <c r="D82">
        <v>16</v>
      </c>
      <c r="E82">
        <v>26.1</v>
      </c>
      <c r="F82">
        <v>49.7</v>
      </c>
      <c r="G82">
        <v>3</v>
      </c>
      <c r="H82">
        <v>33</v>
      </c>
      <c r="I82">
        <v>270</v>
      </c>
      <c r="J82">
        <v>3</v>
      </c>
      <c r="K82">
        <v>3</v>
      </c>
      <c r="L82">
        <v>3</v>
      </c>
      <c r="M82">
        <v>3</v>
      </c>
      <c r="N82">
        <v>0</v>
      </c>
      <c r="O82">
        <v>0</v>
      </c>
      <c r="R82">
        <v>1</v>
      </c>
      <c r="S82">
        <v>1</v>
      </c>
      <c r="T82">
        <v>2</v>
      </c>
      <c r="U82">
        <v>1</v>
      </c>
      <c r="V82">
        <v>2</v>
      </c>
    </row>
    <row r="83" spans="1:22" x14ac:dyDescent="0.2">
      <c r="A83">
        <v>80</v>
      </c>
      <c r="B83" t="s">
        <v>67</v>
      </c>
      <c r="C83">
        <v>2007</v>
      </c>
      <c r="D83">
        <v>18</v>
      </c>
      <c r="E83">
        <v>26.7</v>
      </c>
      <c r="F83">
        <v>46.5</v>
      </c>
      <c r="G83">
        <v>6</v>
      </c>
      <c r="H83">
        <v>66</v>
      </c>
      <c r="I83">
        <v>540</v>
      </c>
      <c r="J83">
        <v>6</v>
      </c>
      <c r="K83">
        <v>12</v>
      </c>
      <c r="L83">
        <v>3</v>
      </c>
      <c r="M83">
        <v>11</v>
      </c>
      <c r="N83">
        <v>1</v>
      </c>
      <c r="O83">
        <v>1</v>
      </c>
      <c r="R83">
        <v>2</v>
      </c>
      <c r="S83">
        <v>0.5</v>
      </c>
      <c r="T83">
        <v>2.5</v>
      </c>
      <c r="U83">
        <v>1.83</v>
      </c>
      <c r="V83">
        <v>2.33</v>
      </c>
    </row>
    <row r="84" spans="1:22" x14ac:dyDescent="0.2">
      <c r="A84">
        <v>81</v>
      </c>
      <c r="B84" t="s">
        <v>44</v>
      </c>
      <c r="C84">
        <v>2003</v>
      </c>
      <c r="D84">
        <v>16</v>
      </c>
      <c r="E84">
        <v>23</v>
      </c>
      <c r="F84">
        <v>49</v>
      </c>
      <c r="G84">
        <v>3</v>
      </c>
      <c r="H84">
        <v>33</v>
      </c>
      <c r="I84">
        <v>270</v>
      </c>
      <c r="J84">
        <v>3</v>
      </c>
      <c r="K84">
        <v>1</v>
      </c>
      <c r="L84">
        <v>0</v>
      </c>
      <c r="M84">
        <v>1</v>
      </c>
      <c r="N84">
        <v>0</v>
      </c>
      <c r="O84">
        <v>0</v>
      </c>
      <c r="R84">
        <v>0.33</v>
      </c>
      <c r="S84">
        <v>0</v>
      </c>
      <c r="T84">
        <v>0.33</v>
      </c>
      <c r="U84">
        <v>0.33</v>
      </c>
      <c r="V84">
        <v>0.33</v>
      </c>
    </row>
    <row r="85" spans="1:22" x14ac:dyDescent="0.2">
      <c r="A85">
        <v>82</v>
      </c>
      <c r="B85" t="s">
        <v>45</v>
      </c>
      <c r="C85">
        <v>2003</v>
      </c>
      <c r="D85">
        <v>16</v>
      </c>
      <c r="E85">
        <v>23.4</v>
      </c>
      <c r="F85">
        <v>49</v>
      </c>
      <c r="G85">
        <v>3</v>
      </c>
      <c r="H85">
        <v>33</v>
      </c>
      <c r="I85">
        <v>270</v>
      </c>
      <c r="J85">
        <v>3</v>
      </c>
      <c r="K85">
        <v>3</v>
      </c>
      <c r="L85">
        <v>0</v>
      </c>
      <c r="M85">
        <v>3</v>
      </c>
      <c r="N85">
        <v>0</v>
      </c>
      <c r="O85">
        <v>0</v>
      </c>
      <c r="R85">
        <v>1</v>
      </c>
      <c r="S85">
        <v>0</v>
      </c>
      <c r="T85">
        <v>1</v>
      </c>
      <c r="U85">
        <v>1</v>
      </c>
      <c r="V85">
        <v>1</v>
      </c>
    </row>
    <row r="86" spans="1:22" x14ac:dyDescent="0.2">
      <c r="A86">
        <v>83</v>
      </c>
      <c r="B86" t="s">
        <v>46</v>
      </c>
      <c r="C86">
        <v>2003</v>
      </c>
      <c r="D86">
        <v>16</v>
      </c>
      <c r="E86">
        <v>22.4</v>
      </c>
      <c r="F86">
        <v>55</v>
      </c>
      <c r="G86">
        <v>4</v>
      </c>
      <c r="H86">
        <v>44</v>
      </c>
      <c r="I86">
        <v>360</v>
      </c>
      <c r="J86">
        <v>4</v>
      </c>
      <c r="K86">
        <v>9</v>
      </c>
      <c r="L86">
        <v>0</v>
      </c>
      <c r="M86">
        <v>9</v>
      </c>
      <c r="N86">
        <v>0</v>
      </c>
      <c r="O86">
        <v>0</v>
      </c>
      <c r="R86">
        <v>2.25</v>
      </c>
      <c r="S86">
        <v>0</v>
      </c>
      <c r="T86">
        <v>2.25</v>
      </c>
      <c r="U86">
        <v>2.25</v>
      </c>
      <c r="V86">
        <v>2.25</v>
      </c>
    </row>
    <row r="87" spans="1:22" x14ac:dyDescent="0.2">
      <c r="A87">
        <v>84</v>
      </c>
      <c r="B87" t="s">
        <v>48</v>
      </c>
      <c r="C87">
        <v>2003</v>
      </c>
      <c r="D87">
        <v>17</v>
      </c>
      <c r="E87">
        <v>22.7</v>
      </c>
      <c r="F87">
        <v>41.7</v>
      </c>
      <c r="G87">
        <v>6</v>
      </c>
      <c r="H87">
        <v>66</v>
      </c>
      <c r="I87">
        <v>540</v>
      </c>
      <c r="J87">
        <v>6</v>
      </c>
      <c r="K87">
        <v>10</v>
      </c>
      <c r="L87">
        <v>0</v>
      </c>
      <c r="M87">
        <v>10</v>
      </c>
      <c r="N87">
        <v>0</v>
      </c>
      <c r="O87">
        <v>0</v>
      </c>
      <c r="R87">
        <v>1.67</v>
      </c>
      <c r="S87">
        <v>0</v>
      </c>
      <c r="T87">
        <v>1.67</v>
      </c>
      <c r="U87">
        <v>1.67</v>
      </c>
      <c r="V87">
        <v>1.67</v>
      </c>
    </row>
    <row r="88" spans="1:22" x14ac:dyDescent="0.2">
      <c r="A88">
        <v>85</v>
      </c>
      <c r="B88" t="s">
        <v>50</v>
      </c>
      <c r="C88">
        <v>2003</v>
      </c>
      <c r="D88">
        <v>18</v>
      </c>
      <c r="E88">
        <v>27</v>
      </c>
      <c r="F88">
        <v>61</v>
      </c>
      <c r="G88">
        <v>4</v>
      </c>
      <c r="H88">
        <v>44</v>
      </c>
      <c r="I88">
        <v>360</v>
      </c>
      <c r="J88">
        <v>4</v>
      </c>
      <c r="K88">
        <v>3</v>
      </c>
      <c r="L88">
        <v>0</v>
      </c>
      <c r="M88">
        <v>3</v>
      </c>
      <c r="N88">
        <v>0</v>
      </c>
      <c r="O88">
        <v>0</v>
      </c>
      <c r="R88">
        <v>0.75</v>
      </c>
      <c r="S88">
        <v>0</v>
      </c>
      <c r="T88">
        <v>0.75</v>
      </c>
      <c r="U88">
        <v>0.75</v>
      </c>
      <c r="V88">
        <v>0.75</v>
      </c>
    </row>
    <row r="89" spans="1:22" x14ac:dyDescent="0.2">
      <c r="A89">
        <v>86</v>
      </c>
      <c r="B89" t="s">
        <v>52</v>
      </c>
      <c r="C89">
        <v>2003</v>
      </c>
      <c r="D89">
        <v>17</v>
      </c>
      <c r="E89">
        <v>25.2</v>
      </c>
      <c r="F89">
        <v>46.3</v>
      </c>
      <c r="G89">
        <v>3</v>
      </c>
      <c r="H89">
        <v>33</v>
      </c>
      <c r="I89">
        <v>270</v>
      </c>
      <c r="J89">
        <v>3</v>
      </c>
      <c r="K89">
        <v>2</v>
      </c>
      <c r="L89">
        <v>0</v>
      </c>
      <c r="M89">
        <v>2</v>
      </c>
      <c r="N89">
        <v>0</v>
      </c>
      <c r="O89">
        <v>0</v>
      </c>
      <c r="R89">
        <v>0.67</v>
      </c>
      <c r="S89">
        <v>0</v>
      </c>
      <c r="T89">
        <v>0.67</v>
      </c>
      <c r="U89">
        <v>0.67</v>
      </c>
      <c r="V89">
        <v>0.67</v>
      </c>
    </row>
    <row r="90" spans="1:22" x14ac:dyDescent="0.2">
      <c r="A90">
        <v>87</v>
      </c>
      <c r="B90" t="s">
        <v>53</v>
      </c>
      <c r="C90">
        <v>2003</v>
      </c>
      <c r="D90">
        <v>19</v>
      </c>
      <c r="E90">
        <v>27</v>
      </c>
      <c r="F90">
        <v>51.8</v>
      </c>
      <c r="G90">
        <v>6</v>
      </c>
      <c r="H90">
        <v>66</v>
      </c>
      <c r="I90">
        <v>570</v>
      </c>
      <c r="J90">
        <v>6.3</v>
      </c>
      <c r="K90">
        <v>25</v>
      </c>
      <c r="L90">
        <v>0</v>
      </c>
      <c r="M90">
        <v>25</v>
      </c>
      <c r="N90">
        <v>0</v>
      </c>
      <c r="O90">
        <v>0</v>
      </c>
      <c r="R90">
        <v>3.95</v>
      </c>
      <c r="S90">
        <v>0</v>
      </c>
      <c r="T90">
        <v>3.95</v>
      </c>
      <c r="U90">
        <v>3.95</v>
      </c>
      <c r="V90">
        <v>3.95</v>
      </c>
    </row>
    <row r="91" spans="1:22" x14ac:dyDescent="0.2">
      <c r="A91">
        <v>88</v>
      </c>
      <c r="B91" t="s">
        <v>77</v>
      </c>
      <c r="C91">
        <v>2003</v>
      </c>
      <c r="D91">
        <v>15</v>
      </c>
      <c r="E91">
        <v>25.4</v>
      </c>
      <c r="F91">
        <v>47.7</v>
      </c>
      <c r="G91">
        <v>3</v>
      </c>
      <c r="H91">
        <v>33</v>
      </c>
      <c r="I91">
        <v>270</v>
      </c>
      <c r="J91">
        <v>3</v>
      </c>
      <c r="K91">
        <v>2</v>
      </c>
      <c r="L91">
        <v>0</v>
      </c>
      <c r="M91">
        <v>2</v>
      </c>
      <c r="N91">
        <v>0</v>
      </c>
      <c r="O91">
        <v>0</v>
      </c>
      <c r="R91">
        <v>0.67</v>
      </c>
      <c r="S91">
        <v>0</v>
      </c>
      <c r="T91">
        <v>0.67</v>
      </c>
      <c r="U91">
        <v>0.67</v>
      </c>
      <c r="V91">
        <v>0.67</v>
      </c>
    </row>
    <row r="92" spans="1:22" x14ac:dyDescent="0.2">
      <c r="A92">
        <v>89</v>
      </c>
      <c r="B92" t="s">
        <v>56</v>
      </c>
      <c r="C92">
        <v>2003</v>
      </c>
      <c r="D92">
        <v>16</v>
      </c>
      <c r="E92">
        <v>24.2</v>
      </c>
      <c r="F92">
        <v>54.7</v>
      </c>
      <c r="G92">
        <v>3</v>
      </c>
      <c r="H92">
        <v>33</v>
      </c>
      <c r="I92">
        <v>270</v>
      </c>
      <c r="J92">
        <v>3</v>
      </c>
      <c r="K92">
        <v>7</v>
      </c>
      <c r="L92">
        <v>0</v>
      </c>
      <c r="M92">
        <v>7</v>
      </c>
      <c r="N92">
        <v>0</v>
      </c>
      <c r="O92">
        <v>0</v>
      </c>
      <c r="R92">
        <v>2.33</v>
      </c>
      <c r="S92">
        <v>0</v>
      </c>
      <c r="T92">
        <v>2.33</v>
      </c>
      <c r="U92">
        <v>2.33</v>
      </c>
      <c r="V92">
        <v>2.33</v>
      </c>
    </row>
    <row r="93" spans="1:22" x14ac:dyDescent="0.2">
      <c r="A93">
        <v>90</v>
      </c>
      <c r="B93" t="s">
        <v>75</v>
      </c>
      <c r="C93">
        <v>2003</v>
      </c>
      <c r="D93">
        <v>15</v>
      </c>
      <c r="E93">
        <v>24.6</v>
      </c>
      <c r="F93">
        <v>52.3</v>
      </c>
      <c r="G93">
        <v>3</v>
      </c>
      <c r="H93">
        <v>33</v>
      </c>
      <c r="I93">
        <v>270</v>
      </c>
      <c r="J93">
        <v>3</v>
      </c>
      <c r="K93">
        <v>3</v>
      </c>
      <c r="L93">
        <v>0</v>
      </c>
      <c r="M93">
        <v>3</v>
      </c>
      <c r="N93">
        <v>0</v>
      </c>
      <c r="O93">
        <v>0</v>
      </c>
      <c r="R93">
        <v>1</v>
      </c>
      <c r="S93">
        <v>0</v>
      </c>
      <c r="T93">
        <v>1</v>
      </c>
      <c r="U93">
        <v>1</v>
      </c>
      <c r="V93">
        <v>1</v>
      </c>
    </row>
    <row r="94" spans="1:22" x14ac:dyDescent="0.2">
      <c r="A94">
        <v>91</v>
      </c>
      <c r="B94" t="s">
        <v>57</v>
      </c>
      <c r="C94">
        <v>2003</v>
      </c>
      <c r="D94">
        <v>18</v>
      </c>
      <c r="E94">
        <v>22.2</v>
      </c>
      <c r="F94">
        <v>48.7</v>
      </c>
      <c r="G94">
        <v>3</v>
      </c>
      <c r="H94">
        <v>33</v>
      </c>
      <c r="I94">
        <v>270</v>
      </c>
      <c r="J94">
        <v>3</v>
      </c>
      <c r="K94">
        <v>1</v>
      </c>
      <c r="L94">
        <v>0</v>
      </c>
      <c r="M94">
        <v>1</v>
      </c>
      <c r="N94">
        <v>0</v>
      </c>
      <c r="O94">
        <v>0</v>
      </c>
      <c r="R94">
        <v>0.33</v>
      </c>
      <c r="S94">
        <v>0</v>
      </c>
      <c r="T94">
        <v>0.33</v>
      </c>
      <c r="U94">
        <v>0.33</v>
      </c>
      <c r="V94">
        <v>0.33</v>
      </c>
    </row>
    <row r="95" spans="1:22" x14ac:dyDescent="0.2">
      <c r="A95">
        <v>92</v>
      </c>
      <c r="B95" t="s">
        <v>60</v>
      </c>
      <c r="C95">
        <v>2003</v>
      </c>
      <c r="D95">
        <v>16</v>
      </c>
      <c r="E95">
        <v>24.7</v>
      </c>
      <c r="F95">
        <v>51.3</v>
      </c>
      <c r="G95">
        <v>3</v>
      </c>
      <c r="H95">
        <v>33</v>
      </c>
      <c r="I95">
        <v>270</v>
      </c>
      <c r="J95">
        <v>3</v>
      </c>
      <c r="K95">
        <v>0</v>
      </c>
      <c r="L95">
        <v>0</v>
      </c>
      <c r="M95">
        <v>0</v>
      </c>
      <c r="N95">
        <v>0</v>
      </c>
      <c r="O95">
        <v>0</v>
      </c>
      <c r="R95">
        <v>0</v>
      </c>
      <c r="S95">
        <v>0</v>
      </c>
      <c r="T95">
        <v>0</v>
      </c>
      <c r="U95">
        <v>0</v>
      </c>
      <c r="V95">
        <v>0</v>
      </c>
    </row>
    <row r="96" spans="1:22" x14ac:dyDescent="0.2">
      <c r="A96">
        <v>93</v>
      </c>
      <c r="B96" t="s">
        <v>61</v>
      </c>
      <c r="C96">
        <v>2003</v>
      </c>
      <c r="D96">
        <v>16</v>
      </c>
      <c r="E96">
        <v>25.3</v>
      </c>
      <c r="F96">
        <v>48</v>
      </c>
      <c r="G96">
        <v>4</v>
      </c>
      <c r="H96">
        <v>44</v>
      </c>
      <c r="I96">
        <v>360</v>
      </c>
      <c r="J96">
        <v>4</v>
      </c>
      <c r="K96">
        <v>10</v>
      </c>
      <c r="L96">
        <v>1</v>
      </c>
      <c r="M96">
        <v>10</v>
      </c>
      <c r="N96">
        <v>0</v>
      </c>
      <c r="O96">
        <v>0</v>
      </c>
      <c r="R96">
        <v>2.5</v>
      </c>
      <c r="S96">
        <v>0.25</v>
      </c>
      <c r="T96">
        <v>2.75</v>
      </c>
      <c r="U96">
        <v>2.5</v>
      </c>
      <c r="V96">
        <v>2.75</v>
      </c>
    </row>
    <row r="97" spans="1:22" x14ac:dyDescent="0.2">
      <c r="A97">
        <v>94</v>
      </c>
      <c r="B97" t="s">
        <v>78</v>
      </c>
      <c r="C97">
        <v>2003</v>
      </c>
      <c r="D97">
        <v>17</v>
      </c>
      <c r="E97">
        <v>28.1</v>
      </c>
      <c r="F97">
        <v>45</v>
      </c>
      <c r="G97">
        <v>4</v>
      </c>
      <c r="H97">
        <v>44</v>
      </c>
      <c r="I97">
        <v>360</v>
      </c>
      <c r="J97">
        <v>4</v>
      </c>
      <c r="K97">
        <v>5</v>
      </c>
      <c r="L97">
        <v>1</v>
      </c>
      <c r="M97">
        <v>5</v>
      </c>
      <c r="N97">
        <v>0</v>
      </c>
      <c r="O97">
        <v>0</v>
      </c>
      <c r="R97">
        <v>1.25</v>
      </c>
      <c r="S97">
        <v>0.25</v>
      </c>
      <c r="T97">
        <v>1.5</v>
      </c>
      <c r="U97">
        <v>1.25</v>
      </c>
      <c r="V97">
        <v>1.5</v>
      </c>
    </row>
    <row r="98" spans="1:22" x14ac:dyDescent="0.2">
      <c r="A98">
        <v>95</v>
      </c>
      <c r="B98" t="s">
        <v>65</v>
      </c>
      <c r="C98">
        <v>2003</v>
      </c>
      <c r="D98">
        <v>18</v>
      </c>
      <c r="E98">
        <v>25.9</v>
      </c>
      <c r="F98">
        <v>48.2</v>
      </c>
      <c r="G98">
        <v>6</v>
      </c>
      <c r="H98">
        <v>66</v>
      </c>
      <c r="I98">
        <v>570</v>
      </c>
      <c r="J98">
        <v>6.3</v>
      </c>
      <c r="K98">
        <v>10</v>
      </c>
      <c r="L98">
        <v>0</v>
      </c>
      <c r="M98">
        <v>10</v>
      </c>
      <c r="N98">
        <v>0</v>
      </c>
      <c r="O98">
        <v>0</v>
      </c>
      <c r="R98">
        <v>1.58</v>
      </c>
      <c r="S98">
        <v>0</v>
      </c>
      <c r="T98">
        <v>1.58</v>
      </c>
      <c r="U98">
        <v>1.58</v>
      </c>
      <c r="V98">
        <v>1.58</v>
      </c>
    </row>
    <row r="99" spans="1:22" x14ac:dyDescent="0.2">
      <c r="A99">
        <v>96</v>
      </c>
      <c r="B99" t="s">
        <v>67</v>
      </c>
      <c r="C99">
        <v>2003</v>
      </c>
      <c r="D99">
        <v>18</v>
      </c>
      <c r="E99">
        <v>28.1</v>
      </c>
      <c r="F99">
        <v>52.8</v>
      </c>
      <c r="G99">
        <v>6</v>
      </c>
      <c r="H99">
        <v>66</v>
      </c>
      <c r="I99">
        <v>540</v>
      </c>
      <c r="J99">
        <v>6</v>
      </c>
      <c r="K99">
        <v>15</v>
      </c>
      <c r="L99">
        <v>4</v>
      </c>
      <c r="M99">
        <v>15</v>
      </c>
      <c r="N99">
        <v>0</v>
      </c>
      <c r="O99">
        <v>0</v>
      </c>
      <c r="R99">
        <v>2.5</v>
      </c>
      <c r="S99">
        <v>0.67</v>
      </c>
      <c r="T99">
        <v>3.17</v>
      </c>
      <c r="U99">
        <v>2.5</v>
      </c>
      <c r="V99">
        <v>3.17</v>
      </c>
    </row>
    <row r="100" spans="1:22" x14ac:dyDescent="0.2">
      <c r="A100">
        <v>97</v>
      </c>
      <c r="B100" t="s">
        <v>45</v>
      </c>
      <c r="C100">
        <v>1999</v>
      </c>
      <c r="D100">
        <v>17</v>
      </c>
      <c r="E100">
        <v>25</v>
      </c>
      <c r="G100">
        <v>3</v>
      </c>
      <c r="H100">
        <v>33</v>
      </c>
      <c r="I100">
        <v>270</v>
      </c>
      <c r="J100">
        <v>3</v>
      </c>
      <c r="K100">
        <v>3</v>
      </c>
      <c r="L100">
        <v>1</v>
      </c>
      <c r="M100">
        <v>3</v>
      </c>
      <c r="N100">
        <v>0</v>
      </c>
      <c r="O100">
        <v>0</v>
      </c>
      <c r="R100">
        <v>1</v>
      </c>
      <c r="S100">
        <v>0.33</v>
      </c>
      <c r="T100">
        <v>1.33</v>
      </c>
      <c r="U100">
        <v>1</v>
      </c>
      <c r="V100">
        <v>1.33</v>
      </c>
    </row>
    <row r="101" spans="1:22" x14ac:dyDescent="0.2">
      <c r="A101">
        <v>98</v>
      </c>
      <c r="B101" t="s">
        <v>46</v>
      </c>
      <c r="C101">
        <v>1999</v>
      </c>
      <c r="D101">
        <v>15</v>
      </c>
      <c r="E101">
        <v>25</v>
      </c>
      <c r="G101">
        <v>6</v>
      </c>
      <c r="H101">
        <v>66</v>
      </c>
      <c r="I101">
        <v>554</v>
      </c>
      <c r="J101">
        <v>6.2</v>
      </c>
      <c r="K101">
        <v>16</v>
      </c>
      <c r="L101">
        <v>10</v>
      </c>
      <c r="M101">
        <v>16</v>
      </c>
      <c r="N101">
        <v>0</v>
      </c>
      <c r="O101">
        <v>0</v>
      </c>
      <c r="R101">
        <v>2.6</v>
      </c>
      <c r="S101">
        <v>1.62</v>
      </c>
      <c r="T101">
        <v>4.22</v>
      </c>
      <c r="U101">
        <v>2.6</v>
      </c>
      <c r="V101">
        <v>4.22</v>
      </c>
    </row>
    <row r="102" spans="1:22" x14ac:dyDescent="0.2">
      <c r="A102">
        <v>99</v>
      </c>
      <c r="B102" t="s">
        <v>48</v>
      </c>
      <c r="C102">
        <v>1999</v>
      </c>
      <c r="D102">
        <v>15</v>
      </c>
      <c r="E102">
        <v>25.9</v>
      </c>
      <c r="G102">
        <v>3</v>
      </c>
      <c r="H102">
        <v>33</v>
      </c>
      <c r="I102">
        <v>270</v>
      </c>
      <c r="J102">
        <v>3</v>
      </c>
      <c r="K102">
        <v>3</v>
      </c>
      <c r="L102">
        <v>3</v>
      </c>
      <c r="M102">
        <v>3</v>
      </c>
      <c r="N102">
        <v>0</v>
      </c>
      <c r="O102">
        <v>0</v>
      </c>
      <c r="R102">
        <v>1</v>
      </c>
      <c r="S102">
        <v>1</v>
      </c>
      <c r="T102">
        <v>2</v>
      </c>
      <c r="U102">
        <v>1</v>
      </c>
      <c r="V102">
        <v>2</v>
      </c>
    </row>
    <row r="103" spans="1:22" x14ac:dyDescent="0.2">
      <c r="A103">
        <v>100</v>
      </c>
      <c r="B103" t="s">
        <v>50</v>
      </c>
      <c r="C103">
        <v>1999</v>
      </c>
      <c r="D103">
        <v>14</v>
      </c>
      <c r="E103">
        <v>26.6</v>
      </c>
      <c r="G103">
        <v>6</v>
      </c>
      <c r="H103">
        <v>66</v>
      </c>
      <c r="I103">
        <v>570</v>
      </c>
      <c r="J103">
        <v>6.3</v>
      </c>
      <c r="K103">
        <v>19</v>
      </c>
      <c r="L103">
        <v>9</v>
      </c>
      <c r="M103">
        <v>18</v>
      </c>
      <c r="N103">
        <v>1</v>
      </c>
      <c r="O103">
        <v>1</v>
      </c>
      <c r="R103">
        <v>3</v>
      </c>
      <c r="S103">
        <v>1.42</v>
      </c>
      <c r="T103">
        <v>4.42</v>
      </c>
      <c r="U103">
        <v>2.84</v>
      </c>
      <c r="V103">
        <v>4.26</v>
      </c>
    </row>
    <row r="104" spans="1:22" x14ac:dyDescent="0.2">
      <c r="A104">
        <v>101</v>
      </c>
      <c r="B104" t="s">
        <v>76</v>
      </c>
      <c r="C104">
        <v>1999</v>
      </c>
      <c r="D104">
        <v>17</v>
      </c>
      <c r="E104">
        <v>25.5</v>
      </c>
      <c r="G104">
        <v>3</v>
      </c>
      <c r="H104">
        <v>33</v>
      </c>
      <c r="I104">
        <v>270</v>
      </c>
      <c r="J104">
        <v>3</v>
      </c>
      <c r="K104">
        <v>1</v>
      </c>
      <c r="L104">
        <v>0</v>
      </c>
      <c r="M104">
        <v>1</v>
      </c>
      <c r="N104">
        <v>0</v>
      </c>
      <c r="O104">
        <v>0</v>
      </c>
      <c r="R104">
        <v>0.33</v>
      </c>
      <c r="S104">
        <v>0</v>
      </c>
      <c r="T104">
        <v>0.33</v>
      </c>
      <c r="U104">
        <v>0.33</v>
      </c>
      <c r="V104">
        <v>0.33</v>
      </c>
    </row>
    <row r="105" spans="1:22" x14ac:dyDescent="0.2">
      <c r="A105">
        <v>102</v>
      </c>
      <c r="B105" t="s">
        <v>53</v>
      </c>
      <c r="C105">
        <v>1999</v>
      </c>
      <c r="D105">
        <v>18</v>
      </c>
      <c r="E105">
        <v>24.4</v>
      </c>
      <c r="G105">
        <v>4</v>
      </c>
      <c r="H105">
        <v>44</v>
      </c>
      <c r="I105">
        <v>360</v>
      </c>
      <c r="J105">
        <v>4</v>
      </c>
      <c r="K105">
        <v>11</v>
      </c>
      <c r="L105">
        <v>4</v>
      </c>
      <c r="M105">
        <v>11</v>
      </c>
      <c r="N105">
        <v>0</v>
      </c>
      <c r="O105">
        <v>0</v>
      </c>
      <c r="R105">
        <v>2.75</v>
      </c>
      <c r="S105">
        <v>1</v>
      </c>
      <c r="T105">
        <v>3.75</v>
      </c>
      <c r="U105">
        <v>2.75</v>
      </c>
      <c r="V105">
        <v>3.75</v>
      </c>
    </row>
    <row r="106" spans="1:22" x14ac:dyDescent="0.2">
      <c r="A106">
        <v>103</v>
      </c>
      <c r="B106" t="s">
        <v>77</v>
      </c>
      <c r="C106">
        <v>1999</v>
      </c>
      <c r="D106">
        <v>16</v>
      </c>
      <c r="E106">
        <v>23.6</v>
      </c>
      <c r="G106">
        <v>3</v>
      </c>
      <c r="H106">
        <v>33</v>
      </c>
      <c r="I106">
        <v>270</v>
      </c>
      <c r="J106">
        <v>3</v>
      </c>
      <c r="K106">
        <v>1</v>
      </c>
      <c r="L106">
        <v>0</v>
      </c>
      <c r="M106">
        <v>1</v>
      </c>
      <c r="N106">
        <v>0</v>
      </c>
      <c r="O106">
        <v>0</v>
      </c>
      <c r="R106">
        <v>0.33</v>
      </c>
      <c r="S106">
        <v>0</v>
      </c>
      <c r="T106">
        <v>0.33</v>
      </c>
      <c r="U106">
        <v>0.33</v>
      </c>
      <c r="V106">
        <v>0.33</v>
      </c>
    </row>
    <row r="107" spans="1:22" x14ac:dyDescent="0.2">
      <c r="A107">
        <v>104</v>
      </c>
      <c r="B107" t="s">
        <v>54</v>
      </c>
      <c r="C107">
        <v>1999</v>
      </c>
      <c r="D107">
        <v>17</v>
      </c>
      <c r="E107">
        <v>26.7</v>
      </c>
      <c r="G107">
        <v>3</v>
      </c>
      <c r="H107">
        <v>33</v>
      </c>
      <c r="I107">
        <v>270</v>
      </c>
      <c r="J107">
        <v>3</v>
      </c>
      <c r="K107">
        <v>3</v>
      </c>
      <c r="L107">
        <v>1</v>
      </c>
      <c r="M107">
        <v>3</v>
      </c>
      <c r="N107">
        <v>0</v>
      </c>
      <c r="O107">
        <v>0</v>
      </c>
      <c r="R107">
        <v>1</v>
      </c>
      <c r="S107">
        <v>0.33</v>
      </c>
      <c r="T107">
        <v>1.33</v>
      </c>
      <c r="U107">
        <v>1</v>
      </c>
      <c r="V107">
        <v>1.33</v>
      </c>
    </row>
    <row r="108" spans="1:22" x14ac:dyDescent="0.2">
      <c r="A108">
        <v>105</v>
      </c>
      <c r="B108" t="s">
        <v>56</v>
      </c>
      <c r="C108">
        <v>1999</v>
      </c>
      <c r="D108">
        <v>15</v>
      </c>
      <c r="E108">
        <v>23</v>
      </c>
      <c r="G108">
        <v>3</v>
      </c>
      <c r="H108">
        <v>33</v>
      </c>
      <c r="I108">
        <v>270</v>
      </c>
      <c r="J108">
        <v>3</v>
      </c>
      <c r="K108">
        <v>1</v>
      </c>
      <c r="L108">
        <v>1</v>
      </c>
      <c r="M108">
        <v>1</v>
      </c>
      <c r="N108">
        <v>0</v>
      </c>
      <c r="O108">
        <v>0</v>
      </c>
      <c r="R108">
        <v>0.33</v>
      </c>
      <c r="S108">
        <v>0.33</v>
      </c>
      <c r="T108">
        <v>0.67</v>
      </c>
      <c r="U108">
        <v>0.33</v>
      </c>
      <c r="V108">
        <v>0.67</v>
      </c>
    </row>
    <row r="109" spans="1:22" x14ac:dyDescent="0.2">
      <c r="A109">
        <v>106</v>
      </c>
      <c r="B109" t="s">
        <v>75</v>
      </c>
      <c r="C109">
        <v>1999</v>
      </c>
      <c r="D109">
        <v>16</v>
      </c>
      <c r="E109">
        <v>24.5</v>
      </c>
      <c r="G109">
        <v>3</v>
      </c>
      <c r="H109">
        <v>33</v>
      </c>
      <c r="I109">
        <v>270</v>
      </c>
      <c r="J109">
        <v>3</v>
      </c>
      <c r="K109">
        <v>4</v>
      </c>
      <c r="L109">
        <v>2</v>
      </c>
      <c r="M109">
        <v>4</v>
      </c>
      <c r="N109">
        <v>0</v>
      </c>
      <c r="O109">
        <v>0</v>
      </c>
      <c r="R109">
        <v>1.33</v>
      </c>
      <c r="S109">
        <v>0.67</v>
      </c>
      <c r="T109">
        <v>2</v>
      </c>
      <c r="U109">
        <v>1.33</v>
      </c>
      <c r="V109">
        <v>2</v>
      </c>
    </row>
    <row r="110" spans="1:22" x14ac:dyDescent="0.2">
      <c r="A110">
        <v>107</v>
      </c>
      <c r="B110" t="s">
        <v>72</v>
      </c>
      <c r="C110">
        <v>1999</v>
      </c>
      <c r="D110">
        <v>15</v>
      </c>
      <c r="E110">
        <v>21.5</v>
      </c>
      <c r="G110">
        <v>3</v>
      </c>
      <c r="H110">
        <v>33</v>
      </c>
      <c r="I110">
        <v>270</v>
      </c>
      <c r="J110">
        <v>3</v>
      </c>
      <c r="K110">
        <v>1</v>
      </c>
      <c r="L110">
        <v>0</v>
      </c>
      <c r="M110">
        <v>1</v>
      </c>
      <c r="N110">
        <v>0</v>
      </c>
      <c r="O110">
        <v>0</v>
      </c>
      <c r="R110">
        <v>0.33</v>
      </c>
      <c r="S110">
        <v>0</v>
      </c>
      <c r="T110">
        <v>0.33</v>
      </c>
      <c r="U110">
        <v>0.33</v>
      </c>
      <c r="V110">
        <v>0.33</v>
      </c>
    </row>
    <row r="111" spans="1:22" x14ac:dyDescent="0.2">
      <c r="A111">
        <v>108</v>
      </c>
      <c r="B111" t="s">
        <v>60</v>
      </c>
      <c r="C111">
        <v>1999</v>
      </c>
      <c r="D111">
        <v>16</v>
      </c>
      <c r="E111">
        <v>23.5</v>
      </c>
      <c r="G111">
        <v>4</v>
      </c>
      <c r="H111">
        <v>44</v>
      </c>
      <c r="I111">
        <v>374</v>
      </c>
      <c r="J111">
        <v>4.2</v>
      </c>
      <c r="K111">
        <v>8</v>
      </c>
      <c r="L111">
        <v>3</v>
      </c>
      <c r="M111">
        <v>8</v>
      </c>
      <c r="N111">
        <v>0</v>
      </c>
      <c r="O111">
        <v>0</v>
      </c>
      <c r="R111">
        <v>1.93</v>
      </c>
      <c r="S111">
        <v>0.72</v>
      </c>
      <c r="T111">
        <v>2.65</v>
      </c>
      <c r="U111">
        <v>1.93</v>
      </c>
      <c r="V111">
        <v>2.65</v>
      </c>
    </row>
    <row r="112" spans="1:22" x14ac:dyDescent="0.2">
      <c r="A112">
        <v>109</v>
      </c>
      <c r="B112" t="s">
        <v>61</v>
      </c>
      <c r="C112">
        <v>1999</v>
      </c>
      <c r="D112">
        <v>19</v>
      </c>
      <c r="E112">
        <v>25.1</v>
      </c>
      <c r="G112">
        <v>6</v>
      </c>
      <c r="H112">
        <v>66</v>
      </c>
      <c r="I112">
        <v>540</v>
      </c>
      <c r="J112">
        <v>6</v>
      </c>
      <c r="K112">
        <v>15</v>
      </c>
      <c r="L112">
        <v>10</v>
      </c>
      <c r="M112">
        <v>15</v>
      </c>
      <c r="N112">
        <v>0</v>
      </c>
      <c r="O112">
        <v>0</v>
      </c>
      <c r="R112">
        <v>2.5</v>
      </c>
      <c r="S112">
        <v>1.67</v>
      </c>
      <c r="T112">
        <v>4.17</v>
      </c>
      <c r="U112">
        <v>2.5</v>
      </c>
      <c r="V112">
        <v>4.17</v>
      </c>
    </row>
    <row r="113" spans="1:22" x14ac:dyDescent="0.2">
      <c r="A113">
        <v>110</v>
      </c>
      <c r="B113" t="s">
        <v>78</v>
      </c>
      <c r="C113">
        <v>1999</v>
      </c>
      <c r="D113">
        <v>15</v>
      </c>
      <c r="E113">
        <v>25.6</v>
      </c>
      <c r="G113">
        <v>4</v>
      </c>
      <c r="H113">
        <v>44</v>
      </c>
      <c r="I113">
        <v>360</v>
      </c>
      <c r="J113">
        <v>4</v>
      </c>
      <c r="K113">
        <v>10</v>
      </c>
      <c r="L113">
        <v>9</v>
      </c>
      <c r="M113">
        <v>10</v>
      </c>
      <c r="N113">
        <v>0</v>
      </c>
      <c r="O113">
        <v>0</v>
      </c>
      <c r="R113">
        <v>2.5</v>
      </c>
      <c r="S113">
        <v>2.25</v>
      </c>
      <c r="T113">
        <v>4.75</v>
      </c>
      <c r="U113">
        <v>2.5</v>
      </c>
      <c r="V113">
        <v>4.75</v>
      </c>
    </row>
    <row r="114" spans="1:22" x14ac:dyDescent="0.2">
      <c r="A114">
        <v>111</v>
      </c>
      <c r="B114" t="s">
        <v>65</v>
      </c>
      <c r="C114">
        <v>1999</v>
      </c>
      <c r="D114">
        <v>17</v>
      </c>
      <c r="E114">
        <v>24.6</v>
      </c>
      <c r="G114">
        <v>4</v>
      </c>
      <c r="H114">
        <v>44</v>
      </c>
      <c r="I114">
        <v>360</v>
      </c>
      <c r="J114">
        <v>4</v>
      </c>
      <c r="K114">
        <v>7</v>
      </c>
      <c r="L114">
        <v>5</v>
      </c>
      <c r="M114">
        <v>7</v>
      </c>
      <c r="N114">
        <v>0</v>
      </c>
      <c r="O114">
        <v>0</v>
      </c>
      <c r="R114">
        <v>1.75</v>
      </c>
      <c r="S114">
        <v>1.25</v>
      </c>
      <c r="T114">
        <v>3</v>
      </c>
      <c r="U114">
        <v>1.75</v>
      </c>
      <c r="V114">
        <v>3</v>
      </c>
    </row>
    <row r="115" spans="1:22" x14ac:dyDescent="0.2">
      <c r="A115">
        <v>112</v>
      </c>
      <c r="B115" t="s">
        <v>67</v>
      </c>
      <c r="C115">
        <v>1999</v>
      </c>
      <c r="D115">
        <v>18</v>
      </c>
      <c r="E115">
        <v>27.4</v>
      </c>
      <c r="G115">
        <v>6</v>
      </c>
      <c r="H115">
        <v>66</v>
      </c>
      <c r="I115">
        <v>570</v>
      </c>
      <c r="J115">
        <v>6.3</v>
      </c>
      <c r="K115">
        <v>17</v>
      </c>
      <c r="L115">
        <v>15</v>
      </c>
      <c r="M115">
        <v>16</v>
      </c>
      <c r="N115">
        <v>1</v>
      </c>
      <c r="O115">
        <v>1</v>
      </c>
      <c r="R115">
        <v>2.68</v>
      </c>
      <c r="S115">
        <v>2.37</v>
      </c>
      <c r="T115">
        <v>5.05</v>
      </c>
      <c r="U115">
        <v>2.5299999999999998</v>
      </c>
      <c r="V115">
        <v>4.8899999999999997</v>
      </c>
    </row>
    <row r="116" spans="1:22" x14ac:dyDescent="0.2">
      <c r="A116">
        <v>113</v>
      </c>
      <c r="B116" t="s">
        <v>45</v>
      </c>
      <c r="C116">
        <v>1995</v>
      </c>
      <c r="D116">
        <v>17</v>
      </c>
      <c r="E116">
        <v>25</v>
      </c>
      <c r="G116">
        <v>3</v>
      </c>
      <c r="H116">
        <v>33</v>
      </c>
      <c r="I116">
        <v>270</v>
      </c>
      <c r="J116">
        <v>3</v>
      </c>
      <c r="K116">
        <v>3</v>
      </c>
      <c r="L116">
        <v>0</v>
      </c>
      <c r="M116">
        <v>3</v>
      </c>
      <c r="N116">
        <v>0</v>
      </c>
      <c r="O116">
        <v>0</v>
      </c>
      <c r="R116">
        <v>1</v>
      </c>
      <c r="S116">
        <v>0</v>
      </c>
      <c r="T116">
        <v>1</v>
      </c>
      <c r="U116">
        <v>1</v>
      </c>
      <c r="V116">
        <v>1</v>
      </c>
    </row>
    <row r="117" spans="1:22" x14ac:dyDescent="0.2">
      <c r="A117">
        <v>114</v>
      </c>
      <c r="B117" t="s">
        <v>46</v>
      </c>
      <c r="C117">
        <v>1995</v>
      </c>
      <c r="D117">
        <v>16</v>
      </c>
      <c r="E117">
        <v>27.9</v>
      </c>
      <c r="G117">
        <v>3</v>
      </c>
      <c r="H117">
        <v>33</v>
      </c>
      <c r="I117">
        <v>270</v>
      </c>
      <c r="J117">
        <v>3</v>
      </c>
      <c r="K117">
        <v>3</v>
      </c>
      <c r="L117">
        <v>1</v>
      </c>
      <c r="M117">
        <v>3</v>
      </c>
      <c r="N117">
        <v>0</v>
      </c>
      <c r="O117">
        <v>0</v>
      </c>
      <c r="R117">
        <v>1</v>
      </c>
      <c r="S117">
        <v>0.33</v>
      </c>
      <c r="T117">
        <v>1.33</v>
      </c>
      <c r="U117">
        <v>1</v>
      </c>
      <c r="V117">
        <v>1.33</v>
      </c>
    </row>
    <row r="118" spans="1:22" x14ac:dyDescent="0.2">
      <c r="A118">
        <v>115</v>
      </c>
      <c r="B118" t="s">
        <v>48</v>
      </c>
      <c r="C118">
        <v>1995</v>
      </c>
      <c r="D118">
        <v>15</v>
      </c>
      <c r="E118">
        <v>26.2</v>
      </c>
      <c r="G118">
        <v>3</v>
      </c>
      <c r="H118">
        <v>33</v>
      </c>
      <c r="I118">
        <v>270</v>
      </c>
      <c r="J118">
        <v>3</v>
      </c>
      <c r="K118">
        <v>5</v>
      </c>
      <c r="L118">
        <v>0</v>
      </c>
      <c r="M118">
        <v>5</v>
      </c>
      <c r="N118">
        <v>0</v>
      </c>
      <c r="O118">
        <v>0</v>
      </c>
      <c r="R118">
        <v>1.67</v>
      </c>
      <c r="S118">
        <v>0</v>
      </c>
      <c r="T118">
        <v>1.67</v>
      </c>
      <c r="U118">
        <v>1.67</v>
      </c>
      <c r="V118">
        <v>1.67</v>
      </c>
    </row>
    <row r="119" spans="1:22" x14ac:dyDescent="0.2">
      <c r="A119">
        <v>116</v>
      </c>
      <c r="B119" t="s">
        <v>50</v>
      </c>
      <c r="C119">
        <v>1995</v>
      </c>
      <c r="D119">
        <v>16</v>
      </c>
      <c r="E119">
        <v>24.3</v>
      </c>
      <c r="G119">
        <v>6</v>
      </c>
      <c r="H119">
        <v>66</v>
      </c>
      <c r="I119">
        <v>570</v>
      </c>
      <c r="J119">
        <v>6.3</v>
      </c>
      <c r="K119">
        <v>11</v>
      </c>
      <c r="L119">
        <v>0</v>
      </c>
      <c r="M119">
        <v>11</v>
      </c>
      <c r="N119">
        <v>0</v>
      </c>
      <c r="O119">
        <v>0</v>
      </c>
      <c r="R119">
        <v>1.74</v>
      </c>
      <c r="S119">
        <v>0</v>
      </c>
      <c r="T119">
        <v>1.74</v>
      </c>
      <c r="U119">
        <v>1.74</v>
      </c>
      <c r="V119">
        <v>1.74</v>
      </c>
    </row>
    <row r="120" spans="1:22" x14ac:dyDescent="0.2">
      <c r="A120">
        <v>117</v>
      </c>
      <c r="B120" t="s">
        <v>76</v>
      </c>
      <c r="C120">
        <v>1995</v>
      </c>
      <c r="D120">
        <v>17</v>
      </c>
      <c r="E120">
        <v>21.3</v>
      </c>
      <c r="G120">
        <v>4</v>
      </c>
      <c r="H120">
        <v>44</v>
      </c>
      <c r="I120">
        <v>360</v>
      </c>
      <c r="J120">
        <v>4</v>
      </c>
      <c r="K120">
        <v>7</v>
      </c>
      <c r="L120">
        <v>0</v>
      </c>
      <c r="M120">
        <v>7</v>
      </c>
      <c r="N120">
        <v>0</v>
      </c>
      <c r="O120">
        <v>0</v>
      </c>
      <c r="R120">
        <v>1.75</v>
      </c>
      <c r="S120">
        <v>0</v>
      </c>
      <c r="T120">
        <v>1.75</v>
      </c>
      <c r="U120">
        <v>1.75</v>
      </c>
      <c r="V120">
        <v>1.75</v>
      </c>
    </row>
    <row r="121" spans="1:22" x14ac:dyDescent="0.2">
      <c r="A121">
        <v>118</v>
      </c>
      <c r="B121" t="s">
        <v>51</v>
      </c>
      <c r="C121">
        <v>1995</v>
      </c>
      <c r="D121">
        <v>16</v>
      </c>
      <c r="E121">
        <v>27.8</v>
      </c>
      <c r="G121">
        <v>4</v>
      </c>
      <c r="H121">
        <v>44</v>
      </c>
      <c r="I121">
        <v>360</v>
      </c>
      <c r="J121">
        <v>4</v>
      </c>
      <c r="K121">
        <v>6</v>
      </c>
      <c r="L121">
        <v>0</v>
      </c>
      <c r="M121">
        <v>6</v>
      </c>
      <c r="N121">
        <v>0</v>
      </c>
      <c r="O121">
        <v>0</v>
      </c>
      <c r="R121">
        <v>1.5</v>
      </c>
      <c r="S121">
        <v>0</v>
      </c>
      <c r="T121">
        <v>1.5</v>
      </c>
      <c r="U121">
        <v>1.5</v>
      </c>
      <c r="V121">
        <v>1.5</v>
      </c>
    </row>
    <row r="122" spans="1:22" x14ac:dyDescent="0.2">
      <c r="A122">
        <v>119</v>
      </c>
      <c r="B122" t="s">
        <v>53</v>
      </c>
      <c r="C122">
        <v>1995</v>
      </c>
      <c r="D122">
        <v>17</v>
      </c>
      <c r="E122">
        <v>25.3</v>
      </c>
      <c r="G122">
        <v>6</v>
      </c>
      <c r="H122">
        <v>66</v>
      </c>
      <c r="I122">
        <v>540</v>
      </c>
      <c r="J122">
        <v>6</v>
      </c>
      <c r="K122">
        <v>13</v>
      </c>
      <c r="L122">
        <v>0</v>
      </c>
      <c r="M122">
        <v>13</v>
      </c>
      <c r="N122">
        <v>0</v>
      </c>
      <c r="O122">
        <v>0</v>
      </c>
      <c r="R122">
        <v>2.17</v>
      </c>
      <c r="S122">
        <v>0</v>
      </c>
      <c r="T122">
        <v>2.17</v>
      </c>
      <c r="U122">
        <v>2.17</v>
      </c>
      <c r="V122">
        <v>2.17</v>
      </c>
    </row>
    <row r="123" spans="1:22" x14ac:dyDescent="0.2">
      <c r="A123">
        <v>120</v>
      </c>
      <c r="B123" t="s">
        <v>56</v>
      </c>
      <c r="C123">
        <v>1995</v>
      </c>
      <c r="D123">
        <v>14</v>
      </c>
      <c r="E123">
        <v>22.6</v>
      </c>
      <c r="G123">
        <v>4</v>
      </c>
      <c r="H123">
        <v>44</v>
      </c>
      <c r="I123">
        <v>360</v>
      </c>
      <c r="J123">
        <v>4</v>
      </c>
      <c r="K123">
        <v>2</v>
      </c>
      <c r="L123">
        <v>0</v>
      </c>
      <c r="M123">
        <v>2</v>
      </c>
      <c r="N123">
        <v>0</v>
      </c>
      <c r="O123">
        <v>0</v>
      </c>
      <c r="R123">
        <v>0.5</v>
      </c>
      <c r="S123">
        <v>0</v>
      </c>
      <c r="T123">
        <v>0.5</v>
      </c>
      <c r="U123">
        <v>0.5</v>
      </c>
      <c r="V123">
        <v>0.5</v>
      </c>
    </row>
    <row r="124" spans="1:22" x14ac:dyDescent="0.2">
      <c r="A124">
        <v>121</v>
      </c>
      <c r="B124" t="s">
        <v>60</v>
      </c>
      <c r="C124">
        <v>1995</v>
      </c>
      <c r="D124">
        <v>16</v>
      </c>
      <c r="E124">
        <v>20.6</v>
      </c>
      <c r="G124">
        <v>3</v>
      </c>
      <c r="H124">
        <v>33</v>
      </c>
      <c r="I124">
        <v>270</v>
      </c>
      <c r="J124">
        <v>3</v>
      </c>
      <c r="K124">
        <v>5</v>
      </c>
      <c r="L124">
        <v>0</v>
      </c>
      <c r="M124">
        <v>5</v>
      </c>
      <c r="N124">
        <v>0</v>
      </c>
      <c r="O124">
        <v>0</v>
      </c>
      <c r="R124">
        <v>1.67</v>
      </c>
      <c r="S124">
        <v>0</v>
      </c>
      <c r="T124">
        <v>1.67</v>
      </c>
      <c r="U124">
        <v>1.67</v>
      </c>
      <c r="V124">
        <v>1.67</v>
      </c>
    </row>
    <row r="125" spans="1:22" x14ac:dyDescent="0.2">
      <c r="A125">
        <v>122</v>
      </c>
      <c r="B125" t="s">
        <v>61</v>
      </c>
      <c r="C125">
        <v>1995</v>
      </c>
      <c r="D125">
        <v>17</v>
      </c>
      <c r="E125">
        <v>24.6</v>
      </c>
      <c r="G125">
        <v>6</v>
      </c>
      <c r="H125">
        <v>66</v>
      </c>
      <c r="I125">
        <v>540</v>
      </c>
      <c r="J125">
        <v>6</v>
      </c>
      <c r="K125">
        <v>23</v>
      </c>
      <c r="L125">
        <v>0</v>
      </c>
      <c r="M125">
        <v>23</v>
      </c>
      <c r="N125">
        <v>0</v>
      </c>
      <c r="O125">
        <v>0</v>
      </c>
      <c r="R125">
        <v>3.83</v>
      </c>
      <c r="S125">
        <v>0</v>
      </c>
      <c r="T125">
        <v>3.83</v>
      </c>
      <c r="U125">
        <v>3.83</v>
      </c>
      <c r="V125">
        <v>3.83</v>
      </c>
    </row>
    <row r="126" spans="1:22" x14ac:dyDescent="0.2">
      <c r="A126">
        <v>123</v>
      </c>
      <c r="B126" t="s">
        <v>65</v>
      </c>
      <c r="C126">
        <v>1995</v>
      </c>
      <c r="D126">
        <v>18</v>
      </c>
      <c r="E126">
        <v>27.5</v>
      </c>
      <c r="G126">
        <v>4</v>
      </c>
      <c r="H126">
        <v>44</v>
      </c>
      <c r="I126">
        <v>390</v>
      </c>
      <c r="J126">
        <v>4.3</v>
      </c>
      <c r="K126">
        <v>6</v>
      </c>
      <c r="L126">
        <v>0</v>
      </c>
      <c r="M126">
        <v>6</v>
      </c>
      <c r="N126">
        <v>0</v>
      </c>
      <c r="O126">
        <v>0</v>
      </c>
      <c r="R126">
        <v>1.38</v>
      </c>
      <c r="S126">
        <v>0</v>
      </c>
      <c r="T126">
        <v>1.38</v>
      </c>
      <c r="U126">
        <v>1.38</v>
      </c>
      <c r="V126">
        <v>1.38</v>
      </c>
    </row>
    <row r="127" spans="1:22" x14ac:dyDescent="0.2">
      <c r="A127">
        <v>124</v>
      </c>
      <c r="B127" t="s">
        <v>67</v>
      </c>
      <c r="C127">
        <v>1995</v>
      </c>
      <c r="D127">
        <v>18</v>
      </c>
      <c r="E127">
        <v>24.1</v>
      </c>
      <c r="G127">
        <v>6</v>
      </c>
      <c r="H127">
        <v>66</v>
      </c>
      <c r="I127">
        <v>540</v>
      </c>
      <c r="J127">
        <v>6</v>
      </c>
      <c r="K127">
        <v>15</v>
      </c>
      <c r="L127">
        <v>4</v>
      </c>
      <c r="M127">
        <v>15</v>
      </c>
      <c r="N127">
        <v>0</v>
      </c>
      <c r="O127">
        <v>0</v>
      </c>
      <c r="R127">
        <v>2.5</v>
      </c>
      <c r="S127">
        <v>0.67</v>
      </c>
      <c r="T127">
        <v>3.17</v>
      </c>
      <c r="U127">
        <v>2.5</v>
      </c>
      <c r="V127">
        <v>3.17</v>
      </c>
    </row>
    <row r="128" spans="1:22" x14ac:dyDescent="0.2">
      <c r="A128">
        <v>125</v>
      </c>
      <c r="B128" t="s">
        <v>46</v>
      </c>
      <c r="C128">
        <v>1991</v>
      </c>
      <c r="D128">
        <v>17</v>
      </c>
      <c r="E128">
        <v>25.7</v>
      </c>
      <c r="G128">
        <v>3</v>
      </c>
      <c r="H128">
        <v>33</v>
      </c>
      <c r="I128">
        <v>240</v>
      </c>
      <c r="J128">
        <v>2.7</v>
      </c>
      <c r="K128">
        <v>1</v>
      </c>
      <c r="L128">
        <v>0</v>
      </c>
      <c r="M128">
        <v>1</v>
      </c>
      <c r="N128">
        <v>0</v>
      </c>
      <c r="O128">
        <v>0</v>
      </c>
      <c r="R128">
        <v>0.37</v>
      </c>
      <c r="S128">
        <v>0</v>
      </c>
      <c r="T128">
        <v>0.37</v>
      </c>
      <c r="U128">
        <v>0.37</v>
      </c>
      <c r="V128">
        <v>0.37</v>
      </c>
    </row>
    <row r="129" spans="1:22" x14ac:dyDescent="0.2">
      <c r="A129">
        <v>126</v>
      </c>
      <c r="B129" t="s">
        <v>50</v>
      </c>
      <c r="C129">
        <v>1991</v>
      </c>
      <c r="D129">
        <v>15</v>
      </c>
      <c r="E129">
        <v>22.1</v>
      </c>
      <c r="G129">
        <v>4</v>
      </c>
      <c r="H129">
        <v>44</v>
      </c>
      <c r="I129">
        <v>320</v>
      </c>
      <c r="J129">
        <v>3.6</v>
      </c>
      <c r="K129">
        <v>10</v>
      </c>
      <c r="L129">
        <v>3</v>
      </c>
      <c r="M129">
        <v>10</v>
      </c>
      <c r="N129">
        <v>0</v>
      </c>
      <c r="O129">
        <v>0</v>
      </c>
      <c r="R129">
        <v>2.81</v>
      </c>
      <c r="S129">
        <v>0.84</v>
      </c>
      <c r="T129">
        <v>3.66</v>
      </c>
      <c r="U129">
        <v>2.81</v>
      </c>
      <c r="V129">
        <v>3.66</v>
      </c>
    </row>
    <row r="130" spans="1:22" x14ac:dyDescent="0.2">
      <c r="A130">
        <v>127</v>
      </c>
      <c r="B130" t="s">
        <v>79</v>
      </c>
      <c r="C130">
        <v>1991</v>
      </c>
      <c r="D130">
        <v>16</v>
      </c>
      <c r="E130">
        <v>21.2</v>
      </c>
      <c r="G130">
        <v>4</v>
      </c>
      <c r="H130">
        <v>44</v>
      </c>
      <c r="I130">
        <v>320</v>
      </c>
      <c r="J130">
        <v>3.6</v>
      </c>
      <c r="K130">
        <v>2</v>
      </c>
      <c r="L130">
        <v>1</v>
      </c>
      <c r="M130">
        <v>2</v>
      </c>
      <c r="N130">
        <v>0</v>
      </c>
      <c r="O130">
        <v>0</v>
      </c>
      <c r="R130">
        <v>0.56000000000000005</v>
      </c>
      <c r="S130">
        <v>0.28000000000000003</v>
      </c>
      <c r="T130">
        <v>0.84</v>
      </c>
      <c r="U130">
        <v>0.56000000000000005</v>
      </c>
      <c r="V130">
        <v>0.84</v>
      </c>
    </row>
    <row r="131" spans="1:22" x14ac:dyDescent="0.2">
      <c r="A131">
        <v>128</v>
      </c>
      <c r="B131" t="s">
        <v>76</v>
      </c>
      <c r="C131">
        <v>1991</v>
      </c>
      <c r="D131">
        <v>15</v>
      </c>
      <c r="E131">
        <v>23.8</v>
      </c>
      <c r="G131">
        <v>4</v>
      </c>
      <c r="H131">
        <v>44</v>
      </c>
      <c r="I131">
        <v>340</v>
      </c>
      <c r="J131">
        <v>3.8</v>
      </c>
      <c r="K131">
        <v>7</v>
      </c>
      <c r="L131">
        <v>5</v>
      </c>
      <c r="M131">
        <v>5</v>
      </c>
      <c r="N131">
        <v>2</v>
      </c>
      <c r="O131">
        <v>2</v>
      </c>
      <c r="R131">
        <v>1.85</v>
      </c>
      <c r="S131">
        <v>1.32</v>
      </c>
      <c r="T131">
        <v>3.18</v>
      </c>
      <c r="U131">
        <v>1.32</v>
      </c>
      <c r="V131">
        <v>2.65</v>
      </c>
    </row>
    <row r="132" spans="1:22" x14ac:dyDescent="0.2">
      <c r="A132">
        <v>129</v>
      </c>
      <c r="B132" t="s">
        <v>53</v>
      </c>
      <c r="C132">
        <v>1991</v>
      </c>
      <c r="D132">
        <v>18</v>
      </c>
      <c r="E132">
        <v>23.8</v>
      </c>
      <c r="G132">
        <v>6</v>
      </c>
      <c r="H132">
        <v>66</v>
      </c>
      <c r="I132">
        <v>500</v>
      </c>
      <c r="J132">
        <v>5.6</v>
      </c>
      <c r="K132">
        <v>13</v>
      </c>
      <c r="L132">
        <v>9</v>
      </c>
      <c r="M132">
        <v>12</v>
      </c>
      <c r="N132">
        <v>1</v>
      </c>
      <c r="O132">
        <v>1</v>
      </c>
      <c r="R132">
        <v>2.34</v>
      </c>
      <c r="S132">
        <v>1.62</v>
      </c>
      <c r="T132">
        <v>3.96</v>
      </c>
      <c r="U132">
        <v>2.16</v>
      </c>
      <c r="V132">
        <v>3.78</v>
      </c>
    </row>
    <row r="133" spans="1:22" x14ac:dyDescent="0.2">
      <c r="A133">
        <v>130</v>
      </c>
      <c r="B133" t="s">
        <v>54</v>
      </c>
      <c r="C133">
        <v>1991</v>
      </c>
      <c r="D133">
        <v>17</v>
      </c>
      <c r="E133">
        <v>24.2</v>
      </c>
      <c r="G133">
        <v>4</v>
      </c>
      <c r="H133">
        <v>44</v>
      </c>
      <c r="I133">
        <v>340</v>
      </c>
      <c r="J133">
        <v>3.8</v>
      </c>
      <c r="K133">
        <v>8</v>
      </c>
      <c r="L133">
        <v>5</v>
      </c>
      <c r="M133">
        <v>8</v>
      </c>
      <c r="N133">
        <v>0</v>
      </c>
      <c r="O133">
        <v>0</v>
      </c>
      <c r="R133">
        <v>2.12</v>
      </c>
      <c r="S133">
        <v>1.32</v>
      </c>
      <c r="T133">
        <v>3.44</v>
      </c>
      <c r="U133">
        <v>2.12</v>
      </c>
      <c r="V133">
        <v>3.44</v>
      </c>
    </row>
    <row r="134" spans="1:22" x14ac:dyDescent="0.2">
      <c r="A134">
        <v>131</v>
      </c>
      <c r="B134" t="s">
        <v>56</v>
      </c>
      <c r="C134">
        <v>1991</v>
      </c>
      <c r="D134">
        <v>13</v>
      </c>
      <c r="E134">
        <v>24.3</v>
      </c>
      <c r="G134">
        <v>3</v>
      </c>
      <c r="H134">
        <v>33</v>
      </c>
      <c r="I134">
        <v>240</v>
      </c>
      <c r="J134">
        <v>2.7</v>
      </c>
      <c r="K134">
        <v>0</v>
      </c>
      <c r="L134">
        <v>0</v>
      </c>
      <c r="M134">
        <v>0</v>
      </c>
      <c r="N134">
        <v>0</v>
      </c>
      <c r="O134">
        <v>0</v>
      </c>
      <c r="R134">
        <v>0</v>
      </c>
      <c r="S134">
        <v>0</v>
      </c>
      <c r="T134">
        <v>0</v>
      </c>
      <c r="U134">
        <v>0</v>
      </c>
      <c r="V134">
        <v>0</v>
      </c>
    </row>
    <row r="135" spans="1:22" x14ac:dyDescent="0.2">
      <c r="A135">
        <v>132</v>
      </c>
      <c r="B135" t="s">
        <v>59</v>
      </c>
      <c r="C135">
        <v>1991</v>
      </c>
      <c r="D135">
        <v>15</v>
      </c>
      <c r="E135">
        <v>25.5</v>
      </c>
      <c r="G135">
        <v>3</v>
      </c>
      <c r="H135">
        <v>33</v>
      </c>
      <c r="I135">
        <v>240</v>
      </c>
      <c r="J135">
        <v>2.7</v>
      </c>
      <c r="K135">
        <v>1</v>
      </c>
      <c r="L135">
        <v>1</v>
      </c>
      <c r="M135">
        <v>1</v>
      </c>
      <c r="N135">
        <v>0</v>
      </c>
      <c r="O135">
        <v>0</v>
      </c>
      <c r="R135">
        <v>0.37</v>
      </c>
      <c r="S135">
        <v>0.37</v>
      </c>
      <c r="T135">
        <v>0.75</v>
      </c>
      <c r="U135">
        <v>0.37</v>
      </c>
      <c r="V135">
        <v>0.75</v>
      </c>
    </row>
    <row r="136" spans="1:22" x14ac:dyDescent="0.2">
      <c r="A136">
        <v>133</v>
      </c>
      <c r="B136" t="s">
        <v>60</v>
      </c>
      <c r="C136">
        <v>1991</v>
      </c>
      <c r="D136">
        <v>17</v>
      </c>
      <c r="E136">
        <v>18.2</v>
      </c>
      <c r="G136">
        <v>3</v>
      </c>
      <c r="H136">
        <v>33</v>
      </c>
      <c r="I136">
        <v>240</v>
      </c>
      <c r="J136">
        <v>2.7</v>
      </c>
      <c r="K136">
        <v>0</v>
      </c>
      <c r="L136">
        <v>0</v>
      </c>
      <c r="M136">
        <v>0</v>
      </c>
      <c r="N136">
        <v>0</v>
      </c>
      <c r="O136">
        <v>0</v>
      </c>
      <c r="R136">
        <v>0</v>
      </c>
      <c r="S136">
        <v>0</v>
      </c>
      <c r="T136">
        <v>0</v>
      </c>
      <c r="U136">
        <v>0</v>
      </c>
      <c r="V136">
        <v>0</v>
      </c>
    </row>
    <row r="137" spans="1:22" x14ac:dyDescent="0.2">
      <c r="A137">
        <v>134</v>
      </c>
      <c r="B137" t="s">
        <v>61</v>
      </c>
      <c r="C137">
        <v>1991</v>
      </c>
      <c r="D137">
        <v>15</v>
      </c>
      <c r="E137">
        <v>24.1</v>
      </c>
      <c r="G137">
        <v>6</v>
      </c>
      <c r="H137">
        <v>66</v>
      </c>
      <c r="I137">
        <v>500</v>
      </c>
      <c r="J137">
        <v>5.6</v>
      </c>
      <c r="K137">
        <v>13</v>
      </c>
      <c r="L137">
        <v>6</v>
      </c>
      <c r="M137">
        <v>12</v>
      </c>
      <c r="N137">
        <v>1</v>
      </c>
      <c r="O137">
        <v>1</v>
      </c>
      <c r="R137">
        <v>2.34</v>
      </c>
      <c r="S137">
        <v>1.08</v>
      </c>
      <c r="T137">
        <v>3.42</v>
      </c>
      <c r="U137">
        <v>2.16</v>
      </c>
      <c r="V137">
        <v>3.24</v>
      </c>
    </row>
    <row r="138" spans="1:22" x14ac:dyDescent="0.2">
      <c r="A138">
        <v>135</v>
      </c>
      <c r="B138" t="s">
        <v>65</v>
      </c>
      <c r="C138">
        <v>1991</v>
      </c>
      <c r="D138">
        <v>18</v>
      </c>
      <c r="E138">
        <v>25.4</v>
      </c>
      <c r="G138">
        <v>6</v>
      </c>
      <c r="H138">
        <v>66</v>
      </c>
      <c r="I138">
        <v>480</v>
      </c>
      <c r="J138">
        <v>5.3</v>
      </c>
      <c r="K138">
        <v>17</v>
      </c>
      <c r="L138">
        <v>11</v>
      </c>
      <c r="M138">
        <v>16</v>
      </c>
      <c r="N138">
        <v>1</v>
      </c>
      <c r="O138">
        <v>1</v>
      </c>
      <c r="R138">
        <v>3.19</v>
      </c>
      <c r="S138">
        <v>2.06</v>
      </c>
      <c r="T138">
        <v>5.25</v>
      </c>
      <c r="U138">
        <v>3</v>
      </c>
      <c r="V138">
        <v>5.0599999999999996</v>
      </c>
    </row>
    <row r="139" spans="1:22" x14ac:dyDescent="0.2">
      <c r="A139">
        <v>136</v>
      </c>
      <c r="B139" t="s">
        <v>67</v>
      </c>
      <c r="C139">
        <v>1991</v>
      </c>
      <c r="D139">
        <v>16</v>
      </c>
      <c r="E139">
        <v>23</v>
      </c>
      <c r="G139">
        <v>6</v>
      </c>
      <c r="H139">
        <v>66</v>
      </c>
      <c r="I139">
        <v>480</v>
      </c>
      <c r="J139">
        <v>5.3</v>
      </c>
      <c r="K139">
        <v>25</v>
      </c>
      <c r="L139">
        <v>11</v>
      </c>
      <c r="M139">
        <v>24</v>
      </c>
      <c r="N139">
        <v>1</v>
      </c>
      <c r="O139">
        <v>1</v>
      </c>
      <c r="R139">
        <v>4.6900000000000004</v>
      </c>
      <c r="S139">
        <v>2.06</v>
      </c>
      <c r="T139">
        <v>6.75</v>
      </c>
      <c r="U139">
        <v>4.5</v>
      </c>
      <c r="V139">
        <v>6.56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0406-2CE0-974B-A965-9344DF73EFE8}">
  <sheetPr codeName="Sheet3"/>
  <dimension ref="A1:P162"/>
  <sheetViews>
    <sheetView tabSelected="1" zoomScale="140" zoomScaleNormal="140" workbookViewId="0">
      <selection activeCell="E11" sqref="E11"/>
    </sheetView>
  </sheetViews>
  <sheetFormatPr baseColWidth="10" defaultColWidth="11" defaultRowHeight="16" x14ac:dyDescent="0.2"/>
  <sheetData>
    <row r="1" spans="1:16" x14ac:dyDescent="0.2">
      <c r="A1" s="12" t="s">
        <v>80</v>
      </c>
    </row>
    <row r="2" spans="1:16" ht="17" thickBot="1" x14ac:dyDescent="0.25"/>
    <row r="3" spans="1:16" x14ac:dyDescent="0.2">
      <c r="B3" s="3">
        <v>1</v>
      </c>
      <c r="C3" s="4">
        <v>2</v>
      </c>
      <c r="D3" s="5">
        <v>3</v>
      </c>
    </row>
    <row r="4" spans="1:16" x14ac:dyDescent="0.2">
      <c r="B4" s="6">
        <v>4</v>
      </c>
      <c r="C4">
        <v>5</v>
      </c>
      <c r="D4" s="7">
        <v>6</v>
      </c>
    </row>
    <row r="5" spans="1:16" ht="17" thickBot="1" x14ac:dyDescent="0.25">
      <c r="B5" s="8">
        <v>7</v>
      </c>
      <c r="C5" s="9">
        <v>8</v>
      </c>
      <c r="D5" s="10">
        <v>9</v>
      </c>
    </row>
    <row r="7" spans="1:16" x14ac:dyDescent="0.2">
      <c r="A7" s="11" t="s">
        <v>81</v>
      </c>
    </row>
    <row r="9" spans="1:16" x14ac:dyDescent="0.2">
      <c r="B9" s="118">
        <f>B3</f>
        <v>1</v>
      </c>
      <c r="C9" s="2"/>
      <c r="D9" s="2"/>
      <c r="F9" s="2">
        <f>B$3</f>
        <v>1</v>
      </c>
      <c r="G9" s="2"/>
      <c r="H9" s="2"/>
      <c r="J9" s="2">
        <f>$B3</f>
        <v>1</v>
      </c>
      <c r="K9" s="2"/>
      <c r="L9" s="2"/>
      <c r="N9" s="2">
        <f>$B$3</f>
        <v>1</v>
      </c>
      <c r="O9" s="2"/>
      <c r="P9" s="2"/>
    </row>
    <row r="10" spans="1:16" x14ac:dyDescent="0.2">
      <c r="B10" s="2"/>
      <c r="C10" s="2"/>
      <c r="D10" s="2"/>
      <c r="F10" s="2"/>
      <c r="G10" s="2"/>
      <c r="H10" s="2"/>
      <c r="J10" s="2"/>
      <c r="K10" s="2"/>
      <c r="L10" s="2"/>
      <c r="N10" s="2"/>
      <c r="O10" s="2"/>
      <c r="P10" s="2"/>
    </row>
    <row r="11" spans="1:16" x14ac:dyDescent="0.2">
      <c r="B11" s="2"/>
      <c r="C11" s="2"/>
      <c r="D11" s="2"/>
      <c r="F11" s="2"/>
      <c r="G11" s="2"/>
      <c r="H11" s="2"/>
      <c r="J11" s="2"/>
      <c r="K11" s="2"/>
      <c r="L11" s="2"/>
      <c r="N11" s="2"/>
      <c r="O11" s="2"/>
      <c r="P11" s="2"/>
    </row>
    <row r="13" spans="1:16" s="1" customFormat="1" x14ac:dyDescent="0.2"/>
    <row r="14" spans="1:16" x14ac:dyDescent="0.2">
      <c r="A14" s="12" t="s">
        <v>82</v>
      </c>
    </row>
    <row r="16" spans="1:16" x14ac:dyDescent="0.2">
      <c r="A16" s="11" t="s">
        <v>83</v>
      </c>
      <c r="C16" s="11" t="s">
        <v>84</v>
      </c>
      <c r="E16" s="11" t="s">
        <v>84</v>
      </c>
      <c r="G16" s="11" t="s">
        <v>85</v>
      </c>
      <c r="I16" s="11" t="s">
        <v>86</v>
      </c>
    </row>
    <row r="18" spans="1:9" x14ac:dyDescent="0.2">
      <c r="A18" s="2" t="str" cm="1">
        <f t="array" ref="A18:A153">IF(matches_played&gt;6,squad,"")</f>
        <v/>
      </c>
      <c r="C18" s="2" t="str" cm="1">
        <f t="array" ref="C18:C153">_xlfn.IFS(matches_played&gt;6,squad,year=2019,"bla")</f>
        <v>bla</v>
      </c>
      <c r="E18" s="2" t="str" cm="1">
        <f t="array" ref="E18:E153">_xlfn.IFS(matches_played&gt;6,squad,year=2019,"bla",TRUE,"")</f>
        <v>bla</v>
      </c>
      <c r="G18" s="2">
        <f>_xlfn.MAXIFS(matches_played,squad,"Australia")</f>
        <v>5</v>
      </c>
      <c r="I18" s="72">
        <f>_xlfn.MINIFS(matches_played,squad,"Australia",year,"&gt;2010")</f>
        <v>4</v>
      </c>
    </row>
    <row r="19" spans="1:9" x14ac:dyDescent="0.2">
      <c r="A19" s="2" t="str">
        <v/>
      </c>
      <c r="C19" s="2" t="str">
        <v>bla</v>
      </c>
      <c r="E19" s="2" t="str">
        <v>bla</v>
      </c>
    </row>
    <row r="20" spans="1:9" x14ac:dyDescent="0.2">
      <c r="A20" s="2" t="str">
        <v/>
      </c>
      <c r="C20" s="2" t="str">
        <v>bla</v>
      </c>
      <c r="E20" s="2" t="str">
        <v>bla</v>
      </c>
    </row>
    <row r="21" spans="1:9" x14ac:dyDescent="0.2">
      <c r="A21" s="2" t="str">
        <v/>
      </c>
      <c r="C21" s="2" t="str">
        <v>bla</v>
      </c>
      <c r="E21" s="2" t="str">
        <v>bla</v>
      </c>
    </row>
    <row r="22" spans="1:9" x14ac:dyDescent="0.2">
      <c r="A22" s="2" t="str">
        <v/>
      </c>
      <c r="C22" s="2" t="str">
        <v>bla</v>
      </c>
      <c r="E22" s="2" t="str">
        <v>bla</v>
      </c>
    </row>
    <row r="23" spans="1:9" x14ac:dyDescent="0.2">
      <c r="A23" s="2" t="str">
        <v/>
      </c>
      <c r="C23" s="2" t="str">
        <v>bla</v>
      </c>
      <c r="E23" s="2" t="str">
        <v>bla</v>
      </c>
    </row>
    <row r="24" spans="1:9" x14ac:dyDescent="0.2">
      <c r="A24" s="2" t="str">
        <v/>
      </c>
      <c r="C24" s="2" t="str">
        <v>bla</v>
      </c>
      <c r="E24" s="2" t="str">
        <v>bla</v>
      </c>
    </row>
    <row r="25" spans="1:9" x14ac:dyDescent="0.2">
      <c r="A25" s="2" t="str">
        <v>England</v>
      </c>
      <c r="C25" s="2" t="str">
        <v>England</v>
      </c>
      <c r="E25" s="2" t="str">
        <v>England</v>
      </c>
    </row>
    <row r="26" spans="1:9" x14ac:dyDescent="0.2">
      <c r="A26" s="2" t="str">
        <v/>
      </c>
      <c r="C26" s="2" t="str">
        <v>bla</v>
      </c>
      <c r="E26" s="2" t="str">
        <v>bla</v>
      </c>
    </row>
    <row r="27" spans="1:9" x14ac:dyDescent="0.2">
      <c r="A27" s="2" t="str">
        <v/>
      </c>
      <c r="C27" s="2" t="str">
        <v>bla</v>
      </c>
      <c r="E27" s="2" t="str">
        <v>bla</v>
      </c>
    </row>
    <row r="28" spans="1:9" x14ac:dyDescent="0.2">
      <c r="A28" s="2" t="str">
        <v/>
      </c>
      <c r="C28" s="2" t="str">
        <v>bla</v>
      </c>
      <c r="E28" s="2" t="str">
        <v>bla</v>
      </c>
    </row>
    <row r="29" spans="1:9" x14ac:dyDescent="0.2">
      <c r="A29" s="2" t="str">
        <v/>
      </c>
      <c r="C29" s="2" t="str">
        <v>bla</v>
      </c>
      <c r="E29" s="2" t="str">
        <v>bla</v>
      </c>
      <c r="H29" s="72"/>
    </row>
    <row r="30" spans="1:9" x14ac:dyDescent="0.2">
      <c r="A30" s="2" t="str">
        <v/>
      </c>
      <c r="C30" s="2" t="str">
        <v>bla</v>
      </c>
      <c r="E30" s="2" t="str">
        <v>bla</v>
      </c>
    </row>
    <row r="31" spans="1:9" x14ac:dyDescent="0.2">
      <c r="A31" s="2" t="str">
        <v/>
      </c>
      <c r="C31" s="2" t="str">
        <v>bla</v>
      </c>
      <c r="E31" s="2" t="str">
        <v>bla</v>
      </c>
    </row>
    <row r="32" spans="1:9" x14ac:dyDescent="0.2">
      <c r="A32" s="2" t="str">
        <v>Netherlands</v>
      </c>
      <c r="C32" s="2" t="str">
        <v>Netherlands</v>
      </c>
      <c r="E32" s="2" t="str">
        <v>Netherlands</v>
      </c>
    </row>
    <row r="33" spans="1:5" x14ac:dyDescent="0.2">
      <c r="A33" s="2" t="str">
        <v/>
      </c>
      <c r="C33" s="2" t="str">
        <v>bla</v>
      </c>
      <c r="E33" s="2" t="str">
        <v>bla</v>
      </c>
    </row>
    <row r="34" spans="1:5" x14ac:dyDescent="0.2">
      <c r="A34" s="2" t="str">
        <v/>
      </c>
      <c r="C34" s="2" t="str">
        <v>bla</v>
      </c>
      <c r="E34" s="2" t="str">
        <v>bla</v>
      </c>
    </row>
    <row r="35" spans="1:5" x14ac:dyDescent="0.2">
      <c r="A35" s="2" t="str">
        <v/>
      </c>
      <c r="C35" s="2" t="str">
        <v>bla</v>
      </c>
      <c r="E35" s="2" t="str">
        <v>bla</v>
      </c>
    </row>
    <row r="36" spans="1:5" x14ac:dyDescent="0.2">
      <c r="A36" s="2" t="str">
        <v/>
      </c>
      <c r="C36" s="2" t="str">
        <v>bla</v>
      </c>
      <c r="E36" s="2" t="str">
        <v>bla</v>
      </c>
    </row>
    <row r="37" spans="1:5" x14ac:dyDescent="0.2">
      <c r="A37" s="2" t="str">
        <v/>
      </c>
      <c r="C37" s="2" t="str">
        <v>bla</v>
      </c>
      <c r="E37" s="2" t="str">
        <v>bla</v>
      </c>
    </row>
    <row r="38" spans="1:5" x14ac:dyDescent="0.2">
      <c r="A38" s="2" t="str">
        <v/>
      </c>
      <c r="C38" s="2" t="str">
        <v>bla</v>
      </c>
      <c r="E38" s="2" t="str">
        <v>bla</v>
      </c>
    </row>
    <row r="39" spans="1:5" x14ac:dyDescent="0.2">
      <c r="A39" s="2" t="str">
        <v>Sweden</v>
      </c>
      <c r="C39" s="2" t="str">
        <v>Sweden</v>
      </c>
      <c r="E39" s="2" t="str">
        <v>Sweden</v>
      </c>
    </row>
    <row r="40" spans="1:5" x14ac:dyDescent="0.2">
      <c r="A40" s="2" t="str">
        <v/>
      </c>
      <c r="C40" s="2" t="str">
        <v>bla</v>
      </c>
      <c r="E40" s="2" t="str">
        <v>bla</v>
      </c>
    </row>
    <row r="41" spans="1:5" x14ac:dyDescent="0.2">
      <c r="A41" s="2" t="str">
        <v>USA</v>
      </c>
      <c r="C41" s="2" t="str">
        <v>USA</v>
      </c>
      <c r="E41" s="2" t="str">
        <v>USA</v>
      </c>
    </row>
    <row r="42" spans="1:5" x14ac:dyDescent="0.2">
      <c r="A42" s="2" t="str">
        <v/>
      </c>
      <c r="C42" s="2" t="e">
        <v>#N/A</v>
      </c>
      <c r="E42" s="2" t="str">
        <v/>
      </c>
    </row>
    <row r="43" spans="1:5" x14ac:dyDescent="0.2">
      <c r="A43" s="2" t="str">
        <v/>
      </c>
      <c r="C43" s="2" t="e">
        <v>#N/A</v>
      </c>
      <c r="E43" s="2" t="str">
        <v/>
      </c>
    </row>
    <row r="44" spans="1:5" x14ac:dyDescent="0.2">
      <c r="A44" s="2" t="str">
        <v/>
      </c>
      <c r="C44" s="2" t="e">
        <v>#N/A</v>
      </c>
      <c r="E44" s="2" t="str">
        <v/>
      </c>
    </row>
    <row r="45" spans="1:5" x14ac:dyDescent="0.2">
      <c r="A45" s="2" t="str">
        <v/>
      </c>
      <c r="C45" s="2" t="e">
        <v>#N/A</v>
      </c>
      <c r="E45" s="2" t="str">
        <v/>
      </c>
    </row>
    <row r="46" spans="1:5" x14ac:dyDescent="0.2">
      <c r="A46" s="2" t="str">
        <v/>
      </c>
      <c r="C46" s="2" t="e">
        <v>#N/A</v>
      </c>
      <c r="E46" s="2" t="str">
        <v/>
      </c>
    </row>
    <row r="47" spans="1:5" x14ac:dyDescent="0.2">
      <c r="A47" s="2" t="str">
        <v/>
      </c>
      <c r="C47" s="2" t="e">
        <v>#N/A</v>
      </c>
      <c r="E47" s="2" t="str">
        <v/>
      </c>
    </row>
    <row r="48" spans="1:5" x14ac:dyDescent="0.2">
      <c r="A48" s="2" t="str">
        <v/>
      </c>
      <c r="C48" s="2" t="e">
        <v>#N/A</v>
      </c>
      <c r="E48" s="2" t="str">
        <v/>
      </c>
    </row>
    <row r="49" spans="1:5" x14ac:dyDescent="0.2">
      <c r="A49" s="2" t="str">
        <v/>
      </c>
      <c r="C49" s="2" t="e">
        <v>#N/A</v>
      </c>
      <c r="E49" s="2" t="str">
        <v/>
      </c>
    </row>
    <row r="50" spans="1:5" x14ac:dyDescent="0.2">
      <c r="A50" s="2" t="str">
        <v/>
      </c>
      <c r="C50" s="2" t="e">
        <v>#N/A</v>
      </c>
      <c r="E50" s="2" t="str">
        <v/>
      </c>
    </row>
    <row r="51" spans="1:5" x14ac:dyDescent="0.2">
      <c r="A51" s="2" t="str">
        <v>England</v>
      </c>
      <c r="C51" s="2" t="str">
        <v>England</v>
      </c>
      <c r="E51" s="2" t="str">
        <v>England</v>
      </c>
    </row>
    <row r="52" spans="1:5" x14ac:dyDescent="0.2">
      <c r="A52" s="2" t="str">
        <v/>
      </c>
      <c r="C52" s="2" t="e">
        <v>#N/A</v>
      </c>
      <c r="E52" s="2" t="str">
        <v/>
      </c>
    </row>
    <row r="53" spans="1:5" x14ac:dyDescent="0.2">
      <c r="A53" s="2" t="str">
        <v>Germany</v>
      </c>
      <c r="C53" s="2" t="str">
        <v>Germany</v>
      </c>
      <c r="E53" s="2" t="str">
        <v>Germany</v>
      </c>
    </row>
    <row r="54" spans="1:5" x14ac:dyDescent="0.2">
      <c r="A54" s="2" t="str">
        <v>Japan</v>
      </c>
      <c r="C54" s="2" t="str">
        <v>Japan</v>
      </c>
      <c r="E54" s="2" t="str">
        <v>Japan</v>
      </c>
    </row>
    <row r="55" spans="1:5" x14ac:dyDescent="0.2">
      <c r="A55" s="2" t="str">
        <v/>
      </c>
      <c r="C55" s="2" t="e">
        <v>#N/A</v>
      </c>
      <c r="E55" s="2" t="str">
        <v/>
      </c>
    </row>
    <row r="56" spans="1:5" x14ac:dyDescent="0.2">
      <c r="A56" s="2" t="str">
        <v/>
      </c>
      <c r="C56" s="2" t="e">
        <v>#N/A</v>
      </c>
      <c r="E56" s="2" t="str">
        <v/>
      </c>
    </row>
    <row r="57" spans="1:5" hidden="1" x14ac:dyDescent="0.2">
      <c r="A57" s="2" t="str">
        <v/>
      </c>
      <c r="C57" s="2" t="e">
        <v>#N/A</v>
      </c>
      <c r="E57" s="2" t="str">
        <v/>
      </c>
    </row>
    <row r="58" spans="1:5" hidden="1" x14ac:dyDescent="0.2">
      <c r="A58" s="2" t="str">
        <v/>
      </c>
      <c r="C58" s="2" t="e">
        <v>#N/A</v>
      </c>
      <c r="E58" s="2" t="str">
        <v/>
      </c>
    </row>
    <row r="59" spans="1:5" hidden="1" x14ac:dyDescent="0.2">
      <c r="A59" s="2" t="str">
        <v/>
      </c>
      <c r="C59" s="2" t="e">
        <v>#N/A</v>
      </c>
      <c r="E59" s="2" t="str">
        <v/>
      </c>
    </row>
    <row r="60" spans="1:5" hidden="1" x14ac:dyDescent="0.2">
      <c r="A60" s="2" t="str">
        <v/>
      </c>
      <c r="C60" s="2" t="e">
        <v>#N/A</v>
      </c>
      <c r="E60" s="2" t="str">
        <v/>
      </c>
    </row>
    <row r="61" spans="1:5" hidden="1" x14ac:dyDescent="0.2">
      <c r="A61" s="2" t="str">
        <v/>
      </c>
      <c r="C61" s="2" t="e">
        <v>#N/A</v>
      </c>
      <c r="E61" s="2" t="str">
        <v/>
      </c>
    </row>
    <row r="62" spans="1:5" hidden="1" x14ac:dyDescent="0.2">
      <c r="A62" s="2" t="str">
        <v/>
      </c>
      <c r="C62" s="2" t="e">
        <v>#N/A</v>
      </c>
      <c r="E62" s="2" t="str">
        <v/>
      </c>
    </row>
    <row r="63" spans="1:5" hidden="1" x14ac:dyDescent="0.2">
      <c r="A63" s="2" t="str">
        <v/>
      </c>
      <c r="C63" s="2" t="e">
        <v>#N/A</v>
      </c>
      <c r="E63" s="2" t="str">
        <v/>
      </c>
    </row>
    <row r="64" spans="1:5" hidden="1" x14ac:dyDescent="0.2">
      <c r="A64" s="2" t="str">
        <v/>
      </c>
      <c r="C64" s="2" t="e">
        <v>#N/A</v>
      </c>
      <c r="E64" s="2" t="str">
        <v/>
      </c>
    </row>
    <row r="65" spans="1:5" hidden="1" x14ac:dyDescent="0.2">
      <c r="A65" s="2" t="str">
        <v>USA</v>
      </c>
      <c r="C65" s="2" t="str">
        <v>USA</v>
      </c>
      <c r="E65" s="2" t="str">
        <v>USA</v>
      </c>
    </row>
    <row r="66" spans="1:5" hidden="1" x14ac:dyDescent="0.2">
      <c r="A66" s="2" t="str">
        <v/>
      </c>
      <c r="C66" s="2" t="e">
        <v>#N/A</v>
      </c>
      <c r="E66" s="2" t="str">
        <v/>
      </c>
    </row>
    <row r="67" spans="1:5" hidden="1" x14ac:dyDescent="0.2">
      <c r="A67" s="2" t="str">
        <v/>
      </c>
      <c r="C67" s="2" t="e">
        <v>#N/A</v>
      </c>
      <c r="E67" s="2" t="str">
        <v/>
      </c>
    </row>
    <row r="68" spans="1:5" hidden="1" x14ac:dyDescent="0.2">
      <c r="A68" s="2" t="str">
        <v/>
      </c>
      <c r="C68" s="2" t="e">
        <v>#N/A</v>
      </c>
      <c r="E68" s="2" t="str">
        <v/>
      </c>
    </row>
    <row r="69" spans="1:5" hidden="1" x14ac:dyDescent="0.2">
      <c r="A69" s="2" t="str">
        <v/>
      </c>
      <c r="C69" s="2" t="e">
        <v>#N/A</v>
      </c>
      <c r="E69" s="2" t="str">
        <v/>
      </c>
    </row>
    <row r="70" spans="1:5" hidden="1" x14ac:dyDescent="0.2">
      <c r="A70" s="2" t="str">
        <v/>
      </c>
      <c r="C70" s="2" t="e">
        <v>#N/A</v>
      </c>
      <c r="E70" s="2" t="str">
        <v/>
      </c>
    </row>
    <row r="71" spans="1:5" hidden="1" x14ac:dyDescent="0.2">
      <c r="A71" s="2" t="str">
        <v/>
      </c>
      <c r="C71" s="2" t="e">
        <v>#N/A</v>
      </c>
      <c r="E71" s="2" t="str">
        <v/>
      </c>
    </row>
    <row r="72" spans="1:5" hidden="1" x14ac:dyDescent="0.2">
      <c r="A72" s="2" t="str">
        <v/>
      </c>
      <c r="C72" s="2" t="e">
        <v>#N/A</v>
      </c>
      <c r="E72" s="2" t="str">
        <v/>
      </c>
    </row>
    <row r="73" spans="1:5" hidden="1" x14ac:dyDescent="0.2">
      <c r="A73" s="2" t="str">
        <v/>
      </c>
      <c r="C73" s="2" t="e">
        <v>#N/A</v>
      </c>
      <c r="E73" s="2" t="str">
        <v/>
      </c>
    </row>
    <row r="74" spans="1:5" hidden="1" x14ac:dyDescent="0.2">
      <c r="A74" s="2" t="str">
        <v/>
      </c>
      <c r="C74" s="2" t="e">
        <v>#N/A</v>
      </c>
      <c r="E74" s="2" t="str">
        <v/>
      </c>
    </row>
    <row r="75" spans="1:5" hidden="1" x14ac:dyDescent="0.2">
      <c r="A75" s="2" t="str">
        <v/>
      </c>
      <c r="C75" s="2" t="e">
        <v>#N/A</v>
      </c>
      <c r="E75" s="2" t="str">
        <v/>
      </c>
    </row>
    <row r="76" spans="1:5" hidden="1" x14ac:dyDescent="0.2">
      <c r="A76" s="2" t="str">
        <v/>
      </c>
      <c r="C76" s="2" t="e">
        <v>#N/A</v>
      </c>
      <c r="E76" s="2" t="str">
        <v/>
      </c>
    </row>
    <row r="77" spans="1:5" hidden="1" x14ac:dyDescent="0.2">
      <c r="A77" s="2" t="str">
        <v/>
      </c>
      <c r="C77" s="2" t="e">
        <v>#N/A</v>
      </c>
      <c r="E77" s="2" t="str">
        <v/>
      </c>
    </row>
    <row r="78" spans="1:5" hidden="1" x14ac:dyDescent="0.2">
      <c r="A78" s="2" t="str">
        <v/>
      </c>
      <c r="C78" s="2" t="e">
        <v>#N/A</v>
      </c>
      <c r="E78" s="2" t="str">
        <v/>
      </c>
    </row>
    <row r="79" spans="1:5" hidden="1" x14ac:dyDescent="0.2">
      <c r="A79" s="2" t="str">
        <v/>
      </c>
      <c r="C79" s="2" t="e">
        <v>#N/A</v>
      </c>
      <c r="E79" s="2" t="str">
        <v/>
      </c>
    </row>
    <row r="80" spans="1:5" hidden="1" x14ac:dyDescent="0.2">
      <c r="A80" s="2" t="str">
        <v/>
      </c>
      <c r="C80" s="2" t="e">
        <v>#N/A</v>
      </c>
      <c r="E80" s="2" t="str">
        <v/>
      </c>
    </row>
    <row r="81" spans="1:5" hidden="1" x14ac:dyDescent="0.2">
      <c r="A81" s="2" t="str">
        <v/>
      </c>
      <c r="C81" s="2" t="e">
        <v>#N/A</v>
      </c>
      <c r="E81" s="2" t="str">
        <v/>
      </c>
    </row>
    <row r="82" spans="1:5" hidden="1" x14ac:dyDescent="0.2">
      <c r="A82" s="2" t="str">
        <v/>
      </c>
      <c r="C82" s="2" t="e">
        <v>#N/A</v>
      </c>
      <c r="E82" s="2" t="str">
        <v/>
      </c>
    </row>
    <row r="83" spans="1:5" hidden="1" x14ac:dyDescent="0.2">
      <c r="A83" s="2" t="str">
        <v/>
      </c>
      <c r="C83" s="2" t="e">
        <v>#N/A</v>
      </c>
      <c r="E83" s="2" t="str">
        <v/>
      </c>
    </row>
    <row r="84" spans="1:5" hidden="1" x14ac:dyDescent="0.2">
      <c r="A84" s="2" t="str">
        <v/>
      </c>
      <c r="C84" s="2" t="e">
        <v>#N/A</v>
      </c>
      <c r="E84" s="2" t="str">
        <v/>
      </c>
    </row>
    <row r="85" spans="1:5" hidden="1" x14ac:dyDescent="0.2">
      <c r="A85" s="2" t="str">
        <v/>
      </c>
      <c r="C85" s="2" t="e">
        <v>#N/A</v>
      </c>
      <c r="E85" s="2" t="str">
        <v/>
      </c>
    </row>
    <row r="86" spans="1:5" hidden="1" x14ac:dyDescent="0.2">
      <c r="A86" s="2" t="str">
        <v/>
      </c>
      <c r="C86" s="2" t="e">
        <v>#N/A</v>
      </c>
      <c r="E86" s="2" t="str">
        <v/>
      </c>
    </row>
    <row r="87" spans="1:5" hidden="1" x14ac:dyDescent="0.2">
      <c r="A87" s="2" t="str">
        <v/>
      </c>
      <c r="C87" s="2" t="e">
        <v>#N/A</v>
      </c>
      <c r="E87" s="2" t="str">
        <v/>
      </c>
    </row>
    <row r="88" spans="1:5" hidden="1" x14ac:dyDescent="0.2">
      <c r="A88" s="2" t="str">
        <v/>
      </c>
      <c r="C88" s="2" t="e">
        <v>#N/A</v>
      </c>
      <c r="E88" s="2" t="str">
        <v/>
      </c>
    </row>
    <row r="89" spans="1:5" hidden="1" x14ac:dyDescent="0.2">
      <c r="A89" s="2" t="str">
        <v/>
      </c>
      <c r="C89" s="2" t="e">
        <v>#N/A</v>
      </c>
      <c r="E89" s="2" t="str">
        <v/>
      </c>
    </row>
    <row r="90" spans="1:5" hidden="1" x14ac:dyDescent="0.2">
      <c r="A90" s="2" t="str">
        <v/>
      </c>
      <c r="C90" s="2" t="e">
        <v>#N/A</v>
      </c>
      <c r="E90" s="2" t="str">
        <v/>
      </c>
    </row>
    <row r="91" spans="1:5" hidden="1" x14ac:dyDescent="0.2">
      <c r="A91" s="2" t="str">
        <v/>
      </c>
      <c r="C91" s="2" t="e">
        <v>#N/A</v>
      </c>
      <c r="E91" s="2" t="str">
        <v/>
      </c>
    </row>
    <row r="92" spans="1:5" hidden="1" x14ac:dyDescent="0.2">
      <c r="A92" s="2" t="str">
        <v/>
      </c>
      <c r="C92" s="2" t="e">
        <v>#N/A</v>
      </c>
      <c r="E92" s="2" t="str">
        <v/>
      </c>
    </row>
    <row r="93" spans="1:5" hidden="1" x14ac:dyDescent="0.2">
      <c r="A93" s="2" t="str">
        <v/>
      </c>
      <c r="C93" s="2" t="e">
        <v>#N/A</v>
      </c>
      <c r="E93" s="2" t="str">
        <v/>
      </c>
    </row>
    <row r="94" spans="1:5" hidden="1" x14ac:dyDescent="0.2">
      <c r="A94" s="2" t="str">
        <v/>
      </c>
      <c r="C94" s="2" t="e">
        <v>#N/A</v>
      </c>
      <c r="E94" s="2" t="str">
        <v/>
      </c>
    </row>
    <row r="95" spans="1:5" hidden="1" x14ac:dyDescent="0.2">
      <c r="A95" s="2" t="str">
        <v/>
      </c>
      <c r="C95" s="2" t="e">
        <v>#N/A</v>
      </c>
      <c r="E95" s="2" t="str">
        <v/>
      </c>
    </row>
    <row r="96" spans="1:5" hidden="1" x14ac:dyDescent="0.2">
      <c r="A96" s="2" t="str">
        <v/>
      </c>
      <c r="C96" s="2" t="e">
        <v>#N/A</v>
      </c>
      <c r="E96" s="2" t="str">
        <v/>
      </c>
    </row>
    <row r="97" spans="1:5" hidden="1" x14ac:dyDescent="0.2">
      <c r="A97" s="2" t="str">
        <v/>
      </c>
      <c r="C97" s="2" t="e">
        <v>#N/A</v>
      </c>
      <c r="E97" s="2" t="str">
        <v/>
      </c>
    </row>
    <row r="98" spans="1:5" hidden="1" x14ac:dyDescent="0.2">
      <c r="A98" s="2" t="str">
        <v/>
      </c>
      <c r="C98" s="2" t="e">
        <v>#N/A</v>
      </c>
      <c r="E98" s="2" t="str">
        <v/>
      </c>
    </row>
    <row r="99" spans="1:5" hidden="1" x14ac:dyDescent="0.2">
      <c r="A99" s="2" t="str">
        <v/>
      </c>
      <c r="C99" s="2" t="e">
        <v>#N/A</v>
      </c>
      <c r="E99" s="2" t="str">
        <v/>
      </c>
    </row>
    <row r="100" spans="1:5" hidden="1" x14ac:dyDescent="0.2">
      <c r="A100" s="2" t="str">
        <v/>
      </c>
      <c r="C100" s="2" t="e">
        <v>#N/A</v>
      </c>
      <c r="E100" s="2" t="str">
        <v/>
      </c>
    </row>
    <row r="101" spans="1:5" hidden="1" x14ac:dyDescent="0.2">
      <c r="A101" s="2" t="str">
        <v/>
      </c>
      <c r="C101" s="2" t="e">
        <v>#N/A</v>
      </c>
      <c r="E101" s="2" t="str">
        <v/>
      </c>
    </row>
    <row r="102" spans="1:5" hidden="1" x14ac:dyDescent="0.2">
      <c r="A102" s="2" t="str">
        <v/>
      </c>
      <c r="C102" s="2" t="e">
        <v>#N/A</v>
      </c>
      <c r="E102" s="2" t="str">
        <v/>
      </c>
    </row>
    <row r="103" spans="1:5" hidden="1" x14ac:dyDescent="0.2">
      <c r="A103" s="2" t="str">
        <v/>
      </c>
      <c r="C103" s="2" t="e">
        <v>#N/A</v>
      </c>
      <c r="E103" s="2" t="str">
        <v/>
      </c>
    </row>
    <row r="104" spans="1:5" hidden="1" x14ac:dyDescent="0.2">
      <c r="A104" s="2" t="str">
        <v/>
      </c>
      <c r="C104" s="2" t="e">
        <v>#N/A</v>
      </c>
      <c r="E104" s="2" t="str">
        <v/>
      </c>
    </row>
    <row r="105" spans="1:5" hidden="1" x14ac:dyDescent="0.2">
      <c r="A105" s="2" t="str">
        <v/>
      </c>
      <c r="C105" s="2" t="e">
        <v>#N/A</v>
      </c>
      <c r="E105" s="2" t="str">
        <v/>
      </c>
    </row>
    <row r="106" spans="1:5" hidden="1" x14ac:dyDescent="0.2">
      <c r="A106" s="2" t="str">
        <v/>
      </c>
      <c r="C106" s="2" t="e">
        <v>#N/A</v>
      </c>
      <c r="E106" s="2" t="str">
        <v/>
      </c>
    </row>
    <row r="107" spans="1:5" hidden="1" x14ac:dyDescent="0.2">
      <c r="A107" s="2" t="str">
        <v/>
      </c>
      <c r="C107" s="2" t="e">
        <v>#N/A</v>
      </c>
      <c r="E107" s="2" t="str">
        <v/>
      </c>
    </row>
    <row r="108" spans="1:5" hidden="1" x14ac:dyDescent="0.2">
      <c r="A108" s="2" t="str">
        <v/>
      </c>
      <c r="C108" s="2" t="e">
        <v>#N/A</v>
      </c>
      <c r="E108" s="2" t="str">
        <v/>
      </c>
    </row>
    <row r="109" spans="1:5" hidden="1" x14ac:dyDescent="0.2">
      <c r="A109" s="2" t="str">
        <v/>
      </c>
      <c r="C109" s="2" t="e">
        <v>#N/A</v>
      </c>
      <c r="E109" s="2" t="str">
        <v/>
      </c>
    </row>
    <row r="110" spans="1:5" hidden="1" x14ac:dyDescent="0.2">
      <c r="A110" s="2" t="str">
        <v/>
      </c>
      <c r="C110" s="2" t="e">
        <v>#N/A</v>
      </c>
      <c r="E110" s="2" t="str">
        <v/>
      </c>
    </row>
    <row r="111" spans="1:5" hidden="1" x14ac:dyDescent="0.2">
      <c r="A111" s="2" t="str">
        <v/>
      </c>
      <c r="C111" s="2" t="e">
        <v>#N/A</v>
      </c>
      <c r="E111" s="2" t="str">
        <v/>
      </c>
    </row>
    <row r="112" spans="1:5" hidden="1" x14ac:dyDescent="0.2">
      <c r="A112" s="2" t="str">
        <v/>
      </c>
      <c r="C112" s="2" t="e">
        <v>#N/A</v>
      </c>
      <c r="E112" s="2" t="str">
        <v/>
      </c>
    </row>
    <row r="113" spans="1:5" hidden="1" x14ac:dyDescent="0.2">
      <c r="A113" s="2" t="str">
        <v/>
      </c>
      <c r="C113" s="2" t="e">
        <v>#N/A</v>
      </c>
      <c r="E113" s="2" t="str">
        <v/>
      </c>
    </row>
    <row r="114" spans="1:5" hidden="1" x14ac:dyDescent="0.2">
      <c r="A114" s="2" t="str">
        <v/>
      </c>
      <c r="C114" s="2" t="e">
        <v>#N/A</v>
      </c>
      <c r="E114" s="2" t="str">
        <v/>
      </c>
    </row>
    <row r="115" spans="1:5" hidden="1" x14ac:dyDescent="0.2">
      <c r="A115" s="2" t="str">
        <v/>
      </c>
      <c r="C115" s="2" t="e">
        <v>#N/A</v>
      </c>
      <c r="E115" s="2" t="str">
        <v/>
      </c>
    </row>
    <row r="116" spans="1:5" hidden="1" x14ac:dyDescent="0.2">
      <c r="A116" s="2" t="str">
        <v/>
      </c>
      <c r="C116" s="2" t="e">
        <v>#N/A</v>
      </c>
      <c r="E116" s="2" t="str">
        <v/>
      </c>
    </row>
    <row r="117" spans="1:5" hidden="1" x14ac:dyDescent="0.2">
      <c r="A117" s="2" t="str">
        <v/>
      </c>
      <c r="C117" s="2" t="e">
        <v>#N/A</v>
      </c>
      <c r="E117" s="2" t="str">
        <v/>
      </c>
    </row>
    <row r="118" spans="1:5" hidden="1" x14ac:dyDescent="0.2">
      <c r="A118" s="2" t="str">
        <v/>
      </c>
      <c r="C118" s="2" t="e">
        <v>#N/A</v>
      </c>
      <c r="E118" s="2" t="str">
        <v/>
      </c>
    </row>
    <row r="119" spans="1:5" hidden="1" x14ac:dyDescent="0.2">
      <c r="A119" s="2" t="str">
        <v/>
      </c>
      <c r="C119" s="2" t="e">
        <v>#N/A</v>
      </c>
      <c r="E119" s="2" t="str">
        <v/>
      </c>
    </row>
    <row r="120" spans="1:5" hidden="1" x14ac:dyDescent="0.2">
      <c r="A120" s="2" t="str">
        <v/>
      </c>
      <c r="C120" s="2" t="e">
        <v>#N/A</v>
      </c>
      <c r="E120" s="2" t="str">
        <v/>
      </c>
    </row>
    <row r="121" spans="1:5" hidden="1" x14ac:dyDescent="0.2">
      <c r="A121" s="2" t="str">
        <v/>
      </c>
      <c r="C121" s="2" t="e">
        <v>#N/A</v>
      </c>
      <c r="E121" s="2" t="str">
        <v/>
      </c>
    </row>
    <row r="122" spans="1:5" hidden="1" x14ac:dyDescent="0.2">
      <c r="A122" s="2" t="str">
        <v/>
      </c>
      <c r="C122" s="2" t="e">
        <v>#N/A</v>
      </c>
      <c r="E122" s="2" t="str">
        <v/>
      </c>
    </row>
    <row r="123" spans="1:5" hidden="1" x14ac:dyDescent="0.2">
      <c r="A123" s="2" t="str">
        <v/>
      </c>
      <c r="C123" s="2" t="e">
        <v>#N/A</v>
      </c>
      <c r="E123" s="2" t="str">
        <v/>
      </c>
    </row>
    <row r="124" spans="1:5" hidden="1" x14ac:dyDescent="0.2">
      <c r="A124" s="2" t="str">
        <v/>
      </c>
      <c r="C124" s="2" t="e">
        <v>#N/A</v>
      </c>
      <c r="E124" s="2" t="str">
        <v/>
      </c>
    </row>
    <row r="125" spans="1:5" hidden="1" x14ac:dyDescent="0.2">
      <c r="A125" s="2" t="str">
        <v/>
      </c>
      <c r="C125" s="2" t="e">
        <v>#N/A</v>
      </c>
      <c r="E125" s="2" t="str">
        <v/>
      </c>
    </row>
    <row r="126" spans="1:5" hidden="1" x14ac:dyDescent="0.2">
      <c r="A126" s="2" t="str">
        <v/>
      </c>
      <c r="C126" s="2" t="e">
        <v>#N/A</v>
      </c>
      <c r="E126" s="2" t="str">
        <v/>
      </c>
    </row>
    <row r="127" spans="1:5" hidden="1" x14ac:dyDescent="0.2">
      <c r="A127" s="2" t="str">
        <v/>
      </c>
      <c r="C127" s="2" t="e">
        <v>#N/A</v>
      </c>
      <c r="E127" s="2" t="str">
        <v/>
      </c>
    </row>
    <row r="128" spans="1:5" hidden="1" x14ac:dyDescent="0.2">
      <c r="A128" s="2" t="str">
        <v/>
      </c>
      <c r="C128" s="2" t="e">
        <v>#N/A</v>
      </c>
      <c r="E128" s="2" t="str">
        <v/>
      </c>
    </row>
    <row r="129" spans="1:5" hidden="1" x14ac:dyDescent="0.2">
      <c r="A129" s="2" t="str">
        <v/>
      </c>
      <c r="C129" s="2" t="e">
        <v>#N/A</v>
      </c>
      <c r="E129" s="2" t="str">
        <v/>
      </c>
    </row>
    <row r="130" spans="1:5" hidden="1" x14ac:dyDescent="0.2">
      <c r="A130" s="2" t="str">
        <v/>
      </c>
      <c r="C130" s="2" t="e">
        <v>#N/A</v>
      </c>
      <c r="E130" s="2" t="str">
        <v/>
      </c>
    </row>
    <row r="131" spans="1:5" hidden="1" x14ac:dyDescent="0.2">
      <c r="A131" s="2" t="str">
        <v/>
      </c>
      <c r="C131" s="2" t="e">
        <v>#N/A</v>
      </c>
      <c r="E131" s="2" t="str">
        <v/>
      </c>
    </row>
    <row r="132" spans="1:5" hidden="1" x14ac:dyDescent="0.2">
      <c r="A132" s="2" t="str">
        <v/>
      </c>
      <c r="C132" s="2" t="e">
        <v>#N/A</v>
      </c>
      <c r="E132" s="2" t="str">
        <v/>
      </c>
    </row>
    <row r="133" spans="1:5" hidden="1" x14ac:dyDescent="0.2">
      <c r="A133" s="2" t="str">
        <v/>
      </c>
      <c r="C133" s="2" t="e">
        <v>#N/A</v>
      </c>
      <c r="E133" s="2" t="str">
        <v/>
      </c>
    </row>
    <row r="134" spans="1:5" hidden="1" x14ac:dyDescent="0.2">
      <c r="A134" s="2" t="str">
        <v/>
      </c>
      <c r="C134" s="2" t="e">
        <v>#N/A</v>
      </c>
      <c r="E134" s="2" t="str">
        <v/>
      </c>
    </row>
    <row r="135" spans="1:5" hidden="1" x14ac:dyDescent="0.2">
      <c r="A135" s="2" t="str">
        <v/>
      </c>
      <c r="C135" s="2" t="e">
        <v>#N/A</v>
      </c>
      <c r="E135" s="2" t="str">
        <v/>
      </c>
    </row>
    <row r="136" spans="1:5" hidden="1" x14ac:dyDescent="0.2">
      <c r="A136" s="2" t="str">
        <v/>
      </c>
      <c r="C136" s="2" t="e">
        <v>#N/A</v>
      </c>
      <c r="E136" s="2" t="str">
        <v/>
      </c>
    </row>
    <row r="137" spans="1:5" hidden="1" x14ac:dyDescent="0.2">
      <c r="A137" s="2" t="str">
        <v/>
      </c>
      <c r="C137" s="2" t="e">
        <v>#N/A</v>
      </c>
      <c r="E137" s="2" t="str">
        <v/>
      </c>
    </row>
    <row r="138" spans="1:5" hidden="1" x14ac:dyDescent="0.2">
      <c r="A138" s="2" t="str">
        <v/>
      </c>
      <c r="C138" s="2" t="e">
        <v>#N/A</v>
      </c>
      <c r="E138" s="2" t="str">
        <v/>
      </c>
    </row>
    <row r="139" spans="1:5" hidden="1" x14ac:dyDescent="0.2">
      <c r="A139" s="2" t="str">
        <v/>
      </c>
      <c r="C139" s="2" t="e">
        <v>#N/A</v>
      </c>
      <c r="E139" s="2" t="str">
        <v/>
      </c>
    </row>
    <row r="140" spans="1:5" hidden="1" x14ac:dyDescent="0.2">
      <c r="A140" s="2" t="str">
        <v/>
      </c>
      <c r="C140" s="2" t="e">
        <v>#N/A</v>
      </c>
      <c r="E140" s="2" t="str">
        <v/>
      </c>
    </row>
    <row r="141" spans="1:5" hidden="1" x14ac:dyDescent="0.2">
      <c r="A141" s="2" t="str">
        <v/>
      </c>
      <c r="C141" s="2" t="e">
        <v>#N/A</v>
      </c>
      <c r="E141" s="2" t="str">
        <v/>
      </c>
    </row>
    <row r="142" spans="1:5" hidden="1" x14ac:dyDescent="0.2">
      <c r="A142" s="2" t="str">
        <v/>
      </c>
      <c r="C142" s="2" t="e">
        <v>#N/A</v>
      </c>
      <c r="E142" s="2" t="str">
        <v/>
      </c>
    </row>
    <row r="143" spans="1:5" hidden="1" x14ac:dyDescent="0.2">
      <c r="A143" s="2" t="str">
        <v/>
      </c>
      <c r="C143" s="2" t="e">
        <v>#N/A</v>
      </c>
      <c r="E143" s="2" t="str">
        <v/>
      </c>
    </row>
    <row r="144" spans="1:5" hidden="1" x14ac:dyDescent="0.2">
      <c r="A144" s="2" t="str">
        <v/>
      </c>
      <c r="C144" s="2" t="e">
        <v>#N/A</v>
      </c>
      <c r="E144" s="2" t="str">
        <v/>
      </c>
    </row>
    <row r="145" spans="1:9" hidden="1" x14ac:dyDescent="0.2">
      <c r="A145" s="2" t="str">
        <v/>
      </c>
      <c r="C145" s="2" t="e">
        <v>#N/A</v>
      </c>
      <c r="E145" s="2" t="str">
        <v/>
      </c>
    </row>
    <row r="146" spans="1:9" hidden="1" x14ac:dyDescent="0.2">
      <c r="A146" s="2" t="str">
        <v/>
      </c>
      <c r="C146" s="2" t="e">
        <v>#N/A</v>
      </c>
      <c r="E146" s="2" t="str">
        <v/>
      </c>
    </row>
    <row r="147" spans="1:9" hidden="1" x14ac:dyDescent="0.2">
      <c r="A147" s="2" t="str">
        <v/>
      </c>
      <c r="C147" s="2" t="e">
        <v>#N/A</v>
      </c>
      <c r="E147" s="2" t="str">
        <v/>
      </c>
    </row>
    <row r="148" spans="1:9" hidden="1" x14ac:dyDescent="0.2">
      <c r="A148" s="2" t="str">
        <v/>
      </c>
      <c r="C148" s="2" t="e">
        <v>#N/A</v>
      </c>
      <c r="E148" s="2" t="str">
        <v/>
      </c>
    </row>
    <row r="149" spans="1:9" hidden="1" x14ac:dyDescent="0.2">
      <c r="A149" s="2" t="str">
        <v/>
      </c>
      <c r="C149" s="2" t="e">
        <v>#N/A</v>
      </c>
      <c r="E149" s="2" t="str">
        <v/>
      </c>
    </row>
    <row r="150" spans="1:9" hidden="1" x14ac:dyDescent="0.2">
      <c r="A150" s="2" t="str">
        <v/>
      </c>
      <c r="C150" s="2" t="e">
        <v>#N/A</v>
      </c>
      <c r="E150" s="2" t="str">
        <v/>
      </c>
    </row>
    <row r="151" spans="1:9" hidden="1" x14ac:dyDescent="0.2">
      <c r="A151" s="2" t="str">
        <v/>
      </c>
      <c r="C151" s="2" t="e">
        <v>#N/A</v>
      </c>
      <c r="E151" s="2" t="str">
        <v/>
      </c>
    </row>
    <row r="152" spans="1:9" hidden="1" x14ac:dyDescent="0.2">
      <c r="A152" s="2" t="str">
        <v/>
      </c>
      <c r="C152" s="2" t="e">
        <v>#N/A</v>
      </c>
      <c r="E152" s="2" t="str">
        <v/>
      </c>
    </row>
    <row r="153" spans="1:9" hidden="1" x14ac:dyDescent="0.2">
      <c r="A153" s="2" t="str">
        <v/>
      </c>
      <c r="C153" s="2" t="e">
        <v>#N/A</v>
      </c>
      <c r="E153" s="2" t="str">
        <v/>
      </c>
    </row>
    <row r="155" spans="1:9" s="1" customFormat="1" x14ac:dyDescent="0.2"/>
    <row r="156" spans="1:9" x14ac:dyDescent="0.2">
      <c r="A156" s="12" t="s">
        <v>312</v>
      </c>
    </row>
    <row r="158" spans="1:9" x14ac:dyDescent="0.2">
      <c r="A158" t="s">
        <v>87</v>
      </c>
    </row>
    <row r="160" spans="1:9" x14ac:dyDescent="0.2">
      <c r="A160" s="2" cm="1">
        <f t="array" ref="A160:C162">TRANSPOSE(B3:D5)</f>
        <v>1</v>
      </c>
      <c r="B160" s="2">
        <v>4</v>
      </c>
      <c r="C160" s="2">
        <v>7</v>
      </c>
      <c r="E160" s="2" cm="1">
        <f t="array" ref="E160:E162">TRANSPOSE(B3:D3)</f>
        <v>1</v>
      </c>
      <c r="G160" s="2" cm="1">
        <f t="array" ref="G160:I160">TRANSPOSE(B3:B5)</f>
        <v>1</v>
      </c>
      <c r="H160" s="2">
        <v>4</v>
      </c>
      <c r="I160" s="2">
        <v>7</v>
      </c>
    </row>
    <row r="161" spans="1:5" x14ac:dyDescent="0.2">
      <c r="A161" s="2">
        <v>2</v>
      </c>
      <c r="B161" s="2">
        <v>5</v>
      </c>
      <c r="C161" s="2">
        <v>8</v>
      </c>
      <c r="E161" s="2">
        <v>2</v>
      </c>
    </row>
    <row r="162" spans="1:5" x14ac:dyDescent="0.2">
      <c r="A162" s="2">
        <v>3</v>
      </c>
      <c r="B162" s="2">
        <v>6</v>
      </c>
      <c r="C162" s="2">
        <v>9</v>
      </c>
      <c r="E162" s="2">
        <v>3</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EDE5D-C871-8D4D-9790-B15AEBF21742}">
  <sheetPr codeName="Sheet4"/>
  <dimension ref="A1:C40"/>
  <sheetViews>
    <sheetView topLeftCell="B4" workbookViewId="0">
      <selection activeCell="B4" sqref="B4"/>
    </sheetView>
  </sheetViews>
  <sheetFormatPr baseColWidth="10" defaultColWidth="11" defaultRowHeight="16" x14ac:dyDescent="0.2"/>
  <cols>
    <col min="1" max="1" width="13" bestFit="1" customWidth="1"/>
    <col min="2" max="2" width="21.1640625" bestFit="1" customWidth="1"/>
    <col min="3" max="3" width="11.83203125" bestFit="1" customWidth="1"/>
    <col min="4" max="4" width="11.1640625" bestFit="1" customWidth="1"/>
  </cols>
  <sheetData>
    <row r="1" spans="1:3" x14ac:dyDescent="0.2">
      <c r="A1" s="62" t="s">
        <v>24</v>
      </c>
      <c r="B1" t="s">
        <v>88</v>
      </c>
    </row>
    <row r="3" spans="1:3" x14ac:dyDescent="0.2">
      <c r="A3" s="62" t="s">
        <v>89</v>
      </c>
      <c r="B3" t="s">
        <v>90</v>
      </c>
      <c r="C3" t="s">
        <v>91</v>
      </c>
    </row>
    <row r="4" spans="1:3" x14ac:dyDescent="0.2">
      <c r="A4" s="63" t="s">
        <v>44</v>
      </c>
      <c r="B4">
        <v>9</v>
      </c>
      <c r="C4">
        <v>4</v>
      </c>
    </row>
    <row r="5" spans="1:3" x14ac:dyDescent="0.2">
      <c r="A5" s="63" t="s">
        <v>45</v>
      </c>
      <c r="B5">
        <v>26</v>
      </c>
      <c r="C5">
        <v>37</v>
      </c>
    </row>
    <row r="6" spans="1:3" x14ac:dyDescent="0.2">
      <c r="A6" s="63" t="s">
        <v>46</v>
      </c>
      <c r="B6">
        <v>34</v>
      </c>
      <c r="C6">
        <v>65</v>
      </c>
    </row>
    <row r="7" spans="1:3" x14ac:dyDescent="0.2">
      <c r="A7" s="63" t="s">
        <v>70</v>
      </c>
      <c r="B7">
        <v>3</v>
      </c>
      <c r="C7">
        <v>3</v>
      </c>
    </row>
    <row r="8" spans="1:3" x14ac:dyDescent="0.2">
      <c r="A8" s="63" t="s">
        <v>47</v>
      </c>
      <c r="B8">
        <v>8</v>
      </c>
      <c r="C8">
        <v>12</v>
      </c>
    </row>
    <row r="9" spans="1:3" x14ac:dyDescent="0.2">
      <c r="A9" s="63" t="s">
        <v>48</v>
      </c>
      <c r="B9">
        <v>27</v>
      </c>
      <c r="C9">
        <v>34</v>
      </c>
    </row>
    <row r="10" spans="1:3" x14ac:dyDescent="0.2">
      <c r="A10" s="63" t="s">
        <v>49</v>
      </c>
      <c r="B10">
        <v>3</v>
      </c>
      <c r="C10">
        <v>1</v>
      </c>
    </row>
    <row r="11" spans="1:3" x14ac:dyDescent="0.2">
      <c r="A11" s="63" t="s">
        <v>50</v>
      </c>
      <c r="B11">
        <v>33</v>
      </c>
      <c r="C11">
        <v>53</v>
      </c>
    </row>
    <row r="12" spans="1:3" x14ac:dyDescent="0.2">
      <c r="A12" s="63" t="s">
        <v>79</v>
      </c>
      <c r="B12">
        <v>4</v>
      </c>
      <c r="C12">
        <v>2</v>
      </c>
    </row>
    <row r="13" spans="1:3" x14ac:dyDescent="0.2">
      <c r="A13" s="63" t="s">
        <v>68</v>
      </c>
      <c r="B13">
        <v>7</v>
      </c>
      <c r="C13">
        <v>4</v>
      </c>
    </row>
    <row r="14" spans="1:3" x14ac:dyDescent="0.2">
      <c r="A14" s="63" t="s">
        <v>69</v>
      </c>
      <c r="B14">
        <v>3</v>
      </c>
      <c r="C14">
        <v>3</v>
      </c>
    </row>
    <row r="15" spans="1:3" x14ac:dyDescent="0.2">
      <c r="A15" s="63" t="s">
        <v>76</v>
      </c>
      <c r="B15">
        <v>14</v>
      </c>
      <c r="C15">
        <v>19</v>
      </c>
    </row>
    <row r="16" spans="1:3" x14ac:dyDescent="0.2">
      <c r="A16" s="63" t="s">
        <v>71</v>
      </c>
      <c r="B16">
        <v>3</v>
      </c>
      <c r="C16">
        <v>1</v>
      </c>
    </row>
    <row r="17" spans="1:3" x14ac:dyDescent="0.2">
      <c r="A17" s="63" t="s">
        <v>51</v>
      </c>
      <c r="B17">
        <v>26</v>
      </c>
      <c r="C17">
        <v>42</v>
      </c>
    </row>
    <row r="18" spans="1:3" x14ac:dyDescent="0.2">
      <c r="A18" s="63" t="s">
        <v>74</v>
      </c>
      <c r="B18">
        <v>3</v>
      </c>
      <c r="C18">
        <v>2</v>
      </c>
    </row>
    <row r="19" spans="1:3" x14ac:dyDescent="0.2">
      <c r="A19" s="63" t="s">
        <v>52</v>
      </c>
      <c r="B19">
        <v>19</v>
      </c>
      <c r="C19">
        <v>31</v>
      </c>
    </row>
    <row r="20" spans="1:3" x14ac:dyDescent="0.2">
      <c r="A20" s="63" t="s">
        <v>53</v>
      </c>
      <c r="B20">
        <v>44</v>
      </c>
      <c r="C20">
        <v>119</v>
      </c>
    </row>
    <row r="21" spans="1:3" x14ac:dyDescent="0.2">
      <c r="A21" s="63" t="s">
        <v>77</v>
      </c>
      <c r="B21">
        <v>9</v>
      </c>
      <c r="C21">
        <v>6</v>
      </c>
    </row>
    <row r="22" spans="1:3" x14ac:dyDescent="0.2">
      <c r="A22" s="63" t="s">
        <v>54</v>
      </c>
      <c r="B22">
        <v>12</v>
      </c>
      <c r="C22">
        <v>20</v>
      </c>
    </row>
    <row r="23" spans="1:3" x14ac:dyDescent="0.2">
      <c r="A23" s="63" t="s">
        <v>55</v>
      </c>
      <c r="B23">
        <v>3</v>
      </c>
      <c r="C23">
        <v>1</v>
      </c>
    </row>
    <row r="24" spans="1:3" x14ac:dyDescent="0.2">
      <c r="A24" s="63" t="s">
        <v>56</v>
      </c>
      <c r="B24">
        <v>33</v>
      </c>
      <c r="C24">
        <v>37</v>
      </c>
    </row>
    <row r="25" spans="1:3" x14ac:dyDescent="0.2">
      <c r="A25" s="63" t="s">
        <v>75</v>
      </c>
      <c r="B25">
        <v>13</v>
      </c>
      <c r="C25">
        <v>12</v>
      </c>
    </row>
    <row r="26" spans="1:3" x14ac:dyDescent="0.2">
      <c r="A26" s="63" t="s">
        <v>57</v>
      </c>
      <c r="B26">
        <v>10</v>
      </c>
      <c r="C26">
        <v>6</v>
      </c>
    </row>
    <row r="27" spans="1:3" x14ac:dyDescent="0.2">
      <c r="A27" s="63" t="s">
        <v>72</v>
      </c>
      <c r="B27">
        <v>9</v>
      </c>
      <c r="C27">
        <v>6</v>
      </c>
    </row>
    <row r="28" spans="1:3" x14ac:dyDescent="0.2">
      <c r="A28" s="63" t="s">
        <v>58</v>
      </c>
      <c r="B28">
        <v>11</v>
      </c>
      <c r="C28">
        <v>14</v>
      </c>
    </row>
    <row r="29" spans="1:3" x14ac:dyDescent="0.2">
      <c r="A29" s="63" t="s">
        <v>59</v>
      </c>
      <c r="B29">
        <v>15</v>
      </c>
      <c r="C29">
        <v>7</v>
      </c>
    </row>
    <row r="30" spans="1:3" x14ac:dyDescent="0.2">
      <c r="A30" s="63" t="s">
        <v>60</v>
      </c>
      <c r="B30">
        <v>26</v>
      </c>
      <c r="C30">
        <v>19</v>
      </c>
    </row>
    <row r="31" spans="1:3" x14ac:dyDescent="0.2">
      <c r="A31" s="63" t="s">
        <v>61</v>
      </c>
      <c r="B31">
        <v>40</v>
      </c>
      <c r="C31">
        <v>89</v>
      </c>
    </row>
    <row r="32" spans="1:3" x14ac:dyDescent="0.2">
      <c r="A32" s="63" t="s">
        <v>78</v>
      </c>
      <c r="B32">
        <v>8</v>
      </c>
      <c r="C32">
        <v>15</v>
      </c>
    </row>
    <row r="33" spans="1:3" x14ac:dyDescent="0.2">
      <c r="A33" s="63" t="s">
        <v>62</v>
      </c>
      <c r="B33">
        <v>3</v>
      </c>
      <c r="C33">
        <v>5</v>
      </c>
    </row>
    <row r="34" spans="1:3" x14ac:dyDescent="0.2">
      <c r="A34" s="63" t="s">
        <v>63</v>
      </c>
      <c r="B34">
        <v>3</v>
      </c>
      <c r="C34">
        <v>1</v>
      </c>
    </row>
    <row r="35" spans="1:3" x14ac:dyDescent="0.2">
      <c r="A35" s="63" t="s">
        <v>64</v>
      </c>
      <c r="B35">
        <v>7</v>
      </c>
      <c r="C35">
        <v>6</v>
      </c>
    </row>
    <row r="36" spans="1:3" x14ac:dyDescent="0.2">
      <c r="A36" s="63" t="s">
        <v>65</v>
      </c>
      <c r="B36">
        <v>40</v>
      </c>
      <c r="C36">
        <v>69</v>
      </c>
    </row>
    <row r="37" spans="1:3" x14ac:dyDescent="0.2">
      <c r="A37" s="63" t="s">
        <v>73</v>
      </c>
      <c r="B37">
        <v>4</v>
      </c>
      <c r="C37">
        <v>9</v>
      </c>
    </row>
    <row r="38" spans="1:3" x14ac:dyDescent="0.2">
      <c r="A38" s="63" t="s">
        <v>66</v>
      </c>
      <c r="B38">
        <v>6</v>
      </c>
      <c r="C38">
        <v>4</v>
      </c>
    </row>
    <row r="39" spans="1:3" x14ac:dyDescent="0.2">
      <c r="A39" s="63" t="s">
        <v>67</v>
      </c>
      <c r="B39">
        <v>50</v>
      </c>
      <c r="C39">
        <v>135</v>
      </c>
    </row>
    <row r="40" spans="1:3" x14ac:dyDescent="0.2">
      <c r="A40" s="63" t="s">
        <v>92</v>
      </c>
      <c r="B40">
        <v>568</v>
      </c>
      <c r="C40">
        <v>893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2A8B6-DC99-EA49-B083-2DA33E72998A}">
  <sheetPr codeName="Sheet5"/>
  <dimension ref="A1:D11"/>
  <sheetViews>
    <sheetView workbookViewId="0">
      <selection activeCell="C9" sqref="C9"/>
    </sheetView>
  </sheetViews>
  <sheetFormatPr baseColWidth="10" defaultColWidth="11" defaultRowHeight="16" x14ac:dyDescent="0.2"/>
  <cols>
    <col min="1" max="1" width="13" bestFit="1" customWidth="1"/>
    <col min="2" max="2" width="21.1640625" bestFit="1" customWidth="1"/>
    <col min="3" max="3" width="11.83203125" bestFit="1" customWidth="1"/>
    <col min="4" max="4" width="18.83203125" bestFit="1" customWidth="1"/>
  </cols>
  <sheetData>
    <row r="1" spans="1:4" x14ac:dyDescent="0.2">
      <c r="A1" s="62" t="s">
        <v>23</v>
      </c>
      <c r="B1" t="s">
        <v>45</v>
      </c>
    </row>
    <row r="3" spans="1:4" x14ac:dyDescent="0.2">
      <c r="A3" s="62" t="s">
        <v>89</v>
      </c>
      <c r="B3" t="s">
        <v>90</v>
      </c>
      <c r="C3" t="s">
        <v>91</v>
      </c>
      <c r="D3" t="s">
        <v>93</v>
      </c>
    </row>
    <row r="4" spans="1:4" x14ac:dyDescent="0.2">
      <c r="A4" s="63">
        <v>1995</v>
      </c>
      <c r="B4">
        <v>3</v>
      </c>
      <c r="C4">
        <v>3</v>
      </c>
    </row>
    <row r="5" spans="1:4" x14ac:dyDescent="0.2">
      <c r="A5" s="63">
        <v>1999</v>
      </c>
      <c r="B5">
        <v>3</v>
      </c>
      <c r="C5">
        <v>3</v>
      </c>
    </row>
    <row r="6" spans="1:4" x14ac:dyDescent="0.2">
      <c r="A6" s="63">
        <v>2003</v>
      </c>
      <c r="B6">
        <v>3</v>
      </c>
      <c r="C6">
        <v>3</v>
      </c>
      <c r="D6">
        <v>49</v>
      </c>
    </row>
    <row r="7" spans="1:4" x14ac:dyDescent="0.2">
      <c r="A7" s="63">
        <v>2007</v>
      </c>
      <c r="B7">
        <v>4</v>
      </c>
      <c r="C7">
        <v>9</v>
      </c>
      <c r="D7">
        <v>48.3</v>
      </c>
    </row>
    <row r="8" spans="1:4" x14ac:dyDescent="0.2">
      <c r="A8" s="63">
        <v>2011</v>
      </c>
      <c r="B8">
        <v>4</v>
      </c>
      <c r="C8">
        <v>6</v>
      </c>
      <c r="D8">
        <v>53.5</v>
      </c>
    </row>
    <row r="9" spans="1:4" x14ac:dyDescent="0.2">
      <c r="A9" s="63">
        <v>2015</v>
      </c>
      <c r="B9">
        <v>5</v>
      </c>
      <c r="C9">
        <v>5</v>
      </c>
      <c r="D9">
        <v>46.2</v>
      </c>
    </row>
    <row r="10" spans="1:4" x14ac:dyDescent="0.2">
      <c r="A10" s="63">
        <v>2019</v>
      </c>
      <c r="B10">
        <v>4</v>
      </c>
      <c r="C10">
        <v>8</v>
      </c>
      <c r="D10">
        <v>61.3</v>
      </c>
    </row>
    <row r="11" spans="1:4" x14ac:dyDescent="0.2">
      <c r="A11" s="63" t="s">
        <v>92</v>
      </c>
      <c r="B11">
        <v>26</v>
      </c>
      <c r="C11">
        <v>37</v>
      </c>
      <c r="D11">
        <v>51.660000000000004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98F99-263A-E34D-8128-C80B9EDEAD11}">
  <sheetPr codeName="Sheet6"/>
  <dimension ref="A1:T210"/>
  <sheetViews>
    <sheetView topLeftCell="G184" workbookViewId="0">
      <selection activeCell="L194" sqref="L194"/>
    </sheetView>
  </sheetViews>
  <sheetFormatPr baseColWidth="10" defaultColWidth="11" defaultRowHeight="16" x14ac:dyDescent="0.2"/>
  <cols>
    <col min="9" max="9" width="11.5" customWidth="1"/>
    <col min="15" max="15" width="11.5" customWidth="1"/>
  </cols>
  <sheetData>
    <row r="1" spans="1:12" x14ac:dyDescent="0.2">
      <c r="A1" s="12" t="s">
        <v>94</v>
      </c>
    </row>
    <row r="3" spans="1:12" x14ac:dyDescent="0.2">
      <c r="A3" t="s">
        <v>95</v>
      </c>
      <c r="B3" s="2" cm="1">
        <f t="array" ref="B3:B6">LEN(A3:A6)</f>
        <v>5</v>
      </c>
      <c r="C3" s="64" t="s">
        <v>96</v>
      </c>
    </row>
    <row r="4" spans="1:12" x14ac:dyDescent="0.2">
      <c r="A4" t="s">
        <v>97</v>
      </c>
      <c r="B4" s="2">
        <v>6</v>
      </c>
    </row>
    <row r="5" spans="1:12" x14ac:dyDescent="0.2">
      <c r="A5" t="s">
        <v>98</v>
      </c>
      <c r="B5" s="2">
        <v>2</v>
      </c>
    </row>
    <row r="6" spans="1:12" x14ac:dyDescent="0.2">
      <c r="A6" t="s">
        <v>99</v>
      </c>
      <c r="B6" s="2">
        <v>9</v>
      </c>
    </row>
    <row r="7" spans="1:12" ht="17" thickBot="1" x14ac:dyDescent="0.25">
      <c r="B7" s="65" cm="1">
        <f t="array" ref="B7">SUM(LEN(_xlfn.ANCHORARRAY(B3)))</f>
        <v>4</v>
      </c>
    </row>
    <row r="8" spans="1:12" s="66" customFormat="1" ht="17" thickTop="1" x14ac:dyDescent="0.2"/>
    <row r="10" spans="1:12" x14ac:dyDescent="0.2">
      <c r="A10" s="12" t="s">
        <v>100</v>
      </c>
    </row>
    <row r="11" spans="1:12" x14ac:dyDescent="0.2">
      <c r="H11" s="67" t="s">
        <v>101</v>
      </c>
      <c r="K11" s="67" t="s">
        <v>102</v>
      </c>
    </row>
    <row r="12" spans="1:12" x14ac:dyDescent="0.2">
      <c r="A12" s="2" cm="1">
        <f t="array" ref="A12:A147">IF(matches_played=7,1,0)</f>
        <v>0</v>
      </c>
      <c r="B12" t="str">
        <f ca="1">_xlfn.FORMULATEXT(A12)</f>
        <v>=IF(matches_played=7,1,0)</v>
      </c>
      <c r="H12" s="2" cm="1">
        <f t="array" ref="H12:H29">IF(Fire&gt;Water,1,0)</f>
        <v>0</v>
      </c>
      <c r="I12" t="str">
        <f ca="1">_xlfn.FORMULATEXT(H12)</f>
        <v>=IF(Fire&gt;Water,1,0)</v>
      </c>
      <c r="K12" s="2" t="str" cm="1">
        <f t="array" ref="K12:K29">IF(Fire&gt;Water,Attacking,"")</f>
        <v/>
      </c>
      <c r="L12" t="str">
        <f ca="1">_xlfn.FORMULATEXT(K12)</f>
        <v>=IF(Fire&gt;Water,Attacking,"")</v>
      </c>
    </row>
    <row r="13" spans="1:12" x14ac:dyDescent="0.2">
      <c r="A13" s="2">
        <v>0</v>
      </c>
      <c r="H13" s="2">
        <v>0</v>
      </c>
      <c r="K13" s="2" t="str">
        <v/>
      </c>
    </row>
    <row r="14" spans="1:12" x14ac:dyDescent="0.2">
      <c r="A14" s="2">
        <v>0</v>
      </c>
      <c r="B14">
        <v>1</v>
      </c>
      <c r="C14" s="2" cm="1">
        <f t="array" ref="C14">SUM(IF(matches_played=B14,1,0))</f>
        <v>0</v>
      </c>
      <c r="D14" t="str" cm="1">
        <f t="array" aca="1" ref="D14:D20" ca="1">_xlfn.FORMULATEXT(C14:C20)</f>
        <v>=SUM(IF(matches_played=B14,1,0))</v>
      </c>
      <c r="H14" s="2">
        <v>1</v>
      </c>
      <c r="K14" s="2" t="str">
        <v>Water</v>
      </c>
    </row>
    <row r="15" spans="1:12" x14ac:dyDescent="0.2">
      <c r="A15" s="2">
        <v>0</v>
      </c>
      <c r="B15">
        <v>2</v>
      </c>
      <c r="C15" s="2" cm="1">
        <f t="array" ref="C15">SUM(IF(matches_played=B15,1,0))</f>
        <v>0</v>
      </c>
      <c r="D15" t="str">
        <f ca="1"/>
        <v>=SUM(IF(matches_played=B15,1,0))</v>
      </c>
      <c r="H15" s="2">
        <v>0</v>
      </c>
      <c r="K15" s="2" t="str">
        <v/>
      </c>
    </row>
    <row r="16" spans="1:12" x14ac:dyDescent="0.2">
      <c r="A16" s="2">
        <v>0</v>
      </c>
      <c r="B16">
        <v>3</v>
      </c>
      <c r="C16" s="2" cm="1">
        <f t="array" ref="C16">SUM(IF(matches_played=B16,1,0))</f>
        <v>56</v>
      </c>
      <c r="D16" t="str">
        <f ca="1"/>
        <v>=SUM(IF(matches_played=B16,1,0))</v>
      </c>
      <c r="H16" s="2">
        <v>0</v>
      </c>
      <c r="K16" s="2" t="str">
        <v/>
      </c>
    </row>
    <row r="17" spans="1:13" x14ac:dyDescent="0.2">
      <c r="A17" s="2">
        <v>0</v>
      </c>
      <c r="B17">
        <v>4</v>
      </c>
      <c r="C17" s="2" cm="1">
        <f t="array" ref="C17">SUM(IF(matches_played=B17,1,0))</f>
        <v>40</v>
      </c>
      <c r="D17" t="str">
        <f ca="1"/>
        <v>=SUM(IF(matches_played=B17,1,0))</v>
      </c>
      <c r="H17" s="2">
        <v>0</v>
      </c>
      <c r="K17" s="2" t="str">
        <v/>
      </c>
    </row>
    <row r="18" spans="1:13" x14ac:dyDescent="0.2">
      <c r="A18" s="2">
        <v>0</v>
      </c>
      <c r="B18">
        <v>5</v>
      </c>
      <c r="C18" s="2" cm="1">
        <f t="array" ref="C18">SUM(IF(matches_played=B18,1,0))</f>
        <v>8</v>
      </c>
      <c r="D18" t="str">
        <f ca="1"/>
        <v>=SUM(IF(matches_played=B18,1,0))</v>
      </c>
      <c r="H18" s="2">
        <v>0</v>
      </c>
      <c r="K18" s="2" t="str">
        <v/>
      </c>
    </row>
    <row r="19" spans="1:13" x14ac:dyDescent="0.2">
      <c r="A19" s="2">
        <v>1</v>
      </c>
      <c r="B19">
        <v>6</v>
      </c>
      <c r="C19" s="2" cm="1">
        <f t="array" ref="C19">SUM(IF(matches_played=B19,1,0))</f>
        <v>24</v>
      </c>
      <c r="D19" t="str">
        <f ca="1"/>
        <v>=SUM(IF(matches_played=B19,1,0))</v>
      </c>
      <c r="H19" s="2">
        <v>0</v>
      </c>
      <c r="K19" s="2" t="str">
        <v/>
      </c>
    </row>
    <row r="20" spans="1:13" x14ac:dyDescent="0.2">
      <c r="A20" s="2">
        <v>0</v>
      </c>
      <c r="B20">
        <v>7</v>
      </c>
      <c r="C20" s="2" cm="1">
        <f t="array" ref="C20">SUM(IF(matches_played=B20,1,0))</f>
        <v>8</v>
      </c>
      <c r="D20" t="str">
        <f ca="1"/>
        <v>=SUM(IF(matches_played=B20,1,0))</v>
      </c>
      <c r="H20" s="2">
        <v>1</v>
      </c>
      <c r="K20" s="2" t="str">
        <v>Ground</v>
      </c>
    </row>
    <row r="21" spans="1:13" x14ac:dyDescent="0.2">
      <c r="A21" s="2">
        <v>0</v>
      </c>
      <c r="H21" s="2">
        <v>0</v>
      </c>
      <c r="K21" s="2" t="str">
        <v/>
      </c>
    </row>
    <row r="22" spans="1:13" x14ac:dyDescent="0.2">
      <c r="A22" s="2">
        <v>0</v>
      </c>
      <c r="H22" s="2">
        <v>0</v>
      </c>
      <c r="K22" s="2" t="str">
        <v/>
      </c>
    </row>
    <row r="23" spans="1:13" x14ac:dyDescent="0.2">
      <c r="A23" s="2">
        <v>0</v>
      </c>
      <c r="H23" s="2">
        <v>0</v>
      </c>
      <c r="K23" s="2" t="str">
        <v/>
      </c>
    </row>
    <row r="24" spans="1:13" x14ac:dyDescent="0.2">
      <c r="A24" s="2">
        <v>0</v>
      </c>
      <c r="H24" s="2">
        <v>1</v>
      </c>
      <c r="K24" s="2" t="str">
        <v>Rock</v>
      </c>
    </row>
    <row r="25" spans="1:13" x14ac:dyDescent="0.2">
      <c r="A25" s="2">
        <v>0</v>
      </c>
      <c r="H25" s="2">
        <v>0</v>
      </c>
      <c r="K25" s="2" t="str">
        <v/>
      </c>
    </row>
    <row r="26" spans="1:13" x14ac:dyDescent="0.2">
      <c r="A26" s="2">
        <v>1</v>
      </c>
      <c r="H26" s="2">
        <v>0</v>
      </c>
      <c r="K26" s="2" t="str">
        <v/>
      </c>
    </row>
    <row r="27" spans="1:13" x14ac:dyDescent="0.2">
      <c r="A27" s="2">
        <v>0</v>
      </c>
      <c r="H27" s="2">
        <v>0</v>
      </c>
      <c r="K27" s="2" t="str">
        <v/>
      </c>
    </row>
    <row r="28" spans="1:13" x14ac:dyDescent="0.2">
      <c r="A28" s="2">
        <v>0</v>
      </c>
      <c r="H28" s="2">
        <v>0</v>
      </c>
      <c r="K28" s="2" t="str">
        <v/>
      </c>
    </row>
    <row r="29" spans="1:13" x14ac:dyDescent="0.2">
      <c r="A29" s="2">
        <v>0</v>
      </c>
      <c r="H29" s="2">
        <v>0</v>
      </c>
      <c r="K29" s="2" t="str">
        <v/>
      </c>
    </row>
    <row r="30" spans="1:13" ht="17" thickBot="1" x14ac:dyDescent="0.25">
      <c r="A30" s="2">
        <v>0</v>
      </c>
    </row>
    <row r="31" spans="1:13" x14ac:dyDescent="0.2">
      <c r="A31" s="2">
        <v>0</v>
      </c>
      <c r="C31" s="3" t="s">
        <v>103</v>
      </c>
      <c r="D31" s="4" t="s">
        <v>104</v>
      </c>
      <c r="E31" s="4" t="s">
        <v>105</v>
      </c>
      <c r="F31" s="5" t="s">
        <v>106</v>
      </c>
      <c r="I31" t="str">
        <f ca="1">_xlfn.FORMULATEXT(I32)</f>
        <v>=VLOOKUP(H32,lossratios,{2,4},FALSE)</v>
      </c>
      <c r="M31" t="str">
        <f ca="1">_xlfn.FORMULATEXT(M32)</f>
        <v>=AVERAGE(VLOOKUP(H32,lossratios,{2,4},FALSE))</v>
      </c>
    </row>
    <row r="32" spans="1:13" x14ac:dyDescent="0.2">
      <c r="A32" s="2">
        <v>0</v>
      </c>
      <c r="C32" s="6" t="s">
        <v>107</v>
      </c>
      <c r="D32" s="68">
        <v>0.92900000000000005</v>
      </c>
      <c r="E32" s="68">
        <v>0.76500000000000001</v>
      </c>
      <c r="F32" s="69">
        <v>0.94099999999999995</v>
      </c>
      <c r="H32" t="str" cm="1">
        <f t="array" ref="H32:H35">C32:C35</f>
        <v>Motor</v>
      </c>
      <c r="I32" s="2" cm="1">
        <f t="array" ref="I32:J32">VLOOKUP(H32,lossratios,{2,4},FALSE)</f>
        <v>0.92900000000000005</v>
      </c>
      <c r="J32" s="2">
        <v>0.94099999999999995</v>
      </c>
      <c r="M32" s="2" cm="1">
        <f t="array" ref="M32">AVERAGE(VLOOKUP(H32,lossratios,{2,4},FALSE))</f>
        <v>0.93500000000000005</v>
      </c>
    </row>
    <row r="33" spans="1:13" x14ac:dyDescent="0.2">
      <c r="A33" s="2">
        <v>1</v>
      </c>
      <c r="C33" s="6" t="s">
        <v>108</v>
      </c>
      <c r="D33" s="68">
        <v>0.61199999999999999</v>
      </c>
      <c r="E33" s="68">
        <v>0.76100000000000001</v>
      </c>
      <c r="F33" s="69">
        <v>1.093</v>
      </c>
      <c r="H33" t="str">
        <v>Liability</v>
      </c>
      <c r="I33" s="2" cm="1">
        <f t="array" ref="I33:J33">VLOOKUP(H33,lossratios,{2,4},FALSE)</f>
        <v>0.61199999999999999</v>
      </c>
      <c r="J33" s="2">
        <v>1.093</v>
      </c>
      <c r="M33" s="2" cm="1">
        <f t="array" ref="M33">AVERAGE(VLOOKUP(H33,lossratios,{2,4},FALSE))</f>
        <v>0.85250000000000004</v>
      </c>
    </row>
    <row r="34" spans="1:13" x14ac:dyDescent="0.2">
      <c r="A34" s="2">
        <v>0</v>
      </c>
      <c r="C34" s="6" t="s">
        <v>109</v>
      </c>
      <c r="D34" s="68">
        <v>0.871</v>
      </c>
      <c r="E34" s="68">
        <v>0.92800000000000005</v>
      </c>
      <c r="F34" s="69">
        <v>0.65900000000000003</v>
      </c>
      <c r="H34" t="str">
        <v>Life</v>
      </c>
      <c r="I34" s="2" cm="1">
        <f t="array" ref="I34:J34">VLOOKUP(H34,lossratios,{2,4},FALSE)</f>
        <v>0.871</v>
      </c>
      <c r="J34" s="2">
        <v>0.65900000000000003</v>
      </c>
      <c r="M34" s="2" cm="1">
        <f t="array" ref="M34">AVERAGE(VLOOKUP(H34,lossratios,{2,4},FALSE))</f>
        <v>0.76500000000000001</v>
      </c>
    </row>
    <row r="35" spans="1:13" ht="17" thickBot="1" x14ac:dyDescent="0.25">
      <c r="A35" s="2">
        <v>1</v>
      </c>
      <c r="C35" s="8" t="s">
        <v>110</v>
      </c>
      <c r="D35" s="70">
        <v>1.0489999999999999</v>
      </c>
      <c r="E35" s="70">
        <v>0.67500000000000004</v>
      </c>
      <c r="F35" s="71">
        <v>0.96699999999999997</v>
      </c>
      <c r="H35" t="str">
        <v>Property</v>
      </c>
      <c r="I35" s="2" cm="1">
        <f t="array" ref="I35:J35">VLOOKUP(H35,lossratios,{2,4},FALSE)</f>
        <v>1.0489999999999999</v>
      </c>
      <c r="J35" s="2">
        <v>0.96699999999999997</v>
      </c>
      <c r="M35" s="2" cm="1">
        <f t="array" ref="M35">AVERAGE(VLOOKUP(H35,lossratios,{2,4},FALSE))</f>
        <v>1.008</v>
      </c>
    </row>
    <row r="36" spans="1:13" x14ac:dyDescent="0.2">
      <c r="A36" s="2">
        <v>0</v>
      </c>
    </row>
    <row r="37" spans="1:13" x14ac:dyDescent="0.2">
      <c r="A37" s="2">
        <v>0</v>
      </c>
      <c r="H37" t="str">
        <f>C32</f>
        <v>Motor</v>
      </c>
      <c r="I37" s="2" cm="1">
        <f t="array" ref="I37:I38">VLOOKUP(H37,lossratios,{2;4},FALSE)</f>
        <v>0.92900000000000005</v>
      </c>
      <c r="J37" t="str">
        <f ca="1">_xlfn.FORMULATEXT(I37)</f>
        <v>=VLOOKUP(H37,lossratios,{2;4},FALSE)</v>
      </c>
    </row>
    <row r="38" spans="1:13" x14ac:dyDescent="0.2">
      <c r="A38" s="2">
        <v>0</v>
      </c>
      <c r="I38" s="2">
        <v>0.94099999999999995</v>
      </c>
    </row>
    <row r="39" spans="1:13" x14ac:dyDescent="0.2">
      <c r="A39" s="2">
        <v>0</v>
      </c>
    </row>
    <row r="40" spans="1:13" x14ac:dyDescent="0.2">
      <c r="A40" s="2">
        <v>0</v>
      </c>
    </row>
    <row r="41" spans="1:13" hidden="1" x14ac:dyDescent="0.2">
      <c r="A41" s="2">
        <v>0</v>
      </c>
    </row>
    <row r="42" spans="1:13" hidden="1" x14ac:dyDescent="0.2">
      <c r="A42" s="2">
        <v>0</v>
      </c>
    </row>
    <row r="43" spans="1:13" hidden="1" x14ac:dyDescent="0.2">
      <c r="A43" s="2">
        <v>0</v>
      </c>
    </row>
    <row r="44" spans="1:13" hidden="1" x14ac:dyDescent="0.2">
      <c r="A44" s="2">
        <v>0</v>
      </c>
    </row>
    <row r="45" spans="1:13" hidden="1" x14ac:dyDescent="0.2">
      <c r="A45" s="2">
        <v>1</v>
      </c>
    </row>
    <row r="46" spans="1:13" hidden="1" x14ac:dyDescent="0.2">
      <c r="A46" s="2">
        <v>0</v>
      </c>
    </row>
    <row r="47" spans="1:13" hidden="1" x14ac:dyDescent="0.2">
      <c r="A47" s="2">
        <v>1</v>
      </c>
    </row>
    <row r="48" spans="1:13" hidden="1" x14ac:dyDescent="0.2">
      <c r="A48" s="2">
        <v>1</v>
      </c>
    </row>
    <row r="49" spans="1:1" hidden="1" x14ac:dyDescent="0.2">
      <c r="A49" s="2">
        <v>0</v>
      </c>
    </row>
    <row r="50" spans="1:1" hidden="1" x14ac:dyDescent="0.2">
      <c r="A50" s="2">
        <v>0</v>
      </c>
    </row>
    <row r="51" spans="1:1" hidden="1" x14ac:dyDescent="0.2">
      <c r="A51" s="2">
        <v>0</v>
      </c>
    </row>
    <row r="52" spans="1:1" hidden="1" x14ac:dyDescent="0.2">
      <c r="A52" s="2">
        <v>0</v>
      </c>
    </row>
    <row r="53" spans="1:1" hidden="1" x14ac:dyDescent="0.2">
      <c r="A53" s="2">
        <v>0</v>
      </c>
    </row>
    <row r="54" spans="1:1" hidden="1" x14ac:dyDescent="0.2">
      <c r="A54" s="2">
        <v>0</v>
      </c>
    </row>
    <row r="55" spans="1:1" hidden="1" x14ac:dyDescent="0.2">
      <c r="A55" s="2">
        <v>0</v>
      </c>
    </row>
    <row r="56" spans="1:1" hidden="1" x14ac:dyDescent="0.2">
      <c r="A56" s="2">
        <v>0</v>
      </c>
    </row>
    <row r="57" spans="1:1" hidden="1" x14ac:dyDescent="0.2">
      <c r="A57" s="2">
        <v>0</v>
      </c>
    </row>
    <row r="58" spans="1:1" hidden="1" x14ac:dyDescent="0.2">
      <c r="A58" s="2">
        <v>0</v>
      </c>
    </row>
    <row r="59" spans="1:1" hidden="1" x14ac:dyDescent="0.2">
      <c r="A59" s="2">
        <v>1</v>
      </c>
    </row>
    <row r="60" spans="1:1" hidden="1" x14ac:dyDescent="0.2">
      <c r="A60" s="2">
        <v>0</v>
      </c>
    </row>
    <row r="61" spans="1:1" hidden="1" x14ac:dyDescent="0.2">
      <c r="A61" s="2">
        <v>0</v>
      </c>
    </row>
    <row r="62" spans="1:1" hidden="1" x14ac:dyDescent="0.2">
      <c r="A62" s="2">
        <v>0</v>
      </c>
    </row>
    <row r="63" spans="1:1" hidden="1" x14ac:dyDescent="0.2">
      <c r="A63" s="2">
        <v>0</v>
      </c>
    </row>
    <row r="64" spans="1:1" hidden="1" x14ac:dyDescent="0.2">
      <c r="A64" s="2">
        <v>0</v>
      </c>
    </row>
    <row r="65" spans="1:1" hidden="1" x14ac:dyDescent="0.2">
      <c r="A65" s="2">
        <v>0</v>
      </c>
    </row>
    <row r="66" spans="1:1" hidden="1" x14ac:dyDescent="0.2">
      <c r="A66" s="2">
        <v>0</v>
      </c>
    </row>
    <row r="67" spans="1:1" hidden="1" x14ac:dyDescent="0.2">
      <c r="A67" s="2">
        <v>0</v>
      </c>
    </row>
    <row r="68" spans="1:1" hidden="1" x14ac:dyDescent="0.2">
      <c r="A68" s="2">
        <v>0</v>
      </c>
    </row>
    <row r="69" spans="1:1" hidden="1" x14ac:dyDescent="0.2">
      <c r="A69" s="2">
        <v>0</v>
      </c>
    </row>
    <row r="70" spans="1:1" hidden="1" x14ac:dyDescent="0.2">
      <c r="A70" s="2">
        <v>0</v>
      </c>
    </row>
    <row r="71" spans="1:1" hidden="1" x14ac:dyDescent="0.2">
      <c r="A71" s="2">
        <v>0</v>
      </c>
    </row>
    <row r="72" spans="1:1" hidden="1" x14ac:dyDescent="0.2">
      <c r="A72" s="2">
        <v>0</v>
      </c>
    </row>
    <row r="73" spans="1:1" hidden="1" x14ac:dyDescent="0.2">
      <c r="A73" s="2">
        <v>0</v>
      </c>
    </row>
    <row r="74" spans="1:1" hidden="1" x14ac:dyDescent="0.2">
      <c r="A74" s="2">
        <v>0</v>
      </c>
    </row>
    <row r="75" spans="1:1" hidden="1" x14ac:dyDescent="0.2">
      <c r="A75" s="2">
        <v>0</v>
      </c>
    </row>
    <row r="76" spans="1:1" hidden="1" x14ac:dyDescent="0.2">
      <c r="A76" s="2">
        <v>0</v>
      </c>
    </row>
    <row r="77" spans="1:1" hidden="1" x14ac:dyDescent="0.2">
      <c r="A77" s="2">
        <v>0</v>
      </c>
    </row>
    <row r="78" spans="1:1" hidden="1" x14ac:dyDescent="0.2">
      <c r="A78" s="2">
        <v>0</v>
      </c>
    </row>
    <row r="79" spans="1:1" hidden="1" x14ac:dyDescent="0.2">
      <c r="A79" s="2">
        <v>0</v>
      </c>
    </row>
    <row r="80" spans="1:1" hidden="1" x14ac:dyDescent="0.2">
      <c r="A80" s="2">
        <v>0</v>
      </c>
    </row>
    <row r="81" spans="1:1" hidden="1" x14ac:dyDescent="0.2">
      <c r="A81" s="2">
        <v>0</v>
      </c>
    </row>
    <row r="82" spans="1:1" hidden="1" x14ac:dyDescent="0.2">
      <c r="A82" s="2">
        <v>0</v>
      </c>
    </row>
    <row r="83" spans="1:1" hidden="1" x14ac:dyDescent="0.2">
      <c r="A83" s="2">
        <v>0</v>
      </c>
    </row>
    <row r="84" spans="1:1" hidden="1" x14ac:dyDescent="0.2">
      <c r="A84" s="2">
        <v>0</v>
      </c>
    </row>
    <row r="85" spans="1:1" hidden="1" x14ac:dyDescent="0.2">
      <c r="A85" s="2">
        <v>0</v>
      </c>
    </row>
    <row r="86" spans="1:1" hidden="1" x14ac:dyDescent="0.2">
      <c r="A86" s="2">
        <v>0</v>
      </c>
    </row>
    <row r="87" spans="1:1" hidden="1" x14ac:dyDescent="0.2">
      <c r="A87" s="2">
        <v>0</v>
      </c>
    </row>
    <row r="88" spans="1:1" hidden="1" x14ac:dyDescent="0.2">
      <c r="A88" s="2">
        <v>0</v>
      </c>
    </row>
    <row r="89" spans="1:1" hidden="1" x14ac:dyDescent="0.2">
      <c r="A89" s="2">
        <v>0</v>
      </c>
    </row>
    <row r="90" spans="1:1" hidden="1" x14ac:dyDescent="0.2">
      <c r="A90" s="2">
        <v>0</v>
      </c>
    </row>
    <row r="91" spans="1:1" hidden="1" x14ac:dyDescent="0.2">
      <c r="A91" s="2">
        <v>0</v>
      </c>
    </row>
    <row r="92" spans="1:1" hidden="1" x14ac:dyDescent="0.2">
      <c r="A92" s="2">
        <v>0</v>
      </c>
    </row>
    <row r="93" spans="1:1" hidden="1" x14ac:dyDescent="0.2">
      <c r="A93" s="2">
        <v>0</v>
      </c>
    </row>
    <row r="94" spans="1:1" hidden="1" x14ac:dyDescent="0.2">
      <c r="A94" s="2">
        <v>0</v>
      </c>
    </row>
    <row r="95" spans="1:1" hidden="1" x14ac:dyDescent="0.2">
      <c r="A95" s="2">
        <v>0</v>
      </c>
    </row>
    <row r="96" spans="1:1" hidden="1" x14ac:dyDescent="0.2">
      <c r="A96" s="2">
        <v>0</v>
      </c>
    </row>
    <row r="97" spans="1:1" hidden="1" x14ac:dyDescent="0.2">
      <c r="A97" s="2">
        <v>0</v>
      </c>
    </row>
    <row r="98" spans="1:1" hidden="1" x14ac:dyDescent="0.2">
      <c r="A98" s="2">
        <v>0</v>
      </c>
    </row>
    <row r="99" spans="1:1" hidden="1" x14ac:dyDescent="0.2">
      <c r="A99" s="2">
        <v>0</v>
      </c>
    </row>
    <row r="100" spans="1:1" hidden="1" x14ac:dyDescent="0.2">
      <c r="A100" s="2">
        <v>0</v>
      </c>
    </row>
    <row r="101" spans="1:1" hidden="1" x14ac:dyDescent="0.2">
      <c r="A101" s="2">
        <v>0</v>
      </c>
    </row>
    <row r="102" spans="1:1" hidden="1" x14ac:dyDescent="0.2">
      <c r="A102" s="2">
        <v>0</v>
      </c>
    </row>
    <row r="103" spans="1:1" hidden="1" x14ac:dyDescent="0.2">
      <c r="A103" s="2">
        <v>0</v>
      </c>
    </row>
    <row r="104" spans="1:1" hidden="1" x14ac:dyDescent="0.2">
      <c r="A104" s="2">
        <v>0</v>
      </c>
    </row>
    <row r="105" spans="1:1" hidden="1" x14ac:dyDescent="0.2">
      <c r="A105" s="2">
        <v>0</v>
      </c>
    </row>
    <row r="106" spans="1:1" hidden="1" x14ac:dyDescent="0.2">
      <c r="A106" s="2">
        <v>0</v>
      </c>
    </row>
    <row r="107" spans="1:1" hidden="1" x14ac:dyDescent="0.2">
      <c r="A107" s="2">
        <v>0</v>
      </c>
    </row>
    <row r="108" spans="1:1" hidden="1" x14ac:dyDescent="0.2">
      <c r="A108" s="2">
        <v>0</v>
      </c>
    </row>
    <row r="109" spans="1:1" hidden="1" x14ac:dyDescent="0.2">
      <c r="A109" s="2">
        <v>0</v>
      </c>
    </row>
    <row r="110" spans="1:1" hidden="1" x14ac:dyDescent="0.2">
      <c r="A110" s="2">
        <v>0</v>
      </c>
    </row>
    <row r="111" spans="1:1" hidden="1" x14ac:dyDescent="0.2">
      <c r="A111" s="2">
        <v>0</v>
      </c>
    </row>
    <row r="112" spans="1:1" hidden="1" x14ac:dyDescent="0.2">
      <c r="A112" s="2">
        <v>0</v>
      </c>
    </row>
    <row r="113" spans="1:1" hidden="1" x14ac:dyDescent="0.2">
      <c r="A113" s="2">
        <v>0</v>
      </c>
    </row>
    <row r="114" spans="1:1" hidden="1" x14ac:dyDescent="0.2">
      <c r="A114" s="2">
        <v>0</v>
      </c>
    </row>
    <row r="115" spans="1:1" hidden="1" x14ac:dyDescent="0.2">
      <c r="A115" s="2">
        <v>0</v>
      </c>
    </row>
    <row r="116" spans="1:1" hidden="1" x14ac:dyDescent="0.2">
      <c r="A116" s="2">
        <v>0</v>
      </c>
    </row>
    <row r="117" spans="1:1" hidden="1" x14ac:dyDescent="0.2">
      <c r="A117" s="2">
        <v>0</v>
      </c>
    </row>
    <row r="118" spans="1:1" hidden="1" x14ac:dyDescent="0.2">
      <c r="A118" s="2">
        <v>0</v>
      </c>
    </row>
    <row r="119" spans="1:1" hidden="1" x14ac:dyDescent="0.2">
      <c r="A119" s="2">
        <v>0</v>
      </c>
    </row>
    <row r="120" spans="1:1" hidden="1" x14ac:dyDescent="0.2">
      <c r="A120" s="2">
        <v>0</v>
      </c>
    </row>
    <row r="121" spans="1:1" hidden="1" x14ac:dyDescent="0.2">
      <c r="A121" s="2">
        <v>0</v>
      </c>
    </row>
    <row r="122" spans="1:1" hidden="1" x14ac:dyDescent="0.2">
      <c r="A122" s="2">
        <v>0</v>
      </c>
    </row>
    <row r="123" spans="1:1" hidden="1" x14ac:dyDescent="0.2">
      <c r="A123" s="2">
        <v>0</v>
      </c>
    </row>
    <row r="124" spans="1:1" hidden="1" x14ac:dyDescent="0.2">
      <c r="A124" s="2">
        <v>0</v>
      </c>
    </row>
    <row r="125" spans="1:1" hidden="1" x14ac:dyDescent="0.2">
      <c r="A125" s="2">
        <v>0</v>
      </c>
    </row>
    <row r="126" spans="1:1" hidden="1" x14ac:dyDescent="0.2">
      <c r="A126" s="2">
        <v>0</v>
      </c>
    </row>
    <row r="127" spans="1:1" hidden="1" x14ac:dyDescent="0.2">
      <c r="A127" s="2">
        <v>0</v>
      </c>
    </row>
    <row r="128" spans="1:1" hidden="1" x14ac:dyDescent="0.2">
      <c r="A128" s="2">
        <v>0</v>
      </c>
    </row>
    <row r="129" spans="1:1" hidden="1" x14ac:dyDescent="0.2">
      <c r="A129" s="2">
        <v>0</v>
      </c>
    </row>
    <row r="130" spans="1:1" hidden="1" x14ac:dyDescent="0.2">
      <c r="A130" s="2">
        <v>0</v>
      </c>
    </row>
    <row r="131" spans="1:1" hidden="1" x14ac:dyDescent="0.2">
      <c r="A131" s="2">
        <v>0</v>
      </c>
    </row>
    <row r="132" spans="1:1" hidden="1" x14ac:dyDescent="0.2">
      <c r="A132" s="2">
        <v>0</v>
      </c>
    </row>
    <row r="133" spans="1:1" hidden="1" x14ac:dyDescent="0.2">
      <c r="A133" s="2">
        <v>0</v>
      </c>
    </row>
    <row r="134" spans="1:1" hidden="1" x14ac:dyDescent="0.2">
      <c r="A134" s="2">
        <v>0</v>
      </c>
    </row>
    <row r="135" spans="1:1" hidden="1" x14ac:dyDescent="0.2">
      <c r="A135" s="2">
        <v>0</v>
      </c>
    </row>
    <row r="136" spans="1:1" hidden="1" x14ac:dyDescent="0.2">
      <c r="A136" s="2">
        <v>0</v>
      </c>
    </row>
    <row r="137" spans="1:1" hidden="1" x14ac:dyDescent="0.2">
      <c r="A137" s="2">
        <v>0</v>
      </c>
    </row>
    <row r="138" spans="1:1" hidden="1" x14ac:dyDescent="0.2">
      <c r="A138" s="2">
        <v>0</v>
      </c>
    </row>
    <row r="139" spans="1:1" hidden="1" x14ac:dyDescent="0.2">
      <c r="A139" s="2">
        <v>0</v>
      </c>
    </row>
    <row r="140" spans="1:1" hidden="1" x14ac:dyDescent="0.2">
      <c r="A140" s="2">
        <v>0</v>
      </c>
    </row>
    <row r="141" spans="1:1" hidden="1" x14ac:dyDescent="0.2">
      <c r="A141" s="2">
        <v>0</v>
      </c>
    </row>
    <row r="142" spans="1:1" hidden="1" x14ac:dyDescent="0.2">
      <c r="A142" s="2">
        <v>0</v>
      </c>
    </row>
    <row r="143" spans="1:1" hidden="1" x14ac:dyDescent="0.2">
      <c r="A143" s="2">
        <v>0</v>
      </c>
    </row>
    <row r="144" spans="1:1" x14ac:dyDescent="0.2">
      <c r="A144" s="2">
        <v>0</v>
      </c>
    </row>
    <row r="145" spans="1:12" x14ac:dyDescent="0.2">
      <c r="A145" s="2">
        <v>0</v>
      </c>
    </row>
    <row r="146" spans="1:12" x14ac:dyDescent="0.2">
      <c r="A146" s="2">
        <v>0</v>
      </c>
    </row>
    <row r="147" spans="1:12" x14ac:dyDescent="0.2">
      <c r="A147" s="2">
        <v>0</v>
      </c>
    </row>
    <row r="149" spans="1:12" s="1" customFormat="1" x14ac:dyDescent="0.2"/>
    <row r="150" spans="1:12" x14ac:dyDescent="0.2">
      <c r="A150" s="12" t="s">
        <v>111</v>
      </c>
    </row>
    <row r="152" spans="1:12" x14ac:dyDescent="0.2">
      <c r="A152" s="2">
        <f>H12</f>
        <v>0</v>
      </c>
      <c r="B152" t="str">
        <f ca="1">_xlfn.FORMULATEXT(A152)</f>
        <v>=H12</v>
      </c>
      <c r="C152" s="2" cm="1">
        <f t="array" ref="C152:C169">_xlfn.ANCHORARRAY(H12)</f>
        <v>0</v>
      </c>
      <c r="D152" t="str">
        <f ca="1">_xlfn.FORMULATEXT(C152)</f>
        <v>=H12#</v>
      </c>
      <c r="E152" s="2">
        <f>SUM(H12)</f>
        <v>0</v>
      </c>
      <c r="F152" t="str">
        <f ca="1">_xlfn.FORMULATEXT(E152)</f>
        <v>=SUM(H12)</v>
      </c>
      <c r="H152" s="2" cm="1">
        <f t="array" ref="H152:H156">_xlfn.SEQUENCE(5)</f>
        <v>1</v>
      </c>
      <c r="I152" t="str">
        <f ca="1">_xlfn.FORMULATEXT(H152)</f>
        <v>=SEQUENCE(5)</v>
      </c>
      <c r="K152" s="2">
        <f>SUM(H152:H156)</f>
        <v>15</v>
      </c>
      <c r="L152" t="str">
        <f ca="1">_xlfn.FORMULATEXT(K152)</f>
        <v>=SUM(H152:H156)</v>
      </c>
    </row>
    <row r="153" spans="1:12" x14ac:dyDescent="0.2">
      <c r="C153" s="2">
        <v>0</v>
      </c>
      <c r="E153" s="2">
        <f>SUM(_xlfn.ANCHORARRAY(H12))</f>
        <v>3</v>
      </c>
      <c r="F153" t="str">
        <f ca="1">_xlfn.FORMULATEXT(E153)</f>
        <v>=SUM(H12#)</v>
      </c>
      <c r="H153" s="2">
        <v>2</v>
      </c>
      <c r="K153" s="2">
        <f>SUM(_xlfn.ANCHORARRAY(H152))</f>
        <v>15</v>
      </c>
      <c r="L153" t="str">
        <f ca="1">_xlfn.FORMULATEXT(K153)</f>
        <v>=SUM(H152#)</v>
      </c>
    </row>
    <row r="154" spans="1:12" x14ac:dyDescent="0.2">
      <c r="C154" s="2">
        <v>1</v>
      </c>
      <c r="H154" s="2">
        <v>3</v>
      </c>
    </row>
    <row r="155" spans="1:12" x14ac:dyDescent="0.2">
      <c r="C155" s="2">
        <v>0</v>
      </c>
      <c r="H155" s="2">
        <v>4</v>
      </c>
      <c r="J155" s="12" t="s">
        <v>112</v>
      </c>
    </row>
    <row r="156" spans="1:12" x14ac:dyDescent="0.2">
      <c r="C156" s="2">
        <v>0</v>
      </c>
      <c r="H156" s="2">
        <v>5</v>
      </c>
    </row>
    <row r="157" spans="1:12" x14ac:dyDescent="0.2">
      <c r="C157" s="2">
        <v>0</v>
      </c>
    </row>
    <row r="158" spans="1:12" x14ac:dyDescent="0.2">
      <c r="C158" s="2">
        <v>0</v>
      </c>
    </row>
    <row r="159" spans="1:12" x14ac:dyDescent="0.2">
      <c r="C159" s="2">
        <v>0</v>
      </c>
    </row>
    <row r="160" spans="1:12" x14ac:dyDescent="0.2">
      <c r="C160" s="2">
        <v>1</v>
      </c>
    </row>
    <row r="161" spans="1:7" x14ac:dyDescent="0.2">
      <c r="C161" s="2">
        <v>0</v>
      </c>
    </row>
    <row r="162" spans="1:7" x14ac:dyDescent="0.2">
      <c r="C162" s="2">
        <v>0</v>
      </c>
    </row>
    <row r="163" spans="1:7" x14ac:dyDescent="0.2">
      <c r="C163" s="2">
        <v>0</v>
      </c>
    </row>
    <row r="164" spans="1:7" x14ac:dyDescent="0.2">
      <c r="C164" s="2">
        <v>1</v>
      </c>
    </row>
    <row r="165" spans="1:7" x14ac:dyDescent="0.2">
      <c r="C165" s="2">
        <v>0</v>
      </c>
    </row>
    <row r="166" spans="1:7" x14ac:dyDescent="0.2">
      <c r="C166" s="2">
        <v>0</v>
      </c>
    </row>
    <row r="167" spans="1:7" x14ac:dyDescent="0.2">
      <c r="C167" s="2">
        <v>0</v>
      </c>
    </row>
    <row r="168" spans="1:7" x14ac:dyDescent="0.2">
      <c r="C168" s="2">
        <v>0</v>
      </c>
    </row>
    <row r="169" spans="1:7" x14ac:dyDescent="0.2">
      <c r="C169" s="2">
        <v>0</v>
      </c>
    </row>
    <row r="171" spans="1:7" s="1" customFormat="1" x14ac:dyDescent="0.2"/>
    <row r="172" spans="1:7" x14ac:dyDescent="0.2">
      <c r="A172" s="12" t="s">
        <v>113</v>
      </c>
    </row>
    <row r="174" spans="1:7" x14ac:dyDescent="0.2">
      <c r="A174" s="67" t="s">
        <v>114</v>
      </c>
    </row>
    <row r="176" spans="1:7" x14ac:dyDescent="0.2">
      <c r="A176" s="2" t="str" cm="1">
        <f t="array" ref="A176:A182">_xlfn.UNIQUE(IF(matches_played=7,squad,""))</f>
        <v/>
      </c>
      <c r="B176" t="str">
        <f ca="1">_xlfn.FORMULATEXT(A176)</f>
        <v>=UNIQUE(IF(matches_played=7,squad,""))</v>
      </c>
      <c r="F176" s="2" t="str" cm="1">
        <f t="array" ref="F176:F181">_xlfn.UNIQUE(_xlfn._xlws.FILTER(squad,matches_played=7))</f>
        <v>England</v>
      </c>
      <c r="G176" t="str">
        <f ca="1">_xlfn.FORMULATEXT(F176)</f>
        <v>=UNIQUE(FILTER(squad,matches_played=7))</v>
      </c>
    </row>
    <row r="177" spans="1:18" x14ac:dyDescent="0.2">
      <c r="A177" s="2" t="str">
        <v>England</v>
      </c>
      <c r="F177" s="2" t="str">
        <v>Netherlands</v>
      </c>
    </row>
    <row r="178" spans="1:18" x14ac:dyDescent="0.2">
      <c r="A178" s="2" t="str">
        <v>Netherlands</v>
      </c>
      <c r="F178" s="2" t="str">
        <v>Sweden</v>
      </c>
    </row>
    <row r="179" spans="1:18" x14ac:dyDescent="0.2">
      <c r="A179" s="2" t="str">
        <v>Sweden</v>
      </c>
      <c r="F179" s="2" t="str">
        <v>USA</v>
      </c>
    </row>
    <row r="180" spans="1:18" x14ac:dyDescent="0.2">
      <c r="A180" s="2" t="str">
        <v>USA</v>
      </c>
      <c r="F180" s="2" t="str">
        <v>Germany</v>
      </c>
    </row>
    <row r="181" spans="1:18" x14ac:dyDescent="0.2">
      <c r="A181" s="2" t="str">
        <v>Germany</v>
      </c>
      <c r="F181" s="2" t="str">
        <v>Japan</v>
      </c>
    </row>
    <row r="182" spans="1:18" x14ac:dyDescent="0.2">
      <c r="A182" s="2" t="str">
        <v>Japan</v>
      </c>
    </row>
    <row r="183" spans="1:18" s="73" customFormat="1" x14ac:dyDescent="0.2"/>
    <row r="185" spans="1:18" x14ac:dyDescent="0.2">
      <c r="A185" s="12" t="s">
        <v>115</v>
      </c>
      <c r="H185" s="12" t="s">
        <v>116</v>
      </c>
    </row>
    <row r="186" spans="1:18" x14ac:dyDescent="0.2">
      <c r="H186" s="67" t="s">
        <v>117</v>
      </c>
    </row>
    <row r="187" spans="1:18" x14ac:dyDescent="0.2">
      <c r="B187" s="74" t="str" cm="1">
        <f t="array" ref="B187:E191">lossratios</f>
        <v>Loss ratios</v>
      </c>
      <c r="C187" s="75" t="str">
        <v>NSW</v>
      </c>
      <c r="D187" s="75" t="str">
        <v>VIC</v>
      </c>
      <c r="E187" s="76" t="str">
        <v>ACT</v>
      </c>
      <c r="H187" t="str">
        <f ca="1">_xlfn.FORMULATEXT(H188)</f>
        <v>=VLOOKUP(products,B188:E191,4, FALSE)</v>
      </c>
      <c r="M187" s="67" t="s">
        <v>118</v>
      </c>
    </row>
    <row r="188" spans="1:18" x14ac:dyDescent="0.2">
      <c r="B188" s="77" t="str">
        <v>Motor</v>
      </c>
      <c r="C188">
        <v>0.92900000000000005</v>
      </c>
      <c r="D188">
        <v>0.76500000000000001</v>
      </c>
      <c r="E188" s="78">
        <v>0.94099999999999995</v>
      </c>
      <c r="H188" s="2" cm="1">
        <f t="array" ref="H188:H192">VLOOKUP(products,B188:E191,4, FALSE)</f>
        <v>0.94099999999999995</v>
      </c>
      <c r="M188" s="67" t="s">
        <v>119</v>
      </c>
    </row>
    <row r="189" spans="1:18" x14ac:dyDescent="0.2">
      <c r="B189" s="77" t="str">
        <v>Liability</v>
      </c>
      <c r="C189">
        <v>0.61199999999999999</v>
      </c>
      <c r="D189">
        <v>0.76100000000000001</v>
      </c>
      <c r="E189" s="78">
        <v>1.093</v>
      </c>
      <c r="H189" s="2">
        <v>0.65900000000000003</v>
      </c>
      <c r="I189" t="s">
        <v>120</v>
      </c>
      <c r="M189" t="str">
        <f ca="1">_xlfn.FORMULATEXT(M190)</f>
        <v>=VLOOKUP(E197,B188:E191,{2,4;1,3;4,2},FALSE)</v>
      </c>
    </row>
    <row r="190" spans="1:18" x14ac:dyDescent="0.2">
      <c r="B190" s="77" t="str">
        <v>Life</v>
      </c>
      <c r="C190">
        <v>0.871</v>
      </c>
      <c r="D190">
        <v>0.92800000000000005</v>
      </c>
      <c r="E190" s="78">
        <v>0.65900000000000003</v>
      </c>
      <c r="H190" s="2">
        <v>1.093</v>
      </c>
      <c r="I190" t="s">
        <v>121</v>
      </c>
      <c r="M190" s="2" cm="1">
        <f t="array" ref="M190:N192">VLOOKUP(E197,B188:E191,{2,4;1,3;4,2},FALSE)</f>
        <v>0.92900000000000005</v>
      </c>
      <c r="N190" s="2">
        <v>0.94099999999999995</v>
      </c>
      <c r="O190" t="s">
        <v>122</v>
      </c>
      <c r="P190" s="67"/>
      <c r="Q190" s="67"/>
      <c r="R190" s="67"/>
    </row>
    <row r="191" spans="1:18" x14ac:dyDescent="0.2">
      <c r="B191" s="79" t="str">
        <v>Property</v>
      </c>
      <c r="C191" s="73">
        <v>1.0489999999999999</v>
      </c>
      <c r="D191" s="73">
        <v>0.67500000000000004</v>
      </c>
      <c r="E191" s="80">
        <v>0.96699999999999997</v>
      </c>
      <c r="H191" s="2">
        <v>0.96699999999999997</v>
      </c>
      <c r="I191" t="s">
        <v>123</v>
      </c>
      <c r="M191" s="2" t="str">
        <v>Motor</v>
      </c>
      <c r="N191" s="2">
        <v>0.76500000000000001</v>
      </c>
      <c r="O191" t="s">
        <v>124</v>
      </c>
      <c r="P191" s="67"/>
      <c r="Q191" s="67"/>
      <c r="R191" s="67"/>
    </row>
    <row r="192" spans="1:18" x14ac:dyDescent="0.2">
      <c r="H192" t="e">
        <v>#N/A</v>
      </c>
      <c r="I192" t="s">
        <v>125</v>
      </c>
      <c r="M192" s="2">
        <v>0.94099999999999995</v>
      </c>
      <c r="N192" s="2">
        <v>0.92900000000000005</v>
      </c>
      <c r="O192" t="s">
        <v>126</v>
      </c>
      <c r="P192" s="67"/>
      <c r="Q192" s="67"/>
      <c r="R192" s="67"/>
    </row>
    <row r="195" spans="5:20" x14ac:dyDescent="0.2">
      <c r="H195" s="84" t="s">
        <v>127</v>
      </c>
    </row>
    <row r="196" spans="5:20" x14ac:dyDescent="0.2">
      <c r="E196" s="81" t="s">
        <v>128</v>
      </c>
      <c r="H196" s="67" t="s">
        <v>129</v>
      </c>
      <c r="N196" s="85" t="s">
        <v>130</v>
      </c>
      <c r="R196" s="67" t="s">
        <v>131</v>
      </c>
    </row>
    <row r="197" spans="5:20" x14ac:dyDescent="0.2">
      <c r="E197" s="82" t="s">
        <v>107</v>
      </c>
      <c r="H197" t="str">
        <f ca="1">_xlfn.FORMULATEXT(H198)</f>
        <v>=XLOOKUP(products,loss_ratios,E188:E191,"No such product")</v>
      </c>
      <c r="N197" s="87" t="str">
        <f ca="1">_xlfn.FORMULATEXT(N198)</f>
        <v>=MATCH(B188,loss_ratios,0)</v>
      </c>
      <c r="T197" s="87" t="str">
        <f ca="1">_xlfn.FORMULATEXT(T198)</f>
        <v>=INDEX(C$188:C$191,MATCH(B188,loss_ratios,0))</v>
      </c>
    </row>
    <row r="198" spans="5:20" x14ac:dyDescent="0.2">
      <c r="E198" s="82" t="s">
        <v>109</v>
      </c>
      <c r="H198" s="2" cm="1">
        <f t="array" ref="H198:H202">_xlfn.XLOOKUP(products,loss_ratios,E188:E191,"No such product")</f>
        <v>0.94099999999999995</v>
      </c>
      <c r="N198" s="2">
        <f>MATCH(B188,loss_ratios,0)</f>
        <v>1</v>
      </c>
      <c r="T198" s="2">
        <f>INDEX(C$188:C$191,MATCH(B188,loss_ratios,0))</f>
        <v>0.92900000000000005</v>
      </c>
    </row>
    <row r="199" spans="5:20" x14ac:dyDescent="0.2">
      <c r="E199" s="82" t="s">
        <v>108</v>
      </c>
      <c r="H199" s="2">
        <v>0.65900000000000003</v>
      </c>
      <c r="I199" t="s">
        <v>132</v>
      </c>
      <c r="N199" s="2">
        <f t="shared" ref="N199:N201" si="0">MATCH(B189,B$188:B$191,0)</f>
        <v>2</v>
      </c>
      <c r="T199" s="2">
        <f>INDEX(C$188:C$191,MATCH(B189,B$188:B$191,0))</f>
        <v>0.61199999999999999</v>
      </c>
    </row>
    <row r="200" spans="5:20" x14ac:dyDescent="0.2">
      <c r="E200" s="82" t="s">
        <v>110</v>
      </c>
      <c r="H200" s="2">
        <v>1.093</v>
      </c>
      <c r="I200" t="s">
        <v>133</v>
      </c>
      <c r="N200" s="2">
        <f t="shared" si="0"/>
        <v>3</v>
      </c>
      <c r="T200" s="2">
        <f>INDEX(C$188:C$191,MATCH(B190,B$188:B$191,0))</f>
        <v>0.871</v>
      </c>
    </row>
    <row r="201" spans="5:20" x14ac:dyDescent="0.2">
      <c r="E201" s="83" t="s">
        <v>134</v>
      </c>
      <c r="H201" s="2">
        <v>0.96699999999999997</v>
      </c>
      <c r="N201" s="2">
        <f t="shared" si="0"/>
        <v>4</v>
      </c>
      <c r="T201" s="2">
        <f>INDEX(C$188:C$191,MATCH(B191,B$188:B$191,0))</f>
        <v>1.0489999999999999</v>
      </c>
    </row>
    <row r="202" spans="5:20" x14ac:dyDescent="0.2">
      <c r="H202" s="2" t="str">
        <v>No such product</v>
      </c>
    </row>
    <row r="203" spans="5:20" x14ac:dyDescent="0.2">
      <c r="N203" s="12" t="s">
        <v>135</v>
      </c>
      <c r="O203" s="67" t="s">
        <v>136</v>
      </c>
    </row>
    <row r="204" spans="5:20" x14ac:dyDescent="0.2">
      <c r="H204" t="s">
        <v>137</v>
      </c>
      <c r="N204" t="str">
        <f ca="1">_xlfn.FORMULATEXT(N205)</f>
        <v>=INDEX(products,2)</v>
      </c>
    </row>
    <row r="205" spans="5:20" x14ac:dyDescent="0.2">
      <c r="H205" s="67" t="s">
        <v>138</v>
      </c>
      <c r="J205" s="67" t="s">
        <v>139</v>
      </c>
      <c r="N205" s="2" t="str">
        <f>INDEX(products,2)</f>
        <v>Life</v>
      </c>
    </row>
    <row r="206" spans="5:20" x14ac:dyDescent="0.2">
      <c r="H206" s="2">
        <f>_xlfn.XLOOKUP("Argentina",squad, goals,,0,1)</f>
        <v>2</v>
      </c>
      <c r="I206" t="str">
        <f ca="1">_xlfn.FORMULATEXT(H206)</f>
        <v>=XLOOKUP("Argentina",squad, goals,,0,1)</v>
      </c>
    </row>
    <row r="207" spans="5:20" x14ac:dyDescent="0.2">
      <c r="H207" s="2">
        <f>_xlfn.XLOOKUP("Argentina",squad, goals,,0,-1)</f>
        <v>1</v>
      </c>
      <c r="I207" t="str">
        <f ca="1">_xlfn.FORMULATEXT(H207)</f>
        <v>=XLOOKUP("Argentina",squad, goals,,0,-1)</v>
      </c>
    </row>
    <row r="208" spans="5:20" x14ac:dyDescent="0.2">
      <c r="N208" s="86" t="s">
        <v>140</v>
      </c>
      <c r="R208" s="67" t="s">
        <v>141</v>
      </c>
    </row>
    <row r="209" spans="8:18" x14ac:dyDescent="0.2">
      <c r="H209" t="s">
        <v>142</v>
      </c>
      <c r="N209" s="2">
        <f>_xlfn.XMATCH("Argentina",squad,0,1)</f>
        <v>1</v>
      </c>
      <c r="O209" s="87" t="str">
        <f ca="1">_xlfn.FORMULATEXT(N209)</f>
        <v>=XMATCH("Argentina",squad,0,1)</v>
      </c>
      <c r="R209" t="str">
        <f ca="1">_xlfn.FORMULATEXT(R210)</f>
        <v>=INDEX(goals, XMATCH("Argentina",squad,0,-1))</v>
      </c>
    </row>
    <row r="210" spans="8:18" x14ac:dyDescent="0.2">
      <c r="H210" t="s">
        <v>143</v>
      </c>
      <c r="N210" s="2">
        <f>_xlfn.XMATCH("Argentina",squad,0,-1)</f>
        <v>81</v>
      </c>
      <c r="O210" s="87" t="str">
        <f ca="1">_xlfn.FORMULATEXT(N210)</f>
        <v>=XMATCH("Argentina",squad,0,-1)</v>
      </c>
      <c r="R210" s="2" cm="1">
        <f t="array" ref="R210">INDEX(goals, _xlfn.XMATCH("Argentina",squad,0,-1))</f>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A466A-6204-486C-B2AF-D5C5F6CCDC89}">
  <sheetPr codeName="Sheet7"/>
  <dimension ref="A2:U70"/>
  <sheetViews>
    <sheetView workbookViewId="0">
      <selection activeCell="D14" sqref="D14"/>
    </sheetView>
  </sheetViews>
  <sheetFormatPr baseColWidth="10" defaultColWidth="8.83203125" defaultRowHeight="16" x14ac:dyDescent="0.2"/>
  <cols>
    <col min="10" max="10" width="11.1640625" customWidth="1"/>
    <col min="11" max="11" width="9.83203125" customWidth="1"/>
    <col min="13" max="13" width="9" customWidth="1"/>
    <col min="14" max="14" width="12.6640625" customWidth="1"/>
  </cols>
  <sheetData>
    <row r="2" spans="1:12" x14ac:dyDescent="0.2">
      <c r="A2" s="12" t="s">
        <v>144</v>
      </c>
    </row>
    <row r="3" spans="1:12" x14ac:dyDescent="0.2">
      <c r="F3" s="12" t="s">
        <v>145</v>
      </c>
    </row>
    <row r="4" spans="1:12" x14ac:dyDescent="0.2">
      <c r="B4" s="74" t="s">
        <v>146</v>
      </c>
      <c r="C4" s="76" t="s">
        <v>147</v>
      </c>
      <c r="F4" t="s">
        <v>148</v>
      </c>
    </row>
    <row r="5" spans="1:12" x14ac:dyDescent="0.2">
      <c r="B5" s="77" t="s">
        <v>149</v>
      </c>
      <c r="C5" s="78">
        <v>624</v>
      </c>
      <c r="F5" s="99">
        <v>5</v>
      </c>
    </row>
    <row r="6" spans="1:12" x14ac:dyDescent="0.2">
      <c r="B6" s="77" t="s">
        <v>150</v>
      </c>
      <c r="C6" s="78">
        <v>390</v>
      </c>
      <c r="F6" s="2" t="str" cm="1">
        <f t="array" aca="1" ref="F6:G6" ca="1">OFFSET(monthly_profit, F5,0,1,2)</f>
        <v>May</v>
      </c>
      <c r="G6" s="2">
        <f ca="1"/>
        <v>439</v>
      </c>
      <c r="H6" t="str">
        <f ca="1">_xlfn.FORMULATEXT(F6)</f>
        <v>=OFFSET(monthly_profit, F5,0,1,2)</v>
      </c>
    </row>
    <row r="7" spans="1:12" x14ac:dyDescent="0.2">
      <c r="B7" s="77" t="s">
        <v>151</v>
      </c>
      <c r="C7" s="78">
        <v>1000</v>
      </c>
    </row>
    <row r="8" spans="1:12" x14ac:dyDescent="0.2">
      <c r="B8" s="77" t="s">
        <v>152</v>
      </c>
      <c r="C8" s="78">
        <v>250</v>
      </c>
    </row>
    <row r="9" spans="1:12" x14ac:dyDescent="0.2">
      <c r="B9" s="77" t="s">
        <v>153</v>
      </c>
      <c r="C9" s="78">
        <v>439</v>
      </c>
      <c r="F9" t="s">
        <v>154</v>
      </c>
      <c r="G9" t="s">
        <v>155</v>
      </c>
    </row>
    <row r="10" spans="1:12" x14ac:dyDescent="0.2">
      <c r="B10" s="77" t="s">
        <v>156</v>
      </c>
      <c r="C10" s="78">
        <v>109</v>
      </c>
      <c r="F10" s="99">
        <v>3</v>
      </c>
      <c r="G10" s="99">
        <v>7</v>
      </c>
      <c r="H10" s="67" t="s">
        <v>157</v>
      </c>
    </row>
    <row r="11" spans="1:12" x14ac:dyDescent="0.2">
      <c r="B11" s="77" t="s">
        <v>158</v>
      </c>
      <c r="C11" s="78">
        <v>530</v>
      </c>
      <c r="F11" s="2" t="str" cm="1">
        <f t="array" aca="1" ref="F11:G15" ca="1">OFFSET(monthly_profit, F10, 0,G10-F10+1,2)</f>
        <v>Mar</v>
      </c>
      <c r="G11" s="2">
        <f ca="1"/>
        <v>1000</v>
      </c>
      <c r="H11" t="str">
        <f ca="1">_xlfn.FORMULATEXT(F11)</f>
        <v>=OFFSET(monthly_profit, F10, 0,G10-F10+1,2)</v>
      </c>
      <c r="L11" s="67" t="s">
        <v>159</v>
      </c>
    </row>
    <row r="12" spans="1:12" x14ac:dyDescent="0.2">
      <c r="B12" s="77" t="s">
        <v>160</v>
      </c>
      <c r="C12" s="78">
        <v>123</v>
      </c>
      <c r="F12" s="2" t="str">
        <f ca="1"/>
        <v>Apr</v>
      </c>
      <c r="G12" s="2">
        <f ca="1"/>
        <v>250</v>
      </c>
    </row>
    <row r="13" spans="1:12" x14ac:dyDescent="0.2">
      <c r="B13" s="77" t="s">
        <v>161</v>
      </c>
      <c r="C13" s="78">
        <v>5345</v>
      </c>
      <c r="F13" s="2" t="str">
        <f ca="1"/>
        <v>May</v>
      </c>
      <c r="G13" s="2">
        <f ca="1"/>
        <v>439</v>
      </c>
      <c r="I13" t="s">
        <v>162</v>
      </c>
    </row>
    <row r="14" spans="1:12" x14ac:dyDescent="0.2">
      <c r="B14" s="77" t="s">
        <v>163</v>
      </c>
      <c r="C14" s="78">
        <v>312</v>
      </c>
      <c r="F14" s="2" t="str">
        <f ca="1"/>
        <v>Jun</v>
      </c>
      <c r="G14" s="2">
        <f ca="1"/>
        <v>109</v>
      </c>
      <c r="I14" t="s">
        <v>164</v>
      </c>
    </row>
    <row r="15" spans="1:12" x14ac:dyDescent="0.2">
      <c r="B15" s="77" t="s">
        <v>165</v>
      </c>
      <c r="C15" s="78">
        <v>98</v>
      </c>
      <c r="F15" s="2" t="str">
        <f ca="1"/>
        <v>Jul</v>
      </c>
      <c r="G15" s="2">
        <f ca="1"/>
        <v>530</v>
      </c>
      <c r="I15" t="s">
        <v>166</v>
      </c>
    </row>
    <row r="16" spans="1:12" x14ac:dyDescent="0.2">
      <c r="B16" s="79" t="s">
        <v>167</v>
      </c>
      <c r="C16" s="80">
        <v>672</v>
      </c>
      <c r="F16" s="2"/>
      <c r="G16" s="2"/>
      <c r="I16" t="s">
        <v>168</v>
      </c>
    </row>
    <row r="17" spans="6:14" x14ac:dyDescent="0.2">
      <c r="F17" s="2"/>
      <c r="G17" s="2"/>
      <c r="I17" t="s">
        <v>169</v>
      </c>
    </row>
    <row r="18" spans="6:14" x14ac:dyDescent="0.2">
      <c r="F18" s="2"/>
      <c r="G18" s="2"/>
    </row>
    <row r="19" spans="6:14" x14ac:dyDescent="0.2">
      <c r="F19" s="2"/>
      <c r="G19" s="2"/>
    </row>
    <row r="20" spans="6:14" x14ac:dyDescent="0.2">
      <c r="F20" s="2"/>
      <c r="G20" s="2"/>
    </row>
    <row r="21" spans="6:14" x14ac:dyDescent="0.2">
      <c r="F21" s="2"/>
      <c r="G21" s="2"/>
    </row>
    <row r="22" spans="6:14" x14ac:dyDescent="0.2">
      <c r="F22" s="2"/>
      <c r="G22" s="2"/>
    </row>
    <row r="23" spans="6:14" s="73" customFormat="1" x14ac:dyDescent="0.2"/>
    <row r="27" spans="6:14" x14ac:dyDescent="0.2">
      <c r="I27" s="12" t="s">
        <v>170</v>
      </c>
      <c r="J27" s="67" t="s">
        <v>171</v>
      </c>
    </row>
    <row r="28" spans="6:14" x14ac:dyDescent="0.2">
      <c r="I28" s="87" t="s">
        <v>172</v>
      </c>
    </row>
    <row r="29" spans="6:14" x14ac:dyDescent="0.2">
      <c r="I29" s="2" t="str">
        <f>ADDRESS(26,2)</f>
        <v>$B$26</v>
      </c>
      <c r="J29" t="str">
        <f ca="1">_xlfn.FORMULATEXT(I29)</f>
        <v>=ADDRESS(26,2)</v>
      </c>
      <c r="L29" s="11" t="s">
        <v>173</v>
      </c>
    </row>
    <row r="30" spans="6:14" x14ac:dyDescent="0.2">
      <c r="N30" s="11"/>
    </row>
    <row r="31" spans="6:14" x14ac:dyDescent="0.2">
      <c r="I31" s="12" t="s">
        <v>174</v>
      </c>
      <c r="J31" s="67" t="s">
        <v>175</v>
      </c>
    </row>
    <row r="32" spans="6:14" x14ac:dyDescent="0.2">
      <c r="I32" t="s">
        <v>176</v>
      </c>
    </row>
    <row r="33" spans="1:21" x14ac:dyDescent="0.2">
      <c r="I33" s="2" cm="1">
        <f t="array" aca="1" ref="I33" ca="1">INDIRECT(I29)</f>
        <v>0</v>
      </c>
      <c r="J33" t="str">
        <f ca="1">_xlfn.FORMULATEXT(I33)</f>
        <v>=INDIRECT(I29)</v>
      </c>
    </row>
    <row r="35" spans="1:21" x14ac:dyDescent="0.2">
      <c r="I35" s="12" t="s">
        <v>177</v>
      </c>
      <c r="K35" s="67" t="s">
        <v>178</v>
      </c>
      <c r="P35" s="12" t="s">
        <v>179</v>
      </c>
    </row>
    <row r="36" spans="1:21" x14ac:dyDescent="0.2">
      <c r="I36" s="73" t="s">
        <v>154</v>
      </c>
      <c r="J36" s="73" t="s">
        <v>180</v>
      </c>
      <c r="K36" s="73" t="s">
        <v>181</v>
      </c>
      <c r="L36" s="73" t="s">
        <v>182</v>
      </c>
      <c r="M36" s="73"/>
      <c r="P36" s="73" t="s">
        <v>154</v>
      </c>
      <c r="Q36" s="73" t="s">
        <v>180</v>
      </c>
      <c r="R36" s="73" t="s">
        <v>181</v>
      </c>
      <c r="S36" s="73" t="s">
        <v>182</v>
      </c>
      <c r="T36" s="73"/>
    </row>
    <row r="37" spans="1:21" x14ac:dyDescent="0.2">
      <c r="I37" s="99" t="s">
        <v>150</v>
      </c>
      <c r="J37" s="99" t="s">
        <v>153</v>
      </c>
      <c r="K37" s="99">
        <v>1</v>
      </c>
      <c r="L37" s="99">
        <v>3</v>
      </c>
      <c r="M37" s="67" t="s">
        <v>183</v>
      </c>
      <c r="N37" s="97" t="s">
        <v>184</v>
      </c>
      <c r="O37" s="98" t="s">
        <v>185</v>
      </c>
      <c r="P37" s="99" t="s">
        <v>151</v>
      </c>
      <c r="Q37" s="99" t="s">
        <v>156</v>
      </c>
      <c r="R37" s="99">
        <v>2</v>
      </c>
      <c r="S37" s="99">
        <v>4</v>
      </c>
    </row>
    <row r="38" spans="1:21" x14ac:dyDescent="0.2">
      <c r="A38" s="74"/>
      <c r="B38" s="75" t="s">
        <v>149</v>
      </c>
      <c r="C38" s="75" t="s">
        <v>150</v>
      </c>
      <c r="D38" s="75" t="s">
        <v>151</v>
      </c>
      <c r="E38" s="75" t="s">
        <v>152</v>
      </c>
      <c r="F38" s="75" t="s">
        <v>153</v>
      </c>
      <c r="G38" s="76" t="s">
        <v>156</v>
      </c>
      <c r="I38" s="88" t="str" cm="1">
        <f t="array" aca="1" ref="I38:L38" ca="1">INDIRECT(ADDRESS(38,MATCH(I37,A38:G38,0))):INDIRECT(ADDRESS(38,MATCH(J37,A38:G38,0)))</f>
        <v>Feb</v>
      </c>
      <c r="J38" s="88" t="str">
        <f ca="1"/>
        <v>Mar</v>
      </c>
      <c r="K38" s="88" t="str">
        <f ca="1"/>
        <v>Apr</v>
      </c>
      <c r="L38" s="88" t="str">
        <f ca="1"/>
        <v>May</v>
      </c>
      <c r="M38" s="94"/>
      <c r="N38" s="89"/>
      <c r="P38" s="88" t="str" cm="1">
        <f t="array" aca="1" ref="P38:S38" ca="1">OFFSET(B38:G38,0,MATCH(P37,B38:G38,0)-1,1,MATCH(Q37,B38:G38,0)-MATCH(P37,B38:G38,0)+1)</f>
        <v>Mar</v>
      </c>
      <c r="Q38" s="88" t="str">
        <f ca="1"/>
        <v>Apr</v>
      </c>
      <c r="R38" s="88" t="str">
        <f ca="1"/>
        <v>May</v>
      </c>
      <c r="S38" s="88" t="str">
        <f ca="1"/>
        <v>Jun</v>
      </c>
      <c r="T38" s="94"/>
      <c r="U38" s="89"/>
    </row>
    <row r="39" spans="1:21" x14ac:dyDescent="0.2">
      <c r="A39" s="77" t="s">
        <v>186</v>
      </c>
      <c r="B39">
        <v>3</v>
      </c>
      <c r="C39">
        <v>2</v>
      </c>
      <c r="D39">
        <v>7</v>
      </c>
      <c r="E39">
        <v>8</v>
      </c>
      <c r="F39">
        <v>6</v>
      </c>
      <c r="G39" s="78">
        <v>8</v>
      </c>
      <c r="I39" s="88" cm="1">
        <f t="array" aca="1" ref="I39:L41" ca="1">INDIRECT(ADDRESS(38+K37,MATCH(I37,A38:G38,0))):INDIRECT(ADDRESS(38+L37,MATCH(J37,A38:G38,0)))</f>
        <v>2</v>
      </c>
      <c r="J39" s="88">
        <f ca="1"/>
        <v>7</v>
      </c>
      <c r="K39" s="88">
        <f ca="1"/>
        <v>8</v>
      </c>
      <c r="L39" s="88">
        <f ca="1"/>
        <v>6</v>
      </c>
      <c r="M39" s="94"/>
      <c r="N39" s="89"/>
      <c r="P39" s="88" cm="1">
        <f t="array" aca="1" ref="P39:S41" ca="1">OFFSET(B39:G42,R37-1,MATCH(P37,B38:G38,0)-1,S37-R37+1,MATCH(Q37,B38:G38,0)-MATCH(P37,B38:G38,0)+1)</f>
        <v>9</v>
      </c>
      <c r="Q39" s="88">
        <f ca="1"/>
        <v>4</v>
      </c>
      <c r="R39" s="88">
        <f ca="1"/>
        <v>5</v>
      </c>
      <c r="S39" s="88">
        <f ca="1"/>
        <v>9</v>
      </c>
      <c r="T39" s="94"/>
      <c r="U39" s="89"/>
    </row>
    <row r="40" spans="1:21" x14ac:dyDescent="0.2">
      <c r="A40" s="77" t="s">
        <v>187</v>
      </c>
      <c r="B40">
        <v>2</v>
      </c>
      <c r="C40">
        <v>3</v>
      </c>
      <c r="D40">
        <v>9</v>
      </c>
      <c r="E40">
        <v>4</v>
      </c>
      <c r="F40">
        <v>5</v>
      </c>
      <c r="G40" s="78">
        <v>9</v>
      </c>
      <c r="I40" s="90">
        <f ca="1"/>
        <v>3</v>
      </c>
      <c r="J40" s="90">
        <f ca="1"/>
        <v>9</v>
      </c>
      <c r="K40" s="90">
        <f ca="1"/>
        <v>4</v>
      </c>
      <c r="L40" s="90">
        <f ca="1"/>
        <v>5</v>
      </c>
      <c r="M40" s="95"/>
      <c r="N40" s="91"/>
      <c r="P40" s="90">
        <f ca="1"/>
        <v>0</v>
      </c>
      <c r="Q40" s="90">
        <f ca="1"/>
        <v>23</v>
      </c>
      <c r="R40" s="90">
        <f ca="1"/>
        <v>10</v>
      </c>
      <c r="S40" s="90">
        <f ca="1"/>
        <v>7</v>
      </c>
      <c r="T40" s="95"/>
      <c r="U40" s="91"/>
    </row>
    <row r="41" spans="1:21" x14ac:dyDescent="0.2">
      <c r="A41" s="77" t="s">
        <v>188</v>
      </c>
      <c r="B41">
        <v>1</v>
      </c>
      <c r="C41">
        <v>7</v>
      </c>
      <c r="D41">
        <v>0</v>
      </c>
      <c r="E41">
        <v>23</v>
      </c>
      <c r="F41">
        <v>10</v>
      </c>
      <c r="G41" s="78">
        <v>7</v>
      </c>
      <c r="I41" s="90">
        <f ca="1"/>
        <v>7</v>
      </c>
      <c r="J41" s="90">
        <f ca="1"/>
        <v>0</v>
      </c>
      <c r="K41" s="90">
        <f ca="1"/>
        <v>23</v>
      </c>
      <c r="L41" s="90">
        <f ca="1"/>
        <v>10</v>
      </c>
      <c r="M41" s="95"/>
      <c r="N41" s="91"/>
      <c r="P41" s="90">
        <f ca="1"/>
        <v>2</v>
      </c>
      <c r="Q41" s="90">
        <f ca="1"/>
        <v>1</v>
      </c>
      <c r="R41" s="90">
        <f ca="1"/>
        <v>2</v>
      </c>
      <c r="S41" s="90">
        <f ca="1"/>
        <v>4</v>
      </c>
      <c r="T41" s="95"/>
      <c r="U41" s="91"/>
    </row>
    <row r="42" spans="1:21" x14ac:dyDescent="0.2">
      <c r="A42" s="79" t="s">
        <v>189</v>
      </c>
      <c r="B42" s="73">
        <v>4</v>
      </c>
      <c r="C42" s="73">
        <v>6</v>
      </c>
      <c r="D42" s="73">
        <v>2</v>
      </c>
      <c r="E42" s="73">
        <v>1</v>
      </c>
      <c r="F42" s="73">
        <v>2</v>
      </c>
      <c r="G42" s="80">
        <v>4</v>
      </c>
      <c r="I42" s="92"/>
      <c r="J42" s="92"/>
      <c r="K42" s="92"/>
      <c r="L42" s="92"/>
      <c r="M42" s="96"/>
      <c r="N42" s="93"/>
      <c r="P42" s="92"/>
      <c r="Q42" s="92"/>
      <c r="R42" s="92"/>
      <c r="S42" s="92"/>
      <c r="T42" s="96"/>
      <c r="U42" s="93"/>
    </row>
    <row r="44" spans="1:21" x14ac:dyDescent="0.2">
      <c r="D44" t="s">
        <v>190</v>
      </c>
      <c r="F44" t="str">
        <f ca="1">_xlfn.FORMULATEXT(I38)</f>
        <v>=INDIRECT(ADDRESS(38,MATCH(I37,A38:G38,0))):INDIRECT(ADDRESS(38,MATCH(J37,A38:G38,0)))</v>
      </c>
      <c r="P44" t="str">
        <f ca="1">_xlfn.FORMULATEXT(P38)</f>
        <v>=OFFSET(B38:G38,0,MATCH(P37,B38:G38,0)-1,1,MATCH(Q37,B38:G38,0)-MATCH(P37,B38:G38,0)+1)</v>
      </c>
    </row>
    <row r="45" spans="1:21" x14ac:dyDescent="0.2">
      <c r="D45" t="s">
        <v>191</v>
      </c>
      <c r="F45" t="str">
        <f ca="1">_xlfn.FORMULATEXT(I39)</f>
        <v>=INDIRECT(ADDRESS(38+K37,MATCH(I37,A38:G38,0))):INDIRECT(ADDRESS(38+L37,MATCH(J37,A38:G38,0)))</v>
      </c>
      <c r="P45" t="str">
        <f ca="1">_xlfn.FORMULATEXT(P39)</f>
        <v>=OFFSET(B39:G42,R37-1,MATCH(P37,B38:G38,0)-1,S37-R37+1,MATCH(Q37,B38:G38,0)-MATCH(P37,B38:G38,0)+1)</v>
      </c>
    </row>
    <row r="46" spans="1:21" x14ac:dyDescent="0.2">
      <c r="F46" s="67"/>
    </row>
    <row r="47" spans="1:21" x14ac:dyDescent="0.2">
      <c r="F47" s="67"/>
      <c r="P47" s="67" t="s">
        <v>192</v>
      </c>
    </row>
    <row r="48" spans="1:21" x14ac:dyDescent="0.2">
      <c r="B48" s="101" t="s">
        <v>193</v>
      </c>
      <c r="C48" s="75"/>
      <c r="D48" s="75"/>
      <c r="E48" s="75"/>
      <c r="F48" s="100"/>
      <c r="G48" s="75"/>
      <c r="H48" s="75"/>
      <c r="I48" s="75"/>
      <c r="J48" s="75"/>
      <c r="K48" s="75"/>
      <c r="L48" s="75"/>
      <c r="M48" s="75"/>
      <c r="N48" s="75"/>
      <c r="O48" s="75"/>
      <c r="P48" s="76"/>
    </row>
    <row r="49" spans="2:16" x14ac:dyDescent="0.2">
      <c r="B49" s="77" t="s">
        <v>194</v>
      </c>
      <c r="D49" t="s">
        <v>195</v>
      </c>
      <c r="H49" t="s">
        <v>196</v>
      </c>
      <c r="P49" s="78"/>
    </row>
    <row r="50" spans="2:16" x14ac:dyDescent="0.2">
      <c r="B50" s="77"/>
      <c r="D50" t="s">
        <v>197</v>
      </c>
      <c r="H50" t="s">
        <v>198</v>
      </c>
      <c r="P50" s="78"/>
    </row>
    <row r="51" spans="2:16" x14ac:dyDescent="0.2">
      <c r="B51" s="77"/>
      <c r="D51" t="s">
        <v>199</v>
      </c>
      <c r="H51" t="s">
        <v>200</v>
      </c>
      <c r="P51" s="78"/>
    </row>
    <row r="52" spans="2:16" x14ac:dyDescent="0.2">
      <c r="B52" s="77"/>
      <c r="P52" s="78"/>
    </row>
    <row r="53" spans="2:16" x14ac:dyDescent="0.2">
      <c r="B53" s="77"/>
      <c r="H53" t="s">
        <v>201</v>
      </c>
      <c r="P53" s="78"/>
    </row>
    <row r="54" spans="2:16" x14ac:dyDescent="0.2">
      <c r="B54" s="77"/>
      <c r="H54" t="s">
        <v>202</v>
      </c>
      <c r="P54" s="78"/>
    </row>
    <row r="55" spans="2:16" x14ac:dyDescent="0.2">
      <c r="B55" s="77"/>
      <c r="P55" s="78"/>
    </row>
    <row r="56" spans="2:16" x14ac:dyDescent="0.2">
      <c r="B56" s="77" t="s">
        <v>203</v>
      </c>
      <c r="D56" t="s">
        <v>195</v>
      </c>
      <c r="H56" t="s">
        <v>204</v>
      </c>
      <c r="P56" s="78"/>
    </row>
    <row r="57" spans="2:16" x14ac:dyDescent="0.2">
      <c r="B57" s="77"/>
      <c r="D57" t="s">
        <v>205</v>
      </c>
      <c r="H57" t="s">
        <v>206</v>
      </c>
      <c r="P57" s="78"/>
    </row>
    <row r="58" spans="2:16" x14ac:dyDescent="0.2">
      <c r="B58" s="77"/>
      <c r="D58" t="s">
        <v>199</v>
      </c>
      <c r="H58" t="s">
        <v>207</v>
      </c>
      <c r="P58" s="78"/>
    </row>
    <row r="59" spans="2:16" x14ac:dyDescent="0.2">
      <c r="B59" s="77"/>
      <c r="P59" s="78"/>
    </row>
    <row r="60" spans="2:16" x14ac:dyDescent="0.2">
      <c r="B60" s="79"/>
      <c r="C60" s="73"/>
      <c r="D60" s="73"/>
      <c r="E60" s="73"/>
      <c r="F60" s="73"/>
      <c r="G60" s="73"/>
      <c r="H60" s="73" t="s">
        <v>208</v>
      </c>
      <c r="I60" s="73"/>
      <c r="J60" s="73"/>
      <c r="K60" s="73"/>
      <c r="L60" s="73"/>
      <c r="M60" s="73"/>
      <c r="N60" s="73"/>
      <c r="O60" s="73"/>
      <c r="P60" s="80"/>
    </row>
    <row r="62" spans="2:16" x14ac:dyDescent="0.2">
      <c r="B62" s="101" t="s">
        <v>209</v>
      </c>
      <c r="C62" s="75"/>
      <c r="D62" s="75"/>
      <c r="E62" s="75"/>
      <c r="F62" s="75"/>
      <c r="G62" s="75"/>
      <c r="H62" s="75"/>
      <c r="I62" s="75"/>
      <c r="J62" s="75"/>
      <c r="K62" s="75"/>
      <c r="L62" s="75"/>
      <c r="M62" s="75"/>
      <c r="N62" s="75"/>
      <c r="O62" s="75"/>
      <c r="P62" s="76"/>
    </row>
    <row r="63" spans="2:16" x14ac:dyDescent="0.2">
      <c r="B63" s="77"/>
      <c r="P63" s="78"/>
    </row>
    <row r="64" spans="2:16" x14ac:dyDescent="0.2">
      <c r="B64" s="74">
        <v>1</v>
      </c>
      <c r="C64" s="75">
        <v>4</v>
      </c>
      <c r="D64" s="76">
        <v>7</v>
      </c>
      <c r="F64" t="s">
        <v>210</v>
      </c>
      <c r="G64" t="s">
        <v>211</v>
      </c>
      <c r="I64" s="2" t="e" cm="1">
        <f t="array" aca="1" ref="I64:I65" ca="1">INDIRECT(G64:G65)</f>
        <v>#VALUE!</v>
      </c>
      <c r="J64" t="str">
        <f ca="1">_xlfn.FORMULATEXT(I64)</f>
        <v>=INDIRECT(G64:G65)</v>
      </c>
      <c r="P64" s="78"/>
    </row>
    <row r="65" spans="2:16" x14ac:dyDescent="0.2">
      <c r="B65" s="77">
        <v>2</v>
      </c>
      <c r="C65">
        <v>5</v>
      </c>
      <c r="D65" s="78">
        <v>8</v>
      </c>
      <c r="F65" t="s">
        <v>212</v>
      </c>
      <c r="G65" t="s">
        <v>213</v>
      </c>
      <c r="I65" s="2" t="e">
        <f ca="1"/>
        <v>#VALUE!</v>
      </c>
      <c r="P65" s="78"/>
    </row>
    <row r="66" spans="2:16" x14ac:dyDescent="0.2">
      <c r="B66" s="79">
        <v>3</v>
      </c>
      <c r="C66" s="73">
        <v>6</v>
      </c>
      <c r="D66" s="80">
        <v>9</v>
      </c>
      <c r="P66" s="78"/>
    </row>
    <row r="67" spans="2:16" x14ac:dyDescent="0.2">
      <c r="B67" s="77"/>
      <c r="I67" s="2" cm="1">
        <f t="array" aca="1" ref="I67:K69" ca="1">INDIRECT(G64):INDIRECT(G65)</f>
        <v>0</v>
      </c>
      <c r="J67" s="2">
        <f ca="1"/>
        <v>0</v>
      </c>
      <c r="K67" s="2">
        <f ca="1"/>
        <v>0</v>
      </c>
      <c r="L67" t="str">
        <f ca="1">_xlfn.FORMULATEXT(I67)</f>
        <v>=INDIRECT(G64):INDIRECT(G65)</v>
      </c>
      <c r="P67" s="78"/>
    </row>
    <row r="68" spans="2:16" x14ac:dyDescent="0.2">
      <c r="B68" s="77"/>
      <c r="I68" s="2">
        <f ca="1"/>
        <v>0</v>
      </c>
      <c r="J68" s="2">
        <f ca="1"/>
        <v>0</v>
      </c>
      <c r="K68" s="2" t="str">
        <f ca="1"/>
        <v>Same as above</v>
      </c>
      <c r="P68" s="78"/>
    </row>
    <row r="69" spans="2:16" x14ac:dyDescent="0.2">
      <c r="B69" s="77"/>
      <c r="I69" s="2">
        <f ca="1"/>
        <v>0</v>
      </c>
      <c r="J69" s="2">
        <f ca="1"/>
        <v>0</v>
      </c>
      <c r="K69" s="2" t="str">
        <f ca="1"/>
        <v>We move down few rows (+K39) based on the starting week</v>
      </c>
      <c r="P69" s="78"/>
    </row>
    <row r="70" spans="2:16" x14ac:dyDescent="0.2">
      <c r="B70" s="79"/>
      <c r="C70" s="73"/>
      <c r="D70" s="73"/>
      <c r="E70" s="73"/>
      <c r="F70" s="73"/>
      <c r="G70" s="73"/>
      <c r="H70" s="73"/>
      <c r="I70" s="73"/>
      <c r="J70" s="73"/>
      <c r="K70" s="73"/>
      <c r="L70" s="73"/>
      <c r="M70" s="73"/>
      <c r="N70" s="73"/>
      <c r="O70" s="73"/>
      <c r="P70" s="8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4AF6-7209-AE46-8F0B-1636B36F7A00}">
  <sheetPr codeName="Sheet8"/>
  <dimension ref="A1:W201"/>
  <sheetViews>
    <sheetView workbookViewId="0">
      <selection activeCell="G179" sqref="G179"/>
    </sheetView>
  </sheetViews>
  <sheetFormatPr baseColWidth="10" defaultColWidth="10.83203125" defaultRowHeight="16" x14ac:dyDescent="0.2"/>
  <cols>
    <col min="1" max="3" width="11" style="17" bestFit="1" customWidth="1"/>
    <col min="4" max="6" width="11.6640625" style="17" bestFit="1" customWidth="1"/>
    <col min="7" max="20" width="11" style="17" bestFit="1" customWidth="1"/>
    <col min="21" max="16384" width="10.83203125" style="17"/>
  </cols>
  <sheetData>
    <row r="1" spans="1:20" x14ac:dyDescent="0.2">
      <c r="A1" s="16" t="s">
        <v>214</v>
      </c>
      <c r="C1" s="18"/>
      <c r="D1" s="18"/>
      <c r="E1" s="18"/>
      <c r="F1" s="18"/>
      <c r="G1" s="18"/>
      <c r="H1" s="18"/>
      <c r="I1" s="18"/>
      <c r="J1" s="18"/>
      <c r="K1" s="18"/>
      <c r="L1" s="18"/>
      <c r="M1" s="18"/>
      <c r="N1" s="18"/>
      <c r="O1" s="18"/>
      <c r="P1" s="18"/>
      <c r="Q1" s="18"/>
      <c r="R1" s="18"/>
      <c r="S1" s="18"/>
    </row>
    <row r="2" spans="1:20" x14ac:dyDescent="0.2">
      <c r="A2" s="16" t="s">
        <v>215</v>
      </c>
      <c r="C2" s="18"/>
      <c r="D2" s="18"/>
      <c r="E2" s="18"/>
      <c r="F2" s="18"/>
      <c r="G2" s="18"/>
      <c r="H2" s="18"/>
      <c r="I2" s="18"/>
      <c r="J2" s="18"/>
      <c r="K2" s="18"/>
      <c r="L2" s="18"/>
      <c r="M2" s="18"/>
      <c r="N2" s="18"/>
      <c r="O2" s="18"/>
      <c r="P2" s="18"/>
      <c r="Q2" s="18"/>
      <c r="R2" s="18"/>
      <c r="S2" s="18"/>
    </row>
    <row r="3" spans="1:20" hidden="1" x14ac:dyDescent="0.2"/>
    <row r="4" spans="1:20" s="22" customFormat="1" hidden="1" x14ac:dyDescent="0.2">
      <c r="A4" s="19" t="s">
        <v>216</v>
      </c>
      <c r="B4" s="20"/>
      <c r="C4" s="16" t="s">
        <v>217</v>
      </c>
      <c r="D4" s="21"/>
      <c r="E4" s="21"/>
      <c r="F4" s="21"/>
      <c r="G4" s="21"/>
      <c r="H4" s="21"/>
      <c r="I4" s="21"/>
      <c r="J4" s="21"/>
      <c r="K4" s="21"/>
      <c r="L4" s="21"/>
      <c r="M4" s="21"/>
      <c r="N4" s="21"/>
      <c r="O4" s="21"/>
      <c r="P4" s="21"/>
      <c r="Q4" s="21"/>
      <c r="R4" s="21"/>
      <c r="S4" s="21"/>
      <c r="T4" s="21"/>
    </row>
    <row r="5" spans="1:20" s="22" customFormat="1" hidden="1" x14ac:dyDescent="0.2">
      <c r="A5" s="23" t="s">
        <v>218</v>
      </c>
      <c r="B5" s="24"/>
      <c r="C5" s="21">
        <v>0</v>
      </c>
      <c r="D5" s="21">
        <f t="shared" ref="D5:T5" si="0">C5+1</f>
        <v>1</v>
      </c>
      <c r="E5" s="21">
        <f t="shared" si="0"/>
        <v>2</v>
      </c>
      <c r="F5" s="21">
        <f t="shared" si="0"/>
        <v>3</v>
      </c>
      <c r="G5" s="21">
        <f t="shared" si="0"/>
        <v>4</v>
      </c>
      <c r="H5" s="21">
        <f t="shared" si="0"/>
        <v>5</v>
      </c>
      <c r="I5" s="21">
        <f t="shared" si="0"/>
        <v>6</v>
      </c>
      <c r="J5" s="21">
        <f t="shared" si="0"/>
        <v>7</v>
      </c>
      <c r="K5" s="21">
        <f t="shared" si="0"/>
        <v>8</v>
      </c>
      <c r="L5" s="21">
        <f t="shared" si="0"/>
        <v>9</v>
      </c>
      <c r="M5" s="21">
        <f t="shared" si="0"/>
        <v>10</v>
      </c>
      <c r="N5" s="21">
        <f t="shared" si="0"/>
        <v>11</v>
      </c>
      <c r="O5" s="21">
        <f t="shared" si="0"/>
        <v>12</v>
      </c>
      <c r="P5" s="21">
        <f t="shared" si="0"/>
        <v>13</v>
      </c>
      <c r="Q5" s="21">
        <f t="shared" si="0"/>
        <v>14</v>
      </c>
      <c r="R5" s="21">
        <f t="shared" si="0"/>
        <v>15</v>
      </c>
      <c r="S5" s="21">
        <f t="shared" si="0"/>
        <v>16</v>
      </c>
      <c r="T5" s="21">
        <f t="shared" si="0"/>
        <v>17</v>
      </c>
    </row>
    <row r="6" spans="1:20" hidden="1" x14ac:dyDescent="0.2">
      <c r="C6" s="25" t="s">
        <v>219</v>
      </c>
      <c r="D6" s="25" t="s">
        <v>219</v>
      </c>
      <c r="E6" s="25" t="s">
        <v>219</v>
      </c>
      <c r="F6" s="25" t="s">
        <v>219</v>
      </c>
      <c r="G6" s="25" t="s">
        <v>219</v>
      </c>
      <c r="H6" s="25" t="s">
        <v>219</v>
      </c>
      <c r="I6" s="25" t="s">
        <v>219</v>
      </c>
      <c r="J6" s="25" t="s">
        <v>219</v>
      </c>
      <c r="K6" s="25" t="s">
        <v>219</v>
      </c>
      <c r="L6" s="25" t="s">
        <v>219</v>
      </c>
      <c r="M6" s="25" t="s">
        <v>219</v>
      </c>
      <c r="N6" s="25" t="s">
        <v>219</v>
      </c>
      <c r="O6" s="25" t="s">
        <v>219</v>
      </c>
      <c r="P6" s="25" t="s">
        <v>219</v>
      </c>
      <c r="Q6" s="25" t="s">
        <v>219</v>
      </c>
      <c r="R6" s="25" t="s">
        <v>219</v>
      </c>
      <c r="S6" s="25" t="s">
        <v>219</v>
      </c>
      <c r="T6" s="25" t="s">
        <v>219</v>
      </c>
    </row>
    <row r="7" spans="1:20" hidden="1" x14ac:dyDescent="0.2"/>
    <row r="8" spans="1:20" hidden="1" x14ac:dyDescent="0.2">
      <c r="A8" s="18">
        <v>1978</v>
      </c>
      <c r="B8" s="26"/>
      <c r="C8" s="26">
        <v>9268</v>
      </c>
      <c r="D8" s="26">
        <v>18263</v>
      </c>
      <c r="E8" s="26">
        <v>20182</v>
      </c>
      <c r="F8" s="26">
        <v>22383</v>
      </c>
      <c r="G8" s="26">
        <v>22782</v>
      </c>
      <c r="H8" s="26">
        <v>26348</v>
      </c>
      <c r="I8" s="26">
        <v>26172</v>
      </c>
      <c r="J8" s="26">
        <v>26184</v>
      </c>
      <c r="K8" s="26">
        <v>25455</v>
      </c>
      <c r="L8" s="26">
        <v>25740</v>
      </c>
      <c r="M8" s="26">
        <v>25711</v>
      </c>
      <c r="N8" s="26">
        <v>25452</v>
      </c>
      <c r="O8" s="26">
        <v>25460</v>
      </c>
      <c r="P8" s="26">
        <v>25422</v>
      </c>
      <c r="Q8" s="26">
        <v>25386</v>
      </c>
      <c r="R8" s="26">
        <v>25520</v>
      </c>
      <c r="S8" s="26">
        <v>25646</v>
      </c>
      <c r="T8" s="26">
        <v>25469</v>
      </c>
    </row>
    <row r="9" spans="1:20" hidden="1" x14ac:dyDescent="0.2">
      <c r="A9" s="18">
        <f>A8+1</f>
        <v>1979</v>
      </c>
      <c r="B9" s="26"/>
      <c r="C9" s="26">
        <v>9848</v>
      </c>
      <c r="D9" s="26">
        <v>16123</v>
      </c>
      <c r="E9" s="26">
        <v>17099</v>
      </c>
      <c r="F9" s="26">
        <v>18544</v>
      </c>
      <c r="G9" s="26">
        <v>20534</v>
      </c>
      <c r="H9" s="26">
        <v>21554</v>
      </c>
      <c r="I9" s="26">
        <v>23219</v>
      </c>
      <c r="J9" s="26">
        <v>22381</v>
      </c>
      <c r="K9" s="26">
        <v>21584</v>
      </c>
      <c r="L9" s="26">
        <v>21408</v>
      </c>
      <c r="M9" s="26">
        <v>20857</v>
      </c>
      <c r="N9" s="26">
        <v>21163</v>
      </c>
      <c r="O9" s="26">
        <v>20482</v>
      </c>
      <c r="P9" s="26">
        <v>19971</v>
      </c>
      <c r="Q9" s="26">
        <v>19958</v>
      </c>
      <c r="R9" s="26">
        <v>19947</v>
      </c>
      <c r="S9" s="26">
        <v>19991</v>
      </c>
      <c r="T9" s="26"/>
    </row>
    <row r="10" spans="1:20" hidden="1" x14ac:dyDescent="0.2">
      <c r="A10" s="18">
        <f t="shared" ref="A10:A25" si="1">A9+1</f>
        <v>1980</v>
      </c>
      <c r="B10" s="26"/>
      <c r="C10" s="26">
        <v>13990</v>
      </c>
      <c r="D10" s="26">
        <v>22484</v>
      </c>
      <c r="E10" s="26">
        <v>24950</v>
      </c>
      <c r="F10" s="26">
        <v>33255</v>
      </c>
      <c r="G10" s="26">
        <v>33295</v>
      </c>
      <c r="H10" s="26">
        <v>34308</v>
      </c>
      <c r="I10" s="26">
        <v>34022</v>
      </c>
      <c r="J10" s="26">
        <v>34023</v>
      </c>
      <c r="K10" s="26">
        <v>33842</v>
      </c>
      <c r="L10" s="26">
        <v>33933</v>
      </c>
      <c r="M10" s="26">
        <v>33570</v>
      </c>
      <c r="N10" s="26">
        <v>31881</v>
      </c>
      <c r="O10" s="26">
        <v>32203</v>
      </c>
      <c r="P10" s="26">
        <v>32345</v>
      </c>
      <c r="Q10" s="26">
        <v>32250</v>
      </c>
      <c r="R10" s="26">
        <v>32168</v>
      </c>
      <c r="S10" s="26"/>
      <c r="T10" s="26"/>
    </row>
    <row r="11" spans="1:20" hidden="1" x14ac:dyDescent="0.2">
      <c r="A11" s="18">
        <f t="shared" si="1"/>
        <v>1981</v>
      </c>
      <c r="B11" s="26"/>
      <c r="C11" s="26">
        <v>16550</v>
      </c>
      <c r="D11" s="26">
        <v>28056</v>
      </c>
      <c r="E11" s="26">
        <v>39995</v>
      </c>
      <c r="F11" s="26">
        <v>42459</v>
      </c>
      <c r="G11" s="26">
        <v>42797</v>
      </c>
      <c r="H11" s="26">
        <v>42755</v>
      </c>
      <c r="I11" s="26">
        <v>42435</v>
      </c>
      <c r="J11" s="26">
        <v>42302</v>
      </c>
      <c r="K11" s="26">
        <v>42095</v>
      </c>
      <c r="L11" s="26">
        <v>41606</v>
      </c>
      <c r="M11" s="26">
        <v>40440</v>
      </c>
      <c r="N11" s="26">
        <v>40432</v>
      </c>
      <c r="O11" s="26">
        <v>40326</v>
      </c>
      <c r="P11" s="26">
        <v>40337</v>
      </c>
      <c r="Q11" s="26">
        <v>40096</v>
      </c>
      <c r="R11" s="26"/>
      <c r="S11" s="26"/>
      <c r="T11" s="26"/>
    </row>
    <row r="12" spans="1:20" hidden="1" x14ac:dyDescent="0.2">
      <c r="A12" s="18">
        <f t="shared" si="1"/>
        <v>1982</v>
      </c>
      <c r="B12" s="26"/>
      <c r="C12" s="26">
        <v>11100</v>
      </c>
      <c r="D12" s="26">
        <v>31620</v>
      </c>
      <c r="E12" s="26">
        <v>40852</v>
      </c>
      <c r="F12" s="26">
        <v>38831</v>
      </c>
      <c r="G12" s="26">
        <v>39516</v>
      </c>
      <c r="H12" s="26">
        <v>39870</v>
      </c>
      <c r="I12" s="26">
        <v>40358</v>
      </c>
      <c r="J12" s="26">
        <v>40355</v>
      </c>
      <c r="K12" s="26">
        <v>40116</v>
      </c>
      <c r="L12" s="26">
        <v>39888</v>
      </c>
      <c r="M12" s="26">
        <v>39898</v>
      </c>
      <c r="N12" s="26">
        <v>40147</v>
      </c>
      <c r="O12" s="26">
        <v>39827</v>
      </c>
      <c r="P12" s="26">
        <v>40200</v>
      </c>
      <c r="Q12" s="26"/>
      <c r="R12" s="26"/>
      <c r="S12" s="26"/>
      <c r="T12" s="26"/>
    </row>
    <row r="13" spans="1:20" hidden="1" x14ac:dyDescent="0.2">
      <c r="A13" s="18">
        <f t="shared" si="1"/>
        <v>1983</v>
      </c>
      <c r="B13" s="26"/>
      <c r="C13" s="26">
        <v>15677</v>
      </c>
      <c r="D13" s="26">
        <v>33074</v>
      </c>
      <c r="E13" s="26">
        <v>35592</v>
      </c>
      <c r="F13" s="26">
        <v>35721</v>
      </c>
      <c r="G13" s="26">
        <v>38652</v>
      </c>
      <c r="H13" s="26">
        <v>39418</v>
      </c>
      <c r="I13" s="26">
        <v>39223</v>
      </c>
      <c r="J13" s="26">
        <v>39696</v>
      </c>
      <c r="K13" s="26">
        <v>37769</v>
      </c>
      <c r="L13" s="26">
        <v>37894</v>
      </c>
      <c r="M13" s="26">
        <v>37369</v>
      </c>
      <c r="N13" s="26">
        <v>37345</v>
      </c>
      <c r="O13" s="26">
        <v>37075</v>
      </c>
      <c r="P13" s="26"/>
      <c r="Q13" s="26"/>
      <c r="R13" s="26"/>
      <c r="S13" s="26"/>
      <c r="T13" s="26"/>
    </row>
    <row r="14" spans="1:20" hidden="1" x14ac:dyDescent="0.2">
      <c r="A14" s="18">
        <f t="shared" si="1"/>
        <v>1984</v>
      </c>
      <c r="B14" s="26"/>
      <c r="C14" s="26">
        <v>20375</v>
      </c>
      <c r="D14" s="26">
        <v>33555</v>
      </c>
      <c r="E14" s="26">
        <v>41756</v>
      </c>
      <c r="F14" s="26">
        <v>45125</v>
      </c>
      <c r="G14" s="26">
        <v>47284</v>
      </c>
      <c r="H14" s="26">
        <v>51710</v>
      </c>
      <c r="I14" s="26">
        <v>52147</v>
      </c>
      <c r="J14" s="26">
        <v>51187</v>
      </c>
      <c r="K14" s="26">
        <v>51950</v>
      </c>
      <c r="L14" s="26">
        <v>50967</v>
      </c>
      <c r="M14" s="26">
        <v>51461</v>
      </c>
      <c r="N14" s="26">
        <v>51382</v>
      </c>
      <c r="O14" s="26"/>
      <c r="P14" s="26"/>
      <c r="Q14" s="26"/>
      <c r="R14" s="26"/>
      <c r="S14" s="26"/>
      <c r="T14" s="26"/>
    </row>
    <row r="15" spans="1:20" hidden="1" x14ac:dyDescent="0.2">
      <c r="A15" s="18">
        <f t="shared" si="1"/>
        <v>1985</v>
      </c>
      <c r="B15" s="26"/>
      <c r="C15" s="26">
        <v>9800</v>
      </c>
      <c r="D15" s="26">
        <v>24663</v>
      </c>
      <c r="E15" s="26">
        <v>36061</v>
      </c>
      <c r="F15" s="26">
        <v>37927</v>
      </c>
      <c r="G15" s="26">
        <v>40042</v>
      </c>
      <c r="H15" s="26">
        <v>40562</v>
      </c>
      <c r="I15" s="26">
        <v>40362</v>
      </c>
      <c r="J15" s="26">
        <v>40884</v>
      </c>
      <c r="K15" s="26">
        <v>40597</v>
      </c>
      <c r="L15" s="26">
        <v>41304</v>
      </c>
      <c r="M15" s="26">
        <v>42378</v>
      </c>
      <c r="N15" s="26"/>
      <c r="O15" s="26"/>
      <c r="P15" s="26"/>
      <c r="Q15" s="26"/>
      <c r="R15" s="26"/>
      <c r="S15" s="26"/>
      <c r="T15" s="26"/>
    </row>
    <row r="16" spans="1:20" hidden="1" x14ac:dyDescent="0.2">
      <c r="A16" s="18">
        <f t="shared" si="1"/>
        <v>1986</v>
      </c>
      <c r="B16" s="26"/>
      <c r="C16" s="26">
        <v>11380</v>
      </c>
      <c r="D16" s="26">
        <v>26843</v>
      </c>
      <c r="E16" s="26">
        <v>34931</v>
      </c>
      <c r="F16" s="26">
        <v>37805</v>
      </c>
      <c r="G16" s="26">
        <v>41277</v>
      </c>
      <c r="H16" s="26">
        <v>44901</v>
      </c>
      <c r="I16" s="26">
        <v>45867</v>
      </c>
      <c r="J16" s="26">
        <v>45404</v>
      </c>
      <c r="K16" s="26">
        <v>45347</v>
      </c>
      <c r="L16" s="26">
        <v>44383</v>
      </c>
      <c r="M16" s="26"/>
      <c r="N16" s="26"/>
      <c r="O16" s="26"/>
      <c r="P16" s="26"/>
      <c r="Q16" s="26"/>
      <c r="R16" s="26"/>
      <c r="S16" s="26"/>
      <c r="T16" s="26"/>
    </row>
    <row r="17" spans="1:20" hidden="1" x14ac:dyDescent="0.2">
      <c r="A17" s="18">
        <f t="shared" si="1"/>
        <v>1987</v>
      </c>
      <c r="B17" s="26"/>
      <c r="C17" s="26">
        <v>10226</v>
      </c>
      <c r="D17" s="26">
        <v>20511</v>
      </c>
      <c r="E17" s="26">
        <v>26882</v>
      </c>
      <c r="F17" s="26">
        <v>32326</v>
      </c>
      <c r="G17" s="26">
        <v>35257</v>
      </c>
      <c r="H17" s="26">
        <v>40557</v>
      </c>
      <c r="I17" s="26">
        <v>43753</v>
      </c>
      <c r="J17" s="26">
        <v>44609</v>
      </c>
      <c r="K17" s="26">
        <v>44196</v>
      </c>
      <c r="L17" s="26"/>
      <c r="M17" s="26"/>
      <c r="N17" s="26"/>
      <c r="O17" s="26"/>
      <c r="P17" s="26"/>
      <c r="Q17" s="26"/>
      <c r="R17" s="26"/>
      <c r="S17" s="26"/>
      <c r="T17" s="26"/>
    </row>
    <row r="18" spans="1:20" hidden="1" x14ac:dyDescent="0.2">
      <c r="A18" s="18">
        <f t="shared" si="1"/>
        <v>1988</v>
      </c>
      <c r="B18" s="26"/>
      <c r="C18" s="26">
        <v>8170</v>
      </c>
      <c r="D18" s="26">
        <v>18567</v>
      </c>
      <c r="E18" s="26">
        <v>26472</v>
      </c>
      <c r="F18" s="26">
        <v>33002</v>
      </c>
      <c r="G18" s="26">
        <v>36321</v>
      </c>
      <c r="H18" s="26">
        <v>37047</v>
      </c>
      <c r="I18" s="26">
        <v>39675</v>
      </c>
      <c r="J18" s="26">
        <v>40398</v>
      </c>
      <c r="K18" s="26"/>
      <c r="L18" s="26"/>
      <c r="M18" s="26"/>
      <c r="N18" s="26"/>
      <c r="O18" s="26"/>
      <c r="P18" s="26"/>
      <c r="Q18" s="26"/>
      <c r="R18" s="26"/>
      <c r="S18" s="26"/>
      <c r="T18" s="26"/>
    </row>
    <row r="19" spans="1:20" hidden="1" x14ac:dyDescent="0.2">
      <c r="A19" s="18">
        <f t="shared" si="1"/>
        <v>1989</v>
      </c>
      <c r="B19" s="26"/>
      <c r="C19" s="26">
        <v>10433</v>
      </c>
      <c r="D19" s="26">
        <v>19484</v>
      </c>
      <c r="E19" s="26">
        <v>32103</v>
      </c>
      <c r="F19" s="26">
        <v>38936</v>
      </c>
      <c r="G19" s="26">
        <v>45851</v>
      </c>
      <c r="H19" s="26">
        <v>45133</v>
      </c>
      <c r="I19" s="26">
        <v>45501</v>
      </c>
      <c r="J19" s="26"/>
      <c r="K19" s="26"/>
      <c r="L19" s="26"/>
      <c r="M19" s="26"/>
      <c r="N19" s="26"/>
      <c r="O19" s="26"/>
      <c r="P19" s="26"/>
      <c r="Q19" s="26"/>
      <c r="R19" s="26"/>
      <c r="S19" s="26"/>
      <c r="T19" s="26"/>
    </row>
    <row r="20" spans="1:20" hidden="1" x14ac:dyDescent="0.2">
      <c r="A20" s="18">
        <f t="shared" si="1"/>
        <v>1990</v>
      </c>
      <c r="B20" s="26"/>
      <c r="C20" s="26">
        <v>9661</v>
      </c>
      <c r="D20" s="26">
        <v>23808</v>
      </c>
      <c r="E20" s="26">
        <v>32966</v>
      </c>
      <c r="F20" s="26">
        <v>42907</v>
      </c>
      <c r="G20" s="26">
        <v>46930</v>
      </c>
      <c r="H20" s="26">
        <v>49300</v>
      </c>
      <c r="I20" s="26"/>
      <c r="J20" s="26"/>
      <c r="K20" s="26"/>
      <c r="L20" s="26"/>
      <c r="M20" s="26"/>
      <c r="N20" s="26"/>
      <c r="O20" s="26"/>
      <c r="P20" s="26"/>
      <c r="Q20" s="26"/>
      <c r="R20" s="26"/>
      <c r="S20" s="26"/>
      <c r="T20" s="26"/>
    </row>
    <row r="21" spans="1:20" hidden="1" x14ac:dyDescent="0.2">
      <c r="A21" s="18">
        <f t="shared" si="1"/>
        <v>1991</v>
      </c>
      <c r="B21" s="26"/>
      <c r="C21" s="26">
        <v>14275</v>
      </c>
      <c r="D21" s="26">
        <v>25551</v>
      </c>
      <c r="E21" s="26">
        <v>33754</v>
      </c>
      <c r="F21" s="26">
        <v>38674</v>
      </c>
      <c r="G21" s="26">
        <v>41132</v>
      </c>
      <c r="H21" s="26"/>
      <c r="I21" s="26"/>
      <c r="J21" s="26"/>
      <c r="K21" s="26"/>
      <c r="L21" s="26"/>
      <c r="M21" s="26"/>
      <c r="N21" s="26"/>
      <c r="O21" s="26"/>
      <c r="P21" s="26"/>
      <c r="Q21" s="26"/>
      <c r="R21" s="26"/>
      <c r="S21" s="26"/>
      <c r="T21" s="26"/>
    </row>
    <row r="22" spans="1:20" hidden="1" x14ac:dyDescent="0.2">
      <c r="A22" s="18">
        <f t="shared" si="1"/>
        <v>1992</v>
      </c>
      <c r="B22" s="26"/>
      <c r="C22" s="26">
        <v>13245</v>
      </c>
      <c r="D22" s="26">
        <v>29206</v>
      </c>
      <c r="E22" s="26">
        <v>36987</v>
      </c>
      <c r="F22" s="26">
        <v>44075</v>
      </c>
      <c r="G22" s="26"/>
      <c r="H22" s="26"/>
      <c r="I22" s="26"/>
      <c r="J22" s="26"/>
      <c r="K22" s="26"/>
      <c r="L22" s="26"/>
      <c r="M22" s="26"/>
      <c r="N22" s="26"/>
      <c r="O22" s="26"/>
      <c r="P22" s="26"/>
      <c r="Q22" s="26"/>
      <c r="R22" s="26"/>
      <c r="S22" s="26"/>
      <c r="T22" s="26"/>
    </row>
    <row r="23" spans="1:20" hidden="1" x14ac:dyDescent="0.2">
      <c r="A23" s="18">
        <f t="shared" si="1"/>
        <v>1993</v>
      </c>
      <c r="B23" s="26"/>
      <c r="C23" s="26">
        <v>14711</v>
      </c>
      <c r="D23" s="26">
        <v>27082</v>
      </c>
      <c r="E23" s="26">
        <v>34230</v>
      </c>
      <c r="F23" s="26"/>
      <c r="G23" s="26"/>
      <c r="H23" s="26"/>
      <c r="I23" s="26"/>
      <c r="J23" s="26"/>
      <c r="K23" s="26"/>
      <c r="L23" s="26"/>
      <c r="M23" s="26"/>
      <c r="N23" s="26"/>
      <c r="O23" s="26"/>
      <c r="P23" s="26"/>
      <c r="Q23" s="26"/>
      <c r="R23" s="26"/>
      <c r="S23" s="26"/>
      <c r="T23" s="26"/>
    </row>
    <row r="24" spans="1:20" hidden="1" x14ac:dyDescent="0.2">
      <c r="A24" s="18">
        <f t="shared" si="1"/>
        <v>1994</v>
      </c>
      <c r="B24" s="26"/>
      <c r="C24" s="26">
        <v>12476</v>
      </c>
      <c r="D24" s="26">
        <v>23126</v>
      </c>
      <c r="E24" s="26"/>
      <c r="F24" s="26"/>
      <c r="G24" s="26"/>
      <c r="H24" s="26"/>
      <c r="I24" s="26"/>
      <c r="J24" s="26"/>
      <c r="K24" s="26"/>
      <c r="L24" s="26"/>
      <c r="M24" s="26"/>
      <c r="N24" s="26"/>
      <c r="O24" s="26"/>
      <c r="P24" s="26"/>
      <c r="Q24" s="26"/>
      <c r="R24" s="26"/>
      <c r="S24" s="26"/>
      <c r="T24" s="26"/>
    </row>
    <row r="25" spans="1:20" hidden="1" x14ac:dyDescent="0.2">
      <c r="A25" s="18">
        <f t="shared" si="1"/>
        <v>1995</v>
      </c>
      <c r="B25" s="26"/>
      <c r="C25" s="26">
        <v>9715</v>
      </c>
      <c r="D25" s="26"/>
      <c r="E25" s="26"/>
      <c r="F25" s="26"/>
      <c r="G25" s="26"/>
      <c r="H25" s="26"/>
      <c r="I25" s="26"/>
      <c r="J25" s="26"/>
      <c r="K25" s="26"/>
      <c r="L25" s="26"/>
      <c r="M25" s="26"/>
      <c r="N25" s="26"/>
      <c r="O25" s="26"/>
      <c r="P25" s="26"/>
      <c r="Q25" s="26"/>
      <c r="R25" s="26"/>
      <c r="S25" s="26"/>
      <c r="T25" s="26"/>
    </row>
    <row r="27" spans="1:20" x14ac:dyDescent="0.2">
      <c r="A27" s="19" t="s">
        <v>216</v>
      </c>
      <c r="B27" s="20" t="s">
        <v>220</v>
      </c>
      <c r="C27" s="16" t="s">
        <v>221</v>
      </c>
      <c r="D27" s="21"/>
      <c r="E27" s="21"/>
      <c r="F27" s="21"/>
      <c r="G27" s="21"/>
      <c r="H27" s="21"/>
      <c r="I27" s="21"/>
      <c r="J27" s="21"/>
      <c r="K27" s="21"/>
      <c r="L27" s="21"/>
      <c r="M27" s="21"/>
      <c r="N27" s="21"/>
      <c r="O27" s="21"/>
      <c r="P27" s="21"/>
      <c r="Q27" s="21"/>
      <c r="R27" s="21"/>
      <c r="S27" s="21"/>
      <c r="T27" s="21"/>
    </row>
    <row r="28" spans="1:20" x14ac:dyDescent="0.2">
      <c r="A28" s="23" t="s">
        <v>218</v>
      </c>
      <c r="B28" s="24" t="s">
        <v>222</v>
      </c>
      <c r="C28" s="21">
        <v>0</v>
      </c>
      <c r="D28" s="21">
        <f t="shared" ref="D28:T28" si="2">C28+1</f>
        <v>1</v>
      </c>
      <c r="E28" s="21">
        <f t="shared" si="2"/>
        <v>2</v>
      </c>
      <c r="F28" s="21">
        <f t="shared" si="2"/>
        <v>3</v>
      </c>
      <c r="G28" s="21">
        <f t="shared" si="2"/>
        <v>4</v>
      </c>
      <c r="H28" s="21">
        <f t="shared" si="2"/>
        <v>5</v>
      </c>
      <c r="I28" s="21">
        <f t="shared" si="2"/>
        <v>6</v>
      </c>
      <c r="J28" s="21">
        <f t="shared" si="2"/>
        <v>7</v>
      </c>
      <c r="K28" s="21">
        <f t="shared" si="2"/>
        <v>8</v>
      </c>
      <c r="L28" s="21">
        <f t="shared" si="2"/>
        <v>9</v>
      </c>
      <c r="M28" s="21">
        <f t="shared" si="2"/>
        <v>10</v>
      </c>
      <c r="N28" s="21">
        <f t="shared" si="2"/>
        <v>11</v>
      </c>
      <c r="O28" s="21">
        <f t="shared" si="2"/>
        <v>12</v>
      </c>
      <c r="P28" s="21">
        <f t="shared" si="2"/>
        <v>13</v>
      </c>
      <c r="Q28" s="21">
        <f t="shared" si="2"/>
        <v>14</v>
      </c>
      <c r="R28" s="21">
        <f t="shared" si="2"/>
        <v>15</v>
      </c>
      <c r="S28" s="21">
        <f t="shared" si="2"/>
        <v>16</v>
      </c>
      <c r="T28" s="21">
        <f t="shared" si="2"/>
        <v>17</v>
      </c>
    </row>
    <row r="29" spans="1:20" x14ac:dyDescent="0.2">
      <c r="C29" s="25" t="s">
        <v>219</v>
      </c>
      <c r="D29" s="25" t="s">
        <v>219</v>
      </c>
      <c r="E29" s="25" t="s">
        <v>219</v>
      </c>
      <c r="F29" s="25" t="s">
        <v>219</v>
      </c>
      <c r="G29" s="25" t="s">
        <v>219</v>
      </c>
      <c r="H29" s="25" t="s">
        <v>219</v>
      </c>
      <c r="I29" s="25" t="s">
        <v>219</v>
      </c>
      <c r="J29" s="25" t="s">
        <v>219</v>
      </c>
      <c r="K29" s="25" t="s">
        <v>219</v>
      </c>
      <c r="L29" s="25" t="s">
        <v>219</v>
      </c>
      <c r="M29" s="25" t="s">
        <v>219</v>
      </c>
      <c r="N29" s="25" t="s">
        <v>219</v>
      </c>
      <c r="O29" s="25" t="s">
        <v>219</v>
      </c>
      <c r="P29" s="25" t="s">
        <v>219</v>
      </c>
      <c r="Q29" s="25" t="s">
        <v>219</v>
      </c>
      <c r="R29" s="25" t="s">
        <v>219</v>
      </c>
      <c r="S29" s="25" t="s">
        <v>219</v>
      </c>
      <c r="T29" s="25" t="s">
        <v>219</v>
      </c>
    </row>
    <row r="31" spans="1:20" x14ac:dyDescent="0.2">
      <c r="A31" s="18">
        <f t="shared" ref="A31:A48" si="3">A8</f>
        <v>1978</v>
      </c>
      <c r="B31" s="27">
        <v>1</v>
      </c>
      <c r="C31" s="26">
        <f t="shared" ref="C31:C48" si="4">C8*B31</f>
        <v>9268</v>
      </c>
      <c r="D31" s="26">
        <f t="shared" ref="D31:D47" si="5">D8*B32</f>
        <v>18263</v>
      </c>
      <c r="E31" s="26">
        <f t="shared" ref="E31:E45" si="6">E8*B33</f>
        <v>20182</v>
      </c>
      <c r="F31" s="26">
        <f t="shared" ref="F31:F45" si="7">F8*B34</f>
        <v>22383</v>
      </c>
      <c r="G31" s="26">
        <f t="shared" ref="G31:G44" si="8">G8*B35</f>
        <v>22782</v>
      </c>
      <c r="H31" s="26">
        <f t="shared" ref="H31:H43" si="9">H8*B36</f>
        <v>26348</v>
      </c>
      <c r="I31" s="26">
        <f t="shared" ref="I31:I42" si="10">I8*B37</f>
        <v>26172</v>
      </c>
      <c r="J31" s="26">
        <f t="shared" ref="J31:J41" si="11">J8*B38</f>
        <v>26184</v>
      </c>
      <c r="K31" s="26">
        <f t="shared" ref="K31:K40" si="12">K8*B39</f>
        <v>25455</v>
      </c>
      <c r="L31" s="26">
        <f t="shared" ref="L31:L39" si="13">L8*B40</f>
        <v>25740</v>
      </c>
      <c r="M31" s="26">
        <f t="shared" ref="M31:M38" si="14">M8*B41</f>
        <v>25711</v>
      </c>
      <c r="N31" s="26">
        <f t="shared" ref="N31:N37" si="15">N8*B42</f>
        <v>25452</v>
      </c>
      <c r="O31" s="26">
        <f t="shared" ref="O31:O36" si="16">O8*B43</f>
        <v>25460</v>
      </c>
      <c r="P31" s="26">
        <f>P8*B44</f>
        <v>25422</v>
      </c>
      <c r="Q31" s="26">
        <f>Q8*B45</f>
        <v>25386</v>
      </c>
      <c r="R31" s="26">
        <f>R8*B46</f>
        <v>25520</v>
      </c>
      <c r="S31" s="26">
        <f>S8*B47</f>
        <v>25646</v>
      </c>
      <c r="T31" s="26">
        <f>T8*B48</f>
        <v>25469</v>
      </c>
    </row>
    <row r="32" spans="1:20" x14ac:dyDescent="0.2">
      <c r="A32" s="18">
        <f t="shared" si="3"/>
        <v>1979</v>
      </c>
      <c r="B32" s="27">
        <f>B31</f>
        <v>1</v>
      </c>
      <c r="C32" s="26">
        <f t="shared" si="4"/>
        <v>9848</v>
      </c>
      <c r="D32" s="26">
        <f t="shared" si="5"/>
        <v>16123</v>
      </c>
      <c r="E32" s="26">
        <f t="shared" si="6"/>
        <v>17099</v>
      </c>
      <c r="F32" s="26">
        <f t="shared" si="7"/>
        <v>18544</v>
      </c>
      <c r="G32" s="26">
        <f t="shared" si="8"/>
        <v>20534</v>
      </c>
      <c r="H32" s="26">
        <f t="shared" si="9"/>
        <v>21554</v>
      </c>
      <c r="I32" s="26">
        <f t="shared" si="10"/>
        <v>23219</v>
      </c>
      <c r="J32" s="26">
        <f t="shared" si="11"/>
        <v>22381</v>
      </c>
      <c r="K32" s="26">
        <f t="shared" si="12"/>
        <v>21584</v>
      </c>
      <c r="L32" s="26">
        <f t="shared" si="13"/>
        <v>21408</v>
      </c>
      <c r="M32" s="26">
        <f t="shared" si="14"/>
        <v>20857</v>
      </c>
      <c r="N32" s="26">
        <f t="shared" si="15"/>
        <v>21163</v>
      </c>
      <c r="O32" s="26">
        <f t="shared" si="16"/>
        <v>20482</v>
      </c>
      <c r="P32" s="26">
        <f>P9*B45</f>
        <v>19971</v>
      </c>
      <c r="Q32" s="26">
        <f>Q9*B46</f>
        <v>19958</v>
      </c>
      <c r="R32" s="26">
        <f>R9*B47</f>
        <v>19947</v>
      </c>
      <c r="S32" s="26">
        <f>S9*B48</f>
        <v>19991</v>
      </c>
      <c r="T32" s="26"/>
    </row>
    <row r="33" spans="1:20" x14ac:dyDescent="0.2">
      <c r="A33" s="18">
        <f t="shared" si="3"/>
        <v>1980</v>
      </c>
      <c r="B33" s="27">
        <f t="shared" ref="B33:B48" si="17">B32</f>
        <v>1</v>
      </c>
      <c r="C33" s="26">
        <f t="shared" si="4"/>
        <v>13990</v>
      </c>
      <c r="D33" s="26">
        <f t="shared" si="5"/>
        <v>22484</v>
      </c>
      <c r="E33" s="26">
        <f t="shared" si="6"/>
        <v>24950</v>
      </c>
      <c r="F33" s="26">
        <f t="shared" si="7"/>
        <v>33255</v>
      </c>
      <c r="G33" s="26">
        <f t="shared" si="8"/>
        <v>33295</v>
      </c>
      <c r="H33" s="26">
        <f t="shared" si="9"/>
        <v>34308</v>
      </c>
      <c r="I33" s="26">
        <f t="shared" si="10"/>
        <v>34022</v>
      </c>
      <c r="J33" s="26">
        <f t="shared" si="11"/>
        <v>34023</v>
      </c>
      <c r="K33" s="26">
        <f t="shared" si="12"/>
        <v>33842</v>
      </c>
      <c r="L33" s="26">
        <f t="shared" si="13"/>
        <v>33933</v>
      </c>
      <c r="M33" s="26">
        <f t="shared" si="14"/>
        <v>33570</v>
      </c>
      <c r="N33" s="26">
        <f t="shared" si="15"/>
        <v>31881</v>
      </c>
      <c r="O33" s="26">
        <f t="shared" si="16"/>
        <v>32203</v>
      </c>
      <c r="P33" s="26">
        <f>P10*B46</f>
        <v>32345</v>
      </c>
      <c r="Q33" s="26">
        <f>Q10*B47</f>
        <v>32250</v>
      </c>
      <c r="R33" s="26">
        <f>R10*B48</f>
        <v>32168</v>
      </c>
      <c r="S33" s="26"/>
      <c r="T33" s="26"/>
    </row>
    <row r="34" spans="1:20" x14ac:dyDescent="0.2">
      <c r="A34" s="18">
        <f t="shared" si="3"/>
        <v>1981</v>
      </c>
      <c r="B34" s="27">
        <f t="shared" si="17"/>
        <v>1</v>
      </c>
      <c r="C34" s="26">
        <f t="shared" si="4"/>
        <v>16550</v>
      </c>
      <c r="D34" s="26">
        <f t="shared" si="5"/>
        <v>28056</v>
      </c>
      <c r="E34" s="26">
        <f t="shared" si="6"/>
        <v>39995</v>
      </c>
      <c r="F34" s="26">
        <f t="shared" si="7"/>
        <v>42459</v>
      </c>
      <c r="G34" s="26">
        <f t="shared" si="8"/>
        <v>42797</v>
      </c>
      <c r="H34" s="26">
        <f t="shared" si="9"/>
        <v>42755</v>
      </c>
      <c r="I34" s="26">
        <f t="shared" si="10"/>
        <v>42435</v>
      </c>
      <c r="J34" s="26">
        <f t="shared" si="11"/>
        <v>42302</v>
      </c>
      <c r="K34" s="26">
        <f t="shared" si="12"/>
        <v>42095</v>
      </c>
      <c r="L34" s="26">
        <f t="shared" si="13"/>
        <v>41606</v>
      </c>
      <c r="M34" s="26">
        <f t="shared" si="14"/>
        <v>40440</v>
      </c>
      <c r="N34" s="26">
        <f t="shared" si="15"/>
        <v>40432</v>
      </c>
      <c r="O34" s="26">
        <f t="shared" si="16"/>
        <v>40326</v>
      </c>
      <c r="P34" s="26">
        <f>P11*B47</f>
        <v>40337</v>
      </c>
      <c r="Q34" s="26">
        <f>Q11*B48</f>
        <v>40096</v>
      </c>
      <c r="R34" s="26"/>
      <c r="S34" s="26"/>
      <c r="T34" s="26"/>
    </row>
    <row r="35" spans="1:20" x14ac:dyDescent="0.2">
      <c r="A35" s="18">
        <f t="shared" si="3"/>
        <v>1982</v>
      </c>
      <c r="B35" s="27">
        <f t="shared" si="17"/>
        <v>1</v>
      </c>
      <c r="C35" s="26">
        <f t="shared" si="4"/>
        <v>11100</v>
      </c>
      <c r="D35" s="26">
        <f t="shared" si="5"/>
        <v>31620</v>
      </c>
      <c r="E35" s="26">
        <f t="shared" si="6"/>
        <v>40852</v>
      </c>
      <c r="F35" s="26">
        <f t="shared" si="7"/>
        <v>38831</v>
      </c>
      <c r="G35" s="26">
        <f t="shared" si="8"/>
        <v>39516</v>
      </c>
      <c r="H35" s="26">
        <f t="shared" si="9"/>
        <v>39870</v>
      </c>
      <c r="I35" s="26">
        <f t="shared" si="10"/>
        <v>40358</v>
      </c>
      <c r="J35" s="26">
        <f t="shared" si="11"/>
        <v>40355</v>
      </c>
      <c r="K35" s="26">
        <f t="shared" si="12"/>
        <v>40116</v>
      </c>
      <c r="L35" s="26">
        <f t="shared" si="13"/>
        <v>39888</v>
      </c>
      <c r="M35" s="26">
        <f t="shared" si="14"/>
        <v>39898</v>
      </c>
      <c r="N35" s="26">
        <f t="shared" si="15"/>
        <v>40147</v>
      </c>
      <c r="O35" s="26">
        <f t="shared" si="16"/>
        <v>39827</v>
      </c>
      <c r="P35" s="26">
        <f>P12*B48</f>
        <v>40200</v>
      </c>
      <c r="Q35" s="26"/>
      <c r="R35" s="26"/>
      <c r="S35" s="26"/>
      <c r="T35" s="26"/>
    </row>
    <row r="36" spans="1:20" x14ac:dyDescent="0.2">
      <c r="A36" s="18">
        <f t="shared" si="3"/>
        <v>1983</v>
      </c>
      <c r="B36" s="27">
        <f t="shared" si="17"/>
        <v>1</v>
      </c>
      <c r="C36" s="26">
        <f t="shared" si="4"/>
        <v>15677</v>
      </c>
      <c r="D36" s="26">
        <f t="shared" si="5"/>
        <v>33074</v>
      </c>
      <c r="E36" s="26">
        <f t="shared" si="6"/>
        <v>35592</v>
      </c>
      <c r="F36" s="26">
        <f t="shared" si="7"/>
        <v>35721</v>
      </c>
      <c r="G36" s="26">
        <f t="shared" si="8"/>
        <v>38652</v>
      </c>
      <c r="H36" s="26">
        <f t="shared" si="9"/>
        <v>39418</v>
      </c>
      <c r="I36" s="26">
        <f t="shared" si="10"/>
        <v>39223</v>
      </c>
      <c r="J36" s="26">
        <f t="shared" si="11"/>
        <v>39696</v>
      </c>
      <c r="K36" s="26">
        <f t="shared" si="12"/>
        <v>37769</v>
      </c>
      <c r="L36" s="26">
        <f t="shared" si="13"/>
        <v>37894</v>
      </c>
      <c r="M36" s="26">
        <f t="shared" si="14"/>
        <v>37369</v>
      </c>
      <c r="N36" s="26">
        <f t="shared" si="15"/>
        <v>37345</v>
      </c>
      <c r="O36" s="26">
        <f t="shared" si="16"/>
        <v>37075</v>
      </c>
      <c r="P36" s="26"/>
      <c r="Q36" s="26"/>
      <c r="R36" s="26"/>
      <c r="S36" s="26"/>
      <c r="T36" s="26"/>
    </row>
    <row r="37" spans="1:20" x14ac:dyDescent="0.2">
      <c r="A37" s="18">
        <f t="shared" si="3"/>
        <v>1984</v>
      </c>
      <c r="B37" s="27">
        <f t="shared" si="17"/>
        <v>1</v>
      </c>
      <c r="C37" s="26">
        <f t="shared" si="4"/>
        <v>20375</v>
      </c>
      <c r="D37" s="26">
        <f t="shared" si="5"/>
        <v>33555</v>
      </c>
      <c r="E37" s="26">
        <f t="shared" si="6"/>
        <v>41756</v>
      </c>
      <c r="F37" s="26">
        <f t="shared" si="7"/>
        <v>45125</v>
      </c>
      <c r="G37" s="26">
        <f t="shared" si="8"/>
        <v>47284</v>
      </c>
      <c r="H37" s="26">
        <f t="shared" si="9"/>
        <v>51710</v>
      </c>
      <c r="I37" s="26">
        <f t="shared" si="10"/>
        <v>52147</v>
      </c>
      <c r="J37" s="26">
        <f t="shared" si="11"/>
        <v>51187</v>
      </c>
      <c r="K37" s="26">
        <f t="shared" si="12"/>
        <v>51950</v>
      </c>
      <c r="L37" s="26">
        <f t="shared" si="13"/>
        <v>50967</v>
      </c>
      <c r="M37" s="26">
        <f t="shared" si="14"/>
        <v>51461</v>
      </c>
      <c r="N37" s="26">
        <f t="shared" si="15"/>
        <v>51382</v>
      </c>
      <c r="O37" s="26"/>
      <c r="P37" s="26"/>
      <c r="Q37" s="26"/>
      <c r="R37" s="26"/>
      <c r="S37" s="26"/>
      <c r="T37" s="26"/>
    </row>
    <row r="38" spans="1:20" x14ac:dyDescent="0.2">
      <c r="A38" s="18">
        <f t="shared" si="3"/>
        <v>1985</v>
      </c>
      <c r="B38" s="27">
        <f t="shared" si="17"/>
        <v>1</v>
      </c>
      <c r="C38" s="26">
        <f t="shared" si="4"/>
        <v>9800</v>
      </c>
      <c r="D38" s="26">
        <f t="shared" si="5"/>
        <v>24663</v>
      </c>
      <c r="E38" s="26">
        <f t="shared" si="6"/>
        <v>36061</v>
      </c>
      <c r="F38" s="26">
        <f t="shared" si="7"/>
        <v>37927</v>
      </c>
      <c r="G38" s="26">
        <f t="shared" si="8"/>
        <v>40042</v>
      </c>
      <c r="H38" s="26">
        <f t="shared" si="9"/>
        <v>40562</v>
      </c>
      <c r="I38" s="26">
        <f t="shared" si="10"/>
        <v>40362</v>
      </c>
      <c r="J38" s="26">
        <f t="shared" si="11"/>
        <v>40884</v>
      </c>
      <c r="K38" s="26">
        <f t="shared" si="12"/>
        <v>40597</v>
      </c>
      <c r="L38" s="26">
        <f t="shared" si="13"/>
        <v>41304</v>
      </c>
      <c r="M38" s="26">
        <f t="shared" si="14"/>
        <v>42378</v>
      </c>
      <c r="N38" s="26"/>
      <c r="O38" s="26"/>
      <c r="P38" s="26"/>
      <c r="Q38" s="26"/>
      <c r="R38" s="26"/>
      <c r="S38" s="26"/>
      <c r="T38" s="26"/>
    </row>
    <row r="39" spans="1:20" x14ac:dyDescent="0.2">
      <c r="A39" s="18">
        <f t="shared" si="3"/>
        <v>1986</v>
      </c>
      <c r="B39" s="27">
        <f t="shared" si="17"/>
        <v>1</v>
      </c>
      <c r="C39" s="26">
        <f t="shared" si="4"/>
        <v>11380</v>
      </c>
      <c r="D39" s="26">
        <f t="shared" si="5"/>
        <v>26843</v>
      </c>
      <c r="E39" s="26">
        <f t="shared" si="6"/>
        <v>34931</v>
      </c>
      <c r="F39" s="26">
        <f t="shared" si="7"/>
        <v>37805</v>
      </c>
      <c r="G39" s="26">
        <f t="shared" si="8"/>
        <v>41277</v>
      </c>
      <c r="H39" s="26">
        <f t="shared" si="9"/>
        <v>44901</v>
      </c>
      <c r="I39" s="26">
        <f t="shared" si="10"/>
        <v>45867</v>
      </c>
      <c r="J39" s="26">
        <f t="shared" si="11"/>
        <v>45404</v>
      </c>
      <c r="K39" s="26">
        <f t="shared" si="12"/>
        <v>45347</v>
      </c>
      <c r="L39" s="26">
        <f t="shared" si="13"/>
        <v>44383</v>
      </c>
      <c r="M39" s="26"/>
      <c r="N39" s="26"/>
      <c r="O39" s="26"/>
      <c r="P39" s="26"/>
      <c r="Q39" s="26"/>
      <c r="R39" s="26"/>
      <c r="S39" s="26"/>
      <c r="T39" s="26"/>
    </row>
    <row r="40" spans="1:20" x14ac:dyDescent="0.2">
      <c r="A40" s="18">
        <f t="shared" si="3"/>
        <v>1987</v>
      </c>
      <c r="B40" s="27">
        <f t="shared" si="17"/>
        <v>1</v>
      </c>
      <c r="C40" s="26">
        <f t="shared" si="4"/>
        <v>10226</v>
      </c>
      <c r="D40" s="26">
        <f t="shared" si="5"/>
        <v>20511</v>
      </c>
      <c r="E40" s="26">
        <f>E17*B42</f>
        <v>26882</v>
      </c>
      <c r="F40" s="26">
        <f t="shared" si="7"/>
        <v>32326</v>
      </c>
      <c r="G40" s="26">
        <f t="shared" si="8"/>
        <v>35257</v>
      </c>
      <c r="H40" s="26">
        <f t="shared" si="9"/>
        <v>40557</v>
      </c>
      <c r="I40" s="26">
        <f t="shared" si="10"/>
        <v>43753</v>
      </c>
      <c r="J40" s="26">
        <f t="shared" si="11"/>
        <v>44609</v>
      </c>
      <c r="K40" s="26">
        <f t="shared" si="12"/>
        <v>44196</v>
      </c>
      <c r="L40" s="26"/>
      <c r="M40" s="26"/>
      <c r="N40" s="26"/>
      <c r="O40" s="26"/>
      <c r="P40" s="26"/>
      <c r="Q40" s="26"/>
      <c r="R40" s="26"/>
      <c r="S40" s="26"/>
      <c r="T40" s="26"/>
    </row>
    <row r="41" spans="1:20" x14ac:dyDescent="0.2">
      <c r="A41" s="18">
        <f t="shared" si="3"/>
        <v>1988</v>
      </c>
      <c r="B41" s="27">
        <f t="shared" si="17"/>
        <v>1</v>
      </c>
      <c r="C41" s="26">
        <f t="shared" si="4"/>
        <v>8170</v>
      </c>
      <c r="D41" s="26">
        <f t="shared" si="5"/>
        <v>18567</v>
      </c>
      <c r="E41" s="26">
        <f t="shared" si="6"/>
        <v>26472</v>
      </c>
      <c r="F41" s="26">
        <f t="shared" si="7"/>
        <v>33002</v>
      </c>
      <c r="G41" s="26">
        <f t="shared" si="8"/>
        <v>36321</v>
      </c>
      <c r="H41" s="26">
        <f t="shared" si="9"/>
        <v>37047</v>
      </c>
      <c r="I41" s="26">
        <f t="shared" si="10"/>
        <v>39675</v>
      </c>
      <c r="J41" s="26">
        <f t="shared" si="11"/>
        <v>40398</v>
      </c>
      <c r="K41" s="26"/>
      <c r="L41" s="26"/>
      <c r="M41" s="26"/>
      <c r="N41" s="26"/>
      <c r="O41" s="26"/>
      <c r="P41" s="26"/>
      <c r="Q41" s="26"/>
      <c r="R41" s="26"/>
      <c r="S41" s="26"/>
      <c r="T41" s="26"/>
    </row>
    <row r="42" spans="1:20" x14ac:dyDescent="0.2">
      <c r="A42" s="18">
        <f t="shared" si="3"/>
        <v>1989</v>
      </c>
      <c r="B42" s="27">
        <f t="shared" si="17"/>
        <v>1</v>
      </c>
      <c r="C42" s="26">
        <f t="shared" si="4"/>
        <v>10433</v>
      </c>
      <c r="D42" s="26">
        <f t="shared" si="5"/>
        <v>19484</v>
      </c>
      <c r="E42" s="26">
        <f t="shared" si="6"/>
        <v>32103</v>
      </c>
      <c r="F42" s="26">
        <f t="shared" si="7"/>
        <v>38936</v>
      </c>
      <c r="G42" s="26">
        <f t="shared" si="8"/>
        <v>45851</v>
      </c>
      <c r="H42" s="26">
        <f t="shared" si="9"/>
        <v>45133</v>
      </c>
      <c r="I42" s="26">
        <f t="shared" si="10"/>
        <v>45501</v>
      </c>
      <c r="J42" s="26"/>
      <c r="K42" s="26"/>
      <c r="L42" s="26"/>
      <c r="M42" s="26"/>
      <c r="N42" s="26"/>
      <c r="O42" s="26"/>
      <c r="P42" s="26"/>
      <c r="Q42" s="26"/>
      <c r="R42" s="26"/>
      <c r="S42" s="26"/>
      <c r="T42" s="26"/>
    </row>
    <row r="43" spans="1:20" x14ac:dyDescent="0.2">
      <c r="A43" s="18">
        <f t="shared" si="3"/>
        <v>1990</v>
      </c>
      <c r="B43" s="27">
        <f t="shared" si="17"/>
        <v>1</v>
      </c>
      <c r="C43" s="26">
        <f t="shared" si="4"/>
        <v>9661</v>
      </c>
      <c r="D43" s="26">
        <f t="shared" si="5"/>
        <v>23808</v>
      </c>
      <c r="E43" s="26">
        <f t="shared" si="6"/>
        <v>32966</v>
      </c>
      <c r="F43" s="26">
        <f t="shared" si="7"/>
        <v>42907</v>
      </c>
      <c r="G43" s="26">
        <f t="shared" si="8"/>
        <v>46930</v>
      </c>
      <c r="H43" s="26">
        <f t="shared" si="9"/>
        <v>49300</v>
      </c>
      <c r="I43" s="26"/>
      <c r="J43" s="26"/>
      <c r="K43" s="26"/>
      <c r="L43" s="26"/>
      <c r="M43" s="26"/>
      <c r="N43" s="26"/>
      <c r="O43" s="26"/>
      <c r="P43" s="26"/>
      <c r="Q43" s="26"/>
      <c r="R43" s="26"/>
      <c r="S43" s="26"/>
      <c r="T43" s="26"/>
    </row>
    <row r="44" spans="1:20" x14ac:dyDescent="0.2">
      <c r="A44" s="18">
        <f t="shared" si="3"/>
        <v>1991</v>
      </c>
      <c r="B44" s="27">
        <f t="shared" si="17"/>
        <v>1</v>
      </c>
      <c r="C44" s="26">
        <f t="shared" si="4"/>
        <v>14275</v>
      </c>
      <c r="D44" s="26">
        <f t="shared" si="5"/>
        <v>25551</v>
      </c>
      <c r="E44" s="26">
        <f t="shared" si="6"/>
        <v>33754</v>
      </c>
      <c r="F44" s="26">
        <f t="shared" si="7"/>
        <v>38674</v>
      </c>
      <c r="G44" s="26">
        <f t="shared" si="8"/>
        <v>41132</v>
      </c>
      <c r="H44" s="26"/>
      <c r="I44" s="26"/>
      <c r="J44" s="26"/>
      <c r="K44" s="26"/>
      <c r="L44" s="26"/>
      <c r="M44" s="26"/>
      <c r="N44" s="26"/>
      <c r="O44" s="26"/>
      <c r="P44" s="26"/>
      <c r="Q44" s="26"/>
      <c r="R44" s="26"/>
      <c r="S44" s="26"/>
      <c r="T44" s="26"/>
    </row>
    <row r="45" spans="1:20" x14ac:dyDescent="0.2">
      <c r="A45" s="18">
        <f t="shared" si="3"/>
        <v>1992</v>
      </c>
      <c r="B45" s="27">
        <f t="shared" si="17"/>
        <v>1</v>
      </c>
      <c r="C45" s="26">
        <f t="shared" si="4"/>
        <v>13245</v>
      </c>
      <c r="D45" s="26">
        <f t="shared" si="5"/>
        <v>29206</v>
      </c>
      <c r="E45" s="26">
        <f t="shared" si="6"/>
        <v>36987</v>
      </c>
      <c r="F45" s="26">
        <f t="shared" si="7"/>
        <v>44075</v>
      </c>
      <c r="G45" s="26"/>
      <c r="H45" s="26"/>
      <c r="I45" s="26"/>
      <c r="J45" s="26"/>
      <c r="K45" s="26"/>
      <c r="L45" s="26"/>
      <c r="M45" s="26"/>
      <c r="N45" s="26"/>
      <c r="O45" s="26"/>
      <c r="P45" s="26"/>
      <c r="Q45" s="26"/>
      <c r="R45" s="26"/>
      <c r="S45" s="26"/>
      <c r="T45" s="26"/>
    </row>
    <row r="46" spans="1:20" x14ac:dyDescent="0.2">
      <c r="A46" s="18">
        <f t="shared" si="3"/>
        <v>1993</v>
      </c>
      <c r="B46" s="27">
        <f t="shared" si="17"/>
        <v>1</v>
      </c>
      <c r="C46" s="26">
        <f t="shared" si="4"/>
        <v>14711</v>
      </c>
      <c r="D46" s="26">
        <f t="shared" si="5"/>
        <v>27082</v>
      </c>
      <c r="E46" s="26">
        <f>E23*B48</f>
        <v>34230</v>
      </c>
      <c r="F46" s="26"/>
      <c r="G46" s="26"/>
      <c r="H46" s="26"/>
      <c r="I46" s="26"/>
      <c r="J46" s="26"/>
      <c r="K46" s="26"/>
      <c r="L46" s="26"/>
      <c r="M46" s="26"/>
      <c r="N46" s="26"/>
      <c r="O46" s="26"/>
      <c r="P46" s="26"/>
      <c r="Q46" s="26"/>
      <c r="R46" s="26"/>
      <c r="S46" s="26"/>
      <c r="T46" s="26"/>
    </row>
    <row r="47" spans="1:20" x14ac:dyDescent="0.2">
      <c r="A47" s="18">
        <f t="shared" si="3"/>
        <v>1994</v>
      </c>
      <c r="B47" s="27">
        <f t="shared" si="17"/>
        <v>1</v>
      </c>
      <c r="C47" s="26">
        <f t="shared" si="4"/>
        <v>12476</v>
      </c>
      <c r="D47" s="26">
        <f t="shared" si="5"/>
        <v>23126</v>
      </c>
      <c r="E47" s="26"/>
      <c r="F47" s="26"/>
      <c r="G47" s="26"/>
      <c r="H47" s="26"/>
      <c r="I47" s="26"/>
      <c r="J47" s="26"/>
      <c r="K47" s="26"/>
      <c r="L47" s="26"/>
      <c r="M47" s="26"/>
      <c r="N47" s="26"/>
      <c r="O47" s="26"/>
      <c r="P47" s="26"/>
      <c r="Q47" s="26"/>
      <c r="R47" s="26"/>
      <c r="S47" s="26"/>
      <c r="T47" s="26"/>
    </row>
    <row r="48" spans="1:20" x14ac:dyDescent="0.2">
      <c r="A48" s="18">
        <f t="shared" si="3"/>
        <v>1995</v>
      </c>
      <c r="B48" s="27">
        <f t="shared" si="17"/>
        <v>1</v>
      </c>
      <c r="C48" s="26">
        <f t="shared" si="4"/>
        <v>9715</v>
      </c>
      <c r="D48" s="26"/>
      <c r="E48" s="26"/>
      <c r="F48" s="26"/>
      <c r="G48" s="26"/>
      <c r="H48" s="26"/>
      <c r="I48" s="26"/>
      <c r="J48" s="26"/>
      <c r="K48" s="26"/>
      <c r="L48" s="26"/>
      <c r="M48" s="26"/>
      <c r="N48" s="26"/>
      <c r="O48" s="26"/>
      <c r="P48" s="26"/>
      <c r="Q48" s="26"/>
      <c r="R48" s="26"/>
      <c r="S48" s="26"/>
      <c r="T48" s="26"/>
    </row>
    <row r="51" spans="1:16" x14ac:dyDescent="0.2">
      <c r="A51" s="22" t="s">
        <v>223</v>
      </c>
    </row>
    <row r="52" spans="1:16" x14ac:dyDescent="0.2">
      <c r="A52" s="22" t="s">
        <v>224</v>
      </c>
    </row>
    <row r="54" spans="1:16" x14ac:dyDescent="0.2">
      <c r="A54" s="19" t="s">
        <v>216</v>
      </c>
      <c r="B54" s="22" t="s">
        <v>225</v>
      </c>
      <c r="C54" s="22"/>
      <c r="D54" s="22"/>
      <c r="E54" s="22"/>
      <c r="F54" s="22"/>
      <c r="G54" s="22"/>
      <c r="H54" s="22"/>
      <c r="I54" s="22"/>
      <c r="J54" s="22"/>
      <c r="K54" s="22"/>
      <c r="L54" s="22"/>
      <c r="N54" s="28"/>
      <c r="O54" s="22" t="s">
        <v>226</v>
      </c>
      <c r="P54" s="22"/>
    </row>
    <row r="55" spans="1:16" x14ac:dyDescent="0.2">
      <c r="A55" s="19" t="s">
        <v>218</v>
      </c>
      <c r="B55" s="22">
        <v>0</v>
      </c>
      <c r="C55" s="22">
        <v>1</v>
      </c>
      <c r="D55" s="22">
        <v>2</v>
      </c>
      <c r="E55" s="22">
        <v>3</v>
      </c>
      <c r="F55" s="22">
        <v>4</v>
      </c>
      <c r="G55" s="22">
        <v>5</v>
      </c>
      <c r="H55" s="22">
        <v>6</v>
      </c>
      <c r="I55" s="22">
        <v>7</v>
      </c>
      <c r="J55" s="22">
        <v>8</v>
      </c>
      <c r="K55" s="22">
        <v>9</v>
      </c>
      <c r="L55" s="22">
        <v>10</v>
      </c>
      <c r="M55" s="29" t="s">
        <v>227</v>
      </c>
      <c r="N55" s="28" t="s">
        <v>228</v>
      </c>
      <c r="O55" s="22" t="s">
        <v>229</v>
      </c>
      <c r="P55" s="22" t="s">
        <v>230</v>
      </c>
    </row>
    <row r="56" spans="1:16" x14ac:dyDescent="0.2">
      <c r="A56" s="30"/>
      <c r="N56" s="31"/>
    </row>
    <row r="57" spans="1:16" x14ac:dyDescent="0.2">
      <c r="A57" s="18">
        <v>1978</v>
      </c>
      <c r="B57" s="32">
        <v>368</v>
      </c>
      <c r="C57" s="32">
        <v>191</v>
      </c>
      <c r="D57" s="32">
        <v>28</v>
      </c>
      <c r="E57" s="32">
        <v>8</v>
      </c>
      <c r="F57" s="32">
        <v>6</v>
      </c>
      <c r="G57" s="32">
        <v>5</v>
      </c>
      <c r="H57" s="32">
        <v>3</v>
      </c>
      <c r="I57" s="32">
        <v>1</v>
      </c>
      <c r="J57" s="32">
        <v>0</v>
      </c>
      <c r="K57" s="32">
        <v>0</v>
      </c>
      <c r="L57" s="32">
        <v>1</v>
      </c>
      <c r="M57" s="33">
        <v>0.14487865899107327</v>
      </c>
      <c r="N57" s="34">
        <f>SUM(B57:L57)</f>
        <v>611</v>
      </c>
      <c r="O57" s="33">
        <f>P57-N57</f>
        <v>0.1448786589910469</v>
      </c>
      <c r="P57" s="33">
        <f>SUM(B57:M57)</f>
        <v>611.14487865899105</v>
      </c>
    </row>
    <row r="58" spans="1:16" x14ac:dyDescent="0.2">
      <c r="A58" s="18">
        <v>1979</v>
      </c>
      <c r="B58" s="32">
        <v>393</v>
      </c>
      <c r="C58" s="32">
        <v>151</v>
      </c>
      <c r="D58" s="32">
        <v>25</v>
      </c>
      <c r="E58" s="32">
        <v>6</v>
      </c>
      <c r="F58" s="32">
        <v>4</v>
      </c>
      <c r="G58" s="32">
        <v>5</v>
      </c>
      <c r="H58" s="32">
        <v>4</v>
      </c>
      <c r="I58" s="32">
        <v>1</v>
      </c>
      <c r="J58" s="32">
        <v>2</v>
      </c>
      <c r="K58" s="32">
        <v>1</v>
      </c>
      <c r="L58" s="32">
        <v>0</v>
      </c>
      <c r="M58" s="33">
        <v>0.15325834520642714</v>
      </c>
      <c r="N58" s="34">
        <f t="shared" ref="N58:N64" si="18">SUM(B58:L58)</f>
        <v>592</v>
      </c>
      <c r="O58" s="33">
        <f t="shared" ref="O58:O74" si="19">P58-N58</f>
        <v>0.15325834520638182</v>
      </c>
      <c r="P58" s="33">
        <f t="shared" ref="P58:P73" si="20">SUM(B58:M58)</f>
        <v>592.15325834520638</v>
      </c>
    </row>
    <row r="59" spans="1:16" x14ac:dyDescent="0.2">
      <c r="A59" s="18">
        <v>1980</v>
      </c>
      <c r="B59" s="32">
        <v>517</v>
      </c>
      <c r="C59" s="32">
        <v>185</v>
      </c>
      <c r="D59" s="32">
        <v>29</v>
      </c>
      <c r="E59" s="32">
        <v>17</v>
      </c>
      <c r="F59" s="32">
        <v>11</v>
      </c>
      <c r="G59" s="32">
        <v>10</v>
      </c>
      <c r="H59" s="32">
        <v>8</v>
      </c>
      <c r="I59" s="32">
        <v>1</v>
      </c>
      <c r="J59" s="32">
        <v>0</v>
      </c>
      <c r="K59" s="32">
        <v>0</v>
      </c>
      <c r="L59" s="32">
        <v>1</v>
      </c>
      <c r="M59" s="33">
        <v>0.20039964907477475</v>
      </c>
      <c r="N59" s="34">
        <f t="shared" si="18"/>
        <v>779</v>
      </c>
      <c r="O59" s="33">
        <f t="shared" si="19"/>
        <v>0.20039964907482499</v>
      </c>
      <c r="P59" s="33">
        <f t="shared" si="20"/>
        <v>779.20039964907482</v>
      </c>
    </row>
    <row r="60" spans="1:16" x14ac:dyDescent="0.2">
      <c r="A60" s="18">
        <v>1981</v>
      </c>
      <c r="B60" s="32">
        <v>578</v>
      </c>
      <c r="C60" s="32">
        <v>254</v>
      </c>
      <c r="D60" s="32">
        <v>49</v>
      </c>
      <c r="E60" s="32">
        <v>22</v>
      </c>
      <c r="F60" s="32">
        <v>17</v>
      </c>
      <c r="G60" s="32">
        <v>6</v>
      </c>
      <c r="H60" s="32">
        <v>3</v>
      </c>
      <c r="I60" s="32">
        <v>0</v>
      </c>
      <c r="J60" s="32">
        <v>1</v>
      </c>
      <c r="K60" s="32">
        <v>0</v>
      </c>
      <c r="L60" s="32">
        <v>0</v>
      </c>
      <c r="M60" s="33">
        <v>0.20852822821165981</v>
      </c>
      <c r="N60" s="34">
        <f t="shared" si="18"/>
        <v>930</v>
      </c>
      <c r="O60" s="33">
        <f t="shared" si="19"/>
        <v>0.20852822821166228</v>
      </c>
      <c r="P60" s="33">
        <f t="shared" si="20"/>
        <v>930.20852822821166</v>
      </c>
    </row>
    <row r="61" spans="1:16" x14ac:dyDescent="0.2">
      <c r="A61" s="18">
        <v>1982</v>
      </c>
      <c r="B61" s="32">
        <v>622</v>
      </c>
      <c r="C61" s="32">
        <v>206</v>
      </c>
      <c r="D61" s="32">
        <v>39</v>
      </c>
      <c r="E61" s="32">
        <v>16</v>
      </c>
      <c r="F61" s="32">
        <v>3</v>
      </c>
      <c r="G61" s="32">
        <v>7</v>
      </c>
      <c r="H61" s="32">
        <v>0</v>
      </c>
      <c r="I61" s="32">
        <v>1</v>
      </c>
      <c r="J61" s="32">
        <v>0</v>
      </c>
      <c r="K61" s="32">
        <v>0</v>
      </c>
      <c r="L61" s="32">
        <v>0</v>
      </c>
      <c r="M61" s="33">
        <v>0.21629634718751709</v>
      </c>
      <c r="N61" s="34">
        <f t="shared" si="18"/>
        <v>894</v>
      </c>
      <c r="O61" s="33">
        <f t="shared" si="19"/>
        <v>0.21629634718749458</v>
      </c>
      <c r="P61" s="33">
        <f t="shared" si="20"/>
        <v>894.21629634718749</v>
      </c>
    </row>
    <row r="62" spans="1:16" x14ac:dyDescent="0.2">
      <c r="A62" s="18">
        <v>1983</v>
      </c>
      <c r="B62" s="32">
        <v>660</v>
      </c>
      <c r="C62" s="32">
        <v>243</v>
      </c>
      <c r="D62" s="32">
        <v>28</v>
      </c>
      <c r="E62" s="32">
        <v>12</v>
      </c>
      <c r="F62" s="32">
        <v>12</v>
      </c>
      <c r="G62" s="32">
        <v>4</v>
      </c>
      <c r="H62" s="32">
        <v>4</v>
      </c>
      <c r="I62" s="32">
        <v>1</v>
      </c>
      <c r="J62" s="32">
        <v>0</v>
      </c>
      <c r="K62" s="32">
        <v>0</v>
      </c>
      <c r="L62" s="32">
        <v>0</v>
      </c>
      <c r="M62" s="33">
        <v>0.22433379875560297</v>
      </c>
      <c r="N62" s="34">
        <f t="shared" si="18"/>
        <v>964</v>
      </c>
      <c r="O62" s="33">
        <f t="shared" si="19"/>
        <v>0.22433379875565151</v>
      </c>
      <c r="P62" s="33">
        <f t="shared" si="20"/>
        <v>964.22433379875565</v>
      </c>
    </row>
    <row r="63" spans="1:16" x14ac:dyDescent="0.2">
      <c r="A63" s="18">
        <v>1984</v>
      </c>
      <c r="B63" s="32">
        <v>666</v>
      </c>
      <c r="C63" s="32">
        <v>234</v>
      </c>
      <c r="D63" s="32">
        <v>53</v>
      </c>
      <c r="E63" s="32">
        <v>10</v>
      </c>
      <c r="F63" s="32">
        <v>8</v>
      </c>
      <c r="G63" s="32">
        <v>4</v>
      </c>
      <c r="H63" s="32">
        <v>6</v>
      </c>
      <c r="I63" s="32">
        <v>1</v>
      </c>
      <c r="J63" s="32">
        <v>0</v>
      </c>
      <c r="K63" s="32">
        <v>0</v>
      </c>
      <c r="L63" s="32">
        <v>0</v>
      </c>
      <c r="M63" s="33">
        <v>0.23147820014945716</v>
      </c>
      <c r="N63" s="34">
        <f t="shared" si="18"/>
        <v>982</v>
      </c>
      <c r="O63" s="33">
        <f t="shared" si="19"/>
        <v>0.23147820014946774</v>
      </c>
      <c r="P63" s="33">
        <f t="shared" si="20"/>
        <v>982.23147820014947</v>
      </c>
    </row>
    <row r="64" spans="1:16" x14ac:dyDescent="0.2">
      <c r="A64" s="18">
        <v>1985</v>
      </c>
      <c r="B64" s="32">
        <v>573</v>
      </c>
      <c r="C64" s="32">
        <v>266</v>
      </c>
      <c r="D64" s="32">
        <v>62</v>
      </c>
      <c r="E64" s="32">
        <v>12</v>
      </c>
      <c r="F64" s="32">
        <v>5</v>
      </c>
      <c r="G64" s="32">
        <v>7</v>
      </c>
      <c r="H64" s="32">
        <v>6</v>
      </c>
      <c r="I64" s="32">
        <v>5</v>
      </c>
      <c r="J64" s="32">
        <v>1</v>
      </c>
      <c r="K64" s="32">
        <v>0</v>
      </c>
      <c r="L64" s="32">
        <v>1</v>
      </c>
      <c r="M64" s="33">
        <v>0.23755134634565006</v>
      </c>
      <c r="N64" s="34">
        <f t="shared" si="18"/>
        <v>938</v>
      </c>
      <c r="O64" s="33">
        <f t="shared" si="19"/>
        <v>0.23755134634564001</v>
      </c>
      <c r="P64" s="33">
        <f t="shared" si="20"/>
        <v>938.23755134634564</v>
      </c>
    </row>
    <row r="65" spans="1:16" x14ac:dyDescent="0.2">
      <c r="A65" s="18">
        <v>1986</v>
      </c>
      <c r="B65" s="32">
        <v>582</v>
      </c>
      <c r="C65" s="32">
        <v>281</v>
      </c>
      <c r="D65" s="32">
        <v>32</v>
      </c>
      <c r="E65" s="32">
        <v>27</v>
      </c>
      <c r="F65" s="32">
        <v>12</v>
      </c>
      <c r="G65" s="32">
        <v>13</v>
      </c>
      <c r="H65" s="32">
        <v>6</v>
      </c>
      <c r="I65" s="32">
        <v>2</v>
      </c>
      <c r="J65" s="32">
        <v>1</v>
      </c>
      <c r="K65" s="32">
        <v>0</v>
      </c>
      <c r="L65" s="33">
        <v>0.21468404966480767</v>
      </c>
      <c r="M65" s="33">
        <v>0.24969763873803585</v>
      </c>
      <c r="N65" s="34">
        <f>SUM(B65:K65)</f>
        <v>956</v>
      </c>
      <c r="O65" s="33">
        <f t="shared" si="19"/>
        <v>0.46438168840279559</v>
      </c>
      <c r="P65" s="33">
        <f t="shared" si="20"/>
        <v>956.4643816884028</v>
      </c>
    </row>
    <row r="66" spans="1:16" x14ac:dyDescent="0.2">
      <c r="A66" s="18">
        <v>1987</v>
      </c>
      <c r="B66" s="32">
        <v>545</v>
      </c>
      <c r="C66" s="32">
        <v>220</v>
      </c>
      <c r="D66" s="32">
        <v>43</v>
      </c>
      <c r="E66" s="32">
        <v>18</v>
      </c>
      <c r="F66" s="32">
        <v>12</v>
      </c>
      <c r="G66" s="32">
        <v>9</v>
      </c>
      <c r="H66" s="32">
        <v>5</v>
      </c>
      <c r="I66" s="32">
        <v>2</v>
      </c>
      <c r="J66" s="32">
        <v>0</v>
      </c>
      <c r="K66" s="33">
        <v>0.40648186269287712</v>
      </c>
      <c r="L66" s="33">
        <v>0.21856495171748125</v>
      </c>
      <c r="M66" s="33">
        <v>0.25421149097922091</v>
      </c>
      <c r="N66" s="34">
        <f>SUM(B66:J66)</f>
        <v>854</v>
      </c>
      <c r="O66" s="33">
        <f t="shared" si="19"/>
        <v>0.87925830538949867</v>
      </c>
      <c r="P66" s="33">
        <f t="shared" si="20"/>
        <v>854.8792583053895</v>
      </c>
    </row>
    <row r="67" spans="1:16" x14ac:dyDescent="0.2">
      <c r="A67" s="18">
        <v>1988</v>
      </c>
      <c r="B67" s="32">
        <v>509</v>
      </c>
      <c r="C67" s="32">
        <v>266</v>
      </c>
      <c r="D67" s="32">
        <v>49</v>
      </c>
      <c r="E67" s="32">
        <v>22</v>
      </c>
      <c r="F67" s="32">
        <v>15</v>
      </c>
      <c r="G67" s="32">
        <v>4</v>
      </c>
      <c r="H67" s="32">
        <v>8</v>
      </c>
      <c r="I67" s="32">
        <v>0</v>
      </c>
      <c r="J67" s="33">
        <v>0.79048358868418134</v>
      </c>
      <c r="K67" s="33">
        <v>0.42504235305760646</v>
      </c>
      <c r="L67" s="33">
        <v>0.22854491159452234</v>
      </c>
      <c r="M67" s="33">
        <v>0.26581911818714943</v>
      </c>
      <c r="N67" s="34">
        <f>SUM(B67:I67)</f>
        <v>873</v>
      </c>
      <c r="O67" s="33">
        <f t="shared" si="19"/>
        <v>1.7098899715234666</v>
      </c>
      <c r="P67" s="33">
        <f t="shared" si="20"/>
        <v>874.70988997152347</v>
      </c>
    </row>
    <row r="68" spans="1:16" x14ac:dyDescent="0.2">
      <c r="A68" s="18">
        <v>1989</v>
      </c>
      <c r="B68" s="32">
        <v>589</v>
      </c>
      <c r="C68" s="32">
        <v>210</v>
      </c>
      <c r="D68" s="32">
        <v>29</v>
      </c>
      <c r="E68" s="32">
        <v>17</v>
      </c>
      <c r="F68" s="32">
        <v>12</v>
      </c>
      <c r="G68" s="32">
        <v>4</v>
      </c>
      <c r="H68" s="32">
        <v>9</v>
      </c>
      <c r="I68" s="33">
        <v>1.5641547328870478</v>
      </c>
      <c r="J68" s="33">
        <v>0.84104466902237041</v>
      </c>
      <c r="K68" s="33">
        <v>0.45222900293588064</v>
      </c>
      <c r="L68" s="33">
        <v>0.24316315010248418</v>
      </c>
      <c r="M68" s="33">
        <v>0.28282149746798829</v>
      </c>
      <c r="N68" s="34">
        <f>SUM(B68:H68)</f>
        <v>870</v>
      </c>
      <c r="O68" s="33">
        <f t="shared" si="19"/>
        <v>3.3834130524157899</v>
      </c>
      <c r="P68" s="33">
        <f t="shared" si="20"/>
        <v>873.38341305241579</v>
      </c>
    </row>
    <row r="69" spans="1:16" x14ac:dyDescent="0.2">
      <c r="A69" s="18">
        <v>1990</v>
      </c>
      <c r="B69" s="32">
        <v>564</v>
      </c>
      <c r="C69" s="32">
        <v>196</v>
      </c>
      <c r="D69" s="32">
        <v>23</v>
      </c>
      <c r="E69" s="32">
        <v>12</v>
      </c>
      <c r="F69" s="32">
        <v>9</v>
      </c>
      <c r="G69" s="32">
        <v>5</v>
      </c>
      <c r="H69" s="33">
        <v>3.1846264643077506</v>
      </c>
      <c r="I69" s="33">
        <v>1.7123709402393308</v>
      </c>
      <c r="J69" s="33">
        <v>0.92074039760688609</v>
      </c>
      <c r="K69" s="33">
        <v>0.49508132838717661</v>
      </c>
      <c r="L69" s="33">
        <v>0.26620480903702048</v>
      </c>
      <c r="M69" s="33">
        <v>0.30962110292327893</v>
      </c>
      <c r="N69" s="34">
        <f>SUM(B69:G69)</f>
        <v>809</v>
      </c>
      <c r="O69" s="33">
        <f t="shared" si="19"/>
        <v>6.88864504250148</v>
      </c>
      <c r="P69" s="33">
        <f t="shared" si="20"/>
        <v>815.88864504250148</v>
      </c>
    </row>
    <row r="70" spans="1:16" x14ac:dyDescent="0.2">
      <c r="A70" s="18">
        <v>1991</v>
      </c>
      <c r="B70" s="32">
        <v>607</v>
      </c>
      <c r="C70" s="32">
        <v>203</v>
      </c>
      <c r="D70" s="32">
        <v>29</v>
      </c>
      <c r="E70" s="32">
        <v>9</v>
      </c>
      <c r="F70" s="32">
        <v>7</v>
      </c>
      <c r="G70" s="33">
        <v>6.2107402830831058</v>
      </c>
      <c r="H70" s="33">
        <v>3.3395097658453574</v>
      </c>
      <c r="I70" s="33">
        <v>1.795651559694641</v>
      </c>
      <c r="J70" s="33">
        <v>0.96552031582922693</v>
      </c>
      <c r="K70" s="33">
        <v>0.5191594523146239</v>
      </c>
      <c r="L70" s="33">
        <v>0.27915159578609194</v>
      </c>
      <c r="M70" s="33">
        <v>0.32467942740306904</v>
      </c>
      <c r="N70" s="34">
        <f>SUM(B70:F70)</f>
        <v>855</v>
      </c>
      <c r="O70" s="33">
        <f t="shared" si="19"/>
        <v>13.434412399956159</v>
      </c>
      <c r="P70" s="33">
        <f t="shared" si="20"/>
        <v>868.43441239995616</v>
      </c>
    </row>
    <row r="71" spans="1:16" x14ac:dyDescent="0.2">
      <c r="A71" s="18">
        <v>1992</v>
      </c>
      <c r="B71" s="32">
        <v>674</v>
      </c>
      <c r="C71" s="32">
        <v>169</v>
      </c>
      <c r="D71" s="32">
        <v>20</v>
      </c>
      <c r="E71" s="32">
        <v>12</v>
      </c>
      <c r="F71" s="33">
        <v>10.071386460640293</v>
      </c>
      <c r="G71" s="33">
        <v>6.3102556094219953</v>
      </c>
      <c r="H71" s="33">
        <v>3.3930190721458029</v>
      </c>
      <c r="I71" s="33">
        <v>1.8244234681643414</v>
      </c>
      <c r="J71" s="33">
        <v>0.98099094653299146</v>
      </c>
      <c r="K71" s="33">
        <v>0.52747799728095146</v>
      </c>
      <c r="L71" s="33">
        <v>0.28362447033670579</v>
      </c>
      <c r="M71" s="33">
        <v>0.32988179905295889</v>
      </c>
      <c r="N71" s="34">
        <f>SUM(B71:E71)</f>
        <v>875</v>
      </c>
      <c r="O71" s="33">
        <f t="shared" si="19"/>
        <v>23.721059823575956</v>
      </c>
      <c r="P71" s="33">
        <f t="shared" si="20"/>
        <v>898.72105982357596</v>
      </c>
    </row>
    <row r="72" spans="1:16" x14ac:dyDescent="0.2">
      <c r="A72" s="18">
        <v>1993</v>
      </c>
      <c r="B72" s="32">
        <v>619</v>
      </c>
      <c r="C72" s="32">
        <v>190</v>
      </c>
      <c r="D72" s="32">
        <v>41</v>
      </c>
      <c r="E72" s="33">
        <v>11.785714285714286</v>
      </c>
      <c r="F72" s="33">
        <v>10.513130206872798</v>
      </c>
      <c r="G72" s="33">
        <v>6.5870314002711057</v>
      </c>
      <c r="H72" s="33">
        <v>3.5418411793924682</v>
      </c>
      <c r="I72" s="33">
        <v>1.9044449886065404</v>
      </c>
      <c r="J72" s="33">
        <v>1.024018449988966</v>
      </c>
      <c r="K72" s="33">
        <v>0.55061384927955426</v>
      </c>
      <c r="L72" s="33">
        <v>0.29606459827136367</v>
      </c>
      <c r="M72" s="33">
        <v>0.34435083192118099</v>
      </c>
      <c r="N72" s="34">
        <f>SUM(B72:D72)</f>
        <v>850</v>
      </c>
      <c r="O72" s="33">
        <f t="shared" si="19"/>
        <v>36.547209790318334</v>
      </c>
      <c r="P72" s="33">
        <f t="shared" si="20"/>
        <v>886.54720979031833</v>
      </c>
    </row>
    <row r="73" spans="1:16" x14ac:dyDescent="0.2">
      <c r="A73" s="18">
        <v>1994</v>
      </c>
      <c r="B73" s="32">
        <v>660</v>
      </c>
      <c r="C73" s="32">
        <v>161</v>
      </c>
      <c r="D73" s="33">
        <v>31.609727616993325</v>
      </c>
      <c r="E73" s="33">
        <v>12.007712244237869</v>
      </c>
      <c r="F73" s="33">
        <v>10.71115752936163</v>
      </c>
      <c r="G73" s="33">
        <v>6.7111059780303366</v>
      </c>
      <c r="H73" s="33">
        <v>3.60855597428555</v>
      </c>
      <c r="I73" s="33">
        <v>1.9403174770566964</v>
      </c>
      <c r="J73" s="33">
        <v>1.0433070565067386</v>
      </c>
      <c r="K73" s="33">
        <v>0.56098531659257378</v>
      </c>
      <c r="L73" s="33">
        <v>0.30164132742107802</v>
      </c>
      <c r="M73" s="33">
        <v>0.35083708976259681</v>
      </c>
      <c r="N73" s="34">
        <f>SUM(B73:C73)</f>
        <v>821</v>
      </c>
      <c r="O73" s="33">
        <f t="shared" si="19"/>
        <v>68.845347610248382</v>
      </c>
      <c r="P73" s="33">
        <f t="shared" si="20"/>
        <v>889.84534761024838</v>
      </c>
    </row>
    <row r="74" spans="1:16" x14ac:dyDescent="0.2">
      <c r="A74" s="18">
        <v>1995</v>
      </c>
      <c r="B74" s="32">
        <v>660</v>
      </c>
      <c r="C74" s="33">
        <v>180.73999442900237</v>
      </c>
      <c r="D74" s="33">
        <v>32.101075260097794</v>
      </c>
      <c r="E74" s="33">
        <v>12.194362416671217</v>
      </c>
      <c r="F74" s="33">
        <v>10.877653807682712</v>
      </c>
      <c r="G74" s="33">
        <v>6.8154246910823533</v>
      </c>
      <c r="H74" s="33">
        <v>3.6646480575347127</v>
      </c>
      <c r="I74" s="33">
        <v>1.9704781424941831</v>
      </c>
      <c r="J74" s="33">
        <v>1.059524420650467</v>
      </c>
      <c r="K74" s="33">
        <v>0.56970537949421651</v>
      </c>
      <c r="L74" s="33">
        <v>0.30633009782388188</v>
      </c>
      <c r="M74" s="33">
        <v>0.35629056849095542</v>
      </c>
      <c r="N74" s="34">
        <f>SUM(B74)</f>
        <v>660</v>
      </c>
      <c r="O74" s="33">
        <f t="shared" si="19"/>
        <v>250.65548727102475</v>
      </c>
      <c r="P74" s="33">
        <f>SUM(B74:M74)</f>
        <v>910.65548727102475</v>
      </c>
    </row>
    <row r="75" spans="1:16" x14ac:dyDescent="0.2">
      <c r="O75" s="22"/>
      <c r="P75" s="22"/>
    </row>
    <row r="76" spans="1:16" ht="17" thickBot="1" x14ac:dyDescent="0.25">
      <c r="O76" s="35">
        <f>SUM(O57:O74)</f>
        <v>408.14582952927879</v>
      </c>
      <c r="P76" s="22"/>
    </row>
    <row r="77" spans="1:16" ht="17" thickTop="1" x14ac:dyDescent="0.2"/>
    <row r="78" spans="1:16" x14ac:dyDescent="0.2">
      <c r="A78" s="22"/>
    </row>
    <row r="79" spans="1:16" x14ac:dyDescent="0.2">
      <c r="A79" s="22" t="s">
        <v>231</v>
      </c>
    </row>
    <row r="81" spans="1:19" x14ac:dyDescent="0.2">
      <c r="A81" s="19" t="s">
        <v>216</v>
      </c>
      <c r="B81" s="22" t="s">
        <v>225</v>
      </c>
      <c r="C81" s="22"/>
      <c r="D81" s="22"/>
      <c r="E81" s="22"/>
      <c r="F81" s="22"/>
      <c r="G81" s="22"/>
      <c r="H81" s="22"/>
      <c r="I81" s="22"/>
      <c r="J81" s="22"/>
      <c r="K81" s="22"/>
      <c r="L81" s="22"/>
    </row>
    <row r="82" spans="1:19" x14ac:dyDescent="0.2">
      <c r="A82" s="19" t="s">
        <v>218</v>
      </c>
      <c r="B82" s="22">
        <v>0</v>
      </c>
      <c r="C82" s="22">
        <v>1</v>
      </c>
      <c r="D82" s="22">
        <v>2</v>
      </c>
      <c r="E82" s="22">
        <v>3</v>
      </c>
      <c r="F82" s="22">
        <v>4</v>
      </c>
      <c r="G82" s="22">
        <v>5</v>
      </c>
      <c r="H82" s="22">
        <v>6</v>
      </c>
      <c r="I82" s="22">
        <v>7</v>
      </c>
      <c r="J82" s="22">
        <v>8</v>
      </c>
      <c r="K82" s="22">
        <v>9</v>
      </c>
      <c r="L82" s="22">
        <v>10</v>
      </c>
      <c r="M82" s="22">
        <v>11</v>
      </c>
      <c r="N82" s="22">
        <v>12</v>
      </c>
      <c r="O82" s="22">
        <v>13</v>
      </c>
      <c r="P82" s="22">
        <v>14</v>
      </c>
      <c r="Q82" s="22">
        <v>15</v>
      </c>
      <c r="R82" s="22">
        <v>16</v>
      </c>
      <c r="S82" s="22">
        <v>17</v>
      </c>
    </row>
    <row r="83" spans="1:19" x14ac:dyDescent="0.2">
      <c r="A83" s="30"/>
    </row>
    <row r="84" spans="1:19" x14ac:dyDescent="0.2">
      <c r="A84" s="18">
        <v>1978</v>
      </c>
      <c r="B84" s="32">
        <f>SUM($B57:B57)</f>
        <v>368</v>
      </c>
      <c r="C84" s="32">
        <f>SUM($B57:C57)</f>
        <v>559</v>
      </c>
      <c r="D84" s="32">
        <f>SUM($B57:D57)</f>
        <v>587</v>
      </c>
      <c r="E84" s="32">
        <f>SUM($B57:E57)</f>
        <v>595</v>
      </c>
      <c r="F84" s="32">
        <f>SUM($B57:F57)</f>
        <v>601</v>
      </c>
      <c r="G84" s="32">
        <f>SUM($B57:G57)</f>
        <v>606</v>
      </c>
      <c r="H84" s="32">
        <f>SUM($B57:H57)</f>
        <v>609</v>
      </c>
      <c r="I84" s="32">
        <f>SUM($B57:I57)</f>
        <v>610</v>
      </c>
      <c r="J84" s="32">
        <f>SUM($B57:J57)</f>
        <v>610</v>
      </c>
      <c r="K84" s="32">
        <f>SUM($B57:K57)</f>
        <v>610</v>
      </c>
      <c r="L84" s="32">
        <f>SUM($B57:L57)</f>
        <v>611</v>
      </c>
      <c r="M84" s="32">
        <f>SUM($B57:M57)</f>
        <v>611.14487865899105</v>
      </c>
      <c r="N84" s="32">
        <f>M84</f>
        <v>611.14487865899105</v>
      </c>
      <c r="O84" s="32">
        <f t="shared" ref="O84:S88" si="21">N84</f>
        <v>611.14487865899105</v>
      </c>
      <c r="P84" s="32">
        <f t="shared" si="21"/>
        <v>611.14487865899105</v>
      </c>
      <c r="Q84" s="32">
        <f t="shared" si="21"/>
        <v>611.14487865899105</v>
      </c>
      <c r="R84" s="32">
        <f t="shared" si="21"/>
        <v>611.14487865899105</v>
      </c>
      <c r="S84" s="32">
        <f t="shared" si="21"/>
        <v>611.14487865899105</v>
      </c>
    </row>
    <row r="85" spans="1:19" x14ac:dyDescent="0.2">
      <c r="A85" s="18">
        <v>1979</v>
      </c>
      <c r="B85" s="32">
        <v>393</v>
      </c>
      <c r="C85" s="32">
        <f>SUM($B58:C58)</f>
        <v>544</v>
      </c>
      <c r="D85" s="32">
        <f>SUM($B58:D58)</f>
        <v>569</v>
      </c>
      <c r="E85" s="32">
        <f>SUM($B58:E58)</f>
        <v>575</v>
      </c>
      <c r="F85" s="32">
        <f>SUM($B58:F58)</f>
        <v>579</v>
      </c>
      <c r="G85" s="32">
        <f>SUM($B58:G58)</f>
        <v>584</v>
      </c>
      <c r="H85" s="32">
        <f>SUM($B58:H58)</f>
        <v>588</v>
      </c>
      <c r="I85" s="32">
        <f>SUM($B58:I58)</f>
        <v>589</v>
      </c>
      <c r="J85" s="32">
        <f>SUM($B58:J58)</f>
        <v>591</v>
      </c>
      <c r="K85" s="32">
        <f>SUM($B58:K58)</f>
        <v>592</v>
      </c>
      <c r="L85" s="32">
        <f>SUM($B58:L58)</f>
        <v>592</v>
      </c>
      <c r="M85" s="32">
        <f>SUM($B58:M58)</f>
        <v>592.15325834520638</v>
      </c>
      <c r="N85" s="32">
        <f t="shared" ref="N85:N89" si="22">M85</f>
        <v>592.15325834520638</v>
      </c>
      <c r="O85" s="32">
        <f t="shared" si="21"/>
        <v>592.15325834520638</v>
      </c>
      <c r="P85" s="32">
        <f t="shared" si="21"/>
        <v>592.15325834520638</v>
      </c>
      <c r="Q85" s="32">
        <f t="shared" si="21"/>
        <v>592.15325834520638</v>
      </c>
      <c r="R85" s="32">
        <f t="shared" si="21"/>
        <v>592.15325834520638</v>
      </c>
    </row>
    <row r="86" spans="1:19" x14ac:dyDescent="0.2">
      <c r="A86" s="18">
        <v>1980</v>
      </c>
      <c r="B86" s="32">
        <v>517</v>
      </c>
      <c r="C86" s="32">
        <f>SUM($B59:C59)</f>
        <v>702</v>
      </c>
      <c r="D86" s="32">
        <f>SUM($B59:D59)</f>
        <v>731</v>
      </c>
      <c r="E86" s="32">
        <f>SUM($B59:E59)</f>
        <v>748</v>
      </c>
      <c r="F86" s="32">
        <f>SUM($B59:F59)</f>
        <v>759</v>
      </c>
      <c r="G86" s="32">
        <f>SUM($B59:G59)</f>
        <v>769</v>
      </c>
      <c r="H86" s="32">
        <f>SUM($B59:H59)</f>
        <v>777</v>
      </c>
      <c r="I86" s="32">
        <f>SUM($B59:I59)</f>
        <v>778</v>
      </c>
      <c r="J86" s="32">
        <f>SUM($B59:J59)</f>
        <v>778</v>
      </c>
      <c r="K86" s="32">
        <f>SUM($B59:K59)</f>
        <v>778</v>
      </c>
      <c r="L86" s="32">
        <f>SUM($B59:L59)</f>
        <v>779</v>
      </c>
      <c r="M86" s="32">
        <f>SUM($B59:M59)</f>
        <v>779.20039964907482</v>
      </c>
      <c r="N86" s="32">
        <f t="shared" si="22"/>
        <v>779.20039964907482</v>
      </c>
      <c r="O86" s="32">
        <f t="shared" si="21"/>
        <v>779.20039964907482</v>
      </c>
      <c r="P86" s="32">
        <f t="shared" si="21"/>
        <v>779.20039964907482</v>
      </c>
      <c r="Q86" s="32">
        <f t="shared" si="21"/>
        <v>779.20039964907482</v>
      </c>
    </row>
    <row r="87" spans="1:19" x14ac:dyDescent="0.2">
      <c r="A87" s="18">
        <v>1981</v>
      </c>
      <c r="B87" s="32">
        <v>578</v>
      </c>
      <c r="C87" s="32">
        <f>SUM($B60:C60)</f>
        <v>832</v>
      </c>
      <c r="D87" s="32">
        <f>SUM($B60:D60)</f>
        <v>881</v>
      </c>
      <c r="E87" s="32">
        <f>SUM($B60:E60)</f>
        <v>903</v>
      </c>
      <c r="F87" s="32">
        <f>SUM($B60:F60)</f>
        <v>920</v>
      </c>
      <c r="G87" s="32">
        <f>SUM($B60:G60)</f>
        <v>926</v>
      </c>
      <c r="H87" s="32">
        <f>SUM($B60:H60)</f>
        <v>929</v>
      </c>
      <c r="I87" s="32">
        <f>SUM($B60:I60)</f>
        <v>929</v>
      </c>
      <c r="J87" s="32">
        <f>SUM($B60:J60)</f>
        <v>930</v>
      </c>
      <c r="K87" s="32">
        <f>SUM($B60:K60)</f>
        <v>930</v>
      </c>
      <c r="L87" s="32">
        <f>SUM($B60:L60)</f>
        <v>930</v>
      </c>
      <c r="M87" s="32">
        <f>SUM($B60:M60)</f>
        <v>930.20852822821166</v>
      </c>
      <c r="N87" s="32">
        <f t="shared" si="22"/>
        <v>930.20852822821166</v>
      </c>
      <c r="O87" s="32">
        <f t="shared" si="21"/>
        <v>930.20852822821166</v>
      </c>
      <c r="P87" s="32">
        <f t="shared" si="21"/>
        <v>930.20852822821166</v>
      </c>
    </row>
    <row r="88" spans="1:19" x14ac:dyDescent="0.2">
      <c r="A88" s="18">
        <v>1982</v>
      </c>
      <c r="B88" s="32">
        <v>622</v>
      </c>
      <c r="C88" s="32">
        <f>SUM($B61:C61)</f>
        <v>828</v>
      </c>
      <c r="D88" s="32">
        <f>SUM($B61:D61)</f>
        <v>867</v>
      </c>
      <c r="E88" s="32">
        <f>SUM($B61:E61)</f>
        <v>883</v>
      </c>
      <c r="F88" s="32">
        <f>SUM($B61:F61)</f>
        <v>886</v>
      </c>
      <c r="G88" s="32">
        <f>SUM($B61:G61)</f>
        <v>893</v>
      </c>
      <c r="H88" s="32">
        <f>SUM($B61:H61)</f>
        <v>893</v>
      </c>
      <c r="I88" s="32">
        <f>SUM($B61:I61)</f>
        <v>894</v>
      </c>
      <c r="J88" s="32">
        <f>SUM($B61:J61)</f>
        <v>894</v>
      </c>
      <c r="K88" s="32">
        <f>SUM($B61:K61)</f>
        <v>894</v>
      </c>
      <c r="L88" s="32">
        <f>SUM($B61:L61)</f>
        <v>894</v>
      </c>
      <c r="M88" s="32">
        <f>SUM($B61:M61)</f>
        <v>894.21629634718749</v>
      </c>
      <c r="N88" s="32">
        <f t="shared" si="22"/>
        <v>894.21629634718749</v>
      </c>
      <c r="O88" s="32">
        <f t="shared" si="21"/>
        <v>894.21629634718749</v>
      </c>
    </row>
    <row r="89" spans="1:19" x14ac:dyDescent="0.2">
      <c r="A89" s="18">
        <v>1983</v>
      </c>
      <c r="B89" s="32">
        <v>660</v>
      </c>
      <c r="C89" s="32">
        <f>SUM($B62:C62)</f>
        <v>903</v>
      </c>
      <c r="D89" s="32">
        <f>SUM($B62:D62)</f>
        <v>931</v>
      </c>
      <c r="E89" s="32">
        <f>SUM($B62:E62)</f>
        <v>943</v>
      </c>
      <c r="F89" s="32">
        <f>SUM($B62:F62)</f>
        <v>955</v>
      </c>
      <c r="G89" s="32">
        <f>SUM($B62:G62)</f>
        <v>959</v>
      </c>
      <c r="H89" s="32">
        <f>SUM($B62:H62)</f>
        <v>963</v>
      </c>
      <c r="I89" s="32">
        <f>SUM($B62:I62)</f>
        <v>964</v>
      </c>
      <c r="J89" s="32">
        <f>SUM($B62:J62)</f>
        <v>964</v>
      </c>
      <c r="K89" s="32">
        <f>SUM($B62:K62)</f>
        <v>964</v>
      </c>
      <c r="L89" s="32">
        <f>SUM($B62:L62)</f>
        <v>964</v>
      </c>
      <c r="M89" s="32">
        <f>SUM($B62:M62)</f>
        <v>964.22433379875565</v>
      </c>
      <c r="N89" s="32">
        <f t="shared" si="22"/>
        <v>964.22433379875565</v>
      </c>
    </row>
    <row r="90" spans="1:19" x14ac:dyDescent="0.2">
      <c r="A90" s="18">
        <v>1984</v>
      </c>
      <c r="B90" s="32">
        <v>666</v>
      </c>
      <c r="C90" s="32">
        <f>SUM($B63:C63)</f>
        <v>900</v>
      </c>
      <c r="D90" s="32">
        <f>SUM($B63:D63)</f>
        <v>953</v>
      </c>
      <c r="E90" s="32">
        <f>SUM($B63:E63)</f>
        <v>963</v>
      </c>
      <c r="F90" s="32">
        <f>SUM($B63:F63)</f>
        <v>971</v>
      </c>
      <c r="G90" s="32">
        <f>SUM($B63:G63)</f>
        <v>975</v>
      </c>
      <c r="H90" s="32">
        <f>SUM($B63:H63)</f>
        <v>981</v>
      </c>
      <c r="I90" s="32">
        <f>SUM($B63:I63)</f>
        <v>982</v>
      </c>
      <c r="J90" s="32">
        <f>SUM($B63:J63)</f>
        <v>982</v>
      </c>
      <c r="K90" s="32">
        <f>SUM($B63:K63)</f>
        <v>982</v>
      </c>
      <c r="L90" s="32">
        <f>SUM($B63:L63)</f>
        <v>982</v>
      </c>
      <c r="M90" s="32">
        <f>SUM($B63:M63)</f>
        <v>982.23147820014947</v>
      </c>
    </row>
    <row r="91" spans="1:19" x14ac:dyDescent="0.2">
      <c r="A91" s="18">
        <v>1985</v>
      </c>
      <c r="B91" s="32">
        <v>573</v>
      </c>
      <c r="C91" s="32">
        <f>SUM($B64:C64)</f>
        <v>839</v>
      </c>
      <c r="D91" s="32">
        <f>SUM($B64:D64)</f>
        <v>901</v>
      </c>
      <c r="E91" s="32">
        <f>SUM($B64:E64)</f>
        <v>913</v>
      </c>
      <c r="F91" s="32">
        <f>SUM($B64:F64)</f>
        <v>918</v>
      </c>
      <c r="G91" s="32">
        <f>SUM($B64:G64)</f>
        <v>925</v>
      </c>
      <c r="H91" s="32">
        <f>SUM($B64:H64)</f>
        <v>931</v>
      </c>
      <c r="I91" s="32">
        <f>SUM($B64:I64)</f>
        <v>936</v>
      </c>
      <c r="J91" s="32">
        <f>SUM($B64:J64)</f>
        <v>937</v>
      </c>
      <c r="K91" s="32">
        <f>SUM($B64:K64)</f>
        <v>937</v>
      </c>
      <c r="L91" s="32">
        <f>SUM($B64:L64)</f>
        <v>938</v>
      </c>
    </row>
    <row r="92" spans="1:19" x14ac:dyDescent="0.2">
      <c r="A92" s="18">
        <v>1986</v>
      </c>
      <c r="B92" s="32">
        <v>582</v>
      </c>
      <c r="C92" s="32">
        <f>SUM($B65:C65)</f>
        <v>863</v>
      </c>
      <c r="D92" s="32">
        <f>SUM($B65:D65)</f>
        <v>895</v>
      </c>
      <c r="E92" s="32">
        <f>SUM($B65:E65)</f>
        <v>922</v>
      </c>
      <c r="F92" s="32">
        <f>SUM($B65:F65)</f>
        <v>934</v>
      </c>
      <c r="G92" s="32">
        <f>SUM($B65:G65)</f>
        <v>947</v>
      </c>
      <c r="H92" s="32">
        <f>SUM($B65:H65)</f>
        <v>953</v>
      </c>
      <c r="I92" s="32">
        <f>SUM($B65:I65)</f>
        <v>955</v>
      </c>
      <c r="J92" s="32">
        <f>SUM($B65:J65)</f>
        <v>956</v>
      </c>
      <c r="K92" s="32">
        <f>SUM($B65:K65)</f>
        <v>956</v>
      </c>
      <c r="L92" s="33"/>
    </row>
    <row r="93" spans="1:19" x14ac:dyDescent="0.2">
      <c r="A93" s="18">
        <v>1987</v>
      </c>
      <c r="B93" s="32">
        <v>545</v>
      </c>
      <c r="C93" s="32">
        <f>SUM($B66:C66)</f>
        <v>765</v>
      </c>
      <c r="D93" s="32">
        <f>SUM($B66:D66)</f>
        <v>808</v>
      </c>
      <c r="E93" s="32">
        <f>SUM($B66:E66)</f>
        <v>826</v>
      </c>
      <c r="F93" s="32">
        <f>SUM($B66:F66)</f>
        <v>838</v>
      </c>
      <c r="G93" s="32">
        <f>SUM($B66:G66)</f>
        <v>847</v>
      </c>
      <c r="H93" s="32">
        <f>SUM($B66:H66)</f>
        <v>852</v>
      </c>
      <c r="I93" s="32">
        <f>SUM($B66:I66)</f>
        <v>854</v>
      </c>
      <c r="J93" s="32">
        <f>SUM($B66:J66)</f>
        <v>854</v>
      </c>
      <c r="K93" s="33"/>
      <c r="L93" s="33"/>
    </row>
    <row r="94" spans="1:19" x14ac:dyDescent="0.2">
      <c r="A94" s="18">
        <v>1988</v>
      </c>
      <c r="B94" s="32">
        <v>509</v>
      </c>
      <c r="C94" s="32">
        <f>SUM($B67:C67)</f>
        <v>775</v>
      </c>
      <c r="D94" s="32">
        <f>SUM($B67:D67)</f>
        <v>824</v>
      </c>
      <c r="E94" s="32">
        <f>SUM($B67:E67)</f>
        <v>846</v>
      </c>
      <c r="F94" s="32">
        <f>SUM($B67:F67)</f>
        <v>861</v>
      </c>
      <c r="G94" s="32">
        <f>SUM($B67:G67)</f>
        <v>865</v>
      </c>
      <c r="H94" s="32">
        <f>SUM($B67:H67)</f>
        <v>873</v>
      </c>
      <c r="I94" s="32">
        <f>SUM($B67:I67)</f>
        <v>873</v>
      </c>
      <c r="J94" s="33"/>
      <c r="K94" s="33"/>
      <c r="L94" s="33"/>
    </row>
    <row r="95" spans="1:19" x14ac:dyDescent="0.2">
      <c r="A95" s="18">
        <v>1989</v>
      </c>
      <c r="B95" s="32">
        <v>589</v>
      </c>
      <c r="C95" s="32">
        <f>SUM($B68:C68)</f>
        <v>799</v>
      </c>
      <c r="D95" s="32">
        <f>SUM($B68:D68)</f>
        <v>828</v>
      </c>
      <c r="E95" s="32">
        <f>SUM($B68:E68)</f>
        <v>845</v>
      </c>
      <c r="F95" s="32">
        <f>SUM($B68:F68)</f>
        <v>857</v>
      </c>
      <c r="G95" s="32">
        <f>SUM($B68:G68)</f>
        <v>861</v>
      </c>
      <c r="H95" s="32">
        <f>SUM($B68:H68)</f>
        <v>870</v>
      </c>
      <c r="I95" s="33"/>
      <c r="J95" s="33"/>
      <c r="K95" s="33"/>
      <c r="L95" s="33"/>
    </row>
    <row r="96" spans="1:19" x14ac:dyDescent="0.2">
      <c r="A96" s="18">
        <v>1990</v>
      </c>
      <c r="B96" s="32">
        <v>564</v>
      </c>
      <c r="C96" s="32">
        <f>SUM($B69:C69)</f>
        <v>760</v>
      </c>
      <c r="D96" s="32">
        <f>SUM($B69:D69)</f>
        <v>783</v>
      </c>
      <c r="E96" s="32">
        <f>SUM($B69:E69)</f>
        <v>795</v>
      </c>
      <c r="F96" s="32">
        <f>SUM($B69:F69)</f>
        <v>804</v>
      </c>
      <c r="G96" s="32">
        <f>SUM($B69:G69)</f>
        <v>809</v>
      </c>
      <c r="H96" s="33"/>
      <c r="I96" s="33"/>
      <c r="J96" s="33"/>
      <c r="K96" s="33"/>
      <c r="L96" s="33"/>
    </row>
    <row r="97" spans="1:19" x14ac:dyDescent="0.2">
      <c r="A97" s="18">
        <v>1991</v>
      </c>
      <c r="B97" s="32">
        <v>607</v>
      </c>
      <c r="C97" s="32">
        <f>SUM($B70:C70)</f>
        <v>810</v>
      </c>
      <c r="D97" s="32">
        <f>SUM($B70:D70)</f>
        <v>839</v>
      </c>
      <c r="E97" s="32">
        <f>SUM($B70:E70)</f>
        <v>848</v>
      </c>
      <c r="F97" s="32">
        <f>SUM($B70:F70)</f>
        <v>855</v>
      </c>
      <c r="G97" s="33"/>
      <c r="H97" s="33"/>
      <c r="I97" s="33"/>
      <c r="J97" s="33"/>
      <c r="K97" s="33"/>
      <c r="L97" s="33"/>
    </row>
    <row r="98" spans="1:19" x14ac:dyDescent="0.2">
      <c r="A98" s="18">
        <v>1992</v>
      </c>
      <c r="B98" s="32">
        <v>674</v>
      </c>
      <c r="C98" s="32">
        <f>SUM($B71:C71)</f>
        <v>843</v>
      </c>
      <c r="D98" s="32">
        <f>SUM($B71:D71)</f>
        <v>863</v>
      </c>
      <c r="E98" s="32">
        <f>SUM($B71:E71)</f>
        <v>875</v>
      </c>
      <c r="F98" s="33"/>
      <c r="G98" s="33"/>
      <c r="H98" s="33"/>
      <c r="I98" s="33"/>
      <c r="J98" s="33"/>
      <c r="K98" s="33"/>
      <c r="L98" s="33"/>
    </row>
    <row r="99" spans="1:19" x14ac:dyDescent="0.2">
      <c r="A99" s="18">
        <v>1993</v>
      </c>
      <c r="B99" s="32">
        <v>619</v>
      </c>
      <c r="C99" s="32">
        <f>SUM($B72:C72)</f>
        <v>809</v>
      </c>
      <c r="D99" s="32">
        <f>SUM($B72:D72)</f>
        <v>850</v>
      </c>
      <c r="E99" s="33"/>
      <c r="F99" s="33"/>
      <c r="G99" s="33"/>
      <c r="H99" s="33"/>
      <c r="I99" s="33"/>
      <c r="J99" s="33"/>
      <c r="K99" s="33"/>
      <c r="L99" s="33"/>
    </row>
    <row r="100" spans="1:19" x14ac:dyDescent="0.2">
      <c r="A100" s="18">
        <v>1994</v>
      </c>
      <c r="B100" s="32">
        <v>660</v>
      </c>
      <c r="C100" s="32">
        <f>SUM($B73:C73)</f>
        <v>821</v>
      </c>
      <c r="D100" s="33"/>
      <c r="E100" s="33"/>
      <c r="F100" s="33"/>
      <c r="G100" s="33"/>
      <c r="H100" s="33"/>
      <c r="I100" s="33"/>
      <c r="J100" s="33"/>
      <c r="K100" s="33"/>
      <c r="L100" s="33"/>
    </row>
    <row r="101" spans="1:19" x14ac:dyDescent="0.2">
      <c r="A101" s="18">
        <v>1995</v>
      </c>
      <c r="B101" s="32">
        <v>660</v>
      </c>
      <c r="C101" s="33"/>
      <c r="D101" s="33"/>
      <c r="E101" s="33"/>
      <c r="F101" s="33"/>
      <c r="G101" s="33"/>
      <c r="H101" s="33"/>
      <c r="I101" s="33"/>
      <c r="J101" s="33"/>
      <c r="K101" s="33"/>
      <c r="L101" s="33"/>
    </row>
    <row r="103" spans="1:19" x14ac:dyDescent="0.2">
      <c r="A103" s="19" t="s">
        <v>216</v>
      </c>
      <c r="B103" s="16" t="s">
        <v>232</v>
      </c>
      <c r="C103" s="21"/>
      <c r="D103" s="21"/>
      <c r="E103" s="21"/>
      <c r="F103" s="21"/>
      <c r="G103" s="21"/>
      <c r="H103" s="21"/>
      <c r="I103" s="21"/>
      <c r="J103" s="21"/>
      <c r="K103" s="21"/>
      <c r="L103" s="21"/>
      <c r="M103" s="21"/>
      <c r="N103" s="21"/>
      <c r="O103" s="21"/>
      <c r="P103" s="21"/>
      <c r="Q103" s="21"/>
      <c r="R103" s="21"/>
      <c r="S103" s="21"/>
    </row>
    <row r="104" spans="1:19" x14ac:dyDescent="0.2">
      <c r="A104" s="23" t="s">
        <v>218</v>
      </c>
      <c r="B104" s="21">
        <v>0</v>
      </c>
      <c r="C104" s="21">
        <f t="shared" ref="C104:S104" si="23">B104+1</f>
        <v>1</v>
      </c>
      <c r="D104" s="21">
        <f t="shared" si="23"/>
        <v>2</v>
      </c>
      <c r="E104" s="21">
        <f t="shared" si="23"/>
        <v>3</v>
      </c>
      <c r="F104" s="21">
        <f t="shared" si="23"/>
        <v>4</v>
      </c>
      <c r="G104" s="21">
        <f t="shared" si="23"/>
        <v>5</v>
      </c>
      <c r="H104" s="21">
        <f t="shared" si="23"/>
        <v>6</v>
      </c>
      <c r="I104" s="21">
        <f t="shared" si="23"/>
        <v>7</v>
      </c>
      <c r="J104" s="21">
        <f t="shared" si="23"/>
        <v>8</v>
      </c>
      <c r="K104" s="21">
        <f t="shared" si="23"/>
        <v>9</v>
      </c>
      <c r="L104" s="21">
        <f t="shared" si="23"/>
        <v>10</v>
      </c>
      <c r="M104" s="21">
        <f t="shared" si="23"/>
        <v>11</v>
      </c>
      <c r="N104" s="21">
        <f t="shared" si="23"/>
        <v>12</v>
      </c>
      <c r="O104" s="21">
        <f t="shared" si="23"/>
        <v>13</v>
      </c>
      <c r="P104" s="21">
        <f t="shared" si="23"/>
        <v>14</v>
      </c>
      <c r="Q104" s="21">
        <f t="shared" si="23"/>
        <v>15</v>
      </c>
      <c r="R104" s="21">
        <f t="shared" si="23"/>
        <v>16</v>
      </c>
      <c r="S104" s="21">
        <f t="shared" si="23"/>
        <v>17</v>
      </c>
    </row>
    <row r="105" spans="1:19" x14ac:dyDescent="0.2">
      <c r="B105" s="25" t="s">
        <v>219</v>
      </c>
      <c r="C105" s="25" t="s">
        <v>219</v>
      </c>
      <c r="D105" s="25" t="s">
        <v>219</v>
      </c>
      <c r="E105" s="25" t="s">
        <v>219</v>
      </c>
      <c r="F105" s="25" t="s">
        <v>219</v>
      </c>
      <c r="G105" s="25" t="s">
        <v>219</v>
      </c>
      <c r="H105" s="25" t="s">
        <v>219</v>
      </c>
      <c r="I105" s="25" t="s">
        <v>219</v>
      </c>
      <c r="J105" s="25" t="s">
        <v>219</v>
      </c>
      <c r="K105" s="25" t="s">
        <v>219</v>
      </c>
      <c r="L105" s="25" t="s">
        <v>219</v>
      </c>
      <c r="M105" s="25" t="s">
        <v>219</v>
      </c>
      <c r="N105" s="25" t="s">
        <v>219</v>
      </c>
      <c r="O105" s="25" t="s">
        <v>219</v>
      </c>
      <c r="P105" s="25" t="s">
        <v>219</v>
      </c>
      <c r="Q105" s="25" t="s">
        <v>219</v>
      </c>
      <c r="R105" s="25" t="s">
        <v>219</v>
      </c>
      <c r="S105" s="25" t="s">
        <v>219</v>
      </c>
    </row>
    <row r="107" spans="1:19" x14ac:dyDescent="0.2">
      <c r="A107" s="18">
        <f>A84</f>
        <v>1978</v>
      </c>
      <c r="B107" s="26">
        <f t="shared" ref="B107:S119" si="24">C31/B84</f>
        <v>25.184782608695652</v>
      </c>
      <c r="C107" s="26">
        <f t="shared" si="24"/>
        <v>32.670840787119857</v>
      </c>
      <c r="D107" s="26">
        <f t="shared" si="24"/>
        <v>34.381601362862007</v>
      </c>
      <c r="E107" s="26">
        <f t="shared" si="24"/>
        <v>37.618487394957981</v>
      </c>
      <c r="F107" s="26">
        <f t="shared" si="24"/>
        <v>37.906821963394343</v>
      </c>
      <c r="G107" s="26">
        <f t="shared" si="24"/>
        <v>43.478547854785475</v>
      </c>
      <c r="H107" s="26">
        <f t="shared" si="24"/>
        <v>42.975369458128078</v>
      </c>
      <c r="I107" s="26">
        <f t="shared" si="24"/>
        <v>42.924590163934425</v>
      </c>
      <c r="J107" s="26">
        <f t="shared" si="24"/>
        <v>41.729508196721312</v>
      </c>
      <c r="K107" s="26">
        <f t="shared" si="24"/>
        <v>42.196721311475407</v>
      </c>
      <c r="L107" s="26">
        <f t="shared" si="24"/>
        <v>42.080196399345333</v>
      </c>
      <c r="M107" s="26">
        <f t="shared" si="24"/>
        <v>41.646426058332075</v>
      </c>
      <c r="N107" s="26">
        <f t="shared" si="24"/>
        <v>41.659516244111842</v>
      </c>
      <c r="O107" s="26">
        <f t="shared" si="24"/>
        <v>41.597337861657948</v>
      </c>
      <c r="P107" s="26">
        <f t="shared" si="24"/>
        <v>41.538432025648987</v>
      </c>
      <c r="Q107" s="26">
        <f t="shared" si="24"/>
        <v>41.757692637460103</v>
      </c>
      <c r="R107" s="26">
        <f t="shared" si="24"/>
        <v>41.963863063491452</v>
      </c>
      <c r="S107" s="26">
        <f t="shared" si="24"/>
        <v>41.674242703114082</v>
      </c>
    </row>
    <row r="108" spans="1:19" x14ac:dyDescent="0.2">
      <c r="A108" s="18">
        <f t="shared" ref="A108:A124" si="25">A85</f>
        <v>1979</v>
      </c>
      <c r="B108" s="26">
        <f t="shared" si="24"/>
        <v>25.05852417302799</v>
      </c>
      <c r="C108" s="26">
        <f t="shared" si="24"/>
        <v>29.637867647058822</v>
      </c>
      <c r="D108" s="26">
        <f t="shared" si="24"/>
        <v>30.050966608084359</v>
      </c>
      <c r="E108" s="26">
        <f t="shared" si="24"/>
        <v>32.250434782608693</v>
      </c>
      <c r="F108" s="26">
        <f t="shared" si="24"/>
        <v>35.464594127806564</v>
      </c>
      <c r="G108" s="26">
        <f t="shared" si="24"/>
        <v>36.907534246575345</v>
      </c>
      <c r="H108" s="26">
        <f t="shared" si="24"/>
        <v>39.488095238095241</v>
      </c>
      <c r="I108" s="26">
        <f t="shared" si="24"/>
        <v>37.998302207130727</v>
      </c>
      <c r="J108" s="26">
        <f t="shared" si="24"/>
        <v>36.521150592216586</v>
      </c>
      <c r="K108" s="26">
        <f t="shared" si="24"/>
        <v>36.162162162162161</v>
      </c>
      <c r="L108" s="26">
        <f t="shared" si="24"/>
        <v>35.231418918918919</v>
      </c>
      <c r="M108" s="26">
        <f t="shared" si="24"/>
        <v>35.739058599695568</v>
      </c>
      <c r="N108" s="26">
        <f t="shared" si="24"/>
        <v>34.589018486933071</v>
      </c>
      <c r="O108" s="26">
        <f t="shared" si="24"/>
        <v>33.72606621436092</v>
      </c>
      <c r="P108" s="26">
        <f t="shared" si="24"/>
        <v>33.704112438346364</v>
      </c>
      <c r="Q108" s="26">
        <f t="shared" si="24"/>
        <v>33.685536166334053</v>
      </c>
      <c r="R108" s="26">
        <f t="shared" si="24"/>
        <v>33.759841254383318</v>
      </c>
      <c r="S108" s="26"/>
    </row>
    <row r="109" spans="1:19" x14ac:dyDescent="0.2">
      <c r="A109" s="18">
        <f t="shared" si="25"/>
        <v>1980</v>
      </c>
      <c r="B109" s="26">
        <f t="shared" si="24"/>
        <v>27.059961315280464</v>
      </c>
      <c r="C109" s="26">
        <f t="shared" si="24"/>
        <v>32.028490028490026</v>
      </c>
      <c r="D109" s="26">
        <f t="shared" si="24"/>
        <v>34.131326949384402</v>
      </c>
      <c r="E109" s="26">
        <f t="shared" si="24"/>
        <v>44.458556149732622</v>
      </c>
      <c r="F109" s="26">
        <f t="shared" si="24"/>
        <v>43.866930171278</v>
      </c>
      <c r="G109" s="26">
        <f t="shared" si="24"/>
        <v>44.613784135240572</v>
      </c>
      <c r="H109" s="26">
        <f t="shared" si="24"/>
        <v>43.786357786357783</v>
      </c>
      <c r="I109" s="26">
        <f t="shared" si="24"/>
        <v>43.731362467866326</v>
      </c>
      <c r="J109" s="26">
        <f t="shared" si="24"/>
        <v>43.498714652956295</v>
      </c>
      <c r="K109" s="26">
        <f t="shared" si="24"/>
        <v>43.615681233933159</v>
      </c>
      <c r="L109" s="26">
        <f t="shared" si="24"/>
        <v>43.093709884467266</v>
      </c>
      <c r="M109" s="26">
        <f t="shared" si="24"/>
        <v>40.915020082584803</v>
      </c>
      <c r="N109" s="26">
        <f t="shared" si="24"/>
        <v>41.328264223816014</v>
      </c>
      <c r="O109" s="26">
        <f t="shared" si="24"/>
        <v>41.510502323365181</v>
      </c>
      <c r="P109" s="26">
        <f t="shared" si="24"/>
        <v>41.388582468032993</v>
      </c>
      <c r="Q109" s="26">
        <f t="shared" si="24"/>
        <v>41.283346382377843</v>
      </c>
      <c r="R109" s="26"/>
      <c r="S109" s="26"/>
    </row>
    <row r="110" spans="1:19" x14ac:dyDescent="0.2">
      <c r="A110" s="18">
        <f t="shared" si="25"/>
        <v>1981</v>
      </c>
      <c r="B110" s="26">
        <f t="shared" si="24"/>
        <v>28.633217993079583</v>
      </c>
      <c r="C110" s="26">
        <f t="shared" si="24"/>
        <v>33.721153846153847</v>
      </c>
      <c r="D110" s="26">
        <f t="shared" si="24"/>
        <v>45.397275822928492</v>
      </c>
      <c r="E110" s="26">
        <f t="shared" si="24"/>
        <v>47.019933554817278</v>
      </c>
      <c r="F110" s="26">
        <f t="shared" si="24"/>
        <v>46.518478260869564</v>
      </c>
      <c r="G110" s="26">
        <f t="shared" si="24"/>
        <v>46.171706263498919</v>
      </c>
      <c r="H110" s="26">
        <f t="shared" si="24"/>
        <v>45.678148546824545</v>
      </c>
      <c r="I110" s="26">
        <f t="shared" si="24"/>
        <v>45.534983853606029</v>
      </c>
      <c r="J110" s="26">
        <f t="shared" si="24"/>
        <v>45.263440860215056</v>
      </c>
      <c r="K110" s="26">
        <f t="shared" si="24"/>
        <v>44.737634408602148</v>
      </c>
      <c r="L110" s="26">
        <f t="shared" si="24"/>
        <v>43.483870967741936</v>
      </c>
      <c r="M110" s="26">
        <f t="shared" si="24"/>
        <v>43.465522808108098</v>
      </c>
      <c r="N110" s="26">
        <f t="shared" si="24"/>
        <v>43.351569864458035</v>
      </c>
      <c r="O110" s="26">
        <f t="shared" si="24"/>
        <v>43.363395169931152</v>
      </c>
      <c r="P110" s="26">
        <f t="shared" si="24"/>
        <v>43.104313477292798</v>
      </c>
      <c r="Q110" s="26"/>
      <c r="R110" s="26"/>
      <c r="S110" s="26"/>
    </row>
    <row r="111" spans="1:19" x14ac:dyDescent="0.2">
      <c r="A111" s="18">
        <f t="shared" si="25"/>
        <v>1982</v>
      </c>
      <c r="B111" s="26">
        <f t="shared" si="24"/>
        <v>17.84565916398714</v>
      </c>
      <c r="C111" s="26">
        <f t="shared" si="24"/>
        <v>38.188405797101453</v>
      </c>
      <c r="D111" s="26">
        <f t="shared" si="24"/>
        <v>47.118800461361012</v>
      </c>
      <c r="E111" s="26">
        <f t="shared" si="24"/>
        <v>43.9762174405436</v>
      </c>
      <c r="F111" s="26">
        <f t="shared" si="24"/>
        <v>44.60045146726862</v>
      </c>
      <c r="G111" s="26">
        <f t="shared" si="24"/>
        <v>44.647256438969762</v>
      </c>
      <c r="H111" s="26">
        <f t="shared" si="24"/>
        <v>45.193729003359465</v>
      </c>
      <c r="I111" s="26">
        <f t="shared" si="24"/>
        <v>45.139821029082775</v>
      </c>
      <c r="J111" s="26">
        <f t="shared" si="24"/>
        <v>44.872483221476507</v>
      </c>
      <c r="K111" s="26">
        <f t="shared" si="24"/>
        <v>44.617449664429529</v>
      </c>
      <c r="L111" s="26">
        <f t="shared" si="24"/>
        <v>44.628635346756155</v>
      </c>
      <c r="M111" s="26">
        <f t="shared" si="24"/>
        <v>44.896296526911613</v>
      </c>
      <c r="N111" s="26">
        <f t="shared" si="24"/>
        <v>44.538441272755342</v>
      </c>
      <c r="O111" s="26">
        <f t="shared" si="24"/>
        <v>44.955566303381246</v>
      </c>
      <c r="P111" s="26"/>
      <c r="Q111" s="26"/>
      <c r="R111" s="26"/>
      <c r="S111" s="26"/>
    </row>
    <row r="112" spans="1:19" x14ac:dyDescent="0.2">
      <c r="A112" s="18">
        <f t="shared" si="25"/>
        <v>1983</v>
      </c>
      <c r="B112" s="26">
        <f t="shared" si="24"/>
        <v>23.753030303030304</v>
      </c>
      <c r="C112" s="26">
        <f t="shared" si="24"/>
        <v>36.626799557032115</v>
      </c>
      <c r="D112" s="26">
        <f t="shared" si="24"/>
        <v>38.229860365198711</v>
      </c>
      <c r="E112" s="26">
        <f t="shared" si="24"/>
        <v>37.880169671261932</v>
      </c>
      <c r="F112" s="26">
        <f t="shared" si="24"/>
        <v>40.473298429319371</v>
      </c>
      <c r="G112" s="26">
        <f t="shared" si="24"/>
        <v>41.103232533889468</v>
      </c>
      <c r="H112" s="26">
        <f t="shared" si="24"/>
        <v>40.730010384215994</v>
      </c>
      <c r="I112" s="26">
        <f t="shared" si="24"/>
        <v>41.178423236514526</v>
      </c>
      <c r="J112" s="26">
        <f t="shared" si="24"/>
        <v>39.17946058091286</v>
      </c>
      <c r="K112" s="26">
        <f t="shared" si="24"/>
        <v>39.309128630705395</v>
      </c>
      <c r="L112" s="26">
        <f t="shared" si="24"/>
        <v>38.764522821576762</v>
      </c>
      <c r="M112" s="26">
        <f t="shared" si="24"/>
        <v>38.730613500358224</v>
      </c>
      <c r="N112" s="26">
        <f t="shared" si="24"/>
        <v>38.450595676148914</v>
      </c>
      <c r="O112" s="26"/>
      <c r="P112" s="26"/>
      <c r="Q112" s="26"/>
      <c r="R112" s="26"/>
      <c r="S112" s="26"/>
    </row>
    <row r="113" spans="1:19" x14ac:dyDescent="0.2">
      <c r="A113" s="18">
        <f t="shared" si="25"/>
        <v>1984</v>
      </c>
      <c r="B113" s="26">
        <f t="shared" si="24"/>
        <v>30.593093093093092</v>
      </c>
      <c r="C113" s="26">
        <f t="shared" si="24"/>
        <v>37.283333333333331</v>
      </c>
      <c r="D113" s="26">
        <f t="shared" si="24"/>
        <v>43.815320041972718</v>
      </c>
      <c r="E113" s="26">
        <f t="shared" si="24"/>
        <v>46.858774662512978</v>
      </c>
      <c r="F113" s="26">
        <f t="shared" si="24"/>
        <v>48.696189495365601</v>
      </c>
      <c r="G113" s="26">
        <f t="shared" si="24"/>
        <v>53.035897435897439</v>
      </c>
      <c r="H113" s="26">
        <f t="shared" si="24"/>
        <v>53.156982670744142</v>
      </c>
      <c r="I113" s="26">
        <f t="shared" si="24"/>
        <v>52.125254582484722</v>
      </c>
      <c r="J113" s="26">
        <f t="shared" si="24"/>
        <v>52.902240325865577</v>
      </c>
      <c r="K113" s="26">
        <f t="shared" si="24"/>
        <v>51.901221995926683</v>
      </c>
      <c r="L113" s="26">
        <f t="shared" si="24"/>
        <v>52.40427698574338</v>
      </c>
      <c r="M113" s="26">
        <f t="shared" si="24"/>
        <v>52.311497992461895</v>
      </c>
      <c r="N113" s="26"/>
      <c r="O113" s="26"/>
      <c r="P113" s="26"/>
      <c r="Q113" s="26"/>
      <c r="R113" s="26"/>
      <c r="S113" s="26"/>
    </row>
    <row r="114" spans="1:19" x14ac:dyDescent="0.2">
      <c r="A114" s="18">
        <f t="shared" si="25"/>
        <v>1985</v>
      </c>
      <c r="B114" s="26">
        <f t="shared" si="24"/>
        <v>17.102966841186735</v>
      </c>
      <c r="C114" s="26">
        <f t="shared" si="24"/>
        <v>29.395709177592373</v>
      </c>
      <c r="D114" s="26">
        <f t="shared" si="24"/>
        <v>40.023307436182023</v>
      </c>
      <c r="E114" s="26">
        <f t="shared" si="24"/>
        <v>41.541073384446875</v>
      </c>
      <c r="F114" s="26">
        <f t="shared" si="24"/>
        <v>43.618736383442268</v>
      </c>
      <c r="G114" s="26">
        <f t="shared" si="24"/>
        <v>43.850810810810813</v>
      </c>
      <c r="H114" s="26">
        <f t="shared" si="24"/>
        <v>43.353383458646618</v>
      </c>
      <c r="I114" s="26">
        <f t="shared" si="24"/>
        <v>43.679487179487182</v>
      </c>
      <c r="J114" s="26">
        <f t="shared" si="24"/>
        <v>43.326574172892208</v>
      </c>
      <c r="K114" s="26">
        <f t="shared" si="24"/>
        <v>44.081109925293489</v>
      </c>
      <c r="L114" s="26">
        <f t="shared" si="24"/>
        <v>45.179104477611943</v>
      </c>
      <c r="M114" s="26"/>
      <c r="N114" s="26"/>
      <c r="O114" s="26"/>
      <c r="P114" s="26"/>
      <c r="Q114" s="26"/>
      <c r="R114" s="26"/>
      <c r="S114" s="26"/>
    </row>
    <row r="115" spans="1:19" x14ac:dyDescent="0.2">
      <c r="A115" s="18">
        <f t="shared" si="25"/>
        <v>1986</v>
      </c>
      <c r="B115" s="26">
        <f t="shared" si="24"/>
        <v>19.553264604810998</v>
      </c>
      <c r="C115" s="26">
        <f t="shared" si="24"/>
        <v>31.104287369640787</v>
      </c>
      <c r="D115" s="26">
        <f t="shared" si="24"/>
        <v>39.02905027932961</v>
      </c>
      <c r="E115" s="26">
        <f t="shared" si="24"/>
        <v>41.003253796095443</v>
      </c>
      <c r="F115" s="26">
        <f t="shared" si="24"/>
        <v>44.193790149892934</v>
      </c>
      <c r="G115" s="26">
        <f t="shared" si="24"/>
        <v>47.413938753959876</v>
      </c>
      <c r="H115" s="26">
        <f t="shared" si="24"/>
        <v>48.129066107030432</v>
      </c>
      <c r="I115" s="26">
        <f t="shared" si="24"/>
        <v>47.543455497382197</v>
      </c>
      <c r="J115" s="26">
        <f t="shared" si="24"/>
        <v>47.43410041841004</v>
      </c>
      <c r="K115" s="26">
        <f t="shared" si="24"/>
        <v>46.42573221757322</v>
      </c>
      <c r="L115" s="26"/>
      <c r="M115" s="26"/>
      <c r="N115" s="26"/>
      <c r="O115" s="26"/>
      <c r="P115" s="26"/>
      <c r="Q115" s="26"/>
      <c r="R115" s="26"/>
      <c r="S115" s="26"/>
    </row>
    <row r="116" spans="1:19" x14ac:dyDescent="0.2">
      <c r="A116" s="18">
        <f t="shared" si="25"/>
        <v>1987</v>
      </c>
      <c r="B116" s="26">
        <f t="shared" si="24"/>
        <v>18.763302752293576</v>
      </c>
      <c r="C116" s="26">
        <f t="shared" si="24"/>
        <v>26.811764705882354</v>
      </c>
      <c r="D116" s="26">
        <f t="shared" si="24"/>
        <v>33.269801980198018</v>
      </c>
      <c r="E116" s="26">
        <f t="shared" si="24"/>
        <v>39.135593220338983</v>
      </c>
      <c r="F116" s="26">
        <f t="shared" si="24"/>
        <v>42.072792362768496</v>
      </c>
      <c r="G116" s="26">
        <f t="shared" si="24"/>
        <v>47.883116883116884</v>
      </c>
      <c r="H116" s="26">
        <f t="shared" si="24"/>
        <v>51.353286384976528</v>
      </c>
      <c r="I116" s="26">
        <f t="shared" si="24"/>
        <v>52.235362997658079</v>
      </c>
      <c r="J116" s="26">
        <f t="shared" si="24"/>
        <v>51.751756440281028</v>
      </c>
      <c r="K116" s="26"/>
      <c r="L116" s="26"/>
      <c r="M116" s="26"/>
      <c r="N116" s="26"/>
      <c r="O116" s="26"/>
      <c r="P116" s="26"/>
      <c r="Q116" s="26"/>
      <c r="R116" s="26"/>
      <c r="S116" s="26"/>
    </row>
    <row r="117" spans="1:19" x14ac:dyDescent="0.2">
      <c r="A117" s="18">
        <f t="shared" si="25"/>
        <v>1988</v>
      </c>
      <c r="B117" s="26">
        <f t="shared" si="24"/>
        <v>16.051080550098231</v>
      </c>
      <c r="C117" s="26">
        <f t="shared" si="24"/>
        <v>23.957419354838709</v>
      </c>
      <c r="D117" s="26">
        <f t="shared" si="24"/>
        <v>32.126213592233007</v>
      </c>
      <c r="E117" s="26">
        <f t="shared" si="24"/>
        <v>39.009456264775416</v>
      </c>
      <c r="F117" s="26">
        <f t="shared" si="24"/>
        <v>42.184668989547035</v>
      </c>
      <c r="G117" s="26">
        <f t="shared" si="24"/>
        <v>42.828901734104043</v>
      </c>
      <c r="H117" s="26">
        <f t="shared" si="24"/>
        <v>45.446735395189002</v>
      </c>
      <c r="I117" s="26">
        <f t="shared" si="24"/>
        <v>46.274914089347078</v>
      </c>
      <c r="J117" s="26"/>
      <c r="K117" s="26"/>
      <c r="L117" s="26"/>
      <c r="M117" s="26"/>
      <c r="N117" s="26"/>
      <c r="O117" s="26"/>
      <c r="P117" s="26"/>
      <c r="Q117" s="26"/>
      <c r="R117" s="26"/>
      <c r="S117" s="26"/>
    </row>
    <row r="118" spans="1:19" x14ac:dyDescent="0.2">
      <c r="A118" s="18">
        <f t="shared" si="25"/>
        <v>1989</v>
      </c>
      <c r="B118" s="26">
        <f t="shared" si="24"/>
        <v>17.713073005093378</v>
      </c>
      <c r="C118" s="26">
        <f t="shared" si="24"/>
        <v>24.385481852315394</v>
      </c>
      <c r="D118" s="26">
        <f t="shared" si="24"/>
        <v>38.771739130434781</v>
      </c>
      <c r="E118" s="26">
        <f t="shared" si="24"/>
        <v>46.078106508875742</v>
      </c>
      <c r="F118" s="26">
        <f t="shared" si="24"/>
        <v>53.501750291715283</v>
      </c>
      <c r="G118" s="26">
        <f t="shared" si="24"/>
        <v>52.419279907084785</v>
      </c>
      <c r="H118" s="26">
        <f t="shared" si="24"/>
        <v>52.3</v>
      </c>
      <c r="I118" s="26"/>
      <c r="J118" s="26"/>
      <c r="K118" s="26"/>
      <c r="L118" s="26"/>
      <c r="M118" s="26"/>
      <c r="N118" s="26"/>
      <c r="O118" s="26"/>
      <c r="P118" s="26"/>
      <c r="Q118" s="26"/>
      <c r="R118" s="26"/>
      <c r="S118" s="26"/>
    </row>
    <row r="119" spans="1:19" x14ac:dyDescent="0.2">
      <c r="A119" s="18">
        <f t="shared" si="25"/>
        <v>1990</v>
      </c>
      <c r="B119" s="26">
        <f t="shared" si="24"/>
        <v>17.129432624113477</v>
      </c>
      <c r="C119" s="26">
        <f t="shared" si="24"/>
        <v>31.326315789473686</v>
      </c>
      <c r="D119" s="26">
        <f t="shared" si="24"/>
        <v>42.102171136653894</v>
      </c>
      <c r="E119" s="26">
        <f t="shared" si="24"/>
        <v>53.97106918238994</v>
      </c>
      <c r="F119" s="26">
        <f t="shared" si="24"/>
        <v>58.370646766169152</v>
      </c>
      <c r="G119" s="26">
        <f t="shared" si="24"/>
        <v>60.939431396786155</v>
      </c>
      <c r="H119" s="26"/>
      <c r="I119" s="26"/>
      <c r="J119" s="26"/>
      <c r="K119" s="26"/>
      <c r="L119" s="26"/>
      <c r="M119" s="26"/>
      <c r="N119" s="26"/>
      <c r="O119" s="26"/>
      <c r="P119" s="26"/>
      <c r="Q119" s="26"/>
      <c r="R119" s="26"/>
      <c r="S119" s="26"/>
    </row>
    <row r="120" spans="1:19" x14ac:dyDescent="0.2">
      <c r="A120" s="18">
        <f t="shared" si="25"/>
        <v>1991</v>
      </c>
      <c r="B120" s="26">
        <f>C44/B97</f>
        <v>23.517298187808898</v>
      </c>
      <c r="C120" s="26">
        <f>D44/C97</f>
        <v>31.544444444444444</v>
      </c>
      <c r="D120" s="26">
        <f>E44/D97</f>
        <v>40.231227651966627</v>
      </c>
      <c r="E120" s="26">
        <f>F44/E97</f>
        <v>45.606132075471699</v>
      </c>
      <c r="F120" s="26">
        <f>G44/F97</f>
        <v>48.107602339181284</v>
      </c>
      <c r="G120" s="26"/>
      <c r="H120" s="26"/>
      <c r="I120" s="26"/>
      <c r="J120" s="26"/>
      <c r="K120" s="26"/>
      <c r="L120" s="26"/>
      <c r="M120" s="26"/>
      <c r="N120" s="26"/>
      <c r="O120" s="26"/>
      <c r="P120" s="26"/>
      <c r="Q120" s="26"/>
      <c r="R120" s="26"/>
      <c r="S120" s="26"/>
    </row>
    <row r="121" spans="1:19" x14ac:dyDescent="0.2">
      <c r="A121" s="18">
        <f t="shared" si="25"/>
        <v>1992</v>
      </c>
      <c r="B121" s="26">
        <f>C45/B98</f>
        <v>19.651335311572701</v>
      </c>
      <c r="C121" s="26">
        <f>D45/C98</f>
        <v>34.645314353499408</v>
      </c>
      <c r="D121" s="26">
        <f>E45/D98</f>
        <v>42.858632676709156</v>
      </c>
      <c r="E121" s="26">
        <f>F45/E98</f>
        <v>50.371428571428574</v>
      </c>
      <c r="F121" s="26"/>
      <c r="G121" s="26"/>
      <c r="H121" s="26"/>
      <c r="I121" s="26"/>
      <c r="J121" s="26"/>
      <c r="K121" s="26"/>
      <c r="L121" s="26"/>
      <c r="M121" s="26"/>
      <c r="N121" s="26"/>
      <c r="O121" s="26"/>
      <c r="P121" s="26"/>
      <c r="Q121" s="26"/>
      <c r="R121" s="26"/>
      <c r="S121" s="26"/>
    </row>
    <row r="122" spans="1:19" x14ac:dyDescent="0.2">
      <c r="A122" s="18">
        <f t="shared" si="25"/>
        <v>1993</v>
      </c>
      <c r="B122" s="26">
        <f>C46/B99</f>
        <v>23.765751211631663</v>
      </c>
      <c r="C122" s="26">
        <f>D46/C99</f>
        <v>33.475896168108775</v>
      </c>
      <c r="D122" s="26">
        <f>E46/D99</f>
        <v>40.27058823529412</v>
      </c>
      <c r="E122" s="26"/>
      <c r="F122" s="26"/>
      <c r="G122" s="26"/>
      <c r="H122" s="26"/>
      <c r="I122" s="26"/>
      <c r="J122" s="26"/>
      <c r="K122" s="26"/>
      <c r="L122" s="26"/>
      <c r="M122" s="26"/>
      <c r="N122" s="26"/>
      <c r="O122" s="26"/>
      <c r="P122" s="26"/>
      <c r="Q122" s="26"/>
      <c r="R122" s="26"/>
      <c r="S122" s="26"/>
    </row>
    <row r="123" spans="1:19" x14ac:dyDescent="0.2">
      <c r="A123" s="18">
        <f t="shared" si="25"/>
        <v>1994</v>
      </c>
      <c r="B123" s="26">
        <f>C47/B100</f>
        <v>18.903030303030302</v>
      </c>
      <c r="C123" s="26">
        <f>D47/C100</f>
        <v>28.168087697929355</v>
      </c>
      <c r="D123" s="26"/>
      <c r="E123" s="26"/>
      <c r="F123" s="26"/>
      <c r="G123" s="26"/>
      <c r="H123" s="26"/>
      <c r="I123" s="26"/>
      <c r="J123" s="26"/>
      <c r="K123" s="26"/>
      <c r="L123" s="26"/>
      <c r="M123" s="26"/>
      <c r="N123" s="26"/>
      <c r="O123" s="26"/>
      <c r="P123" s="26"/>
      <c r="Q123" s="26"/>
      <c r="R123" s="26"/>
      <c r="S123" s="26"/>
    </row>
    <row r="124" spans="1:19" x14ac:dyDescent="0.2">
      <c r="A124" s="18">
        <f t="shared" si="25"/>
        <v>1995</v>
      </c>
      <c r="B124" s="26">
        <f>C48/B101</f>
        <v>14.719696969696969</v>
      </c>
      <c r="C124" s="26"/>
      <c r="D124" s="26"/>
      <c r="E124" s="26"/>
      <c r="F124" s="26"/>
      <c r="G124" s="26"/>
      <c r="H124" s="26"/>
      <c r="I124" s="26"/>
      <c r="J124" s="26"/>
      <c r="K124" s="26"/>
      <c r="L124" s="26"/>
      <c r="M124" s="26"/>
      <c r="N124" s="26"/>
      <c r="O124" s="26"/>
      <c r="P124" s="26"/>
      <c r="Q124" s="26"/>
      <c r="R124" s="26"/>
      <c r="S124" s="26"/>
    </row>
    <row r="129" spans="1:18" x14ac:dyDescent="0.2">
      <c r="A129" s="16" t="s">
        <v>233</v>
      </c>
      <c r="C129" s="18"/>
      <c r="D129" s="18"/>
      <c r="E129" s="18"/>
      <c r="F129" s="18"/>
      <c r="G129" s="18"/>
      <c r="H129" s="18"/>
      <c r="I129" s="18"/>
      <c r="J129" s="18"/>
      <c r="K129" s="18"/>
      <c r="L129" s="18"/>
      <c r="M129" s="18"/>
      <c r="N129" s="18"/>
      <c r="O129" s="18"/>
      <c r="P129" s="18"/>
      <c r="Q129" s="18"/>
      <c r="R129" s="18"/>
    </row>
    <row r="131" spans="1:18" x14ac:dyDescent="0.2">
      <c r="A131" s="25" t="s">
        <v>216</v>
      </c>
      <c r="B131" s="36" t="s">
        <v>234</v>
      </c>
      <c r="C131" s="18"/>
      <c r="D131" s="18"/>
      <c r="E131" s="18"/>
      <c r="F131" s="18"/>
      <c r="G131" s="18"/>
      <c r="H131" s="18"/>
      <c r="I131" s="18"/>
      <c r="J131" s="18"/>
      <c r="K131" s="18"/>
      <c r="L131" s="18"/>
      <c r="M131" s="18"/>
      <c r="N131" s="18"/>
      <c r="O131" s="18"/>
      <c r="P131" s="18"/>
      <c r="Q131" s="18"/>
      <c r="R131" s="18"/>
    </row>
    <row r="132" spans="1:18" x14ac:dyDescent="0.2">
      <c r="A132" s="37" t="s">
        <v>218</v>
      </c>
      <c r="B132" s="38" t="s">
        <v>235</v>
      </c>
      <c r="C132" s="39"/>
      <c r="D132" s="39"/>
      <c r="E132" s="39"/>
      <c r="F132" s="39"/>
      <c r="G132" s="39"/>
      <c r="H132" s="39"/>
      <c r="I132" s="39"/>
      <c r="J132" s="39"/>
      <c r="K132" s="39"/>
      <c r="L132" s="39"/>
      <c r="M132" s="39"/>
      <c r="N132" s="39"/>
      <c r="O132" s="39"/>
      <c r="P132" s="39"/>
      <c r="Q132" s="39"/>
      <c r="R132" s="39"/>
    </row>
    <row r="133" spans="1:18" x14ac:dyDescent="0.2">
      <c r="B133" s="39">
        <v>0</v>
      </c>
      <c r="C133" s="39">
        <f t="shared" ref="C133:R133" si="26">B133+1</f>
        <v>1</v>
      </c>
      <c r="D133" s="39">
        <f t="shared" si="26"/>
        <v>2</v>
      </c>
      <c r="E133" s="39">
        <f t="shared" si="26"/>
        <v>3</v>
      </c>
      <c r="F133" s="39">
        <f t="shared" si="26"/>
        <v>4</v>
      </c>
      <c r="G133" s="39">
        <f t="shared" si="26"/>
        <v>5</v>
      </c>
      <c r="H133" s="39">
        <f t="shared" si="26"/>
        <v>6</v>
      </c>
      <c r="I133" s="39">
        <f t="shared" si="26"/>
        <v>7</v>
      </c>
      <c r="J133" s="39">
        <f t="shared" si="26"/>
        <v>8</v>
      </c>
      <c r="K133" s="39">
        <f t="shared" si="26"/>
        <v>9</v>
      </c>
      <c r="L133" s="39">
        <f t="shared" si="26"/>
        <v>10</v>
      </c>
      <c r="M133" s="39">
        <f t="shared" si="26"/>
        <v>11</v>
      </c>
      <c r="N133" s="39">
        <f t="shared" si="26"/>
        <v>12</v>
      </c>
      <c r="O133" s="39">
        <f t="shared" si="26"/>
        <v>13</v>
      </c>
      <c r="P133" s="39">
        <f t="shared" si="26"/>
        <v>14</v>
      </c>
      <c r="Q133" s="39">
        <f t="shared" si="26"/>
        <v>15</v>
      </c>
      <c r="R133" s="39">
        <f t="shared" si="26"/>
        <v>16</v>
      </c>
    </row>
    <row r="135" spans="1:18" x14ac:dyDescent="0.2">
      <c r="A135" s="18">
        <f>A107</f>
        <v>1978</v>
      </c>
      <c r="B135" s="40">
        <f t="shared" ref="B135:R146" si="27">C107/B107</f>
        <v>1.2972452966832226</v>
      </c>
      <c r="C135" s="40">
        <f t="shared" si="27"/>
        <v>1.0523635307364541</v>
      </c>
      <c r="D135" s="40">
        <f t="shared" si="27"/>
        <v>1.0941458775562549</v>
      </c>
      <c r="E135" s="40">
        <f t="shared" si="27"/>
        <v>1.0076647039369002</v>
      </c>
      <c r="F135" s="40">
        <f t="shared" si="27"/>
        <v>1.1469847801214148</v>
      </c>
      <c r="G135" s="40">
        <f t="shared" si="27"/>
        <v>0.98842697326649531</v>
      </c>
      <c r="H135" s="40">
        <f t="shared" si="27"/>
        <v>0.9988184093625273</v>
      </c>
      <c r="I135" s="40">
        <f t="shared" si="27"/>
        <v>0.97215857011915674</v>
      </c>
      <c r="J135" s="40">
        <f t="shared" si="27"/>
        <v>1.0111962286387743</v>
      </c>
      <c r="K135" s="40">
        <f t="shared" si="27"/>
        <v>0.99723853160841702</v>
      </c>
      <c r="L135" s="40">
        <f t="shared" si="27"/>
        <v>0.98969181757383606</v>
      </c>
      <c r="M135" s="40">
        <f t="shared" si="27"/>
        <v>1.0003143171460003</v>
      </c>
      <c r="N135" s="40">
        <f t="shared" si="27"/>
        <v>0.99850746268656732</v>
      </c>
      <c r="O135" s="40">
        <f t="shared" si="27"/>
        <v>0.9985839037054518</v>
      </c>
      <c r="P135" s="40">
        <f t="shared" si="27"/>
        <v>1.0052784999606081</v>
      </c>
      <c r="Q135" s="40">
        <f t="shared" si="27"/>
        <v>1.0049373040752352</v>
      </c>
      <c r="R135" s="40">
        <f t="shared" si="27"/>
        <v>0.99309833892224908</v>
      </c>
    </row>
    <row r="136" spans="1:18" x14ac:dyDescent="0.2">
      <c r="A136" s="18">
        <f t="shared" ref="A136:A151" si="28">A108</f>
        <v>1979</v>
      </c>
      <c r="B136" s="40">
        <f t="shared" si="27"/>
        <v>1.1827459367682898</v>
      </c>
      <c r="C136" s="40">
        <f t="shared" si="27"/>
        <v>1.0139382146497482</v>
      </c>
      <c r="D136" s="40">
        <f t="shared" si="27"/>
        <v>1.073191262138391</v>
      </c>
      <c r="E136" s="40">
        <f t="shared" si="27"/>
        <v>1.0996625120518106</v>
      </c>
      <c r="F136" s="40">
        <f t="shared" si="27"/>
        <v>1.0406867794276382</v>
      </c>
      <c r="G136" s="40">
        <f t="shared" si="27"/>
        <v>1.0699196260113026</v>
      </c>
      <c r="H136" s="40">
        <f t="shared" si="27"/>
        <v>0.9622723501353575</v>
      </c>
      <c r="I136" s="40">
        <f t="shared" si="27"/>
        <v>0.96112585223249947</v>
      </c>
      <c r="J136" s="40">
        <f t="shared" si="27"/>
        <v>0.99017039648989225</v>
      </c>
      <c r="K136" s="40">
        <f t="shared" si="27"/>
        <v>0.97426195814648731</v>
      </c>
      <c r="L136" s="40">
        <f t="shared" si="27"/>
        <v>1.01440872086205</v>
      </c>
      <c r="M136" s="40">
        <f t="shared" si="27"/>
        <v>0.96782119737277317</v>
      </c>
      <c r="N136" s="40">
        <f t="shared" si="27"/>
        <v>0.97505126452494872</v>
      </c>
      <c r="O136" s="40">
        <f t="shared" si="27"/>
        <v>0.99934905613139047</v>
      </c>
      <c r="P136" s="40">
        <f t="shared" si="27"/>
        <v>0.99944884256939592</v>
      </c>
      <c r="Q136" s="40">
        <f t="shared" si="27"/>
        <v>1.00220584549055</v>
      </c>
      <c r="R136" s="40"/>
    </row>
    <row r="137" spans="1:18" x14ac:dyDescent="0.2">
      <c r="A137" s="18">
        <f t="shared" si="28"/>
        <v>1980</v>
      </c>
      <c r="B137" s="40">
        <f t="shared" si="27"/>
        <v>1.1836118187797957</v>
      </c>
      <c r="C137" s="40">
        <f t="shared" si="27"/>
        <v>1.0656552000741795</v>
      </c>
      <c r="D137" s="40">
        <f t="shared" si="27"/>
        <v>1.3025733284751322</v>
      </c>
      <c r="E137" s="40">
        <f t="shared" si="27"/>
        <v>0.98669264074923901</v>
      </c>
      <c r="F137" s="40">
        <f t="shared" si="27"/>
        <v>1.0170254440200508</v>
      </c>
      <c r="G137" s="40">
        <f t="shared" si="27"/>
        <v>0.98145357169491476</v>
      </c>
      <c r="H137" s="40">
        <f t="shared" si="27"/>
        <v>0.99874400792228968</v>
      </c>
      <c r="I137" s="40">
        <f t="shared" si="27"/>
        <v>0.99468006936484132</v>
      </c>
      <c r="J137" s="40">
        <f t="shared" si="27"/>
        <v>1.0026889663731458</v>
      </c>
      <c r="K137" s="40">
        <f t="shared" si="27"/>
        <v>0.98803248431071622</v>
      </c>
      <c r="L137" s="40">
        <f t="shared" si="27"/>
        <v>0.94944297421309387</v>
      </c>
      <c r="M137" s="40">
        <f t="shared" si="27"/>
        <v>1.010100059596625</v>
      </c>
      <c r="N137" s="40">
        <f t="shared" si="27"/>
        <v>1.004409527062696</v>
      </c>
      <c r="O137" s="40">
        <f t="shared" si="27"/>
        <v>0.9970629154428815</v>
      </c>
      <c r="P137" s="40">
        <f t="shared" si="27"/>
        <v>0.99745736434108534</v>
      </c>
      <c r="Q137" s="40"/>
      <c r="R137" s="40"/>
    </row>
    <row r="138" spans="1:18" x14ac:dyDescent="0.2">
      <c r="A138" s="18">
        <f t="shared" si="28"/>
        <v>1981</v>
      </c>
      <c r="B138" s="40">
        <f t="shared" si="27"/>
        <v>1.1776934696723218</v>
      </c>
      <c r="C138" s="40">
        <f t="shared" si="27"/>
        <v>1.3462551142242838</v>
      </c>
      <c r="D138" s="40">
        <f t="shared" si="27"/>
        <v>1.0357435044829109</v>
      </c>
      <c r="E138" s="40">
        <f t="shared" si="27"/>
        <v>0.98933526153619289</v>
      </c>
      <c r="F138" s="40">
        <f t="shared" si="27"/>
        <v>0.9925454999747414</v>
      </c>
      <c r="G138" s="40">
        <f t="shared" si="27"/>
        <v>0.98931038602174082</v>
      </c>
      <c r="H138" s="40">
        <f t="shared" si="27"/>
        <v>0.99686579474490389</v>
      </c>
      <c r="I138" s="40">
        <f t="shared" si="27"/>
        <v>0.99403660723227705</v>
      </c>
      <c r="J138" s="40">
        <f t="shared" si="27"/>
        <v>0.98838341845824906</v>
      </c>
      <c r="K138" s="40">
        <f t="shared" si="27"/>
        <v>0.97197519588520898</v>
      </c>
      <c r="L138" s="40">
        <f t="shared" si="27"/>
        <v>0.99957804677399931</v>
      </c>
      <c r="M138" s="40">
        <f t="shared" si="27"/>
        <v>0.99737831420656908</v>
      </c>
      <c r="N138" s="40">
        <f t="shared" si="27"/>
        <v>1.0002727768685216</v>
      </c>
      <c r="O138" s="40">
        <f t="shared" si="27"/>
        <v>0.99402533653965353</v>
      </c>
    </row>
    <row r="139" spans="1:18" x14ac:dyDescent="0.2">
      <c r="A139" s="18">
        <f t="shared" si="28"/>
        <v>1982</v>
      </c>
      <c r="B139" s="40">
        <f t="shared" si="27"/>
        <v>2.1399268834051441</v>
      </c>
      <c r="C139" s="40">
        <f t="shared" si="27"/>
        <v>1.2338509418724515</v>
      </c>
      <c r="D139" s="40">
        <f t="shared" si="27"/>
        <v>0.93330511409358918</v>
      </c>
      <c r="E139" s="40">
        <f t="shared" si="27"/>
        <v>1.0141948094460147</v>
      </c>
      <c r="F139" s="40">
        <f t="shared" si="27"/>
        <v>1.0010494282044542</v>
      </c>
      <c r="G139" s="40">
        <f t="shared" si="27"/>
        <v>1.0122397792826687</v>
      </c>
      <c r="H139" s="40">
        <f t="shared" si="27"/>
        <v>0.99880718021138104</v>
      </c>
      <c r="I139" s="40">
        <f t="shared" si="27"/>
        <v>0.99407756164044103</v>
      </c>
      <c r="J139" s="40">
        <f t="shared" si="27"/>
        <v>0.99431648220161539</v>
      </c>
      <c r="K139" s="40">
        <f t="shared" si="27"/>
        <v>1.0002507019655036</v>
      </c>
      <c r="L139" s="40">
        <f t="shared" si="27"/>
        <v>1.005997521055165</v>
      </c>
      <c r="M139" s="40">
        <f t="shared" si="27"/>
        <v>0.99202929235061144</v>
      </c>
      <c r="N139" s="40">
        <f t="shared" si="27"/>
        <v>1.0093655058126398</v>
      </c>
      <c r="O139" s="40"/>
    </row>
    <row r="140" spans="1:18" x14ac:dyDescent="0.2">
      <c r="A140" s="18">
        <f t="shared" si="28"/>
        <v>1983</v>
      </c>
      <c r="B140" s="40">
        <f t="shared" si="27"/>
        <v>1.5419842895733364</v>
      </c>
      <c r="C140" s="40">
        <f t="shared" si="27"/>
        <v>1.0437674278821563</v>
      </c>
      <c r="D140" s="40">
        <f t="shared" si="27"/>
        <v>0.99085294346889352</v>
      </c>
      <c r="E140" s="40">
        <f t="shared" si="27"/>
        <v>1.0684561019805763</v>
      </c>
      <c r="F140" s="40">
        <f t="shared" si="27"/>
        <v>1.0155641899478538</v>
      </c>
      <c r="G140" s="40">
        <f t="shared" si="27"/>
        <v>0.99091988326305591</v>
      </c>
      <c r="H140" s="40">
        <f t="shared" si="27"/>
        <v>1.0110093969549367</v>
      </c>
      <c r="I140" s="40">
        <f t="shared" si="27"/>
        <v>0.95145606610237787</v>
      </c>
      <c r="J140" s="40">
        <f t="shared" si="27"/>
        <v>1.0033095925229687</v>
      </c>
      <c r="K140" s="40">
        <f t="shared" si="27"/>
        <v>0.98614556394152098</v>
      </c>
      <c r="L140" s="40">
        <f t="shared" si="27"/>
        <v>0.9991252485842631</v>
      </c>
      <c r="M140" s="40">
        <f t="shared" si="27"/>
        <v>0.99277011648145674</v>
      </c>
    </row>
    <row r="141" spans="1:18" x14ac:dyDescent="0.2">
      <c r="A141" s="18">
        <f t="shared" si="28"/>
        <v>1984</v>
      </c>
      <c r="B141" s="40">
        <f t="shared" si="27"/>
        <v>1.2186846625766872</v>
      </c>
      <c r="C141" s="40">
        <f t="shared" si="27"/>
        <v>1.1751985706385173</v>
      </c>
      <c r="D141" s="40">
        <f t="shared" si="27"/>
        <v>1.0694609697618274</v>
      </c>
      <c r="E141" s="40">
        <f t="shared" si="27"/>
        <v>1.039211755878938</v>
      </c>
      <c r="F141" s="40">
        <f t="shared" si="27"/>
        <v>1.089118018997048</v>
      </c>
      <c r="G141" s="40">
        <f t="shared" si="27"/>
        <v>1.0022830807189236</v>
      </c>
      <c r="H141" s="40">
        <f t="shared" si="27"/>
        <v>0.98059092077046639</v>
      </c>
      <c r="I141" s="40">
        <f t="shared" si="27"/>
        <v>1.0149061285091918</v>
      </c>
      <c r="J141" s="40">
        <f t="shared" si="27"/>
        <v>0.981077959576516</v>
      </c>
      <c r="K141" s="40">
        <f t="shared" si="27"/>
        <v>1.0096925461573174</v>
      </c>
      <c r="L141" s="40">
        <f t="shared" si="27"/>
        <v>0.99822955303234651</v>
      </c>
    </row>
    <row r="142" spans="1:18" x14ac:dyDescent="0.2">
      <c r="A142" s="18">
        <f t="shared" si="28"/>
        <v>1985</v>
      </c>
      <c r="B142" s="40">
        <f t="shared" si="27"/>
        <v>1.7187491182408603</v>
      </c>
      <c r="C142" s="40">
        <f t="shared" si="27"/>
        <v>1.3615356987777933</v>
      </c>
      <c r="D142" s="40">
        <f t="shared" si="27"/>
        <v>1.0379220520614134</v>
      </c>
      <c r="E142" s="40">
        <f t="shared" si="27"/>
        <v>1.0500146681277926</v>
      </c>
      <c r="F142" s="40">
        <f t="shared" si="27"/>
        <v>1.0053205215604697</v>
      </c>
      <c r="G142" s="40">
        <f t="shared" si="27"/>
        <v>0.98865637047601496</v>
      </c>
      <c r="H142" s="40">
        <f t="shared" si="27"/>
        <v>1.0075219900922294</v>
      </c>
      <c r="I142" s="40">
        <f t="shared" si="27"/>
        <v>0.99192039491799</v>
      </c>
      <c r="J142" s="40">
        <f t="shared" si="27"/>
        <v>1.0174150799320147</v>
      </c>
      <c r="K142" s="40">
        <f t="shared" si="27"/>
        <v>1.0249085051211115</v>
      </c>
      <c r="L142" s="41"/>
    </row>
    <row r="143" spans="1:18" x14ac:dyDescent="0.2">
      <c r="A143" s="18">
        <f t="shared" si="28"/>
        <v>1986</v>
      </c>
      <c r="B143" s="40">
        <f t="shared" si="27"/>
        <v>1.5907465069535094</v>
      </c>
      <c r="C143" s="40">
        <f t="shared" si="27"/>
        <v>1.2547804042417559</v>
      </c>
      <c r="D143" s="40">
        <f t="shared" si="27"/>
        <v>1.0505829248376921</v>
      </c>
      <c r="E143" s="40">
        <f t="shared" si="27"/>
        <v>1.0778117846369868</v>
      </c>
      <c r="F143" s="40">
        <f t="shared" si="27"/>
        <v>1.0728642778350783</v>
      </c>
      <c r="G143" s="40">
        <f t="shared" si="27"/>
        <v>1.0150826396596471</v>
      </c>
      <c r="H143" s="40">
        <f t="shared" si="27"/>
        <v>0.98783249589040556</v>
      </c>
      <c r="I143" s="40">
        <f t="shared" si="27"/>
        <v>0.99769989207077769</v>
      </c>
      <c r="J143" s="40">
        <f t="shared" si="27"/>
        <v>0.97874170286898798</v>
      </c>
      <c r="K143" s="41"/>
      <c r="L143" s="41"/>
    </row>
    <row r="144" spans="1:18" x14ac:dyDescent="0.2">
      <c r="A144" s="18">
        <f t="shared" si="28"/>
        <v>1987</v>
      </c>
      <c r="B144" s="40">
        <f t="shared" si="27"/>
        <v>1.4289469748392221</v>
      </c>
      <c r="C144" s="40">
        <f t="shared" si="27"/>
        <v>1.2408658044391538</v>
      </c>
      <c r="D144" s="40">
        <f t="shared" si="27"/>
        <v>1.1763097731580203</v>
      </c>
      <c r="E144" s="40">
        <f t="shared" si="27"/>
        <v>1.0750518620196368</v>
      </c>
      <c r="F144" s="40">
        <f t="shared" si="27"/>
        <v>1.1381017088252532</v>
      </c>
      <c r="G144" s="40">
        <f t="shared" si="27"/>
        <v>1.072471671180687</v>
      </c>
      <c r="H144" s="40">
        <f t="shared" si="27"/>
        <v>1.0171766341509081</v>
      </c>
      <c r="I144" s="40">
        <f t="shared" si="27"/>
        <v>0.99074177856486356</v>
      </c>
      <c r="J144" s="41"/>
      <c r="K144" s="41"/>
      <c r="L144" s="41"/>
    </row>
    <row r="145" spans="1:18" x14ac:dyDescent="0.2">
      <c r="A145" s="18">
        <f t="shared" si="28"/>
        <v>1988</v>
      </c>
      <c r="B145" s="40">
        <f t="shared" si="27"/>
        <v>1.4925736170884827</v>
      </c>
      <c r="C145" s="40">
        <f t="shared" si="27"/>
        <v>1.3409713757731772</v>
      </c>
      <c r="D145" s="40">
        <f t="shared" si="27"/>
        <v>1.2142562693477994</v>
      </c>
      <c r="E145" s="40">
        <f t="shared" si="27"/>
        <v>1.0813959749456636</v>
      </c>
      <c r="F145" s="40">
        <f t="shared" si="27"/>
        <v>1.0152717269090494</v>
      </c>
      <c r="G145" s="40">
        <f t="shared" si="27"/>
        <v>1.0611230630506785</v>
      </c>
      <c r="H145" s="40">
        <f t="shared" si="27"/>
        <v>1.0182230623818527</v>
      </c>
      <c r="I145" s="41"/>
      <c r="J145" s="41"/>
      <c r="K145" s="41"/>
      <c r="L145" s="41"/>
    </row>
    <row r="146" spans="1:18" x14ac:dyDescent="0.2">
      <c r="A146" s="18">
        <f t="shared" si="28"/>
        <v>1989</v>
      </c>
      <c r="B146" s="40">
        <f t="shared" si="27"/>
        <v>1.3766940296188792</v>
      </c>
      <c r="C146" s="40">
        <f t="shared" si="27"/>
        <v>1.5899517329715351</v>
      </c>
      <c r="D146" s="40">
        <f t="shared" si="27"/>
        <v>1.1884456963320909</v>
      </c>
      <c r="E146" s="40">
        <f t="shared" si="27"/>
        <v>1.1611100009374207</v>
      </c>
      <c r="F146" s="40">
        <f t="shared" si="27"/>
        <v>0.97976757061725295</v>
      </c>
      <c r="G146" s="40">
        <f t="shared" si="27"/>
        <v>0.99772450313517824</v>
      </c>
      <c r="H146" s="41"/>
      <c r="I146" s="41"/>
      <c r="J146" s="41"/>
      <c r="K146" s="41"/>
      <c r="L146" s="41"/>
    </row>
    <row r="147" spans="1:18" x14ac:dyDescent="0.2">
      <c r="A147" s="18">
        <f t="shared" si="28"/>
        <v>1990</v>
      </c>
      <c r="B147" s="40">
        <f>C119/B119</f>
        <v>1.8288005491422374</v>
      </c>
      <c r="C147" s="40">
        <f>D119/C119</f>
        <v>1.3439873178703359</v>
      </c>
      <c r="D147" s="40">
        <f>E119/D119</f>
        <v>1.2819070305712348</v>
      </c>
      <c r="E147" s="40">
        <f>F119/E119</f>
        <v>1.0815173323491383</v>
      </c>
      <c r="F147" s="40">
        <f>G119/F119</f>
        <v>1.044008157745921</v>
      </c>
      <c r="G147" s="41"/>
      <c r="H147" s="41"/>
      <c r="I147" s="41"/>
      <c r="J147" s="41"/>
      <c r="K147" s="41"/>
      <c r="L147" s="41"/>
    </row>
    <row r="148" spans="1:18" x14ac:dyDescent="0.2">
      <c r="A148" s="18">
        <f t="shared" si="28"/>
        <v>1991</v>
      </c>
      <c r="B148" s="40">
        <f>C120/B120</f>
        <v>1.3413294415255885</v>
      </c>
      <c r="C148" s="40">
        <f>D120/C120</f>
        <v>1.2753823489527991</v>
      </c>
      <c r="D148" s="40">
        <f>E120/D120</f>
        <v>1.1336003084470212</v>
      </c>
      <c r="E148" s="40">
        <f>F120/E120</f>
        <v>1.0548494281332608</v>
      </c>
      <c r="F148" s="41"/>
      <c r="G148" s="41"/>
      <c r="H148" s="41"/>
      <c r="I148" s="41"/>
      <c r="J148" s="41"/>
      <c r="K148" s="41"/>
      <c r="L148" s="41"/>
    </row>
    <row r="149" spans="1:18" x14ac:dyDescent="0.2">
      <c r="A149" s="18">
        <f t="shared" si="28"/>
        <v>1992</v>
      </c>
      <c r="B149" s="40">
        <f>C121/B121</f>
        <v>1.7630005190078217</v>
      </c>
      <c r="C149" s="40">
        <f>D121/C121</f>
        <v>1.2370686621401705</v>
      </c>
      <c r="D149" s="40">
        <f>E121/D121</f>
        <v>1.175292477279662</v>
      </c>
      <c r="E149" s="41"/>
      <c r="F149" s="41"/>
      <c r="G149" s="41"/>
      <c r="H149" s="41"/>
      <c r="I149" s="41"/>
      <c r="J149" s="41"/>
      <c r="K149" s="41"/>
      <c r="L149" s="41"/>
    </row>
    <row r="150" spans="1:18" x14ac:dyDescent="0.2">
      <c r="A150" s="18">
        <f t="shared" si="28"/>
        <v>1993</v>
      </c>
      <c r="B150" s="40">
        <f>C122/B122</f>
        <v>1.4085772366296876</v>
      </c>
      <c r="C150" s="40">
        <f>D122/C122</f>
        <v>1.2029726712337694</v>
      </c>
      <c r="D150" s="41"/>
      <c r="E150" s="41"/>
      <c r="F150" s="41"/>
      <c r="G150" s="41"/>
      <c r="H150" s="41"/>
      <c r="I150" s="41"/>
      <c r="J150" s="41"/>
      <c r="K150" s="41"/>
      <c r="L150" s="41"/>
    </row>
    <row r="151" spans="1:18" x14ac:dyDescent="0.2">
      <c r="A151" s="18">
        <f t="shared" si="28"/>
        <v>1994</v>
      </c>
      <c r="B151" s="40">
        <f>C123/B123</f>
        <v>1.4901360917468238</v>
      </c>
      <c r="C151" s="40"/>
      <c r="D151" s="41"/>
      <c r="E151" s="41"/>
      <c r="F151" s="41"/>
      <c r="G151" s="41"/>
      <c r="H151" s="41"/>
      <c r="I151" s="41"/>
      <c r="J151" s="41"/>
      <c r="K151" s="41"/>
      <c r="L151" s="41"/>
    </row>
    <row r="152" spans="1:18" x14ac:dyDescent="0.2">
      <c r="A152" s="18"/>
      <c r="B152" s="40"/>
      <c r="C152" s="40"/>
      <c r="D152" s="41"/>
      <c r="E152" s="41"/>
      <c r="F152" s="41"/>
      <c r="G152" s="41"/>
      <c r="H152" s="41"/>
      <c r="I152" s="41"/>
      <c r="J152" s="41"/>
      <c r="K152" s="41"/>
      <c r="L152" s="41"/>
    </row>
    <row r="153" spans="1:18" x14ac:dyDescent="0.2">
      <c r="A153" s="18"/>
    </row>
    <row r="154" spans="1:18" x14ac:dyDescent="0.2">
      <c r="A154" s="25" t="s">
        <v>236</v>
      </c>
    </row>
    <row r="155" spans="1:18" x14ac:dyDescent="0.2">
      <c r="A155" s="25" t="s">
        <v>237</v>
      </c>
    </row>
    <row r="157" spans="1:18" x14ac:dyDescent="0.2">
      <c r="A157" s="25" t="s">
        <v>238</v>
      </c>
      <c r="B157" s="42">
        <f>SUM(C107:C123)/SUM(B107:B123)</f>
        <v>1.4447805439319004</v>
      </c>
      <c r="C157" s="42">
        <f>SUM(D107:D122)/SUM(C107:C122)</f>
        <v>1.2269209940824739</v>
      </c>
      <c r="D157" s="42">
        <f>SUM(E107:E121)/SUM(D107:D121)</f>
        <v>1.1121878023475176</v>
      </c>
      <c r="E157" s="42">
        <f>SUM(F107:F120)/SUM(E107:E120)</f>
        <v>1.055615508797596</v>
      </c>
      <c r="F157" s="42">
        <f>SUM(G107:G119)/SUM(F107:F119)</f>
        <v>1.0409725771051459</v>
      </c>
      <c r="G157" s="42">
        <f>SUM(H107:H118)/SUM(G107:G118)</f>
        <v>1.0132949465652819</v>
      </c>
      <c r="H157" s="42">
        <f>SUM(I107:I117)/SUM(H107:H117)</f>
        <v>0.99814695873874826</v>
      </c>
      <c r="I157" s="42">
        <f>SUM(J107:J116)/SUM(I107:I116)</f>
        <v>0.98758742550329859</v>
      </c>
      <c r="J157" s="42">
        <f>SUM(K107:K115)/SUM(J107:J115)</f>
        <v>0.99574179469430579</v>
      </c>
      <c r="K157" s="42">
        <f>SUM(L107:L114)/SUM(K107:K114)</f>
        <v>0.99493575698910364</v>
      </c>
      <c r="L157" s="42">
        <f>SUM(M107:M113)/SUM(L107:L113)</f>
        <v>0.99338577183994992</v>
      </c>
      <c r="M157" s="42">
        <f>SUM(N107:N112)/SUM(M107:M112)</f>
        <v>0.99398706489949296</v>
      </c>
      <c r="N157" s="42">
        <f>SUM(O107:O111)/SUM(N107:N111)</f>
        <v>0.99847205386000215</v>
      </c>
      <c r="O157" s="42">
        <f>SUM(P107:P110)/SUM(O107:O110)</f>
        <v>0.99711692297267418</v>
      </c>
      <c r="P157" s="42">
        <f>SUM(Q107:Q109)/SUM(P107:P109)</f>
        <v>1.0008183771918733</v>
      </c>
      <c r="Q157" s="42">
        <f>SUM(R107:R108)/SUM(Q107:Q108)</f>
        <v>1.0037177029473385</v>
      </c>
      <c r="R157" s="42">
        <f>SUM(S107)/SUM(R107)</f>
        <v>0.99309833892224908</v>
      </c>
    </row>
    <row r="158" spans="1:18" x14ac:dyDescent="0.2">
      <c r="A158" s="18"/>
      <c r="B158" s="40"/>
    </row>
    <row r="159" spans="1:18" x14ac:dyDescent="0.2">
      <c r="A159" s="25" t="s">
        <v>239</v>
      </c>
    </row>
    <row r="160" spans="1:18" x14ac:dyDescent="0.2">
      <c r="A160" s="25" t="s">
        <v>240</v>
      </c>
      <c r="B160" s="43">
        <f>SUM(C118:C123)/SUM(B118:B123)</f>
        <v>1.5209285797291969</v>
      </c>
      <c r="C160" s="43">
        <f>SUM(D117:D122)/SUM(C117:C122)</f>
        <v>1.3179844490728956</v>
      </c>
      <c r="D160" s="43">
        <f>SUM(E116:E121)/SUM(D116:D121)</f>
        <v>1.1953786250141645</v>
      </c>
      <c r="E160" s="43">
        <f>SUM(F115:F120)/SUM(E115:E120)</f>
        <v>1.0892270303936633</v>
      </c>
      <c r="F160" s="43">
        <f>SUM(G114:G119)/SUM(F114:F119)</f>
        <v>1.0401246701671292</v>
      </c>
      <c r="G160" s="43">
        <f>SUM(H113:H118)/SUM(G113:G118)</f>
        <v>1.021944354445685</v>
      </c>
      <c r="H160" s="43">
        <f>SUM(I112:I117)/SUM(H112:H117)</f>
        <v>1.0030741568153487</v>
      </c>
      <c r="I160" s="43">
        <f>SUM(J111:J116)/SUM(I111:I116)</f>
        <v>0.99136156873172521</v>
      </c>
      <c r="J160" s="43">
        <f>SUM(K110:K115)/SUM(J110:J115)</f>
        <v>0.99301767671578323</v>
      </c>
      <c r="K160" s="43">
        <f>SUM(L109:L114)/SUM(K109:K114)</f>
        <v>0.99736039849544278</v>
      </c>
      <c r="L160" s="43">
        <f>SUM(M108:M113)/SUM(L108:L113)</f>
        <v>0.99398918192577845</v>
      </c>
      <c r="M160" s="43">
        <f>SUM(N107:N112)/SUM(M107:M112)</f>
        <v>0.99398706489949296</v>
      </c>
      <c r="N160" s="40"/>
      <c r="O160" s="40"/>
      <c r="P160" s="40"/>
      <c r="Q160" s="40"/>
      <c r="R160" s="40"/>
    </row>
    <row r="161" spans="1:23" x14ac:dyDescent="0.2">
      <c r="A161" s="25" t="s">
        <v>241</v>
      </c>
    </row>
    <row r="162" spans="1:23" x14ac:dyDescent="0.2">
      <c r="A162" s="18"/>
      <c r="B162" s="18"/>
      <c r="C162" s="18"/>
      <c r="D162" s="18"/>
      <c r="E162" s="18"/>
      <c r="F162" s="18"/>
      <c r="G162" s="18"/>
      <c r="H162" s="18"/>
      <c r="I162" s="18"/>
      <c r="J162" s="18"/>
      <c r="K162" s="18"/>
      <c r="L162" s="18"/>
      <c r="M162" s="18"/>
      <c r="N162" s="18"/>
      <c r="O162" s="18"/>
      <c r="P162" s="18"/>
      <c r="Q162" s="18"/>
      <c r="R162" s="18"/>
    </row>
    <row r="163" spans="1:23" x14ac:dyDescent="0.2">
      <c r="A163" s="25" t="s">
        <v>242</v>
      </c>
      <c r="B163" s="44">
        <f>SUM(C121:C123)/SUM(B121:B123)</f>
        <v>1.5450757014467438</v>
      </c>
      <c r="C163" s="44">
        <f>SUM(D120:D122)/SUM(C120:C122)</f>
        <v>1.2377428172823226</v>
      </c>
      <c r="D163" s="44">
        <f>SUM(E119:E121)/SUM(D119:D121)</f>
        <v>1.1977489946779605</v>
      </c>
      <c r="E163" s="44">
        <f>SUM(F118:F120)/SUM(E118:E120)</f>
        <v>1.0983465130791452</v>
      </c>
      <c r="F163" s="44">
        <f>SUM(G117:G119)/SUM(F117:F119)</f>
        <v>1.0138295960399994</v>
      </c>
      <c r="G163" s="44">
        <f>SUM(H116:H118)/SUM(G116:G118)</f>
        <v>1.0417010347659652</v>
      </c>
      <c r="H163" s="44">
        <f>SUM(I115:I117)/SUM(H115:H117)</f>
        <v>1.0077599653291598</v>
      </c>
      <c r="I163" s="44">
        <f>SUM(J114:J116)/SUM(I114:I116)</f>
        <v>0.99340662334957353</v>
      </c>
      <c r="J163" s="44">
        <f>SUM(K113:K115)/SUM(J113:J115)</f>
        <v>0.99126531172573007</v>
      </c>
      <c r="K163" s="44">
        <f>SUM(L112:L114)/SUM(K112:K114)</f>
        <v>1.0078086505142063</v>
      </c>
      <c r="L163" s="44">
        <f>SUM(M111:M113)/SUM(L111:L113)</f>
        <v>1.0010381114009663</v>
      </c>
      <c r="M163" s="44">
        <f>SUM(N110:N112)/SUM(M110:M112)</f>
        <v>0.99408441552936921</v>
      </c>
      <c r="N163" s="44">
        <f>SUM(O109:O111)/SUM(N109:N111)</f>
        <v>1.0047298916034948</v>
      </c>
      <c r="O163" s="44">
        <f>SUM(P108:P110)/SUM(O108:O110)</f>
        <v>0.99660239926397998</v>
      </c>
      <c r="P163" s="44">
        <f>SUM(Q107:Q109)/SUM(P107:P109)</f>
        <v>1.0008183771918733</v>
      </c>
      <c r="Q163" s="40"/>
      <c r="R163" s="40"/>
    </row>
    <row r="164" spans="1:23" x14ac:dyDescent="0.2">
      <c r="A164" s="18"/>
      <c r="B164" s="18"/>
      <c r="C164" s="18"/>
      <c r="D164" s="18"/>
      <c r="E164" s="18"/>
      <c r="F164" s="18"/>
      <c r="G164" s="18"/>
      <c r="H164" s="18"/>
      <c r="I164" s="18"/>
      <c r="J164" s="18"/>
      <c r="K164" s="18"/>
      <c r="L164" s="18"/>
      <c r="M164" s="18"/>
      <c r="N164" s="18"/>
      <c r="O164" s="18"/>
      <c r="P164" s="18"/>
      <c r="Q164" s="18"/>
      <c r="R164" s="18"/>
    </row>
    <row r="165" spans="1:23" x14ac:dyDescent="0.2">
      <c r="A165" s="25" t="s">
        <v>243</v>
      </c>
      <c r="B165" s="18"/>
      <c r="C165" s="18"/>
      <c r="D165" s="18"/>
      <c r="E165" s="18"/>
      <c r="F165" s="18"/>
      <c r="G165" s="18"/>
      <c r="H165" s="18"/>
      <c r="I165" s="18"/>
      <c r="J165" s="18"/>
      <c r="K165" s="18"/>
      <c r="L165" s="18"/>
      <c r="M165" s="18"/>
      <c r="N165" s="18"/>
      <c r="O165" s="18"/>
      <c r="P165" s="18"/>
      <c r="Q165" s="18"/>
      <c r="R165" s="18"/>
    </row>
    <row r="166" spans="1:23" x14ac:dyDescent="0.2">
      <c r="A166" s="25" t="s">
        <v>244</v>
      </c>
      <c r="B166" s="43">
        <f>B160</f>
        <v>1.5209285797291969</v>
      </c>
      <c r="C166" s="43">
        <f t="shared" ref="C166:H166" si="29">C160</f>
        <v>1.3179844490728956</v>
      </c>
      <c r="D166" s="43">
        <f t="shared" si="29"/>
        <v>1.1953786250141645</v>
      </c>
      <c r="E166" s="43">
        <f t="shared" si="29"/>
        <v>1.0892270303936633</v>
      </c>
      <c r="F166" s="43">
        <f t="shared" si="29"/>
        <v>1.0401246701671292</v>
      </c>
      <c r="G166" s="43">
        <f t="shared" si="29"/>
        <v>1.021944354445685</v>
      </c>
      <c r="H166" s="43">
        <f t="shared" si="29"/>
        <v>1.0030741568153487</v>
      </c>
      <c r="I166" s="44">
        <f>I163</f>
        <v>0.99340662334957353</v>
      </c>
      <c r="J166" s="44">
        <f t="shared" ref="J166:P166" si="30">J163</f>
        <v>0.99126531172573007</v>
      </c>
      <c r="K166" s="44">
        <f t="shared" si="30"/>
        <v>1.0078086505142063</v>
      </c>
      <c r="L166" s="44">
        <f t="shared" si="30"/>
        <v>1.0010381114009663</v>
      </c>
      <c r="M166" s="44">
        <f t="shared" si="30"/>
        <v>0.99408441552936921</v>
      </c>
      <c r="N166" s="44">
        <f t="shared" si="30"/>
        <v>1.0047298916034948</v>
      </c>
      <c r="O166" s="44">
        <f t="shared" si="30"/>
        <v>0.99660239926397998</v>
      </c>
      <c r="P166" s="44">
        <f t="shared" si="30"/>
        <v>1.0008183771918733</v>
      </c>
      <c r="Q166" s="42">
        <f t="shared" ref="Q166:R166" si="31">Q157</f>
        <v>1.0037177029473385</v>
      </c>
      <c r="R166" s="42">
        <f t="shared" si="31"/>
        <v>0.99309833892224908</v>
      </c>
      <c r="S166" s="45" t="s">
        <v>245</v>
      </c>
      <c r="T166" s="45"/>
      <c r="U166" s="45"/>
      <c r="V166" s="45"/>
      <c r="W166" s="45"/>
    </row>
    <row r="167" spans="1:23" x14ac:dyDescent="0.2">
      <c r="A167" s="18"/>
      <c r="B167" s="18"/>
      <c r="C167" s="18"/>
      <c r="D167" s="18"/>
      <c r="E167" s="18"/>
      <c r="F167" s="18"/>
      <c r="G167" s="18"/>
      <c r="H167" s="18"/>
      <c r="I167" s="18"/>
      <c r="J167" s="18"/>
      <c r="K167" s="18"/>
      <c r="L167" s="18"/>
      <c r="M167" s="18"/>
      <c r="N167" s="18"/>
      <c r="O167" s="18"/>
      <c r="P167" s="18"/>
      <c r="Q167" s="18"/>
      <c r="R167" s="18"/>
    </row>
    <row r="168" spans="1:23" x14ac:dyDescent="0.2">
      <c r="A168" s="25"/>
      <c r="B168" s="18"/>
      <c r="C168" s="18"/>
      <c r="D168" s="18"/>
      <c r="E168" s="18"/>
      <c r="F168" s="18"/>
      <c r="G168" s="18"/>
      <c r="H168" s="18"/>
      <c r="I168" s="18"/>
      <c r="J168" s="18"/>
      <c r="K168" s="18"/>
      <c r="L168" s="18"/>
      <c r="M168" s="18"/>
      <c r="N168" s="18"/>
      <c r="O168" s="18"/>
      <c r="P168" s="18"/>
      <c r="Q168" s="18"/>
      <c r="R168" s="18"/>
    </row>
    <row r="169" spans="1:23" x14ac:dyDescent="0.2">
      <c r="A169" s="25" t="s">
        <v>246</v>
      </c>
      <c r="B169" s="40">
        <f>PRODUCT(B166:$R166)</f>
        <v>2.7452883817814859</v>
      </c>
      <c r="C169" s="40">
        <f>PRODUCT(C166:$R166)</f>
        <v>1.8050080841207468</v>
      </c>
      <c r="D169" s="40">
        <f>PRODUCT(D166:$R166)</f>
        <v>1.3695215337255582</v>
      </c>
      <c r="E169" s="40">
        <f>PRODUCT(E166:$R166)</f>
        <v>1.1456801260013583</v>
      </c>
      <c r="F169" s="40">
        <f>PRODUCT(F166:$R166)</f>
        <v>1.0518285848885811</v>
      </c>
      <c r="G169" s="40">
        <f>PRODUCT(G166:$R166)</f>
        <v>1.011252415270153</v>
      </c>
      <c r="H169" s="40">
        <f>PRODUCT(H166:$R166)</f>
        <v>0.98953765033387642</v>
      </c>
      <c r="I169" s="40">
        <f>PRODUCT(I166:$R166)</f>
        <v>0.98650497932829873</v>
      </c>
      <c r="J169" s="40">
        <f>PRODUCT(J166:$R166)</f>
        <v>0.99305254881631067</v>
      </c>
      <c r="K169" s="40">
        <f>PRODUCT(K166:$R166)</f>
        <v>1.0018029856078281</v>
      </c>
      <c r="L169" s="40">
        <f>PRODUCT(L166:$R166)</f>
        <v>0.99404086787376367</v>
      </c>
      <c r="M169" s="40">
        <f>PRODUCT(M166:$R166)</f>
        <v>0.99301001285814183</v>
      </c>
      <c r="N169" s="40">
        <f>PRODUCT(N166:$R166)</f>
        <v>0.998919203787482</v>
      </c>
      <c r="O169" s="40">
        <f>PRODUCT(O166:$R166)</f>
        <v>0.99421666672349196</v>
      </c>
      <c r="P169" s="40">
        <f>PRODUCT(P166:$R166)</f>
        <v>0.99760613405882814</v>
      </c>
      <c r="Q169" s="40">
        <f>PRODUCT(Q166:$R166)</f>
        <v>0.99679038354385729</v>
      </c>
      <c r="R169" s="40">
        <f>PRODUCT(R166:$R166)</f>
        <v>0.99309833892224908</v>
      </c>
    </row>
    <row r="170" spans="1:23" x14ac:dyDescent="0.2">
      <c r="A170" s="46" t="s">
        <v>247</v>
      </c>
    </row>
    <row r="171" spans="1:23" x14ac:dyDescent="0.2">
      <c r="A171" s="17" t="s">
        <v>248</v>
      </c>
      <c r="B171" s="47">
        <f>1/B169</f>
        <v>0.36426045680165486</v>
      </c>
      <c r="C171" s="47">
        <f t="shared" ref="C171:R171" si="32">1/C169</f>
        <v>0.55401413921484943</v>
      </c>
      <c r="D171" s="47">
        <f t="shared" si="32"/>
        <v>0.73018202005167776</v>
      </c>
      <c r="E171" s="47">
        <f t="shared" si="32"/>
        <v>0.87284397913943956</v>
      </c>
      <c r="F171" s="47">
        <f t="shared" si="32"/>
        <v>0.95072525539504016</v>
      </c>
      <c r="G171" s="47">
        <f t="shared" si="32"/>
        <v>0.98887279268732631</v>
      </c>
      <c r="H171" s="47">
        <f t="shared" si="32"/>
        <v>1.010572967751751</v>
      </c>
      <c r="I171" s="47">
        <f t="shared" si="32"/>
        <v>1.0136796275279725</v>
      </c>
      <c r="J171" s="47">
        <f t="shared" si="32"/>
        <v>1.0069960559408164</v>
      </c>
      <c r="K171" s="47">
        <f t="shared" si="32"/>
        <v>0.99820025929875411</v>
      </c>
      <c r="L171" s="47">
        <f t="shared" si="32"/>
        <v>1.005994856266808</v>
      </c>
      <c r="M171" s="47">
        <f t="shared" si="32"/>
        <v>1.0070391909964123</v>
      </c>
      <c r="N171" s="47">
        <f t="shared" si="32"/>
        <v>1.001081965596837</v>
      </c>
      <c r="O171" s="47">
        <f t="shared" si="32"/>
        <v>1.0058169747803236</v>
      </c>
      <c r="P171" s="47">
        <f t="shared" si="32"/>
        <v>1.0023996102865089</v>
      </c>
      <c r="Q171" s="47">
        <f t="shared" si="32"/>
        <v>1.00321995126471</v>
      </c>
      <c r="R171" s="47">
        <f t="shared" si="32"/>
        <v>1.0069496250343555</v>
      </c>
    </row>
    <row r="174" spans="1:23" x14ac:dyDescent="0.2">
      <c r="E174" s="23" t="s">
        <v>249</v>
      </c>
      <c r="F174" s="21"/>
    </row>
    <row r="175" spans="1:23" x14ac:dyDescent="0.2">
      <c r="E175" s="19" t="s">
        <v>250</v>
      </c>
      <c r="F175" s="19" t="s">
        <v>251</v>
      </c>
      <c r="H175" s="22" t="s">
        <v>252</v>
      </c>
      <c r="I175" s="19" t="s">
        <v>253</v>
      </c>
      <c r="K175" s="19" t="s">
        <v>254</v>
      </c>
      <c r="L175" s="19" t="s">
        <v>254</v>
      </c>
      <c r="M175" s="19" t="s">
        <v>255</v>
      </c>
      <c r="N175" s="19"/>
      <c r="O175" s="19"/>
    </row>
    <row r="176" spans="1:23" x14ac:dyDescent="0.2">
      <c r="A176" s="19" t="s">
        <v>216</v>
      </c>
      <c r="B176" s="48" t="s">
        <v>256</v>
      </c>
      <c r="C176" s="48" t="s">
        <v>257</v>
      </c>
      <c r="D176" s="48" t="s">
        <v>258</v>
      </c>
      <c r="E176" s="23" t="s">
        <v>259</v>
      </c>
      <c r="F176" s="23" t="s">
        <v>260</v>
      </c>
      <c r="H176" s="19" t="s">
        <v>261</v>
      </c>
      <c r="I176" s="19" t="s">
        <v>262</v>
      </c>
      <c r="K176" s="23" t="s">
        <v>263</v>
      </c>
      <c r="L176" s="23" t="s">
        <v>264</v>
      </c>
      <c r="M176" s="23" t="s">
        <v>265</v>
      </c>
      <c r="N176" s="19"/>
      <c r="O176" s="19"/>
    </row>
    <row r="177" spans="1:15" x14ac:dyDescent="0.2">
      <c r="A177" s="23" t="s">
        <v>218</v>
      </c>
      <c r="B177" s="19" t="s">
        <v>266</v>
      </c>
      <c r="C177" s="19" t="s">
        <v>267</v>
      </c>
      <c r="D177" s="19" t="s">
        <v>219</v>
      </c>
      <c r="E177" s="19" t="s">
        <v>219</v>
      </c>
      <c r="F177" s="19" t="s">
        <v>219</v>
      </c>
      <c r="H177" s="49" t="s">
        <v>219</v>
      </c>
      <c r="I177" s="49"/>
      <c r="K177" s="19" t="s">
        <v>219</v>
      </c>
      <c r="L177" s="19" t="s">
        <v>219</v>
      </c>
      <c r="M177" s="19" t="s">
        <v>219</v>
      </c>
      <c r="N177" s="19"/>
    </row>
    <row r="178" spans="1:15" x14ac:dyDescent="0.2">
      <c r="L178" s="50"/>
    </row>
    <row r="179" spans="1:15" x14ac:dyDescent="0.2">
      <c r="A179" s="18">
        <f>A107</f>
        <v>1978</v>
      </c>
      <c r="B179" s="51">
        <f>S107</f>
        <v>41.674242703114082</v>
      </c>
      <c r="C179" s="32">
        <f>P57</f>
        <v>611.14487865899105</v>
      </c>
      <c r="D179" s="52">
        <f>B179*C179</f>
        <v>25469</v>
      </c>
      <c r="E179" s="53">
        <v>25469.405999999995</v>
      </c>
      <c r="F179" s="52">
        <f>D179-E179</f>
        <v>-0.40599999999540159</v>
      </c>
      <c r="H179" s="54">
        <v>-0.40599999999540159</v>
      </c>
      <c r="I179" s="55">
        <f>H179/F179</f>
        <v>1</v>
      </c>
      <c r="K179" s="54">
        <v>28.434239916292427</v>
      </c>
      <c r="L179" s="54">
        <v>18.26974680575222</v>
      </c>
      <c r="M179" s="54">
        <v>0</v>
      </c>
      <c r="N179" s="54"/>
      <c r="O179" s="55"/>
    </row>
    <row r="180" spans="1:15" x14ac:dyDescent="0.2">
      <c r="A180" s="18">
        <f t="shared" ref="A180:A196" si="33">A108</f>
        <v>1979</v>
      </c>
      <c r="B180" s="56">
        <f>R108/R171</f>
        <v>33.526842272006888</v>
      </c>
      <c r="C180" s="32">
        <f t="shared" ref="C180:C196" si="34">P58</f>
        <v>592.15325834520638</v>
      </c>
      <c r="D180" s="52">
        <f t="shared" ref="D180:D196" si="35">B180*C180</f>
        <v>19853.028893394679</v>
      </c>
      <c r="E180" s="53">
        <v>19836.829000000005</v>
      </c>
      <c r="F180" s="52">
        <f t="shared" ref="F180:F196" si="36">D180-E180</f>
        <v>16.199893394674291</v>
      </c>
      <c r="H180" s="54">
        <v>154.17099999999482</v>
      </c>
      <c r="I180" s="55">
        <f t="shared" ref="I180:I198" si="37">H180/F180</f>
        <v>9.5167910210247726</v>
      </c>
      <c r="K180" s="54">
        <v>37.405836345264106</v>
      </c>
      <c r="L180" s="54">
        <v>37.090036274461454</v>
      </c>
      <c r="M180" s="54">
        <v>13.892495537419666</v>
      </c>
      <c r="N180" s="54"/>
      <c r="O180" s="55"/>
    </row>
    <row r="181" spans="1:15" x14ac:dyDescent="0.2">
      <c r="A181" s="18">
        <f t="shared" si="33"/>
        <v>1980</v>
      </c>
      <c r="B181" s="56">
        <f>Q109/Q171</f>
        <v>41.150842674464322</v>
      </c>
      <c r="C181" s="32">
        <f t="shared" si="34"/>
        <v>779.20039964907482</v>
      </c>
      <c r="D181" s="52">
        <f t="shared" si="35"/>
        <v>32064.753057838803</v>
      </c>
      <c r="E181" s="53">
        <v>31992.917999999998</v>
      </c>
      <c r="F181" s="52">
        <f t="shared" si="36"/>
        <v>71.835057838805369</v>
      </c>
      <c r="H181" s="54">
        <v>182.4368118111488</v>
      </c>
      <c r="I181" s="55">
        <f t="shared" si="37"/>
        <v>2.5396626285250412</v>
      </c>
      <c r="K181" s="54">
        <v>101.91092869063505</v>
      </c>
      <c r="L181" s="54">
        <v>92.717548743104999</v>
      </c>
      <c r="M181" s="54">
        <v>70.107155537692407</v>
      </c>
      <c r="N181" s="54"/>
      <c r="O181" s="55"/>
    </row>
    <row r="182" spans="1:15" x14ac:dyDescent="0.2">
      <c r="A182" s="18">
        <f t="shared" si="33"/>
        <v>1981</v>
      </c>
      <c r="B182" s="56">
        <f>P110/P171</f>
        <v>43.001127529341908</v>
      </c>
      <c r="C182" s="32">
        <f t="shared" si="34"/>
        <v>930.20852822821166</v>
      </c>
      <c r="D182" s="52">
        <f t="shared" si="35"/>
        <v>40000.015551222772</v>
      </c>
      <c r="E182" s="53">
        <v>39118.252</v>
      </c>
      <c r="F182" s="52">
        <f t="shared" si="36"/>
        <v>881.76355122277164</v>
      </c>
      <c r="H182" s="54">
        <v>957.97618288319791</v>
      </c>
      <c r="I182" s="55">
        <f t="shared" si="37"/>
        <v>1.0864320503549274</v>
      </c>
      <c r="K182" s="54">
        <v>210.55842747081624</v>
      </c>
      <c r="L182" s="54">
        <v>186.63753983119386</v>
      </c>
      <c r="M182" s="54">
        <v>155.18736196278877</v>
      </c>
      <c r="N182" s="54"/>
      <c r="O182" s="55"/>
    </row>
    <row r="183" spans="1:15" x14ac:dyDescent="0.2">
      <c r="A183" s="18">
        <f t="shared" si="33"/>
        <v>1982</v>
      </c>
      <c r="B183" s="56">
        <f>O111/O171</f>
        <v>44.695573280814642</v>
      </c>
      <c r="C183" s="32">
        <f t="shared" si="34"/>
        <v>894.21629634718749</v>
      </c>
      <c r="D183" s="52">
        <f>B183*C183</f>
        <v>39967.510002284384</v>
      </c>
      <c r="E183" s="53">
        <v>39428.586000000003</v>
      </c>
      <c r="F183" s="52">
        <f t="shared" si="36"/>
        <v>538.92400228438055</v>
      </c>
      <c r="H183" s="54">
        <v>709.93129559835506</v>
      </c>
      <c r="I183" s="55">
        <f t="shared" si="37"/>
        <v>1.3173124458905376</v>
      </c>
      <c r="K183" s="54">
        <v>358.80928303716064</v>
      </c>
      <c r="L183" s="54">
        <v>314.85578943147993</v>
      </c>
      <c r="M183" s="54">
        <v>576.17338590803263</v>
      </c>
      <c r="N183" s="54"/>
      <c r="O183" s="55"/>
    </row>
    <row r="184" spans="1:15" x14ac:dyDescent="0.2">
      <c r="A184" s="18">
        <f t="shared" si="33"/>
        <v>1983</v>
      </c>
      <c r="B184" s="56">
        <f>N112/N171</f>
        <v>38.409038417973072</v>
      </c>
      <c r="C184" s="32">
        <f t="shared" si="34"/>
        <v>964.22433379875565</v>
      </c>
      <c r="D184" s="52">
        <f t="shared" si="35"/>
        <v>37034.929480420898</v>
      </c>
      <c r="E184" s="53">
        <v>36354.199000000001</v>
      </c>
      <c r="F184" s="52">
        <f t="shared" si="36"/>
        <v>680.73048042089795</v>
      </c>
      <c r="H184" s="54">
        <v>550.17552824519953</v>
      </c>
      <c r="I184" s="55">
        <f t="shared" si="37"/>
        <v>0.80821344727361721</v>
      </c>
      <c r="K184" s="54">
        <v>559.8493479511817</v>
      </c>
      <c r="L184" s="54">
        <v>490.34687011372444</v>
      </c>
      <c r="M184" s="54">
        <v>1080.7113492642491</v>
      </c>
      <c r="N184" s="54"/>
      <c r="O184" s="55"/>
    </row>
    <row r="185" spans="1:15" x14ac:dyDescent="0.2">
      <c r="A185" s="18">
        <f t="shared" si="33"/>
        <v>1984</v>
      </c>
      <c r="B185" s="56">
        <f>M113/M171</f>
        <v>51.945841294123241</v>
      </c>
      <c r="C185" s="32">
        <f t="shared" si="34"/>
        <v>982.23147820014947</v>
      </c>
      <c r="D185" s="52">
        <f t="shared" si="35"/>
        <v>51022.840480677034</v>
      </c>
      <c r="E185" s="53">
        <v>48560.689000000013</v>
      </c>
      <c r="F185" s="52">
        <f t="shared" si="36"/>
        <v>2462.151480677021</v>
      </c>
      <c r="H185" s="54">
        <v>2366.8896809483776</v>
      </c>
      <c r="I185" s="55">
        <f t="shared" si="37"/>
        <v>0.9613095292973407</v>
      </c>
      <c r="K185" s="54">
        <v>1267.5228116118815</v>
      </c>
      <c r="L185" s="54">
        <v>1084.8296604167263</v>
      </c>
      <c r="M185" s="54">
        <v>1664.2109927822423</v>
      </c>
      <c r="N185" s="54"/>
      <c r="O185" s="55"/>
    </row>
    <row r="186" spans="1:15" x14ac:dyDescent="0.2">
      <c r="A186" s="18">
        <f t="shared" si="33"/>
        <v>1985</v>
      </c>
      <c r="B186" s="56">
        <f>L114/L171</f>
        <v>44.909876224684822</v>
      </c>
      <c r="C186" s="32">
        <f t="shared" si="34"/>
        <v>938.23755134634564</v>
      </c>
      <c r="D186" s="52">
        <f t="shared" si="35"/>
        <v>42136.132300315752</v>
      </c>
      <c r="E186" s="53">
        <v>39959.231</v>
      </c>
      <c r="F186" s="52">
        <f t="shared" si="36"/>
        <v>2176.9013003157525</v>
      </c>
      <c r="H186" s="54">
        <v>1838.81630212452</v>
      </c>
      <c r="I186" s="55">
        <f t="shared" si="37"/>
        <v>0.844694383644222</v>
      </c>
      <c r="K186" s="54">
        <v>1772.602817073348</v>
      </c>
      <c r="L186" s="54">
        <v>1527.1619639316486</v>
      </c>
      <c r="M186" s="54">
        <v>2495.2562650240716</v>
      </c>
      <c r="N186" s="54"/>
      <c r="O186" s="55"/>
    </row>
    <row r="187" spans="1:15" x14ac:dyDescent="0.2">
      <c r="A187" s="18">
        <f t="shared" si="33"/>
        <v>1986</v>
      </c>
      <c r="B187" s="56">
        <f>K115/K171</f>
        <v>46.509437144594386</v>
      </c>
      <c r="C187" s="32">
        <f t="shared" si="34"/>
        <v>956.4643816884028</v>
      </c>
      <c r="D187" s="52">
        <f t="shared" si="35"/>
        <v>44484.620041180104</v>
      </c>
      <c r="E187" s="53">
        <v>41254.536</v>
      </c>
      <c r="F187" s="52">
        <f t="shared" si="36"/>
        <v>3230.0840411801037</v>
      </c>
      <c r="H187" s="54">
        <v>2312.7309729606786</v>
      </c>
      <c r="I187" s="55">
        <f t="shared" si="37"/>
        <v>0.71599715161458388</v>
      </c>
      <c r="K187" s="54">
        <v>3124.3847967215115</v>
      </c>
      <c r="L187" s="54">
        <v>2738.5206642419653</v>
      </c>
      <c r="M187" s="54">
        <v>4267.9234607698609</v>
      </c>
      <c r="N187" s="54"/>
      <c r="O187" s="55"/>
    </row>
    <row r="188" spans="1:15" x14ac:dyDescent="0.2">
      <c r="A188" s="18">
        <f t="shared" si="33"/>
        <v>1987</v>
      </c>
      <c r="B188" s="56">
        <f>J116/J171</f>
        <v>51.392213638742</v>
      </c>
      <c r="C188" s="32">
        <f t="shared" si="34"/>
        <v>854.8792583053895</v>
      </c>
      <c r="D188" s="52">
        <f t="shared" si="35"/>
        <v>43934.137478159886</v>
      </c>
      <c r="E188" s="53">
        <v>40205.614000000001</v>
      </c>
      <c r="F188" s="52">
        <f t="shared" si="36"/>
        <v>3728.5234781598847</v>
      </c>
      <c r="H188" s="54">
        <v>2890.0635634833379</v>
      </c>
      <c r="I188" s="55">
        <f t="shared" si="37"/>
        <v>0.77512280140171019</v>
      </c>
      <c r="K188" s="54">
        <v>4988.4323269274682</v>
      </c>
      <c r="L188" s="54">
        <v>4390.617238392595</v>
      </c>
      <c r="M188" s="54">
        <v>5933.6225262025864</v>
      </c>
      <c r="N188" s="54"/>
      <c r="O188" s="55"/>
    </row>
    <row r="189" spans="1:15" x14ac:dyDescent="0.2">
      <c r="A189" s="18">
        <f t="shared" si="33"/>
        <v>1988</v>
      </c>
      <c r="B189" s="56">
        <f>I117/I171</f>
        <v>45.650433167130139</v>
      </c>
      <c r="C189" s="32">
        <f t="shared" si="34"/>
        <v>874.70988997152347</v>
      </c>
      <c r="D189" s="52">
        <f t="shared" si="35"/>
        <v>39930.885372772791</v>
      </c>
      <c r="E189" s="53">
        <v>33364.098000000005</v>
      </c>
      <c r="F189" s="52">
        <f t="shared" si="36"/>
        <v>6566.7873727727856</v>
      </c>
      <c r="H189" s="54">
        <v>5839.6842253362774</v>
      </c>
      <c r="I189" s="55">
        <f t="shared" si="37"/>
        <v>0.88927566766494937</v>
      </c>
      <c r="K189" s="54">
        <v>6791.7694566274149</v>
      </c>
      <c r="L189" s="54">
        <v>6158.2560471590186</v>
      </c>
      <c r="M189" s="54">
        <v>9816.0509043225102</v>
      </c>
      <c r="N189" s="54"/>
      <c r="O189" s="55"/>
    </row>
    <row r="190" spans="1:15" x14ac:dyDescent="0.2">
      <c r="A190" s="18">
        <f t="shared" si="33"/>
        <v>1989</v>
      </c>
      <c r="B190" s="56">
        <f>H118/H171</f>
        <v>51.752819112461736</v>
      </c>
      <c r="C190" s="32">
        <f t="shared" si="34"/>
        <v>873.38341305241579</v>
      </c>
      <c r="D190" s="52">
        <f t="shared" si="35"/>
        <v>45200.05379152613</v>
      </c>
      <c r="E190" s="53">
        <v>37319.199000000001</v>
      </c>
      <c r="F190" s="52">
        <f t="shared" si="36"/>
        <v>7880.8547915261297</v>
      </c>
      <c r="H190" s="54">
        <v>7031.4376851106572</v>
      </c>
      <c r="I190" s="55">
        <f t="shared" si="37"/>
        <v>0.89221764277032412</v>
      </c>
      <c r="K190" s="54">
        <v>13152.312258232581</v>
      </c>
      <c r="L190" s="54">
        <v>12309.814739663809</v>
      </c>
      <c r="M190" s="54">
        <v>15060.469867494998</v>
      </c>
      <c r="N190" s="54"/>
      <c r="O190" s="55"/>
    </row>
    <row r="191" spans="1:15" x14ac:dyDescent="0.2">
      <c r="A191" s="18">
        <f t="shared" si="33"/>
        <v>1990</v>
      </c>
      <c r="B191" s="56">
        <f>G119/G171</f>
        <v>61.625147185189789</v>
      </c>
      <c r="C191" s="32">
        <f t="shared" si="34"/>
        <v>815.88864504250148</v>
      </c>
      <c r="D191" s="52">
        <f t="shared" si="35"/>
        <v>50279.257837469224</v>
      </c>
      <c r="E191" s="53">
        <v>35744.653000000006</v>
      </c>
      <c r="F191" s="52">
        <f t="shared" si="36"/>
        <v>14534.604837469218</v>
      </c>
      <c r="H191" s="54">
        <v>13676.165037476181</v>
      </c>
      <c r="I191" s="55">
        <f t="shared" si="37"/>
        <v>0.94093820853112997</v>
      </c>
      <c r="K191" s="54">
        <v>22409.830270913488</v>
      </c>
      <c r="L191" s="54">
        <v>21421.018307443781</v>
      </c>
      <c r="M191" s="54">
        <v>21631.212312376581</v>
      </c>
      <c r="N191" s="54"/>
      <c r="O191" s="55"/>
    </row>
    <row r="192" spans="1:15" x14ac:dyDescent="0.2">
      <c r="A192" s="18">
        <f t="shared" si="33"/>
        <v>1991</v>
      </c>
      <c r="B192" s="56">
        <f>F120/F171</f>
        <v>50.60095129080365</v>
      </c>
      <c r="C192" s="32">
        <f t="shared" si="34"/>
        <v>868.43441239995616</v>
      </c>
      <c r="D192" s="52">
        <f t="shared" si="35"/>
        <v>43943.607401107867</v>
      </c>
      <c r="E192" s="53">
        <v>29448.637999999999</v>
      </c>
      <c r="F192" s="52">
        <f t="shared" si="36"/>
        <v>14494.969401107868</v>
      </c>
      <c r="H192" s="54">
        <v>13768.28108998618</v>
      </c>
      <c r="I192" s="55">
        <f t="shared" si="37"/>
        <v>0.94986617142729901</v>
      </c>
      <c r="K192" s="54">
        <v>34842.093490836291</v>
      </c>
      <c r="L192" s="54">
        <v>34066.431031002016</v>
      </c>
      <c r="M192" s="54">
        <v>33309.216128706335</v>
      </c>
      <c r="N192" s="54"/>
      <c r="O192" s="55"/>
    </row>
    <row r="193" spans="1:15" x14ac:dyDescent="0.2">
      <c r="A193" s="18">
        <f t="shared" si="33"/>
        <v>1992</v>
      </c>
      <c r="B193" s="56">
        <f>E121/E171</f>
        <v>57.709544632582706</v>
      </c>
      <c r="C193" s="32">
        <f t="shared" si="34"/>
        <v>898.72105982357596</v>
      </c>
      <c r="D193" s="52">
        <f t="shared" si="35"/>
        <v>51864.783114130689</v>
      </c>
      <c r="E193" s="53">
        <v>28265.431</v>
      </c>
      <c r="F193" s="52">
        <f t="shared" si="36"/>
        <v>23599.352114130688</v>
      </c>
      <c r="H193" s="54">
        <v>22830.490462370039</v>
      </c>
      <c r="I193" s="55">
        <f t="shared" si="37"/>
        <v>0.96742022204498257</v>
      </c>
      <c r="K193" s="54">
        <v>68290.428950017478</v>
      </c>
      <c r="L193" s="54">
        <v>67048.881896215928</v>
      </c>
      <c r="M193" s="54">
        <v>47574.757586317428</v>
      </c>
      <c r="N193" s="54"/>
      <c r="O193" s="55"/>
    </row>
    <row r="194" spans="1:15" x14ac:dyDescent="0.2">
      <c r="A194" s="18">
        <f t="shared" si="33"/>
        <v>1993</v>
      </c>
      <c r="B194" s="56">
        <f>D122/D171</f>
        <v>55.151437764030426</v>
      </c>
      <c r="C194" s="32">
        <f t="shared" si="34"/>
        <v>886.54720979031833</v>
      </c>
      <c r="D194" s="52">
        <f t="shared" si="35"/>
        <v>48894.35326562557</v>
      </c>
      <c r="E194" s="53">
        <v>15165.406999999999</v>
      </c>
      <c r="F194" s="52">
        <f t="shared" si="36"/>
        <v>33728.946265625571</v>
      </c>
      <c r="H194" s="54">
        <v>33067.01555892318</v>
      </c>
      <c r="I194" s="55">
        <f t="shared" si="37"/>
        <v>0.98037499596075461</v>
      </c>
      <c r="K194" s="54">
        <v>78300.924643740407</v>
      </c>
      <c r="L194" s="54">
        <v>77537.056872853456</v>
      </c>
      <c r="M194" s="54">
        <v>61936.455887144271</v>
      </c>
      <c r="N194" s="54"/>
      <c r="O194" s="55"/>
    </row>
    <row r="195" spans="1:15" x14ac:dyDescent="0.2">
      <c r="A195" s="18">
        <f t="shared" si="33"/>
        <v>1994</v>
      </c>
      <c r="B195" s="56">
        <f>C123/C171</f>
        <v>50.843626008984636</v>
      </c>
      <c r="C195" s="32">
        <f t="shared" si="34"/>
        <v>889.84534761024838</v>
      </c>
      <c r="D195" s="52">
        <f t="shared" si="35"/>
        <v>45242.964059730402</v>
      </c>
      <c r="E195" s="53">
        <v>7962.4459999999999</v>
      </c>
      <c r="F195" s="52">
        <f t="shared" si="36"/>
        <v>37280.518059730399</v>
      </c>
      <c r="H195" s="54">
        <v>36600.208193132668</v>
      </c>
      <c r="I195" s="55">
        <f t="shared" si="37"/>
        <v>0.98175159836814108</v>
      </c>
      <c r="K195" s="54">
        <v>92401.488312778907</v>
      </c>
      <c r="L195" s="54">
        <v>91826.717645949597</v>
      </c>
      <c r="M195" s="54">
        <v>75609.67107811528</v>
      </c>
      <c r="N195" s="54"/>
      <c r="O195" s="55"/>
    </row>
    <row r="196" spans="1:15" x14ac:dyDescent="0.2">
      <c r="A196" s="18">
        <f t="shared" si="33"/>
        <v>1995</v>
      </c>
      <c r="B196" s="56">
        <f>B124/B171</f>
        <v>40.409813074253236</v>
      </c>
      <c r="C196" s="32">
        <f t="shared" si="34"/>
        <v>910.65548727102475</v>
      </c>
      <c r="D196" s="52">
        <f t="shared" si="35"/>
        <v>36799.418015665105</v>
      </c>
      <c r="E196" s="53">
        <v>2725.355</v>
      </c>
      <c r="F196" s="52">
        <f t="shared" si="36"/>
        <v>34074.063015665102</v>
      </c>
      <c r="H196" s="54">
        <v>34378.679705557108</v>
      </c>
      <c r="I196" s="55">
        <f t="shared" si="37"/>
        <v>1.0089398405394732</v>
      </c>
      <c r="K196" s="57">
        <v>99802.733250713252</v>
      </c>
      <c r="L196" s="57">
        <v>99822.056395701627</v>
      </c>
      <c r="M196" s="57">
        <v>89993.453365684836</v>
      </c>
      <c r="N196" s="54"/>
      <c r="O196" s="55"/>
    </row>
    <row r="197" spans="1:15" x14ac:dyDescent="0.2">
      <c r="D197" s="53"/>
      <c r="E197" s="53"/>
      <c r="F197" s="53"/>
      <c r="H197" s="58"/>
      <c r="I197" s="55"/>
      <c r="K197" s="58"/>
      <c r="L197" s="54"/>
      <c r="M197" s="58"/>
      <c r="N197" s="58"/>
      <c r="O197" s="55"/>
    </row>
    <row r="198" spans="1:15" x14ac:dyDescent="0.2">
      <c r="D198" s="53"/>
      <c r="E198" s="59"/>
      <c r="F198" s="60">
        <f>SUM(F179:F196)</f>
        <v>185946.80314352206</v>
      </c>
      <c r="H198" s="57">
        <v>179154.74729594711</v>
      </c>
      <c r="I198" s="55">
        <f t="shared" si="37"/>
        <v>0.96347312385718975</v>
      </c>
      <c r="K198" s="57">
        <v>428441.49144960538</v>
      </c>
      <c r="L198" s="57">
        <v>421071.27999417193</v>
      </c>
      <c r="M198" s="57">
        <v>371188.3721231512</v>
      </c>
      <c r="N198" s="54"/>
      <c r="O198" s="55"/>
    </row>
    <row r="200" spans="1:15" x14ac:dyDescent="0.2">
      <c r="F200" s="61" t="s">
        <v>268</v>
      </c>
    </row>
    <row r="201" spans="1:15" x14ac:dyDescent="0.2">
      <c r="F201" s="17" t="s">
        <v>269</v>
      </c>
    </row>
  </sheetData>
  <conditionalFormatting sqref="B135:B151">
    <cfRule type="colorScale" priority="14">
      <colorScale>
        <cfvo type="min"/>
        <cfvo type="percentile" val="50"/>
        <cfvo type="max"/>
        <color rgb="FFF8696B"/>
        <color rgb="FFFCFCFF"/>
        <color rgb="FF63BE7B"/>
      </colorScale>
    </cfRule>
  </conditionalFormatting>
  <conditionalFormatting sqref="B152:R153">
    <cfRule type="colorScale" priority="15">
      <colorScale>
        <cfvo type="min"/>
        <cfvo type="percentile" val="50"/>
        <cfvo type="max"/>
        <color rgb="FFF8696B"/>
        <color rgb="FFFFEB84"/>
        <color rgb="FF63BE7B"/>
      </colorScale>
    </cfRule>
  </conditionalFormatting>
  <conditionalFormatting sqref="B107:S124">
    <cfRule type="colorScale" priority="16">
      <colorScale>
        <cfvo type="min"/>
        <cfvo type="percentile" val="50"/>
        <cfvo type="max"/>
        <color rgb="FFF8696B"/>
        <color rgb="FFFFEB84"/>
        <color rgb="FF63BE7B"/>
      </colorScale>
    </cfRule>
  </conditionalFormatting>
  <conditionalFormatting sqref="C135:C150">
    <cfRule type="colorScale" priority="13">
      <colorScale>
        <cfvo type="min"/>
        <cfvo type="percentile" val="50"/>
        <cfvo type="max"/>
        <color rgb="FFF8696B"/>
        <color rgb="FFFCFCFF"/>
        <color rgb="FF63BE7B"/>
      </colorScale>
    </cfRule>
  </conditionalFormatting>
  <conditionalFormatting sqref="D135:D149">
    <cfRule type="colorScale" priority="12">
      <colorScale>
        <cfvo type="min"/>
        <cfvo type="percentile" val="50"/>
        <cfvo type="max"/>
        <color rgb="FFF8696B"/>
        <color rgb="FFFCFCFF"/>
        <color rgb="FF63BE7B"/>
      </colorScale>
    </cfRule>
  </conditionalFormatting>
  <conditionalFormatting sqref="E135:E148">
    <cfRule type="colorScale" priority="11">
      <colorScale>
        <cfvo type="min"/>
        <cfvo type="percentile" val="50"/>
        <cfvo type="max"/>
        <color rgb="FFF8696B"/>
        <color rgb="FFFCFCFF"/>
        <color rgb="FF63BE7B"/>
      </colorScale>
    </cfRule>
  </conditionalFormatting>
  <conditionalFormatting sqref="F135:F147">
    <cfRule type="colorScale" priority="10">
      <colorScale>
        <cfvo type="min"/>
        <cfvo type="percentile" val="50"/>
        <cfvo type="max"/>
        <color rgb="FFF8696B"/>
        <color rgb="FFFCFCFF"/>
        <color rgb="FF63BE7B"/>
      </colorScale>
    </cfRule>
  </conditionalFormatting>
  <conditionalFormatting sqref="G135:G146">
    <cfRule type="colorScale" priority="9">
      <colorScale>
        <cfvo type="min"/>
        <cfvo type="percentile" val="50"/>
        <cfvo type="max"/>
        <color rgb="FFF8696B"/>
        <color rgb="FFFCFCFF"/>
        <color rgb="FF63BE7B"/>
      </colorScale>
    </cfRule>
  </conditionalFormatting>
  <conditionalFormatting sqref="H135:H145">
    <cfRule type="colorScale" priority="8">
      <colorScale>
        <cfvo type="min"/>
        <cfvo type="percentile" val="50"/>
        <cfvo type="max"/>
        <color rgb="FFF8696B"/>
        <color rgb="FFFCFCFF"/>
        <color rgb="FF63BE7B"/>
      </colorScale>
    </cfRule>
  </conditionalFormatting>
  <conditionalFormatting sqref="I135:I144">
    <cfRule type="colorScale" priority="7">
      <colorScale>
        <cfvo type="min"/>
        <cfvo type="percentile" val="50"/>
        <cfvo type="max"/>
        <color rgb="FFF8696B"/>
        <color rgb="FFFCFCFF"/>
        <color rgb="FF63BE7B"/>
      </colorScale>
    </cfRule>
  </conditionalFormatting>
  <conditionalFormatting sqref="J135:J143">
    <cfRule type="colorScale" priority="6">
      <colorScale>
        <cfvo type="min"/>
        <cfvo type="percentile" val="50"/>
        <cfvo type="max"/>
        <color rgb="FFF8696B"/>
        <color rgb="FFFCFCFF"/>
        <color rgb="FF63BE7B"/>
      </colorScale>
    </cfRule>
  </conditionalFormatting>
  <conditionalFormatting sqref="K135:K142">
    <cfRule type="colorScale" priority="5">
      <colorScale>
        <cfvo type="min"/>
        <cfvo type="percentile" val="50"/>
        <cfvo type="max"/>
        <color rgb="FFF8696B"/>
        <color rgb="FFFCFCFF"/>
        <color rgb="FF63BE7B"/>
      </colorScale>
    </cfRule>
  </conditionalFormatting>
  <conditionalFormatting sqref="L135:L141">
    <cfRule type="colorScale" priority="4">
      <colorScale>
        <cfvo type="min"/>
        <cfvo type="percentile" val="50"/>
        <cfvo type="max"/>
        <color rgb="FFF8696B"/>
        <color rgb="FFFCFCFF"/>
        <color rgb="FF63BE7B"/>
      </colorScale>
    </cfRule>
  </conditionalFormatting>
  <conditionalFormatting sqref="M135:M140">
    <cfRule type="colorScale" priority="3">
      <colorScale>
        <cfvo type="min"/>
        <cfvo type="percentile" val="50"/>
        <cfvo type="max"/>
        <color rgb="FFF8696B"/>
        <color rgb="FFFCFCFF"/>
        <color rgb="FF63BE7B"/>
      </colorScale>
    </cfRule>
  </conditionalFormatting>
  <conditionalFormatting sqref="N135:N139">
    <cfRule type="colorScale" priority="2">
      <colorScale>
        <cfvo type="min"/>
        <cfvo type="percentile" val="50"/>
        <cfvo type="max"/>
        <color rgb="FFF8696B"/>
        <color rgb="FFFCFCFF"/>
        <color rgb="FF63BE7B"/>
      </colorScale>
    </cfRule>
  </conditionalFormatting>
  <conditionalFormatting sqref="O135:O138">
    <cfRule type="colorScale" priority="1">
      <colorScale>
        <cfvo type="min"/>
        <cfvo type="percentile" val="50"/>
        <cfvo type="max"/>
        <color rgb="FFF8696B"/>
        <color rgb="FFFCFCFF"/>
        <color rgb="FF63BE7B"/>
      </colorScale>
    </cfRule>
  </conditionalFormatting>
  <pageMargins left="0.7" right="0.7" top="0.75" bottom="0.75" header="0.3" footer="0.3"/>
  <ignoredErrors>
    <ignoredError sqref="C6:G6"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B40-05D3-4A02-B999-7D77921159E4}">
  <sheetPr codeName="Sheet9"/>
  <dimension ref="B1:AL10013"/>
  <sheetViews>
    <sheetView workbookViewId="0">
      <selection activeCell="R23" sqref="R23"/>
    </sheetView>
  </sheetViews>
  <sheetFormatPr baseColWidth="10" defaultColWidth="8.83203125" defaultRowHeight="16" x14ac:dyDescent="0.2"/>
  <cols>
    <col min="13" max="13" width="9" style="78"/>
    <col min="31" max="31" width="9" style="78"/>
    <col min="36" max="36" width="8.1640625" bestFit="1" customWidth="1"/>
    <col min="37" max="37" width="9.6640625" bestFit="1" customWidth="1"/>
    <col min="38" max="38" width="18" bestFit="1" customWidth="1"/>
  </cols>
  <sheetData>
    <row r="1" spans="2:38" x14ac:dyDescent="0.2">
      <c r="B1" s="12" t="s">
        <v>270</v>
      </c>
      <c r="O1" s="12" t="s">
        <v>271</v>
      </c>
      <c r="AG1" s="12" t="s">
        <v>272</v>
      </c>
    </row>
    <row r="2" spans="2:38" x14ac:dyDescent="0.2">
      <c r="AJ2" t="s">
        <v>273</v>
      </c>
      <c r="AK2" t="s">
        <v>274</v>
      </c>
    </row>
    <row r="3" spans="2:38" x14ac:dyDescent="0.2">
      <c r="B3" s="12" t="s">
        <v>275</v>
      </c>
      <c r="D3" s="12" t="s">
        <v>276</v>
      </c>
      <c r="O3" s="67" t="str">
        <f ca="1">_xlfn.FORMULATEXT(O4)</f>
        <v>=NORM.S.INV(RANDARRAY(10000))</v>
      </c>
      <c r="X3" s="67" t="str">
        <f ca="1">_xlfn.FORMULATEXT(X4)</f>
        <v>=GAMMA.INV(RANDARRAY(10000),10,5)</v>
      </c>
      <c r="AJ3" t="s">
        <v>277</v>
      </c>
      <c r="AK3" s="2">
        <v>0.05</v>
      </c>
    </row>
    <row r="4" spans="2:38" x14ac:dyDescent="0.2">
      <c r="B4" s="67" t="str">
        <f ca="1">_xlfn.FORMULATEXT(B5)</f>
        <v>=RAND()</v>
      </c>
      <c r="D4" s="67" t="str">
        <f ca="1">_xlfn.FORMULATEXT(D5)</f>
        <v>=RANDARRAY(6,4,-2,10,TRUE)</v>
      </c>
      <c r="I4" s="67" t="str">
        <f ca="1">_xlfn.FORMULATEXT(I5)</f>
        <v>=RANDARRAY(2,5,0,1000, FALSE)</v>
      </c>
      <c r="O4" s="2" cm="1">
        <f t="array" aca="1" ref="O4:O10003" ca="1">_xlfn.NORM.S.INV(_xlfn.RANDARRAY(10000))</f>
        <v>-1.3302893459517435</v>
      </c>
      <c r="X4" s="2" cm="1">
        <f t="array" aca="1" ref="X4:X10003" ca="1">_xlfn.GAMMA.INV(_xlfn.RANDARRAY(10000),10,5)</f>
        <v>75.412457787144447</v>
      </c>
      <c r="AJ4" t="s">
        <v>278</v>
      </c>
      <c r="AK4" s="2">
        <v>0.35</v>
      </c>
    </row>
    <row r="5" spans="2:38" x14ac:dyDescent="0.2">
      <c r="B5" s="2">
        <f ca="1">RAND()</f>
        <v>0.56602495903833627</v>
      </c>
      <c r="D5" s="2" cm="1">
        <f t="array" aca="1" ref="D5:G10" ca="1">_xlfn.RANDARRAY(6,4,-2,10,TRUE)</f>
        <v>-2</v>
      </c>
      <c r="E5" s="2">
        <f ca="1"/>
        <v>5</v>
      </c>
      <c r="F5" s="2">
        <f ca="1"/>
        <v>10</v>
      </c>
      <c r="G5" s="2">
        <f ca="1"/>
        <v>9</v>
      </c>
      <c r="I5" s="2" cm="1">
        <f t="array" aca="1" ref="I5:M6" ca="1">_xlfn.RANDARRAY(2,5,0,1000, FALSE)</f>
        <v>815.6310113919867</v>
      </c>
      <c r="J5" s="2">
        <f ca="1"/>
        <v>861.31012954480173</v>
      </c>
      <c r="K5" s="2">
        <f ca="1"/>
        <v>880.56900796825448</v>
      </c>
      <c r="L5" s="2">
        <f ca="1"/>
        <v>409.27311385137136</v>
      </c>
      <c r="M5" s="91">
        <f ca="1"/>
        <v>723.97902883638301</v>
      </c>
      <c r="O5" s="2">
        <f ca="1"/>
        <v>-0.2993921893116645</v>
      </c>
      <c r="X5" s="2">
        <f ca="1"/>
        <v>51.429570368332477</v>
      </c>
      <c r="AJ5" t="s">
        <v>279</v>
      </c>
      <c r="AK5" s="2">
        <v>0.6</v>
      </c>
    </row>
    <row r="6" spans="2:38" x14ac:dyDescent="0.2">
      <c r="D6" s="2">
        <f ca="1"/>
        <v>0</v>
      </c>
      <c r="E6" s="2">
        <f ca="1"/>
        <v>3</v>
      </c>
      <c r="F6" s="2">
        <f ca="1"/>
        <v>5</v>
      </c>
      <c r="G6" s="2">
        <f ca="1"/>
        <v>0</v>
      </c>
      <c r="I6" s="2">
        <f ca="1"/>
        <v>173.11452380263415</v>
      </c>
      <c r="J6" s="2">
        <f ca="1"/>
        <v>377.90327693665859</v>
      </c>
      <c r="K6" s="2">
        <f ca="1"/>
        <v>152.18785455393095</v>
      </c>
      <c r="L6" s="2">
        <f ca="1"/>
        <v>703.54585882866013</v>
      </c>
      <c r="M6" s="91">
        <f ca="1"/>
        <v>842.61298713821634</v>
      </c>
      <c r="O6" s="2">
        <f ca="1"/>
        <v>-0.10911568273741712</v>
      </c>
      <c r="X6" s="2">
        <f ca="1"/>
        <v>41.751510107719483</v>
      </c>
      <c r="AG6" s="67" t="str">
        <f ca="1">_xlfn.FORMULATEXT(AG8)</f>
        <v>=RANDARRAY(10000)</v>
      </c>
    </row>
    <row r="7" spans="2:38" x14ac:dyDescent="0.2">
      <c r="D7" s="2">
        <f ca="1"/>
        <v>7</v>
      </c>
      <c r="E7" s="2">
        <f ca="1"/>
        <v>9</v>
      </c>
      <c r="F7" s="2">
        <f ca="1"/>
        <v>-2</v>
      </c>
      <c r="G7" s="2">
        <f ca="1"/>
        <v>-2</v>
      </c>
      <c r="O7" s="2">
        <f ca="1"/>
        <v>-0.34170664552584656</v>
      </c>
      <c r="X7" s="2">
        <f ca="1"/>
        <v>50.095337392806684</v>
      </c>
      <c r="AG7" s="67" t="str">
        <f ca="1">_xlfn.FORMULATEXT(AH8)</f>
        <v>=IFS(AG8#&lt;=AK3,AJ3, (AG8#&gt;AK3)*(AG8#&lt;=AK3+AK4),AJ4, AG8#&gt;1-AK5,AJ5)</v>
      </c>
    </row>
    <row r="8" spans="2:38" x14ac:dyDescent="0.2">
      <c r="D8" s="2">
        <f ca="1"/>
        <v>10</v>
      </c>
      <c r="E8" s="2">
        <f ca="1"/>
        <v>2</v>
      </c>
      <c r="F8" s="2">
        <f ca="1"/>
        <v>5</v>
      </c>
      <c r="G8" s="2">
        <f ca="1"/>
        <v>1</v>
      </c>
      <c r="O8" s="2">
        <f ca="1"/>
        <v>1.4295877450551366E-2</v>
      </c>
      <c r="X8" s="2">
        <f ca="1"/>
        <v>57.120671007108527</v>
      </c>
      <c r="AG8" s="2" cm="1">
        <f t="array" aca="1" ref="AG8:AG10007" ca="1">_xlfn.RANDARRAY(10000)</f>
        <v>0.24454272836264068</v>
      </c>
      <c r="AH8" s="2" t="str" cm="1">
        <f t="array" aca="1" ref="AH8:AH10007" ca="1">_xlfn.IFS(_xlfn.ANCHORARRAY(AG8)&lt;=AK3,AJ3, (_xlfn.ANCHORARRAY(AG8)&gt;AK3)*(_xlfn.ANCHORARRAY(AG8)&lt;=AK3+AK4),AJ4,_xlfn.ANCHORARRAY( AG8)&gt;1-AK5,AJ5)</f>
        <v>OK</v>
      </c>
    </row>
    <row r="9" spans="2:38" x14ac:dyDescent="0.2">
      <c r="D9" s="2">
        <f ca="1"/>
        <v>3</v>
      </c>
      <c r="E9" s="2">
        <f ca="1"/>
        <v>8</v>
      </c>
      <c r="F9" s="2">
        <f ca="1"/>
        <v>-2</v>
      </c>
      <c r="G9" s="2">
        <f ca="1"/>
        <v>3</v>
      </c>
      <c r="O9" s="2">
        <f ca="1"/>
        <v>0.22725059289032379</v>
      </c>
      <c r="X9" s="2">
        <f ca="1"/>
        <v>63.007855332721732</v>
      </c>
      <c r="AG9" s="2">
        <f ca="1"/>
        <v>0.75118550108664994</v>
      </c>
      <c r="AH9" s="2" t="str">
        <f ca="1"/>
        <v>Bad</v>
      </c>
      <c r="AJ9" t="s">
        <v>273</v>
      </c>
      <c r="AK9" t="s">
        <v>280</v>
      </c>
      <c r="AL9" t="s">
        <v>281</v>
      </c>
    </row>
    <row r="10" spans="2:38" x14ac:dyDescent="0.2">
      <c r="D10" s="2">
        <f ca="1"/>
        <v>-2</v>
      </c>
      <c r="E10" s="2">
        <f ca="1"/>
        <v>10</v>
      </c>
      <c r="F10" s="2">
        <f ca="1"/>
        <v>5</v>
      </c>
      <c r="G10" s="2">
        <f ca="1"/>
        <v>9</v>
      </c>
      <c r="O10" s="2">
        <f ca="1"/>
        <v>0.96258397687836394</v>
      </c>
      <c r="X10" s="2">
        <f ca="1"/>
        <v>75.283005154514228</v>
      </c>
      <c r="AG10" s="2">
        <f ca="1"/>
        <v>0.54246934715278927</v>
      </c>
      <c r="AH10" s="2" t="str">
        <f ca="1"/>
        <v>Bad</v>
      </c>
      <c r="AJ10" t="s">
        <v>277</v>
      </c>
      <c r="AK10">
        <f ca="1">COUNTIF(_xlfn.ANCHORARRAY($AH$8),"="&amp;AJ3)</f>
        <v>518</v>
      </c>
      <c r="AL10">
        <f ca="1">AK10/10000</f>
        <v>5.1799999999999999E-2</v>
      </c>
    </row>
    <row r="11" spans="2:38" x14ac:dyDescent="0.2">
      <c r="O11" s="2">
        <f ca="1"/>
        <v>-4.1845327119017804E-2</v>
      </c>
      <c r="X11" s="2">
        <f ca="1"/>
        <v>37.388744743359361</v>
      </c>
      <c r="AG11" s="2">
        <f ca="1"/>
        <v>0.22781124535176711</v>
      </c>
      <c r="AH11" s="2" t="str">
        <f ca="1"/>
        <v>OK</v>
      </c>
      <c r="AJ11" t="s">
        <v>278</v>
      </c>
      <c r="AK11">
        <f t="shared" ref="AK11:AK12" ca="1" si="0">COUNTIF(_xlfn.ANCHORARRAY($AH$8),"="&amp;AJ4)</f>
        <v>3521</v>
      </c>
      <c r="AL11">
        <f t="shared" ref="AL11:AL12" ca="1" si="1">AK11/10000</f>
        <v>0.35210000000000002</v>
      </c>
    </row>
    <row r="12" spans="2:38" x14ac:dyDescent="0.2">
      <c r="O12" s="2">
        <f ca="1"/>
        <v>5.7143471671079527E-2</v>
      </c>
      <c r="X12" s="2">
        <f ca="1"/>
        <v>37.231515740145682</v>
      </c>
      <c r="AG12" s="2">
        <f ca="1"/>
        <v>0.53460241483888682</v>
      </c>
      <c r="AH12" s="2" t="str">
        <f ca="1"/>
        <v>Bad</v>
      </c>
      <c r="AJ12" t="s">
        <v>279</v>
      </c>
      <c r="AK12">
        <f t="shared" ca="1" si="0"/>
        <v>5961</v>
      </c>
      <c r="AL12">
        <f t="shared" ca="1" si="1"/>
        <v>0.59609999999999996</v>
      </c>
    </row>
    <row r="13" spans="2:38" x14ac:dyDescent="0.2">
      <c r="B13" s="67" t="str">
        <f ca="1">_xlfn.FORMULATEXT(B14)</f>
        <v>=RANDARRAY(10000)</v>
      </c>
      <c r="O13" s="2">
        <f ca="1"/>
        <v>-0.49591777067533577</v>
      </c>
      <c r="X13" s="2">
        <f ca="1"/>
        <v>58.834362121646329</v>
      </c>
      <c r="AG13" s="2">
        <f ca="1"/>
        <v>4.0101752922462097E-2</v>
      </c>
      <c r="AH13" s="2" t="str">
        <f ca="1"/>
        <v>Good</v>
      </c>
    </row>
    <row r="14" spans="2:38" x14ac:dyDescent="0.2">
      <c r="B14" s="2" cm="1">
        <f t="array" aca="1" ref="B14:B10013" ca="1">_xlfn.RANDARRAY(10000)</f>
        <v>0.6540367906627782</v>
      </c>
      <c r="O14" s="2">
        <f ca="1"/>
        <v>-2.2468361240542882</v>
      </c>
      <c r="X14" s="2">
        <f ca="1"/>
        <v>58.8705415377935</v>
      </c>
      <c r="AG14" s="2">
        <f ca="1"/>
        <v>0.73393498667970114</v>
      </c>
      <c r="AH14" s="2" t="str">
        <f ca="1"/>
        <v>Bad</v>
      </c>
    </row>
    <row r="15" spans="2:38" x14ac:dyDescent="0.2">
      <c r="B15" s="2">
        <f ca="1"/>
        <v>0.46558647376258322</v>
      </c>
      <c r="O15" s="2">
        <f ca="1"/>
        <v>-0.21964338587581475</v>
      </c>
      <c r="X15" s="2">
        <f ca="1"/>
        <v>46.45487073749274</v>
      </c>
      <c r="AG15" s="2">
        <f ca="1"/>
        <v>0.3557604434484738</v>
      </c>
      <c r="AH15" s="2" t="str">
        <f ca="1"/>
        <v>OK</v>
      </c>
    </row>
    <row r="16" spans="2:38" x14ac:dyDescent="0.2">
      <c r="B16" s="2">
        <f ca="1"/>
        <v>0.6928457639344423</v>
      </c>
      <c r="O16" s="2">
        <f ca="1"/>
        <v>-0.17453307133678028</v>
      </c>
      <c r="X16" s="2">
        <f ca="1"/>
        <v>55.876016469244554</v>
      </c>
      <c r="AG16" s="2">
        <f ca="1"/>
        <v>0.33667515272394355</v>
      </c>
      <c r="AH16" s="2" t="str">
        <f ca="1"/>
        <v>OK</v>
      </c>
    </row>
    <row r="17" spans="2:34" x14ac:dyDescent="0.2">
      <c r="B17" s="2">
        <f ca="1"/>
        <v>0.58152977124061622</v>
      </c>
      <c r="O17" s="2">
        <f ca="1"/>
        <v>0.61186472228303423</v>
      </c>
      <c r="X17" s="2">
        <f ca="1"/>
        <v>53.136702798669553</v>
      </c>
      <c r="AG17" s="2">
        <f ca="1"/>
        <v>0.96809396238748868</v>
      </c>
      <c r="AH17" s="2" t="str">
        <f ca="1"/>
        <v>Bad</v>
      </c>
    </row>
    <row r="18" spans="2:34" x14ac:dyDescent="0.2">
      <c r="B18" s="2">
        <f ca="1"/>
        <v>0.29914898299973025</v>
      </c>
      <c r="O18" s="2">
        <f ca="1"/>
        <v>1.2416325690210852</v>
      </c>
      <c r="X18" s="2">
        <f ca="1"/>
        <v>54.791006874212407</v>
      </c>
      <c r="AG18" s="2">
        <f ca="1"/>
        <v>0.71037813115146875</v>
      </c>
      <c r="AH18" s="2" t="str">
        <f ca="1"/>
        <v>Bad</v>
      </c>
    </row>
    <row r="19" spans="2:34" x14ac:dyDescent="0.2">
      <c r="B19" s="2">
        <f ca="1"/>
        <v>8.8052266391198675E-2</v>
      </c>
      <c r="O19" s="2">
        <f ca="1"/>
        <v>0.34180781695497747</v>
      </c>
      <c r="Q19" t="s">
        <v>282</v>
      </c>
      <c r="R19" t="s">
        <v>283</v>
      </c>
      <c r="X19" s="2">
        <f ca="1"/>
        <v>52.683275748890061</v>
      </c>
      <c r="Z19" t="s">
        <v>282</v>
      </c>
      <c r="AA19" t="s">
        <v>284</v>
      </c>
      <c r="AG19" s="2">
        <f ca="1"/>
        <v>0.42062921787268759</v>
      </c>
      <c r="AH19" s="2" t="str">
        <f ca="1"/>
        <v>Bad</v>
      </c>
    </row>
    <row r="20" spans="2:34" x14ac:dyDescent="0.2">
      <c r="B20" s="2">
        <f ca="1"/>
        <v>0.88739485731977918</v>
      </c>
      <c r="O20" s="2">
        <f ca="1"/>
        <v>0.71616420390245228</v>
      </c>
      <c r="Q20">
        <f ca="1">AVERAGE(_xlfn.ANCHORARRAY(O4))</f>
        <v>2.305140311811909E-3</v>
      </c>
      <c r="R20">
        <f ca="1">STDEV(_xlfn.ANCHORARRAY(O4))</f>
        <v>1.0116602573518585</v>
      </c>
      <c r="X20" s="2">
        <f ca="1"/>
        <v>30.518399342409261</v>
      </c>
      <c r="Z20">
        <f ca="1">AVERAGE(_xlfn.ANCHORARRAY(X4))</f>
        <v>50.295252711769855</v>
      </c>
      <c r="AA20">
        <f ca="1">VAR(_xlfn.ANCHORARRAY(X4))</f>
        <v>246.82317021327114</v>
      </c>
      <c r="AG20" s="2">
        <f ca="1"/>
        <v>0.5272380089268216</v>
      </c>
      <c r="AH20" s="2" t="str">
        <f ca="1"/>
        <v>Bad</v>
      </c>
    </row>
    <row r="21" spans="2:34" x14ac:dyDescent="0.2">
      <c r="B21" s="2">
        <f ca="1"/>
        <v>0.63662772866355777</v>
      </c>
      <c r="O21" s="2">
        <f ca="1"/>
        <v>0.34668237842390837</v>
      </c>
      <c r="X21" s="2">
        <f ca="1"/>
        <v>58.195907064230852</v>
      </c>
      <c r="AG21" s="2">
        <f ca="1"/>
        <v>0.6322850819011312</v>
      </c>
      <c r="AH21" s="2" t="str">
        <f ca="1"/>
        <v>Bad</v>
      </c>
    </row>
    <row r="22" spans="2:34" x14ac:dyDescent="0.2">
      <c r="B22" s="2">
        <f ca="1"/>
        <v>0.66124452300824932</v>
      </c>
      <c r="O22" s="2">
        <f ca="1"/>
        <v>0.24467524739364638</v>
      </c>
      <c r="X22" s="2">
        <f ca="1"/>
        <v>51.436586386405587</v>
      </c>
      <c r="Z22" s="67" t="s">
        <v>285</v>
      </c>
      <c r="AA22" s="67"/>
      <c r="AG22" s="2">
        <f ca="1"/>
        <v>0.64387255031501867</v>
      </c>
      <c r="AH22" s="2" t="str">
        <f ca="1"/>
        <v>Bad</v>
      </c>
    </row>
    <row r="23" spans="2:34" x14ac:dyDescent="0.2">
      <c r="B23" s="2">
        <f ca="1"/>
        <v>0.20892331263392183</v>
      </c>
      <c r="O23" s="2">
        <f ca="1"/>
        <v>-0.82206160768584446</v>
      </c>
      <c r="X23" s="2">
        <f ca="1"/>
        <v>28.522399870039457</v>
      </c>
      <c r="Z23" s="67" t="s">
        <v>282</v>
      </c>
      <c r="AA23" s="67" t="s">
        <v>284</v>
      </c>
      <c r="AG23" s="2">
        <f ca="1"/>
        <v>0.62126167417644274</v>
      </c>
      <c r="AH23" s="2" t="str">
        <f ca="1"/>
        <v>Bad</v>
      </c>
    </row>
    <row r="24" spans="2:34" x14ac:dyDescent="0.2">
      <c r="B24" s="2">
        <f ca="1"/>
        <v>0.9897955817726265</v>
      </c>
      <c r="O24" s="2">
        <f ca="1"/>
        <v>1.8220576656910317</v>
      </c>
      <c r="X24" s="2">
        <f ca="1"/>
        <v>54.38006173087112</v>
      </c>
      <c r="Z24" s="67">
        <f>10*5</f>
        <v>50</v>
      </c>
      <c r="AA24" s="67">
        <f>10*5^2</f>
        <v>250</v>
      </c>
      <c r="AG24" s="2">
        <f ca="1"/>
        <v>0.56197094076615217</v>
      </c>
      <c r="AH24" s="2" t="str">
        <f ca="1"/>
        <v>Bad</v>
      </c>
    </row>
    <row r="25" spans="2:34" x14ac:dyDescent="0.2">
      <c r="B25" s="2">
        <f ca="1"/>
        <v>8.2142555624454827E-2</v>
      </c>
      <c r="O25" s="2">
        <f ca="1"/>
        <v>0.56605507319264992</v>
      </c>
      <c r="X25" s="2">
        <f ca="1"/>
        <v>63.327779958789733</v>
      </c>
      <c r="AG25" s="2">
        <f ca="1"/>
        <v>0.23752480557775035</v>
      </c>
      <c r="AH25" s="2" t="str">
        <f ca="1"/>
        <v>OK</v>
      </c>
    </row>
    <row r="26" spans="2:34" x14ac:dyDescent="0.2">
      <c r="B26" s="2">
        <f ca="1"/>
        <v>0.51374483764308443</v>
      </c>
      <c r="O26" s="2">
        <f ca="1"/>
        <v>-2.276112120949433</v>
      </c>
      <c r="X26" s="2">
        <f ca="1"/>
        <v>63.355706251850819</v>
      </c>
      <c r="AG26" s="2">
        <f ca="1"/>
        <v>0.55347934051505088</v>
      </c>
      <c r="AH26" s="2" t="str">
        <f ca="1"/>
        <v>Bad</v>
      </c>
    </row>
    <row r="27" spans="2:34" x14ac:dyDescent="0.2">
      <c r="B27" s="2">
        <f ca="1"/>
        <v>0.5919967165667479</v>
      </c>
      <c r="O27" s="2">
        <f ca="1"/>
        <v>-5.5765621050556193E-2</v>
      </c>
      <c r="X27" s="2">
        <f ca="1"/>
        <v>46.778114008040816</v>
      </c>
      <c r="AG27" s="2">
        <f ca="1"/>
        <v>0.9963705260478628</v>
      </c>
      <c r="AH27" s="2" t="str">
        <f ca="1"/>
        <v>Bad</v>
      </c>
    </row>
    <row r="28" spans="2:34" x14ac:dyDescent="0.2">
      <c r="B28" s="2">
        <f ca="1"/>
        <v>0.97395779893266332</v>
      </c>
      <c r="O28" s="2">
        <f ca="1"/>
        <v>-0.10216234912824258</v>
      </c>
      <c r="X28" s="2">
        <f ca="1"/>
        <v>64.009826801292633</v>
      </c>
      <c r="AG28" s="2">
        <f ca="1"/>
        <v>0.59144871280076372</v>
      </c>
      <c r="AH28" s="2" t="str">
        <f ca="1"/>
        <v>Bad</v>
      </c>
    </row>
    <row r="29" spans="2:34" x14ac:dyDescent="0.2">
      <c r="B29" s="2">
        <f ca="1"/>
        <v>0.50365138206294247</v>
      </c>
      <c r="O29" s="2">
        <f ca="1"/>
        <v>-4.4401816030809685E-2</v>
      </c>
      <c r="X29" s="2">
        <f ca="1"/>
        <v>48.561145391581874</v>
      </c>
      <c r="AG29" s="2">
        <f ca="1"/>
        <v>0.30540069473506981</v>
      </c>
      <c r="AH29" s="2" t="str">
        <f ca="1"/>
        <v>OK</v>
      </c>
    </row>
    <row r="30" spans="2:34" x14ac:dyDescent="0.2">
      <c r="B30" s="2">
        <f ca="1"/>
        <v>0.55625707313294215</v>
      </c>
      <c r="D30" t="s">
        <v>282</v>
      </c>
      <c r="E30" t="s">
        <v>286</v>
      </c>
      <c r="O30" s="2">
        <f ca="1"/>
        <v>0.31444288596782405</v>
      </c>
      <c r="X30" s="2">
        <f ca="1"/>
        <v>61.998137118474233</v>
      </c>
      <c r="AG30" s="2">
        <f ca="1"/>
        <v>0.68625674876327825</v>
      </c>
      <c r="AH30" s="2" t="str">
        <f ca="1"/>
        <v>Bad</v>
      </c>
    </row>
    <row r="31" spans="2:34" x14ac:dyDescent="0.2">
      <c r="B31" s="2">
        <f ca="1"/>
        <v>0.26605382046983439</v>
      </c>
      <c r="D31">
        <f ca="1">AVERAGE(_xlfn.ANCHORARRAY(B14))</f>
        <v>0.50016169135367805</v>
      </c>
      <c r="E31">
        <f ca="1">VAR(_xlfn.ANCHORARRAY(B14))</f>
        <v>8.2031442747532546E-2</v>
      </c>
      <c r="O31" s="2">
        <f ca="1"/>
        <v>0.55602614563326269</v>
      </c>
      <c r="X31" s="2">
        <f ca="1"/>
        <v>49.207041914129029</v>
      </c>
      <c r="AG31" s="2">
        <f ca="1"/>
        <v>0.96073132129073358</v>
      </c>
      <c r="AH31" s="2" t="str">
        <f ca="1"/>
        <v>Bad</v>
      </c>
    </row>
    <row r="32" spans="2:34" x14ac:dyDescent="0.2">
      <c r="B32" s="2">
        <f ca="1"/>
        <v>0.27914352335663684</v>
      </c>
      <c r="O32" s="2">
        <f ca="1"/>
        <v>0.66959106843058103</v>
      </c>
      <c r="X32" s="2">
        <f ca="1"/>
        <v>77.747411594616295</v>
      </c>
      <c r="AG32" s="2">
        <f ca="1"/>
        <v>0.72128128893434784</v>
      </c>
      <c r="AH32" s="2" t="str">
        <f ca="1"/>
        <v>Bad</v>
      </c>
    </row>
    <row r="33" spans="2:34" x14ac:dyDescent="0.2">
      <c r="B33" s="2">
        <f ca="1"/>
        <v>0.50838680184820184</v>
      </c>
      <c r="E33" s="67" t="s">
        <v>287</v>
      </c>
      <c r="O33" s="2">
        <f ca="1"/>
        <v>0.93715093760102297</v>
      </c>
      <c r="X33" s="2">
        <f ca="1"/>
        <v>49.031919970978215</v>
      </c>
      <c r="AG33" s="2">
        <f ca="1"/>
        <v>0.18643726485773637</v>
      </c>
      <c r="AH33" s="2" t="str">
        <f ca="1"/>
        <v>OK</v>
      </c>
    </row>
    <row r="34" spans="2:34" x14ac:dyDescent="0.2">
      <c r="B34" s="2">
        <f ca="1"/>
        <v>0.50070627893719388</v>
      </c>
      <c r="E34" s="67">
        <f>1/12</f>
        <v>8.3333333333333329E-2</v>
      </c>
      <c r="O34" s="2">
        <f ca="1"/>
        <v>-1.2286308859026152</v>
      </c>
      <c r="X34" s="2">
        <f ca="1"/>
        <v>54.990842060159636</v>
      </c>
      <c r="AG34" s="2">
        <f ca="1"/>
        <v>0.83603672161567477</v>
      </c>
      <c r="AH34" s="2" t="str">
        <f ca="1"/>
        <v>Bad</v>
      </c>
    </row>
    <row r="35" spans="2:34" x14ac:dyDescent="0.2">
      <c r="B35" s="2">
        <f ca="1"/>
        <v>0.49547036988472093</v>
      </c>
      <c r="O35" s="2">
        <f ca="1"/>
        <v>1.3038187556211089</v>
      </c>
      <c r="X35" s="2">
        <f ca="1"/>
        <v>41.77384936891837</v>
      </c>
      <c r="AG35" s="2">
        <f ca="1"/>
        <v>9.7130853904996428E-3</v>
      </c>
      <c r="AH35" s="2" t="str">
        <f ca="1"/>
        <v>Good</v>
      </c>
    </row>
    <row r="36" spans="2:34" x14ac:dyDescent="0.2">
      <c r="B36" s="2">
        <f ca="1"/>
        <v>0.876688949352733</v>
      </c>
      <c r="O36" s="2">
        <f ca="1"/>
        <v>-0.77105125926106421</v>
      </c>
      <c r="X36" s="2">
        <f ca="1"/>
        <v>36.572241137344726</v>
      </c>
      <c r="AG36" s="2">
        <f ca="1"/>
        <v>0.48029695602694367</v>
      </c>
      <c r="AH36" s="2" t="str">
        <f ca="1"/>
        <v>Bad</v>
      </c>
    </row>
    <row r="37" spans="2:34" x14ac:dyDescent="0.2">
      <c r="B37" s="2">
        <f ca="1"/>
        <v>0.93313815834939939</v>
      </c>
      <c r="O37" s="2">
        <f ca="1"/>
        <v>0.13723829350142128</v>
      </c>
      <c r="X37" s="2">
        <f ca="1"/>
        <v>62.611207405569658</v>
      </c>
      <c r="AG37" s="2">
        <f ca="1"/>
        <v>0.17133704089759316</v>
      </c>
      <c r="AH37" s="2" t="str">
        <f ca="1"/>
        <v>OK</v>
      </c>
    </row>
    <row r="38" spans="2:34" x14ac:dyDescent="0.2">
      <c r="B38" s="2">
        <f ca="1"/>
        <v>8.7380445359694692E-2</v>
      </c>
      <c r="O38" s="2">
        <f ca="1"/>
        <v>-1.6586490977598052</v>
      </c>
      <c r="X38" s="2">
        <f ca="1"/>
        <v>82.016825080985498</v>
      </c>
      <c r="AG38" s="2">
        <f ca="1"/>
        <v>0.89995230295352302</v>
      </c>
      <c r="AH38" s="2" t="str">
        <f ca="1"/>
        <v>Bad</v>
      </c>
    </row>
    <row r="39" spans="2:34" x14ac:dyDescent="0.2">
      <c r="B39" s="2">
        <f ca="1"/>
        <v>0.70021987966033272</v>
      </c>
      <c r="O39" s="2">
        <f ca="1"/>
        <v>-1.3661679987698843</v>
      </c>
      <c r="X39" s="2">
        <f ca="1"/>
        <v>21.446335990128283</v>
      </c>
      <c r="AG39" s="2">
        <f ca="1"/>
        <v>0.21793829227609041</v>
      </c>
      <c r="AH39" s="2" t="str">
        <f ca="1"/>
        <v>OK</v>
      </c>
    </row>
    <row r="40" spans="2:34" x14ac:dyDescent="0.2">
      <c r="B40" s="2">
        <f ca="1"/>
        <v>1.8849731447950546E-2</v>
      </c>
      <c r="O40" s="2">
        <f ca="1"/>
        <v>-1.645642976867481</v>
      </c>
      <c r="X40" s="2">
        <f ca="1"/>
        <v>32.894398525728462</v>
      </c>
      <c r="AG40" s="2">
        <f ca="1"/>
        <v>0.48621204907538806</v>
      </c>
      <c r="AH40" s="2" t="str">
        <f ca="1"/>
        <v>Bad</v>
      </c>
    </row>
    <row r="41" spans="2:34" x14ac:dyDescent="0.2">
      <c r="B41" s="2">
        <f ca="1"/>
        <v>0.15697220764786213</v>
      </c>
      <c r="O41" s="2">
        <f ca="1"/>
        <v>1.0283180840223987</v>
      </c>
      <c r="X41" s="2">
        <f ca="1"/>
        <v>78.968183745876445</v>
      </c>
      <c r="AG41" s="2">
        <f ca="1"/>
        <v>0.22701844874091703</v>
      </c>
      <c r="AH41" s="2" t="str">
        <f ca="1"/>
        <v>OK</v>
      </c>
    </row>
    <row r="42" spans="2:34" x14ac:dyDescent="0.2">
      <c r="B42" s="2">
        <f ca="1"/>
        <v>0.6875670542041783</v>
      </c>
      <c r="O42" s="2">
        <f ca="1"/>
        <v>1.3182310360847347</v>
      </c>
      <c r="X42" s="2">
        <f ca="1"/>
        <v>55.596623480066313</v>
      </c>
      <c r="AG42" s="2">
        <f ca="1"/>
        <v>0.51770687988841546</v>
      </c>
      <c r="AH42" s="2" t="str">
        <f ca="1"/>
        <v>Bad</v>
      </c>
    </row>
    <row r="43" spans="2:34" x14ac:dyDescent="0.2">
      <c r="B43" s="2">
        <f ca="1"/>
        <v>0.9645773021316435</v>
      </c>
      <c r="O43" s="2">
        <f ca="1"/>
        <v>1.2757920067444879</v>
      </c>
      <c r="X43" s="2">
        <f ca="1"/>
        <v>39.914624609692247</v>
      </c>
      <c r="AG43" s="2">
        <f ca="1"/>
        <v>0.60544534712282339</v>
      </c>
      <c r="AH43" s="2" t="str">
        <f ca="1"/>
        <v>Bad</v>
      </c>
    </row>
    <row r="44" spans="2:34" x14ac:dyDescent="0.2">
      <c r="B44" s="2">
        <f ca="1"/>
        <v>0.80729811538845375</v>
      </c>
      <c r="O44" s="2">
        <f ca="1"/>
        <v>-1.8401213749287206</v>
      </c>
      <c r="X44" s="2">
        <f ca="1"/>
        <v>52.432301774942019</v>
      </c>
      <c r="AG44" s="2">
        <f ca="1"/>
        <v>0.2222029203867435</v>
      </c>
      <c r="AH44" s="2" t="str">
        <f ca="1"/>
        <v>OK</v>
      </c>
    </row>
    <row r="45" spans="2:34" x14ac:dyDescent="0.2">
      <c r="B45" s="2">
        <f ca="1"/>
        <v>0.88014405727734335</v>
      </c>
      <c r="O45" s="2">
        <f ca="1"/>
        <v>0.95853846207393467</v>
      </c>
      <c r="X45" s="2">
        <f ca="1"/>
        <v>42.824909487886501</v>
      </c>
      <c r="AG45" s="2">
        <f ca="1"/>
        <v>0.63137920538340109</v>
      </c>
      <c r="AH45" s="2" t="str">
        <f ca="1"/>
        <v>Bad</v>
      </c>
    </row>
    <row r="46" spans="2:34" x14ac:dyDescent="0.2">
      <c r="B46" s="2">
        <f ca="1"/>
        <v>0.99551668485956402</v>
      </c>
      <c r="O46" s="2">
        <f ca="1"/>
        <v>0.3760278486301879</v>
      </c>
      <c r="X46" s="2">
        <f ca="1"/>
        <v>50.57417446471193</v>
      </c>
      <c r="AG46" s="2">
        <f ca="1"/>
        <v>0.58733673875535919</v>
      </c>
      <c r="AH46" s="2" t="str">
        <f ca="1"/>
        <v>Bad</v>
      </c>
    </row>
    <row r="47" spans="2:34" x14ac:dyDescent="0.2">
      <c r="B47" s="2">
        <f ca="1"/>
        <v>0.13888391737513262</v>
      </c>
      <c r="O47" s="2">
        <f ca="1"/>
        <v>1.2706813939419386</v>
      </c>
      <c r="X47" s="2">
        <f ca="1"/>
        <v>27.208762817263757</v>
      </c>
      <c r="AG47" s="2">
        <f ca="1"/>
        <v>0.784883808615499</v>
      </c>
      <c r="AH47" s="2" t="str">
        <f ca="1"/>
        <v>Bad</v>
      </c>
    </row>
    <row r="48" spans="2:34" x14ac:dyDescent="0.2">
      <c r="B48" s="2">
        <f ca="1"/>
        <v>0.97482526205484787</v>
      </c>
      <c r="O48" s="2">
        <f ca="1"/>
        <v>-1.1587835961841459</v>
      </c>
      <c r="X48" s="2">
        <f ca="1"/>
        <v>62.474682026332971</v>
      </c>
      <c r="AG48" s="2">
        <f ca="1"/>
        <v>0.95222311205040766</v>
      </c>
      <c r="AH48" s="2" t="str">
        <f ca="1"/>
        <v>Bad</v>
      </c>
    </row>
    <row r="49" spans="2:34" x14ac:dyDescent="0.2">
      <c r="B49" s="2">
        <f ca="1"/>
        <v>0.74264475106071104</v>
      </c>
      <c r="O49" s="2">
        <f ca="1"/>
        <v>6.4557592728738386E-2</v>
      </c>
      <c r="X49" s="2">
        <f ca="1"/>
        <v>69.137879766012119</v>
      </c>
      <c r="AG49" s="2">
        <f ca="1"/>
        <v>0.72019449724844287</v>
      </c>
      <c r="AH49" s="2" t="str">
        <f ca="1"/>
        <v>Bad</v>
      </c>
    </row>
    <row r="50" spans="2:34" x14ac:dyDescent="0.2">
      <c r="B50" s="2">
        <f ca="1"/>
        <v>0.88480657401194063</v>
      </c>
      <c r="O50" s="2">
        <f ca="1"/>
        <v>2.3775806457815558</v>
      </c>
      <c r="X50" s="2">
        <f ca="1"/>
        <v>42.74275540302915</v>
      </c>
      <c r="AG50" s="2">
        <f ca="1"/>
        <v>0.19127762951087313</v>
      </c>
      <c r="AH50" s="2" t="str">
        <f ca="1"/>
        <v>OK</v>
      </c>
    </row>
    <row r="51" spans="2:34" x14ac:dyDescent="0.2">
      <c r="B51" s="2">
        <f ca="1"/>
        <v>0.22142934650917723</v>
      </c>
      <c r="O51" s="2">
        <f ca="1"/>
        <v>2.0576598456902619</v>
      </c>
      <c r="X51" s="2">
        <f ca="1"/>
        <v>49.291262034144943</v>
      </c>
      <c r="AG51" s="2">
        <f ca="1"/>
        <v>0.85303322062979015</v>
      </c>
      <c r="AH51" s="2" t="str">
        <f ca="1"/>
        <v>Bad</v>
      </c>
    </row>
    <row r="52" spans="2:34" x14ac:dyDescent="0.2">
      <c r="B52" s="2">
        <f ca="1"/>
        <v>0.51845009506229855</v>
      </c>
      <c r="O52" s="2">
        <f ca="1"/>
        <v>-0.29100985026919585</v>
      </c>
      <c r="X52" s="2">
        <f ca="1"/>
        <v>35.958066808097882</v>
      </c>
      <c r="AG52" s="2">
        <f ca="1"/>
        <v>0.39105912568022161</v>
      </c>
      <c r="AH52" s="2" t="str">
        <f ca="1"/>
        <v>OK</v>
      </c>
    </row>
    <row r="53" spans="2:34" x14ac:dyDescent="0.2">
      <c r="B53" s="2">
        <f ca="1"/>
        <v>0.61958634825085968</v>
      </c>
      <c r="O53" s="2">
        <f ca="1"/>
        <v>-0.69512545966679384</v>
      </c>
      <c r="X53" s="2">
        <f ca="1"/>
        <v>37.458789382594283</v>
      </c>
      <c r="AG53" s="2">
        <f ca="1"/>
        <v>0.98652979232371241</v>
      </c>
      <c r="AH53" s="2" t="str">
        <f ca="1"/>
        <v>Bad</v>
      </c>
    </row>
    <row r="54" spans="2:34" x14ac:dyDescent="0.2">
      <c r="B54" s="2">
        <f ca="1"/>
        <v>0.74782674538141891</v>
      </c>
      <c r="O54" s="2">
        <f ca="1"/>
        <v>-0.77533485378555844</v>
      </c>
      <c r="X54" s="2">
        <f ca="1"/>
        <v>60.801804775476796</v>
      </c>
      <c r="AG54" s="2">
        <f ca="1"/>
        <v>0.87052932744622535</v>
      </c>
      <c r="AH54" s="2" t="str">
        <f ca="1"/>
        <v>Bad</v>
      </c>
    </row>
    <row r="55" spans="2:34" x14ac:dyDescent="0.2">
      <c r="B55" s="2">
        <f ca="1"/>
        <v>0.66130770958851559</v>
      </c>
      <c r="O55" s="2">
        <f ca="1"/>
        <v>-8.2041967367719126E-2</v>
      </c>
      <c r="X55" s="2">
        <f ca="1"/>
        <v>70.637823355980856</v>
      </c>
      <c r="AG55" s="2">
        <f ca="1"/>
        <v>0.51599379887347907</v>
      </c>
      <c r="AH55" s="2" t="str">
        <f ca="1"/>
        <v>Bad</v>
      </c>
    </row>
    <row r="56" spans="2:34" x14ac:dyDescent="0.2">
      <c r="B56" s="2">
        <f ca="1"/>
        <v>0.3664301704906423</v>
      </c>
      <c r="O56" s="2">
        <f ca="1"/>
        <v>-0.45788877197176148</v>
      </c>
      <c r="X56" s="2">
        <f ca="1"/>
        <v>35.315769363814425</v>
      </c>
      <c r="AG56" s="2">
        <f ca="1"/>
        <v>0.25134624202811473</v>
      </c>
      <c r="AH56" s="2" t="str">
        <f ca="1"/>
        <v>OK</v>
      </c>
    </row>
    <row r="57" spans="2:34" x14ac:dyDescent="0.2">
      <c r="B57" s="2">
        <f ca="1"/>
        <v>0.58371437991791431</v>
      </c>
      <c r="O57" s="2">
        <f ca="1"/>
        <v>-0.2319570839032819</v>
      </c>
      <c r="X57" s="2">
        <f ca="1"/>
        <v>40.970825695175144</v>
      </c>
      <c r="AG57" s="2">
        <f ca="1"/>
        <v>0.97463899245549568</v>
      </c>
      <c r="AH57" s="2" t="str">
        <f ca="1"/>
        <v>Bad</v>
      </c>
    </row>
    <row r="58" spans="2:34" x14ac:dyDescent="0.2">
      <c r="B58" s="2">
        <f ca="1"/>
        <v>0.60938755902494424</v>
      </c>
      <c r="O58" s="2">
        <f ca="1"/>
        <v>1.1782311896139348</v>
      </c>
      <c r="X58" s="2">
        <f ca="1"/>
        <v>37.46177338691691</v>
      </c>
      <c r="AG58" s="2">
        <f ca="1"/>
        <v>0.6541781059366123</v>
      </c>
      <c r="AH58" s="2" t="str">
        <f ca="1"/>
        <v>Bad</v>
      </c>
    </row>
    <row r="59" spans="2:34" x14ac:dyDescent="0.2">
      <c r="B59" s="2">
        <f ca="1"/>
        <v>0.82100166920147966</v>
      </c>
      <c r="O59" s="2">
        <f ca="1"/>
        <v>-0.14738568876357744</v>
      </c>
      <c r="X59" s="2">
        <f ca="1"/>
        <v>44.47156313065441</v>
      </c>
      <c r="AG59" s="2">
        <f ca="1"/>
        <v>0.56425850640040576</v>
      </c>
      <c r="AH59" s="2" t="str">
        <f ca="1"/>
        <v>Bad</v>
      </c>
    </row>
    <row r="60" spans="2:34" x14ac:dyDescent="0.2">
      <c r="B60" s="2">
        <f ca="1"/>
        <v>0.40669065151625028</v>
      </c>
      <c r="O60" s="2">
        <f ca="1"/>
        <v>-1.8007460606741381</v>
      </c>
      <c r="X60" s="2">
        <f ca="1"/>
        <v>45.015337845333583</v>
      </c>
      <c r="AG60" s="2">
        <f ca="1"/>
        <v>0.92604766830969409</v>
      </c>
      <c r="AH60" s="2" t="str">
        <f ca="1"/>
        <v>Bad</v>
      </c>
    </row>
    <row r="61" spans="2:34" x14ac:dyDescent="0.2">
      <c r="B61" s="2">
        <f ca="1"/>
        <v>0.14205699739767819</v>
      </c>
      <c r="O61" s="2">
        <f ca="1"/>
        <v>0.75215309423035981</v>
      </c>
      <c r="X61" s="2">
        <f ca="1"/>
        <v>68.411979765075031</v>
      </c>
      <c r="AG61" s="2">
        <f ca="1"/>
        <v>0.92070571827363978</v>
      </c>
      <c r="AH61" s="2" t="str">
        <f ca="1"/>
        <v>Bad</v>
      </c>
    </row>
    <row r="62" spans="2:34" x14ac:dyDescent="0.2">
      <c r="B62" s="2">
        <f ca="1"/>
        <v>0.29439096311061697</v>
      </c>
      <c r="O62" s="2">
        <f ca="1"/>
        <v>-3.4040538267998605E-2</v>
      </c>
      <c r="X62" s="2">
        <f ca="1"/>
        <v>30.568095376714513</v>
      </c>
      <c r="AG62" s="2">
        <f ca="1"/>
        <v>0.30124358521800154</v>
      </c>
      <c r="AH62" s="2" t="str">
        <f ca="1"/>
        <v>OK</v>
      </c>
    </row>
    <row r="63" spans="2:34" x14ac:dyDescent="0.2">
      <c r="B63" s="2">
        <f ca="1"/>
        <v>0.83893204915932529</v>
      </c>
      <c r="O63" s="2">
        <f ca="1"/>
        <v>-1.0041735946874186</v>
      </c>
      <c r="X63" s="2">
        <f ca="1"/>
        <v>33.056915381085162</v>
      </c>
      <c r="AG63" s="2">
        <f ca="1"/>
        <v>0.87589553655792263</v>
      </c>
      <c r="AH63" s="2" t="str">
        <f ca="1"/>
        <v>Bad</v>
      </c>
    </row>
    <row r="64" spans="2:34" x14ac:dyDescent="0.2">
      <c r="B64" s="2">
        <f ca="1"/>
        <v>0.93891953594633737</v>
      </c>
      <c r="O64" s="2">
        <f ca="1"/>
        <v>0.61642411600482216</v>
      </c>
      <c r="X64" s="2">
        <f ca="1"/>
        <v>51.923968736266659</v>
      </c>
      <c r="AG64" s="2">
        <f ca="1"/>
        <v>0.27006573025435143</v>
      </c>
      <c r="AH64" s="2" t="str">
        <f ca="1"/>
        <v>OK</v>
      </c>
    </row>
    <row r="65" spans="2:34" x14ac:dyDescent="0.2">
      <c r="B65" s="2">
        <f ca="1"/>
        <v>0.81846625830665132</v>
      </c>
      <c r="O65" s="2">
        <f ca="1"/>
        <v>-0.61509171493132719</v>
      </c>
      <c r="X65" s="2">
        <f ca="1"/>
        <v>48.173257866279407</v>
      </c>
      <c r="AG65" s="2">
        <f ca="1"/>
        <v>8.7680340167458626E-2</v>
      </c>
      <c r="AH65" s="2" t="str">
        <f ca="1"/>
        <v>OK</v>
      </c>
    </row>
    <row r="66" spans="2:34" x14ac:dyDescent="0.2">
      <c r="B66" s="2">
        <f ca="1"/>
        <v>0.81317091991529233</v>
      </c>
      <c r="O66" s="2">
        <f ca="1"/>
        <v>0.32084476722239308</v>
      </c>
      <c r="X66" s="2">
        <f ca="1"/>
        <v>67.958731378085872</v>
      </c>
      <c r="AG66" s="2">
        <f ca="1"/>
        <v>0.80587520679350377</v>
      </c>
      <c r="AH66" s="2" t="str">
        <f ca="1"/>
        <v>Bad</v>
      </c>
    </row>
    <row r="67" spans="2:34" x14ac:dyDescent="0.2">
      <c r="B67" s="2">
        <f ca="1"/>
        <v>0.67294480586332539</v>
      </c>
      <c r="O67" s="2">
        <f ca="1"/>
        <v>0.87676844399738785</v>
      </c>
      <c r="X67" s="2">
        <f ca="1"/>
        <v>57.09419901813169</v>
      </c>
      <c r="AG67" s="2">
        <f ca="1"/>
        <v>0.65031333352432985</v>
      </c>
      <c r="AH67" s="2" t="str">
        <f ca="1"/>
        <v>Bad</v>
      </c>
    </row>
    <row r="68" spans="2:34" x14ac:dyDescent="0.2">
      <c r="B68" s="2">
        <f ca="1"/>
        <v>0.77074405631116538</v>
      </c>
      <c r="O68" s="2">
        <f ca="1"/>
        <v>1.6390959051213614</v>
      </c>
      <c r="X68" s="2">
        <f ca="1"/>
        <v>35.395375864265844</v>
      </c>
      <c r="AG68" s="2">
        <f ca="1"/>
        <v>0.49778196810870945</v>
      </c>
      <c r="AH68" s="2" t="str">
        <f ca="1"/>
        <v>Bad</v>
      </c>
    </row>
    <row r="69" spans="2:34" x14ac:dyDescent="0.2">
      <c r="B69" s="2">
        <f ca="1"/>
        <v>0.69118988292674244</v>
      </c>
      <c r="O69" s="2">
        <f ca="1"/>
        <v>2.457799297762771</v>
      </c>
      <c r="X69" s="2">
        <f ca="1"/>
        <v>45.349896877263227</v>
      </c>
      <c r="AG69" s="2">
        <f ca="1"/>
        <v>0.177299809784357</v>
      </c>
      <c r="AH69" s="2" t="str">
        <f ca="1"/>
        <v>OK</v>
      </c>
    </row>
    <row r="70" spans="2:34" x14ac:dyDescent="0.2">
      <c r="B70" s="2">
        <f ca="1"/>
        <v>8.3436523068396884E-2</v>
      </c>
      <c r="O70" s="2">
        <f ca="1"/>
        <v>-1.1275357127083472</v>
      </c>
      <c r="X70" s="2">
        <f ca="1"/>
        <v>66.747316086661087</v>
      </c>
      <c r="AG70" s="2">
        <f ca="1"/>
        <v>0.12148234318039597</v>
      </c>
      <c r="AH70" s="2" t="str">
        <f ca="1"/>
        <v>OK</v>
      </c>
    </row>
    <row r="71" spans="2:34" x14ac:dyDescent="0.2">
      <c r="B71" s="2">
        <f ca="1"/>
        <v>0.50972368366303211</v>
      </c>
      <c r="O71" s="2">
        <f ca="1"/>
        <v>1.1741947815045468</v>
      </c>
      <c r="X71" s="2">
        <f ca="1"/>
        <v>37.929682424431157</v>
      </c>
      <c r="AG71" s="2">
        <f ca="1"/>
        <v>0.57427947195928075</v>
      </c>
      <c r="AH71" s="2" t="str">
        <f ca="1"/>
        <v>Bad</v>
      </c>
    </row>
    <row r="72" spans="2:34" x14ac:dyDescent="0.2">
      <c r="B72" s="2">
        <f ca="1"/>
        <v>0.65042155209880703</v>
      </c>
      <c r="O72" s="2">
        <f ca="1"/>
        <v>-0.80015798913828806</v>
      </c>
      <c r="X72" s="2">
        <f ca="1"/>
        <v>31.59684608225762</v>
      </c>
      <c r="AG72" s="2">
        <f ca="1"/>
        <v>0.19439037832945538</v>
      </c>
      <c r="AH72" s="2" t="str">
        <f ca="1"/>
        <v>OK</v>
      </c>
    </row>
    <row r="73" spans="2:34" x14ac:dyDescent="0.2">
      <c r="B73" s="2">
        <f ca="1"/>
        <v>0.96322299629789665</v>
      </c>
      <c r="O73" s="2">
        <f ca="1"/>
        <v>2.1066194613589961</v>
      </c>
      <c r="X73" s="2">
        <f ca="1"/>
        <v>88.868094702739029</v>
      </c>
      <c r="AG73" s="2">
        <f ca="1"/>
        <v>0.66705441936053167</v>
      </c>
      <c r="AH73" s="2" t="str">
        <f ca="1"/>
        <v>Bad</v>
      </c>
    </row>
    <row r="74" spans="2:34" x14ac:dyDescent="0.2">
      <c r="B74" s="2">
        <f ca="1"/>
        <v>0.67696288285516948</v>
      </c>
      <c r="O74" s="2">
        <f ca="1"/>
        <v>-0.27947116590661736</v>
      </c>
      <c r="X74" s="2">
        <f ca="1"/>
        <v>60.909262461391471</v>
      </c>
      <c r="AG74" s="2">
        <f ca="1"/>
        <v>0.75867805689664958</v>
      </c>
      <c r="AH74" s="2" t="str">
        <f ca="1"/>
        <v>Bad</v>
      </c>
    </row>
    <row r="75" spans="2:34" x14ac:dyDescent="0.2">
      <c r="B75" s="2">
        <f ca="1"/>
        <v>0.82100644640703813</v>
      </c>
      <c r="O75" s="2">
        <f ca="1"/>
        <v>-0.78096271248258364</v>
      </c>
      <c r="X75" s="2">
        <f ca="1"/>
        <v>43.926520086467214</v>
      </c>
      <c r="AG75" s="2">
        <f ca="1"/>
        <v>9.3503316202299347E-2</v>
      </c>
      <c r="AH75" s="2" t="str">
        <f ca="1"/>
        <v>OK</v>
      </c>
    </row>
    <row r="76" spans="2:34" x14ac:dyDescent="0.2">
      <c r="B76" s="2">
        <f ca="1"/>
        <v>0.90262385880664087</v>
      </c>
      <c r="O76" s="2">
        <f ca="1"/>
        <v>0.1346539535404401</v>
      </c>
      <c r="X76" s="2">
        <f ca="1"/>
        <v>42.407181716570435</v>
      </c>
      <c r="AG76" s="2">
        <f ca="1"/>
        <v>0.17830258783211339</v>
      </c>
      <c r="AH76" s="2" t="str">
        <f ca="1"/>
        <v>OK</v>
      </c>
    </row>
    <row r="77" spans="2:34" x14ac:dyDescent="0.2">
      <c r="B77" s="2">
        <f ca="1"/>
        <v>0.2551067510546785</v>
      </c>
      <c r="O77" s="2">
        <f ca="1"/>
        <v>0.83361328259020118</v>
      </c>
      <c r="X77" s="2">
        <f ca="1"/>
        <v>62.16849401524982</v>
      </c>
      <c r="AG77" s="2">
        <f ca="1"/>
        <v>0.94140105970096211</v>
      </c>
      <c r="AH77" s="2" t="str">
        <f ca="1"/>
        <v>Bad</v>
      </c>
    </row>
    <row r="78" spans="2:34" x14ac:dyDescent="0.2">
      <c r="B78" s="2">
        <f ca="1"/>
        <v>0.83768113983442349</v>
      </c>
      <c r="O78" s="2">
        <f ca="1"/>
        <v>0.83808151868847269</v>
      </c>
      <c r="X78" s="2">
        <f ca="1"/>
        <v>55.99428118414253</v>
      </c>
      <c r="AG78" s="2">
        <f ca="1"/>
        <v>0.59402668793772895</v>
      </c>
      <c r="AH78" s="2" t="str">
        <f ca="1"/>
        <v>Bad</v>
      </c>
    </row>
    <row r="79" spans="2:34" x14ac:dyDescent="0.2">
      <c r="B79" s="2">
        <f ca="1"/>
        <v>0.82487254837346247</v>
      </c>
      <c r="O79" s="2">
        <f ca="1"/>
        <v>-0.55205459259423784</v>
      </c>
      <c r="X79" s="2">
        <f ca="1"/>
        <v>47.091304035279968</v>
      </c>
      <c r="AG79" s="2">
        <f ca="1"/>
        <v>0.23724431105114152</v>
      </c>
      <c r="AH79" s="2" t="str">
        <f ca="1"/>
        <v>OK</v>
      </c>
    </row>
    <row r="80" spans="2:34" x14ac:dyDescent="0.2">
      <c r="B80" s="2">
        <f ca="1"/>
        <v>0.37995297641213277</v>
      </c>
      <c r="O80" s="2">
        <f ca="1"/>
        <v>-0.93732504216076218</v>
      </c>
      <c r="X80" s="2">
        <f ca="1"/>
        <v>65.683701438389264</v>
      </c>
      <c r="AG80" s="2">
        <f ca="1"/>
        <v>0.57828821156672827</v>
      </c>
      <c r="AH80" s="2" t="str">
        <f ca="1"/>
        <v>Bad</v>
      </c>
    </row>
    <row r="81" spans="2:34" x14ac:dyDescent="0.2">
      <c r="B81" s="2">
        <f ca="1"/>
        <v>0.31303784310841154</v>
      </c>
      <c r="O81" s="2">
        <f ca="1"/>
        <v>0.61245645073507904</v>
      </c>
      <c r="X81" s="2">
        <f ca="1"/>
        <v>59.846390978154687</v>
      </c>
      <c r="AG81" s="2">
        <f ca="1"/>
        <v>0.53750022364615146</v>
      </c>
      <c r="AH81" s="2" t="str">
        <f ca="1"/>
        <v>Bad</v>
      </c>
    </row>
    <row r="82" spans="2:34" x14ac:dyDescent="0.2">
      <c r="B82" s="2">
        <f ca="1"/>
        <v>0.17810118018406818</v>
      </c>
      <c r="O82" s="2">
        <f ca="1"/>
        <v>1.3007525354938723</v>
      </c>
      <c r="X82" s="2">
        <f ca="1"/>
        <v>30.702300983197709</v>
      </c>
      <c r="AG82" s="2">
        <f ca="1"/>
        <v>0.63958711105926191</v>
      </c>
      <c r="AH82" s="2" t="str">
        <f ca="1"/>
        <v>Bad</v>
      </c>
    </row>
    <row r="83" spans="2:34" x14ac:dyDescent="0.2">
      <c r="B83" s="2">
        <f ca="1"/>
        <v>0.76669790884773681</v>
      </c>
      <c r="O83" s="2">
        <f ca="1"/>
        <v>-0.89111021933718249</v>
      </c>
      <c r="X83" s="2">
        <f ca="1"/>
        <v>48.826776219658186</v>
      </c>
      <c r="AG83" s="2">
        <f ca="1"/>
        <v>0.21023397554728263</v>
      </c>
      <c r="AH83" s="2" t="str">
        <f ca="1"/>
        <v>OK</v>
      </c>
    </row>
    <row r="84" spans="2:34" x14ac:dyDescent="0.2">
      <c r="B84" s="2">
        <f ca="1"/>
        <v>0.23567308904817863</v>
      </c>
      <c r="O84" s="2">
        <f ca="1"/>
        <v>-1.7766603254893991</v>
      </c>
      <c r="X84" s="2">
        <f ca="1"/>
        <v>39.850350474263834</v>
      </c>
      <c r="AG84" s="2">
        <f ca="1"/>
        <v>0.74439552457232994</v>
      </c>
      <c r="AH84" s="2" t="str">
        <f ca="1"/>
        <v>Bad</v>
      </c>
    </row>
    <row r="85" spans="2:34" x14ac:dyDescent="0.2">
      <c r="B85" s="2">
        <f ca="1"/>
        <v>0.68176362972108318</v>
      </c>
      <c r="O85" s="2">
        <f ca="1"/>
        <v>0.12002517173269314</v>
      </c>
      <c r="X85" s="2">
        <f ca="1"/>
        <v>65.845148056715502</v>
      </c>
      <c r="AG85" s="2">
        <f ca="1"/>
        <v>0.39909321131932129</v>
      </c>
      <c r="AH85" s="2" t="str">
        <f ca="1"/>
        <v>OK</v>
      </c>
    </row>
    <row r="86" spans="2:34" x14ac:dyDescent="0.2">
      <c r="B86" s="2">
        <f ca="1"/>
        <v>0.72954808324119091</v>
      </c>
      <c r="O86" s="2">
        <f ca="1"/>
        <v>0.49568301892223859</v>
      </c>
      <c r="X86" s="2">
        <f ca="1"/>
        <v>32.718021161576104</v>
      </c>
      <c r="AG86" s="2">
        <f ca="1"/>
        <v>0.16255470612139722</v>
      </c>
      <c r="AH86" s="2" t="str">
        <f ca="1"/>
        <v>OK</v>
      </c>
    </row>
    <row r="87" spans="2:34" x14ac:dyDescent="0.2">
      <c r="B87" s="2">
        <f ca="1"/>
        <v>4.5354659747056214E-2</v>
      </c>
      <c r="O87" s="2">
        <f ca="1"/>
        <v>0.88346879501029441</v>
      </c>
      <c r="X87" s="2">
        <f ca="1"/>
        <v>51.813906106828568</v>
      </c>
      <c r="AG87" s="2">
        <f ca="1"/>
        <v>0.1909822020460783</v>
      </c>
      <c r="AH87" s="2" t="str">
        <f ca="1"/>
        <v>OK</v>
      </c>
    </row>
    <row r="88" spans="2:34" x14ac:dyDescent="0.2">
      <c r="B88" s="2">
        <f ca="1"/>
        <v>0.73358508195566952</v>
      </c>
      <c r="O88" s="2">
        <f ca="1"/>
        <v>0.58475826745061499</v>
      </c>
      <c r="X88" s="2">
        <f ca="1"/>
        <v>42.913646737695458</v>
      </c>
      <c r="AG88" s="2">
        <f ca="1"/>
        <v>0.35837965076322398</v>
      </c>
      <c r="AH88" s="2" t="str">
        <f ca="1"/>
        <v>OK</v>
      </c>
    </row>
    <row r="89" spans="2:34" x14ac:dyDescent="0.2">
      <c r="B89" s="2">
        <f ca="1"/>
        <v>0.72979791193317656</v>
      </c>
      <c r="O89" s="2">
        <f ca="1"/>
        <v>-0.73859326228794209</v>
      </c>
      <c r="X89" s="2">
        <f ca="1"/>
        <v>39.367406753371768</v>
      </c>
      <c r="AG89" s="2">
        <f ca="1"/>
        <v>0.80986083180841884</v>
      </c>
      <c r="AH89" s="2" t="str">
        <f ca="1"/>
        <v>Bad</v>
      </c>
    </row>
    <row r="90" spans="2:34" x14ac:dyDescent="0.2">
      <c r="B90" s="2">
        <f ca="1"/>
        <v>0.61164265360366477</v>
      </c>
      <c r="O90" s="2">
        <f ca="1"/>
        <v>-1.342523490975448</v>
      </c>
      <c r="X90" s="2">
        <f ca="1"/>
        <v>63.063900064932966</v>
      </c>
      <c r="AG90" s="2">
        <f ca="1"/>
        <v>0.75881557337805483</v>
      </c>
      <c r="AH90" s="2" t="str">
        <f ca="1"/>
        <v>Bad</v>
      </c>
    </row>
    <row r="91" spans="2:34" x14ac:dyDescent="0.2">
      <c r="B91" s="2">
        <f ca="1"/>
        <v>0.61031525577737411</v>
      </c>
      <c r="O91" s="2">
        <f ca="1"/>
        <v>-1.7731745753641432</v>
      </c>
      <c r="X91" s="2">
        <f ca="1"/>
        <v>46.797477073236209</v>
      </c>
      <c r="AG91" s="2">
        <f ca="1"/>
        <v>0.1917154832726331</v>
      </c>
      <c r="AH91" s="2" t="str">
        <f ca="1"/>
        <v>OK</v>
      </c>
    </row>
    <row r="92" spans="2:34" x14ac:dyDescent="0.2">
      <c r="B92" s="2">
        <f ca="1"/>
        <v>1.5307338681706195E-2</v>
      </c>
      <c r="O92" s="2">
        <f ca="1"/>
        <v>1.0226159634204981</v>
      </c>
      <c r="X92" s="2">
        <f ca="1"/>
        <v>72.600050557557324</v>
      </c>
      <c r="AG92" s="2">
        <f ca="1"/>
        <v>0.69233529633325119</v>
      </c>
      <c r="AH92" s="2" t="str">
        <f ca="1"/>
        <v>Bad</v>
      </c>
    </row>
    <row r="93" spans="2:34" x14ac:dyDescent="0.2">
      <c r="B93" s="2">
        <f ca="1"/>
        <v>8.0359316135291348E-2</v>
      </c>
      <c r="O93" s="2">
        <f ca="1"/>
        <v>-3.4105138937744038E-4</v>
      </c>
      <c r="X93" s="2">
        <f ca="1"/>
        <v>75.822703829706427</v>
      </c>
      <c r="AG93" s="2">
        <f ca="1"/>
        <v>0.95228253581263833</v>
      </c>
      <c r="AH93" s="2" t="str">
        <f ca="1"/>
        <v>Bad</v>
      </c>
    </row>
    <row r="94" spans="2:34" x14ac:dyDescent="0.2">
      <c r="B94" s="2">
        <f ca="1"/>
        <v>0.5215273377416616</v>
      </c>
      <c r="O94" s="2">
        <f ca="1"/>
        <v>-0.87144955283166681</v>
      </c>
      <c r="X94" s="2">
        <f ca="1"/>
        <v>29.384385699369687</v>
      </c>
      <c r="AG94" s="2">
        <f ca="1"/>
        <v>0.22706857923100499</v>
      </c>
      <c r="AH94" s="2" t="str">
        <f ca="1"/>
        <v>OK</v>
      </c>
    </row>
    <row r="95" spans="2:34" x14ac:dyDescent="0.2">
      <c r="B95" s="2">
        <f ca="1"/>
        <v>0.67471809091926627</v>
      </c>
      <c r="O95" s="2">
        <f ca="1"/>
        <v>1.0369306019258318</v>
      </c>
      <c r="X95" s="2">
        <f ca="1"/>
        <v>42.062674076549492</v>
      </c>
      <c r="AG95" s="2">
        <f ca="1"/>
        <v>0.96567715602129156</v>
      </c>
      <c r="AH95" s="2" t="str">
        <f ca="1"/>
        <v>Bad</v>
      </c>
    </row>
    <row r="96" spans="2:34" x14ac:dyDescent="0.2">
      <c r="B96" s="2">
        <f ca="1"/>
        <v>0.41404623293097331</v>
      </c>
      <c r="O96" s="2">
        <f ca="1"/>
        <v>1.4501309273097465</v>
      </c>
      <c r="X96" s="2">
        <f ca="1"/>
        <v>70.669814547231255</v>
      </c>
      <c r="AG96" s="2">
        <f ca="1"/>
        <v>0.18233860376327882</v>
      </c>
      <c r="AH96" s="2" t="str">
        <f ca="1"/>
        <v>OK</v>
      </c>
    </row>
    <row r="97" spans="2:34" x14ac:dyDescent="0.2">
      <c r="B97" s="2">
        <f ca="1"/>
        <v>0.1450361796273818</v>
      </c>
      <c r="O97" s="2">
        <f ca="1"/>
        <v>0.10375033415674907</v>
      </c>
      <c r="X97" s="2">
        <f ca="1"/>
        <v>32.385805010114865</v>
      </c>
      <c r="AG97" s="2">
        <f ca="1"/>
        <v>0.46576306469395323</v>
      </c>
      <c r="AH97" s="2" t="str">
        <f ca="1"/>
        <v>Bad</v>
      </c>
    </row>
    <row r="98" spans="2:34" x14ac:dyDescent="0.2">
      <c r="B98" s="2">
        <f ca="1"/>
        <v>0.84090642348018929</v>
      </c>
      <c r="O98" s="2">
        <f ca="1"/>
        <v>-0.55933487376868352</v>
      </c>
      <c r="X98" s="2">
        <f ca="1"/>
        <v>88.325612948921105</v>
      </c>
      <c r="AG98" s="2">
        <f ca="1"/>
        <v>2.3400705830523227E-2</v>
      </c>
      <c r="AH98" s="2" t="str">
        <f ca="1"/>
        <v>Good</v>
      </c>
    </row>
    <row r="99" spans="2:34" x14ac:dyDescent="0.2">
      <c r="B99" s="2">
        <f ca="1"/>
        <v>0.54003084876125484</v>
      </c>
      <c r="O99" s="2">
        <f ca="1"/>
        <v>1.08487709845581</v>
      </c>
      <c r="X99" s="2">
        <f ca="1"/>
        <v>43.381171843209074</v>
      </c>
      <c r="AG99" s="2">
        <f ca="1"/>
        <v>0.434386204478449</v>
      </c>
      <c r="AH99" s="2" t="str">
        <f ca="1"/>
        <v>Bad</v>
      </c>
    </row>
    <row r="100" spans="2:34" x14ac:dyDescent="0.2">
      <c r="B100" s="2">
        <f ca="1"/>
        <v>0.57788193713129976</v>
      </c>
      <c r="O100" s="2">
        <f ca="1"/>
        <v>-0.81703187757318263</v>
      </c>
      <c r="X100" s="2">
        <f ca="1"/>
        <v>60.457780523873808</v>
      </c>
      <c r="AG100" s="2">
        <f ca="1"/>
        <v>0.78540067802837576</v>
      </c>
      <c r="AH100" s="2" t="str">
        <f ca="1"/>
        <v>Bad</v>
      </c>
    </row>
    <row r="101" spans="2:34" x14ac:dyDescent="0.2">
      <c r="B101" s="2">
        <f ca="1"/>
        <v>0.9978912041271577</v>
      </c>
      <c r="O101" s="2">
        <f ca="1"/>
        <v>0.30838422107508168</v>
      </c>
      <c r="X101" s="2">
        <f ca="1"/>
        <v>52.412976803441033</v>
      </c>
      <c r="AG101" s="2">
        <f ca="1"/>
        <v>0.21134924446578074</v>
      </c>
      <c r="AH101" s="2" t="str">
        <f ca="1"/>
        <v>OK</v>
      </c>
    </row>
    <row r="102" spans="2:34" x14ac:dyDescent="0.2">
      <c r="B102" s="2">
        <f ca="1"/>
        <v>0.17031346739162578</v>
      </c>
      <c r="O102" s="2">
        <f ca="1"/>
        <v>-2.7576427942722397</v>
      </c>
      <c r="X102" s="2">
        <f ca="1"/>
        <v>27.233266076875932</v>
      </c>
      <c r="AG102" s="2">
        <f ca="1"/>
        <v>7.1521328438366005E-2</v>
      </c>
      <c r="AH102" s="2" t="str">
        <f ca="1"/>
        <v>OK</v>
      </c>
    </row>
    <row r="103" spans="2:34" x14ac:dyDescent="0.2">
      <c r="B103" s="2">
        <f ca="1"/>
        <v>0.60435601056490884</v>
      </c>
      <c r="O103" s="2">
        <f ca="1"/>
        <v>-0.75489691870267339</v>
      </c>
      <c r="X103" s="2">
        <f ca="1"/>
        <v>55.181157117743645</v>
      </c>
      <c r="AG103" s="2">
        <f ca="1"/>
        <v>0.38736620656020793</v>
      </c>
      <c r="AH103" s="2" t="str">
        <f ca="1"/>
        <v>OK</v>
      </c>
    </row>
    <row r="104" spans="2:34" x14ac:dyDescent="0.2">
      <c r="B104" s="2">
        <f ca="1"/>
        <v>0.96650330251006533</v>
      </c>
      <c r="O104" s="2">
        <f ca="1"/>
        <v>0.93454272476528932</v>
      </c>
      <c r="X104" s="2">
        <f ca="1"/>
        <v>34.308689694681419</v>
      </c>
      <c r="AG104" s="2">
        <f ca="1"/>
        <v>0.35927366815779482</v>
      </c>
      <c r="AH104" s="2" t="str">
        <f ca="1"/>
        <v>OK</v>
      </c>
    </row>
    <row r="105" spans="2:34" x14ac:dyDescent="0.2">
      <c r="B105" s="2">
        <f ca="1"/>
        <v>0.2769114932587653</v>
      </c>
      <c r="O105" s="2">
        <f ca="1"/>
        <v>-0.74151821973235399</v>
      </c>
      <c r="X105" s="2">
        <f ca="1"/>
        <v>70.245137358882261</v>
      </c>
      <c r="AG105" s="2">
        <f ca="1"/>
        <v>0.54354658013292045</v>
      </c>
      <c r="AH105" s="2" t="str">
        <f ca="1"/>
        <v>Bad</v>
      </c>
    </row>
    <row r="106" spans="2:34" x14ac:dyDescent="0.2">
      <c r="B106" s="2">
        <f ca="1"/>
        <v>0.51149193558912054</v>
      </c>
      <c r="O106" s="2">
        <f ca="1"/>
        <v>-0.28245463231642043</v>
      </c>
      <c r="X106" s="2">
        <f ca="1"/>
        <v>35.011656322833943</v>
      </c>
      <c r="AG106" s="2">
        <f ca="1"/>
        <v>0.55313918312162214</v>
      </c>
      <c r="AH106" s="2" t="str">
        <f ca="1"/>
        <v>Bad</v>
      </c>
    </row>
    <row r="107" spans="2:34" x14ac:dyDescent="0.2">
      <c r="B107" s="2">
        <f ca="1"/>
        <v>0.76179798226287243</v>
      </c>
      <c r="O107" s="2">
        <f ca="1"/>
        <v>0.71388625661053551</v>
      </c>
      <c r="X107" s="2">
        <f ca="1"/>
        <v>39.865153451118758</v>
      </c>
      <c r="AG107" s="2">
        <f ca="1"/>
        <v>0.66580453449948651</v>
      </c>
      <c r="AH107" s="2" t="str">
        <f ca="1"/>
        <v>Bad</v>
      </c>
    </row>
    <row r="108" spans="2:34" x14ac:dyDescent="0.2">
      <c r="B108" s="2">
        <f ca="1"/>
        <v>0.45294611004804364</v>
      </c>
      <c r="O108" s="2">
        <f ca="1"/>
        <v>1.240838893789276</v>
      </c>
      <c r="X108" s="2">
        <f ca="1"/>
        <v>43.360631644208439</v>
      </c>
      <c r="AG108" s="2">
        <f ca="1"/>
        <v>0.32413011411670367</v>
      </c>
      <c r="AH108" s="2" t="str">
        <f ca="1"/>
        <v>OK</v>
      </c>
    </row>
    <row r="109" spans="2:34" x14ac:dyDescent="0.2">
      <c r="B109" s="2">
        <f ca="1"/>
        <v>0.95311668410675621</v>
      </c>
      <c r="O109" s="2">
        <f ca="1"/>
        <v>0.53618608188423489</v>
      </c>
      <c r="X109" s="2">
        <f ca="1"/>
        <v>37.172324154831735</v>
      </c>
      <c r="AG109" s="2">
        <f ca="1"/>
        <v>0.36541422908843169</v>
      </c>
      <c r="AH109" s="2" t="str">
        <f ca="1"/>
        <v>OK</v>
      </c>
    </row>
    <row r="110" spans="2:34" x14ac:dyDescent="0.2">
      <c r="B110" s="2">
        <f ca="1"/>
        <v>0.13232042972983282</v>
      </c>
      <c r="O110" s="2">
        <f ca="1"/>
        <v>-1.9485673174929226E-2</v>
      </c>
      <c r="X110" s="2">
        <f ca="1"/>
        <v>43.48857662324221</v>
      </c>
      <c r="AG110" s="2">
        <f ca="1"/>
        <v>0.60403678830078822</v>
      </c>
      <c r="AH110" s="2" t="str">
        <f ca="1"/>
        <v>Bad</v>
      </c>
    </row>
    <row r="111" spans="2:34" x14ac:dyDescent="0.2">
      <c r="B111" s="2">
        <f ca="1"/>
        <v>0.20272016568464912</v>
      </c>
      <c r="O111" s="2">
        <f ca="1"/>
        <v>-1.1328804721722894</v>
      </c>
      <c r="X111" s="2">
        <f ca="1"/>
        <v>87.474276855858264</v>
      </c>
      <c r="AG111" s="2">
        <f ca="1"/>
        <v>0.10934261471025741</v>
      </c>
      <c r="AH111" s="2" t="str">
        <f ca="1"/>
        <v>OK</v>
      </c>
    </row>
    <row r="112" spans="2:34" x14ac:dyDescent="0.2">
      <c r="B112" s="2">
        <f ca="1"/>
        <v>0.19209626094834986</v>
      </c>
      <c r="O112" s="2">
        <f ca="1"/>
        <v>2.8340803494129814</v>
      </c>
      <c r="X112" s="2">
        <f ca="1"/>
        <v>47.640091028188216</v>
      </c>
      <c r="AG112" s="2">
        <f ca="1"/>
        <v>0.24062824920163206</v>
      </c>
      <c r="AH112" s="2" t="str">
        <f ca="1"/>
        <v>OK</v>
      </c>
    </row>
    <row r="113" spans="2:34" x14ac:dyDescent="0.2">
      <c r="B113" s="2">
        <f ca="1"/>
        <v>0.29426058535964161</v>
      </c>
      <c r="O113" s="2">
        <f ca="1"/>
        <v>-1.0605064833260907</v>
      </c>
      <c r="X113" s="2">
        <f ca="1"/>
        <v>66.58580397614233</v>
      </c>
      <c r="AG113" s="2">
        <f ca="1"/>
        <v>0.56962572757997632</v>
      </c>
      <c r="AH113" s="2" t="str">
        <f ca="1"/>
        <v>Bad</v>
      </c>
    </row>
    <row r="114" spans="2:34" x14ac:dyDescent="0.2">
      <c r="B114" s="2">
        <f ca="1"/>
        <v>0.54477031772070705</v>
      </c>
      <c r="O114" s="2">
        <f ca="1"/>
        <v>1.0776204712568114</v>
      </c>
      <c r="X114" s="2">
        <f ca="1"/>
        <v>33.14002219557289</v>
      </c>
      <c r="AG114" s="2">
        <f ca="1"/>
        <v>0.19594535751657549</v>
      </c>
      <c r="AH114" s="2" t="str">
        <f ca="1"/>
        <v>OK</v>
      </c>
    </row>
    <row r="115" spans="2:34" x14ac:dyDescent="0.2">
      <c r="B115" s="2">
        <f ca="1"/>
        <v>0.66913933569158979</v>
      </c>
      <c r="O115" s="2">
        <f ca="1"/>
        <v>2.5248678649335496</v>
      </c>
      <c r="X115" s="2">
        <f ca="1"/>
        <v>58.030231770001933</v>
      </c>
      <c r="AG115" s="2">
        <f ca="1"/>
        <v>0.33587828761660998</v>
      </c>
      <c r="AH115" s="2" t="str">
        <f ca="1"/>
        <v>OK</v>
      </c>
    </row>
    <row r="116" spans="2:34" x14ac:dyDescent="0.2">
      <c r="B116" s="2">
        <f ca="1"/>
        <v>3.5863741330862453E-2</v>
      </c>
      <c r="O116" s="2">
        <f ca="1"/>
        <v>1.2140966940734987</v>
      </c>
      <c r="X116" s="2">
        <f ca="1"/>
        <v>107.853915413142</v>
      </c>
      <c r="AG116" s="2">
        <f ca="1"/>
        <v>0.77194973673547373</v>
      </c>
      <c r="AH116" s="2" t="str">
        <f ca="1"/>
        <v>Bad</v>
      </c>
    </row>
    <row r="117" spans="2:34" x14ac:dyDescent="0.2">
      <c r="B117" s="2">
        <f ca="1"/>
        <v>0.15313745827200265</v>
      </c>
      <c r="O117" s="2">
        <f ca="1"/>
        <v>-1.1915674133442276</v>
      </c>
      <c r="X117" s="2">
        <f ca="1"/>
        <v>43.902301900720246</v>
      </c>
      <c r="AG117" s="2">
        <f ca="1"/>
        <v>0.28571091702553297</v>
      </c>
      <c r="AH117" s="2" t="str">
        <f ca="1"/>
        <v>OK</v>
      </c>
    </row>
    <row r="118" spans="2:34" x14ac:dyDescent="0.2">
      <c r="B118" s="2">
        <f ca="1"/>
        <v>0.43155950053602576</v>
      </c>
      <c r="O118" s="2">
        <f ca="1"/>
        <v>0.18578326487412417</v>
      </c>
      <c r="X118" s="2">
        <f ca="1"/>
        <v>47.839752024464374</v>
      </c>
      <c r="AG118" s="2">
        <f ca="1"/>
        <v>9.1419462235054594E-2</v>
      </c>
      <c r="AH118" s="2" t="str">
        <f ca="1"/>
        <v>OK</v>
      </c>
    </row>
    <row r="119" spans="2:34" x14ac:dyDescent="0.2">
      <c r="B119" s="2">
        <f ca="1"/>
        <v>0.48941848542199096</v>
      </c>
      <c r="O119" s="2">
        <f ca="1"/>
        <v>-2.0554850669383891</v>
      </c>
      <c r="X119" s="2">
        <f ca="1"/>
        <v>72.39977203284441</v>
      </c>
      <c r="AG119" s="2">
        <f ca="1"/>
        <v>0.54325347636633303</v>
      </c>
      <c r="AH119" s="2" t="str">
        <f ca="1"/>
        <v>Bad</v>
      </c>
    </row>
    <row r="120" spans="2:34" x14ac:dyDescent="0.2">
      <c r="B120" s="2">
        <f ca="1"/>
        <v>0.54487623170779043</v>
      </c>
      <c r="O120" s="2">
        <f ca="1"/>
        <v>-1.0416188509730111</v>
      </c>
      <c r="X120" s="2">
        <f ca="1"/>
        <v>47.9129444339139</v>
      </c>
      <c r="AG120" s="2">
        <f ca="1"/>
        <v>7.876750786675335E-2</v>
      </c>
      <c r="AH120" s="2" t="str">
        <f ca="1"/>
        <v>OK</v>
      </c>
    </row>
    <row r="121" spans="2:34" x14ac:dyDescent="0.2">
      <c r="B121" s="2">
        <f ca="1"/>
        <v>0.8508058128570215</v>
      </c>
      <c r="O121" s="2">
        <f ca="1"/>
        <v>0.32781619504171461</v>
      </c>
      <c r="X121" s="2">
        <f ca="1"/>
        <v>75.532392529842724</v>
      </c>
      <c r="AG121" s="2">
        <f ca="1"/>
        <v>0.17690895340306612</v>
      </c>
      <c r="AH121" s="2" t="str">
        <f ca="1"/>
        <v>OK</v>
      </c>
    </row>
    <row r="122" spans="2:34" x14ac:dyDescent="0.2">
      <c r="B122" s="2">
        <f ca="1"/>
        <v>0.61715219802527344</v>
      </c>
      <c r="O122" s="2">
        <f ca="1"/>
        <v>-3.7938175753819442E-2</v>
      </c>
      <c r="X122" s="2">
        <f ca="1"/>
        <v>59.694740160425411</v>
      </c>
      <c r="AG122" s="2">
        <f ca="1"/>
        <v>0.94373186632838713</v>
      </c>
      <c r="AH122" s="2" t="str">
        <f ca="1"/>
        <v>Bad</v>
      </c>
    </row>
    <row r="123" spans="2:34" x14ac:dyDescent="0.2">
      <c r="B123" s="2">
        <f ca="1"/>
        <v>5.6829588355630234E-2</v>
      </c>
      <c r="O123" s="2">
        <f ca="1"/>
        <v>1.1160888583397739</v>
      </c>
      <c r="X123" s="2">
        <f ca="1"/>
        <v>30.886279994100796</v>
      </c>
      <c r="AG123" s="2">
        <f ca="1"/>
        <v>8.9365103386554345E-2</v>
      </c>
      <c r="AH123" s="2" t="str">
        <f ca="1"/>
        <v>OK</v>
      </c>
    </row>
    <row r="124" spans="2:34" x14ac:dyDescent="0.2">
      <c r="B124" s="2">
        <f ca="1"/>
        <v>0.95459308116886499</v>
      </c>
      <c r="O124" s="2">
        <f ca="1"/>
        <v>0.78765187198351772</v>
      </c>
      <c r="X124" s="2">
        <f ca="1"/>
        <v>56.877608712052478</v>
      </c>
      <c r="AG124" s="2">
        <f ca="1"/>
        <v>0.25240904783921514</v>
      </c>
      <c r="AH124" s="2" t="str">
        <f ca="1"/>
        <v>OK</v>
      </c>
    </row>
    <row r="125" spans="2:34" x14ac:dyDescent="0.2">
      <c r="B125" s="2">
        <f ca="1"/>
        <v>0.64250932733118127</v>
      </c>
      <c r="O125" s="2">
        <f ca="1"/>
        <v>-0.41949995496096715</v>
      </c>
      <c r="X125" s="2">
        <f ca="1"/>
        <v>44.01441316674962</v>
      </c>
      <c r="AG125" s="2">
        <f ca="1"/>
        <v>0.93820866044810236</v>
      </c>
      <c r="AH125" s="2" t="str">
        <f ca="1"/>
        <v>Bad</v>
      </c>
    </row>
    <row r="126" spans="2:34" x14ac:dyDescent="0.2">
      <c r="B126" s="2">
        <f ca="1"/>
        <v>0.18663177567950529</v>
      </c>
      <c r="O126" s="2">
        <f ca="1"/>
        <v>2.207620886948205</v>
      </c>
      <c r="X126" s="2">
        <f ca="1"/>
        <v>44.744125446540146</v>
      </c>
      <c r="AG126" s="2">
        <f ca="1"/>
        <v>0.58783089606821259</v>
      </c>
      <c r="AH126" s="2" t="str">
        <f ca="1"/>
        <v>Bad</v>
      </c>
    </row>
    <row r="127" spans="2:34" x14ac:dyDescent="0.2">
      <c r="B127" s="2">
        <f ca="1"/>
        <v>0.60874380840786402</v>
      </c>
      <c r="O127" s="2">
        <f ca="1"/>
        <v>-0.16328170772044567</v>
      </c>
      <c r="X127" s="2">
        <f ca="1"/>
        <v>68.140198295957731</v>
      </c>
      <c r="AG127" s="2">
        <f ca="1"/>
        <v>0.55164659383605019</v>
      </c>
      <c r="AH127" s="2" t="str">
        <f ca="1"/>
        <v>Bad</v>
      </c>
    </row>
    <row r="128" spans="2:34" x14ac:dyDescent="0.2">
      <c r="B128" s="2">
        <f ca="1"/>
        <v>0.84756044184915069</v>
      </c>
      <c r="O128" s="2">
        <f ca="1"/>
        <v>0.11542786546309466</v>
      </c>
      <c r="X128" s="2">
        <f ca="1"/>
        <v>88.851943118324613</v>
      </c>
      <c r="AG128" s="2">
        <f ca="1"/>
        <v>0.8734817227028957</v>
      </c>
      <c r="AH128" s="2" t="str">
        <f ca="1"/>
        <v>Bad</v>
      </c>
    </row>
    <row r="129" spans="2:34" x14ac:dyDescent="0.2">
      <c r="B129" s="2">
        <f ca="1"/>
        <v>0.96988393010010476</v>
      </c>
      <c r="O129" s="2">
        <f ca="1"/>
        <v>0.70808534010377278</v>
      </c>
      <c r="X129" s="2">
        <f ca="1"/>
        <v>70.923976673108911</v>
      </c>
      <c r="AG129" s="2">
        <f ca="1"/>
        <v>0.75119072705031087</v>
      </c>
      <c r="AH129" s="2" t="str">
        <f ca="1"/>
        <v>Bad</v>
      </c>
    </row>
    <row r="130" spans="2:34" x14ac:dyDescent="0.2">
      <c r="B130" s="2">
        <f ca="1"/>
        <v>0.79540439511582695</v>
      </c>
      <c r="O130" s="2">
        <f ca="1"/>
        <v>-1.6858970372023858</v>
      </c>
      <c r="X130" s="2">
        <f ca="1"/>
        <v>42.795165594693032</v>
      </c>
      <c r="AG130" s="2">
        <f ca="1"/>
        <v>0.79336450496443089</v>
      </c>
      <c r="AH130" s="2" t="str">
        <f ca="1"/>
        <v>Bad</v>
      </c>
    </row>
    <row r="131" spans="2:34" x14ac:dyDescent="0.2">
      <c r="B131" s="2">
        <f ca="1"/>
        <v>0.19161944716322266</v>
      </c>
      <c r="O131" s="2">
        <f ca="1"/>
        <v>0.43336386082274891</v>
      </c>
      <c r="X131" s="2">
        <f ca="1"/>
        <v>61.739715834323064</v>
      </c>
      <c r="AG131" s="2">
        <f ca="1"/>
        <v>0.84349168494201354</v>
      </c>
      <c r="AH131" s="2" t="str">
        <f ca="1"/>
        <v>Bad</v>
      </c>
    </row>
    <row r="132" spans="2:34" x14ac:dyDescent="0.2">
      <c r="B132" s="2">
        <f ca="1"/>
        <v>0.45549551643260622</v>
      </c>
      <c r="O132" s="2">
        <f ca="1"/>
        <v>-1.9138941893598977</v>
      </c>
      <c r="X132" s="2">
        <f ca="1"/>
        <v>43.756231870916622</v>
      </c>
      <c r="AG132" s="2">
        <f ca="1"/>
        <v>0.73244645265176866</v>
      </c>
      <c r="AH132" s="2" t="str">
        <f ca="1"/>
        <v>Bad</v>
      </c>
    </row>
    <row r="133" spans="2:34" x14ac:dyDescent="0.2">
      <c r="B133" s="2">
        <f ca="1"/>
        <v>0.78722775742088191</v>
      </c>
      <c r="O133" s="2">
        <f ca="1"/>
        <v>-1.4701213531674244</v>
      </c>
      <c r="X133" s="2">
        <f ca="1"/>
        <v>81.326373264237532</v>
      </c>
      <c r="AG133" s="2">
        <f ca="1"/>
        <v>9.3908134021599476E-2</v>
      </c>
      <c r="AH133" s="2" t="str">
        <f ca="1"/>
        <v>OK</v>
      </c>
    </row>
    <row r="134" spans="2:34" x14ac:dyDescent="0.2">
      <c r="B134" s="2">
        <f ca="1"/>
        <v>0.80849504211976453</v>
      </c>
      <c r="O134" s="2">
        <f ca="1"/>
        <v>0.50357372187138216</v>
      </c>
      <c r="X134" s="2">
        <f ca="1"/>
        <v>40.950412701264625</v>
      </c>
      <c r="AG134" s="2">
        <f ca="1"/>
        <v>0.1447973048361817</v>
      </c>
      <c r="AH134" s="2" t="str">
        <f ca="1"/>
        <v>OK</v>
      </c>
    </row>
    <row r="135" spans="2:34" x14ac:dyDescent="0.2">
      <c r="B135" s="2">
        <f ca="1"/>
        <v>5.0028181237663949E-2</v>
      </c>
      <c r="O135" s="2">
        <f ca="1"/>
        <v>-0.55436463749741727</v>
      </c>
      <c r="X135" s="2">
        <f ca="1"/>
        <v>38.646683739659579</v>
      </c>
      <c r="AG135" s="2">
        <f ca="1"/>
        <v>5.3389728939343906E-2</v>
      </c>
      <c r="AH135" s="2" t="str">
        <f ca="1"/>
        <v>OK</v>
      </c>
    </row>
    <row r="136" spans="2:34" x14ac:dyDescent="0.2">
      <c r="B136" s="2">
        <f ca="1"/>
        <v>0.32984236763309416</v>
      </c>
      <c r="O136" s="2">
        <f ca="1"/>
        <v>-1.6622774524621908</v>
      </c>
      <c r="X136" s="2">
        <f ca="1"/>
        <v>39.938033225827631</v>
      </c>
      <c r="AG136" s="2">
        <f ca="1"/>
        <v>0.17106018744081752</v>
      </c>
      <c r="AH136" s="2" t="str">
        <f ca="1"/>
        <v>OK</v>
      </c>
    </row>
    <row r="137" spans="2:34" x14ac:dyDescent="0.2">
      <c r="B137" s="2">
        <f ca="1"/>
        <v>0.74006409062521694</v>
      </c>
      <c r="O137" s="2">
        <f ca="1"/>
        <v>-3.9040475308005231E-2</v>
      </c>
      <c r="X137" s="2">
        <f ca="1"/>
        <v>49.11503842618729</v>
      </c>
      <c r="AG137" s="2">
        <f ca="1"/>
        <v>0.52165634580867248</v>
      </c>
      <c r="AH137" s="2" t="str">
        <f ca="1"/>
        <v>Bad</v>
      </c>
    </row>
    <row r="138" spans="2:34" x14ac:dyDescent="0.2">
      <c r="B138" s="2">
        <f ca="1"/>
        <v>0.44261764884584043</v>
      </c>
      <c r="O138" s="2">
        <f ca="1"/>
        <v>-1.0224323133328603</v>
      </c>
      <c r="X138" s="2">
        <f ca="1"/>
        <v>38.302698827295949</v>
      </c>
      <c r="AG138" s="2">
        <f ca="1"/>
        <v>0.55469348643638661</v>
      </c>
      <c r="AH138" s="2" t="str">
        <f ca="1"/>
        <v>Bad</v>
      </c>
    </row>
    <row r="139" spans="2:34" x14ac:dyDescent="0.2">
      <c r="B139" s="2">
        <f ca="1"/>
        <v>6.5549902263288828E-3</v>
      </c>
      <c r="O139" s="2">
        <f ca="1"/>
        <v>-0.28794380250904794</v>
      </c>
      <c r="X139" s="2">
        <f ca="1"/>
        <v>42.066016863164094</v>
      </c>
      <c r="AG139" s="2">
        <f ca="1"/>
        <v>6.0645364746125807E-4</v>
      </c>
      <c r="AH139" s="2" t="str">
        <f ca="1"/>
        <v>Good</v>
      </c>
    </row>
    <row r="140" spans="2:34" x14ac:dyDescent="0.2">
      <c r="B140" s="2">
        <f ca="1"/>
        <v>0.32304396985114137</v>
      </c>
      <c r="O140" s="2">
        <f ca="1"/>
        <v>-0.52617811921984314</v>
      </c>
      <c r="X140" s="2">
        <f ca="1"/>
        <v>55.943557256514076</v>
      </c>
      <c r="AG140" s="2">
        <f ca="1"/>
        <v>0.19506445952300955</v>
      </c>
      <c r="AH140" s="2" t="str">
        <f ca="1"/>
        <v>OK</v>
      </c>
    </row>
    <row r="141" spans="2:34" x14ac:dyDescent="0.2">
      <c r="B141" s="2">
        <f ca="1"/>
        <v>0.25936820081891421</v>
      </c>
      <c r="O141" s="2">
        <f ca="1"/>
        <v>-1.8339079465173305</v>
      </c>
      <c r="X141" s="2">
        <f ca="1"/>
        <v>43.387175824307675</v>
      </c>
      <c r="AG141" s="2">
        <f ca="1"/>
        <v>0.18679287862414196</v>
      </c>
      <c r="AH141" s="2" t="str">
        <f ca="1"/>
        <v>OK</v>
      </c>
    </row>
    <row r="142" spans="2:34" x14ac:dyDescent="0.2">
      <c r="B142" s="2">
        <f ca="1"/>
        <v>0.55417349199477295</v>
      </c>
      <c r="O142" s="2">
        <f ca="1"/>
        <v>-0.34485109593656493</v>
      </c>
      <c r="X142" s="2">
        <f ca="1"/>
        <v>18.204516354537013</v>
      </c>
      <c r="AG142" s="2">
        <f ca="1"/>
        <v>0.9984104461778418</v>
      </c>
      <c r="AH142" s="2" t="str">
        <f ca="1"/>
        <v>Bad</v>
      </c>
    </row>
    <row r="143" spans="2:34" x14ac:dyDescent="0.2">
      <c r="B143" s="2">
        <f ca="1"/>
        <v>0.44905030623188047</v>
      </c>
      <c r="O143" s="2">
        <f ca="1"/>
        <v>-1.5592250660148612</v>
      </c>
      <c r="X143" s="2">
        <f ca="1"/>
        <v>19.90983094938678</v>
      </c>
      <c r="AG143" s="2">
        <f ca="1"/>
        <v>9.6671333976952489E-2</v>
      </c>
      <c r="AH143" s="2" t="str">
        <f ca="1"/>
        <v>OK</v>
      </c>
    </row>
    <row r="144" spans="2:34" x14ac:dyDescent="0.2">
      <c r="B144" s="2">
        <f ca="1"/>
        <v>0.85100493849920711</v>
      </c>
      <c r="O144" s="2">
        <f ca="1"/>
        <v>-1.5199495189703813</v>
      </c>
      <c r="X144" s="2">
        <f ca="1"/>
        <v>69.739285978045501</v>
      </c>
      <c r="AG144" s="2">
        <f ca="1"/>
        <v>0.98705309351613901</v>
      </c>
      <c r="AH144" s="2" t="str">
        <f ca="1"/>
        <v>Bad</v>
      </c>
    </row>
    <row r="145" spans="2:34" x14ac:dyDescent="0.2">
      <c r="B145" s="2">
        <f ca="1"/>
        <v>0.47626916763755101</v>
      </c>
      <c r="O145" s="2">
        <f ca="1"/>
        <v>-0.65560392081512009</v>
      </c>
      <c r="X145" s="2">
        <f ca="1"/>
        <v>44.98898785862081</v>
      </c>
      <c r="AG145" s="2">
        <f ca="1"/>
        <v>5.5516490772258953E-2</v>
      </c>
      <c r="AH145" s="2" t="str">
        <f ca="1"/>
        <v>OK</v>
      </c>
    </row>
    <row r="146" spans="2:34" x14ac:dyDescent="0.2">
      <c r="B146" s="2">
        <f ca="1"/>
        <v>0.92209100214090678</v>
      </c>
      <c r="O146" s="2">
        <f ca="1"/>
        <v>-1.3670174729964091</v>
      </c>
      <c r="X146" s="2">
        <f ca="1"/>
        <v>38.983548698561791</v>
      </c>
      <c r="AG146" s="2">
        <f ca="1"/>
        <v>0.88354832866238442</v>
      </c>
      <c r="AH146" s="2" t="str">
        <f ca="1"/>
        <v>Bad</v>
      </c>
    </row>
    <row r="147" spans="2:34" x14ac:dyDescent="0.2">
      <c r="B147" s="2">
        <f ca="1"/>
        <v>0.59419147944599593</v>
      </c>
      <c r="O147" s="2">
        <f ca="1"/>
        <v>-1.9387109530952604</v>
      </c>
      <c r="X147" s="2">
        <f ca="1"/>
        <v>41.587407425642972</v>
      </c>
      <c r="AG147" s="2">
        <f ca="1"/>
        <v>0.2386678244989926</v>
      </c>
      <c r="AH147" s="2" t="str">
        <f ca="1"/>
        <v>OK</v>
      </c>
    </row>
    <row r="148" spans="2:34" x14ac:dyDescent="0.2">
      <c r="B148" s="2">
        <f ca="1"/>
        <v>5.1142658163508603E-2</v>
      </c>
      <c r="O148" s="2">
        <f ca="1"/>
        <v>-0.21621675307995916</v>
      </c>
      <c r="X148" s="2">
        <f ca="1"/>
        <v>62.196670169425602</v>
      </c>
      <c r="AG148" s="2">
        <f ca="1"/>
        <v>0.9495742270446752</v>
      </c>
      <c r="AH148" s="2" t="str">
        <f ca="1"/>
        <v>Bad</v>
      </c>
    </row>
    <row r="149" spans="2:34" x14ac:dyDescent="0.2">
      <c r="B149" s="2">
        <f ca="1"/>
        <v>0.42106411839592717</v>
      </c>
      <c r="O149" s="2">
        <f ca="1"/>
        <v>-0.47573416683343783</v>
      </c>
      <c r="X149" s="2">
        <f ca="1"/>
        <v>53.78697556289432</v>
      </c>
      <c r="AG149" s="2">
        <f ca="1"/>
        <v>0.8578597403380761</v>
      </c>
      <c r="AH149" s="2" t="str">
        <f ca="1"/>
        <v>Bad</v>
      </c>
    </row>
    <row r="150" spans="2:34" x14ac:dyDescent="0.2">
      <c r="B150" s="2">
        <f ca="1"/>
        <v>0.17535141392403886</v>
      </c>
      <c r="O150" s="2">
        <f ca="1"/>
        <v>0.7087248520803392</v>
      </c>
      <c r="X150" s="2">
        <f ca="1"/>
        <v>72.55400582917629</v>
      </c>
      <c r="AG150" s="2">
        <f ca="1"/>
        <v>0.66603107069019551</v>
      </c>
      <c r="AH150" s="2" t="str">
        <f ca="1"/>
        <v>Bad</v>
      </c>
    </row>
    <row r="151" spans="2:34" x14ac:dyDescent="0.2">
      <c r="B151" s="2">
        <f ca="1"/>
        <v>0.66695865669070997</v>
      </c>
      <c r="O151" s="2">
        <f ca="1"/>
        <v>0.93394083267564243</v>
      </c>
      <c r="X151" s="2">
        <f ca="1"/>
        <v>44.972068000857504</v>
      </c>
      <c r="AG151" s="2">
        <f ca="1"/>
        <v>0.11239700318143342</v>
      </c>
      <c r="AH151" s="2" t="str">
        <f ca="1"/>
        <v>OK</v>
      </c>
    </row>
    <row r="152" spans="2:34" x14ac:dyDescent="0.2">
      <c r="B152" s="2">
        <f ca="1"/>
        <v>0.17051516899590657</v>
      </c>
      <c r="O152" s="2">
        <f ca="1"/>
        <v>-1.2150264145324319</v>
      </c>
      <c r="X152" s="2">
        <f ca="1"/>
        <v>89.950588067057168</v>
      </c>
      <c r="AG152" s="2">
        <f ca="1"/>
        <v>0.40860334313177304</v>
      </c>
      <c r="AH152" s="2" t="str">
        <f ca="1"/>
        <v>Bad</v>
      </c>
    </row>
    <row r="153" spans="2:34" x14ac:dyDescent="0.2">
      <c r="B153" s="2">
        <f ca="1"/>
        <v>0.23346695392903349</v>
      </c>
      <c r="O153" s="2">
        <f ca="1"/>
        <v>-1.3261995952121717</v>
      </c>
      <c r="X153" s="2">
        <f ca="1"/>
        <v>55.498359052217808</v>
      </c>
      <c r="AG153" s="2">
        <f ca="1"/>
        <v>7.8815699738231437E-2</v>
      </c>
      <c r="AH153" s="2" t="str">
        <f ca="1"/>
        <v>OK</v>
      </c>
    </row>
    <row r="154" spans="2:34" x14ac:dyDescent="0.2">
      <c r="B154" s="2">
        <f ca="1"/>
        <v>0.41591329694126222</v>
      </c>
      <c r="O154" s="2">
        <f ca="1"/>
        <v>-0.14838986633027176</v>
      </c>
      <c r="X154" s="2">
        <f ca="1"/>
        <v>31.329735653963347</v>
      </c>
      <c r="AG154" s="2">
        <f ca="1"/>
        <v>0.13185734268047344</v>
      </c>
      <c r="AH154" s="2" t="str">
        <f ca="1"/>
        <v>OK</v>
      </c>
    </row>
    <row r="155" spans="2:34" x14ac:dyDescent="0.2">
      <c r="B155" s="2">
        <f ca="1"/>
        <v>0.27211624417871905</v>
      </c>
      <c r="O155" s="2">
        <f ca="1"/>
        <v>0.30878235437171564</v>
      </c>
      <c r="X155" s="2">
        <f ca="1"/>
        <v>61.155689041851517</v>
      </c>
      <c r="AG155" s="2">
        <f ca="1"/>
        <v>0.90725633350437507</v>
      </c>
      <c r="AH155" s="2" t="str">
        <f ca="1"/>
        <v>Bad</v>
      </c>
    </row>
    <row r="156" spans="2:34" x14ac:dyDescent="0.2">
      <c r="B156" s="2">
        <f ca="1"/>
        <v>0.46495016048982674</v>
      </c>
      <c r="O156" s="2">
        <f ca="1"/>
        <v>-0.8677580851348593</v>
      </c>
      <c r="X156" s="2">
        <f ca="1"/>
        <v>51.933315004080107</v>
      </c>
      <c r="AG156" s="2">
        <f ca="1"/>
        <v>0.67790440784504424</v>
      </c>
      <c r="AH156" s="2" t="str">
        <f ca="1"/>
        <v>Bad</v>
      </c>
    </row>
    <row r="157" spans="2:34" x14ac:dyDescent="0.2">
      <c r="B157" s="2">
        <f ca="1"/>
        <v>0.93550437913918283</v>
      </c>
      <c r="O157" s="2">
        <f ca="1"/>
        <v>-0.36264523888396483</v>
      </c>
      <c r="X157" s="2">
        <f ca="1"/>
        <v>52.565873406146856</v>
      </c>
      <c r="AG157" s="2">
        <f ca="1"/>
        <v>0.44188976781477307</v>
      </c>
      <c r="AH157" s="2" t="str">
        <f ca="1"/>
        <v>Bad</v>
      </c>
    </row>
    <row r="158" spans="2:34" x14ac:dyDescent="0.2">
      <c r="B158" s="2">
        <f ca="1"/>
        <v>0.81010776558759234</v>
      </c>
      <c r="O158" s="2">
        <f ca="1"/>
        <v>0.13277715275041413</v>
      </c>
      <c r="X158" s="2">
        <f ca="1"/>
        <v>39.072481712084361</v>
      </c>
      <c r="AG158" s="2">
        <f ca="1"/>
        <v>3.352497916904329E-2</v>
      </c>
      <c r="AH158" s="2" t="str">
        <f ca="1"/>
        <v>Good</v>
      </c>
    </row>
    <row r="159" spans="2:34" x14ac:dyDescent="0.2">
      <c r="B159" s="2">
        <f ca="1"/>
        <v>0.11998478481814456</v>
      </c>
      <c r="O159" s="2">
        <f ca="1"/>
        <v>1.4115614603439042</v>
      </c>
      <c r="X159" s="2">
        <f ca="1"/>
        <v>64.123233784692417</v>
      </c>
      <c r="AG159" s="2">
        <f ca="1"/>
        <v>0.96065916816724517</v>
      </c>
      <c r="AH159" s="2" t="str">
        <f ca="1"/>
        <v>Bad</v>
      </c>
    </row>
    <row r="160" spans="2:34" x14ac:dyDescent="0.2">
      <c r="B160" s="2">
        <f ca="1"/>
        <v>0.90216162409455936</v>
      </c>
      <c r="O160" s="2">
        <f ca="1"/>
        <v>0.67089709558851673</v>
      </c>
      <c r="X160" s="2">
        <f ca="1"/>
        <v>48.005742858303037</v>
      </c>
      <c r="AG160" s="2">
        <f ca="1"/>
        <v>0.39600361925720517</v>
      </c>
      <c r="AH160" s="2" t="str">
        <f ca="1"/>
        <v>OK</v>
      </c>
    </row>
    <row r="161" spans="2:34" x14ac:dyDescent="0.2">
      <c r="B161" s="2">
        <f ca="1"/>
        <v>0.18945030741984503</v>
      </c>
      <c r="O161" s="2">
        <f ca="1"/>
        <v>0.15030829449977365</v>
      </c>
      <c r="X161" s="2">
        <f ca="1"/>
        <v>19.927471910101069</v>
      </c>
      <c r="AG161" s="2">
        <f ca="1"/>
        <v>0.83803713502130028</v>
      </c>
      <c r="AH161" s="2" t="str">
        <f ca="1"/>
        <v>Bad</v>
      </c>
    </row>
    <row r="162" spans="2:34" x14ac:dyDescent="0.2">
      <c r="B162" s="2">
        <f ca="1"/>
        <v>0.22760283780629686</v>
      </c>
      <c r="O162" s="2">
        <f ca="1"/>
        <v>0.3576559342886525</v>
      </c>
      <c r="X162" s="2">
        <f ca="1"/>
        <v>52.112962890192108</v>
      </c>
      <c r="AG162" s="2">
        <f ca="1"/>
        <v>0.85468867932925519</v>
      </c>
      <c r="AH162" s="2" t="str">
        <f ca="1"/>
        <v>Bad</v>
      </c>
    </row>
    <row r="163" spans="2:34" x14ac:dyDescent="0.2">
      <c r="B163" s="2">
        <f ca="1"/>
        <v>0.51424943109606192</v>
      </c>
      <c r="O163" s="2">
        <f ca="1"/>
        <v>4.5934398731050152E-2</v>
      </c>
      <c r="X163" s="2">
        <f ca="1"/>
        <v>28.207910822580793</v>
      </c>
      <c r="AG163" s="2">
        <f ca="1"/>
        <v>0.46557521441169913</v>
      </c>
      <c r="AH163" s="2" t="str">
        <f ca="1"/>
        <v>Bad</v>
      </c>
    </row>
    <row r="164" spans="2:34" x14ac:dyDescent="0.2">
      <c r="B164" s="2">
        <f ca="1"/>
        <v>0.9482199447526285</v>
      </c>
      <c r="O164" s="2">
        <f ca="1"/>
        <v>-0.96128068122539978</v>
      </c>
      <c r="X164" s="2">
        <f ca="1"/>
        <v>77.850606313000242</v>
      </c>
      <c r="AG164" s="2">
        <f ca="1"/>
        <v>0.77966981521350776</v>
      </c>
      <c r="AH164" s="2" t="str">
        <f ca="1"/>
        <v>Bad</v>
      </c>
    </row>
    <row r="165" spans="2:34" x14ac:dyDescent="0.2">
      <c r="B165" s="2">
        <f ca="1"/>
        <v>0.53692021709888627</v>
      </c>
      <c r="O165" s="2">
        <f ca="1"/>
        <v>8.2945428384777184E-2</v>
      </c>
      <c r="X165" s="2">
        <f ca="1"/>
        <v>49.607159140654645</v>
      </c>
      <c r="AG165" s="2">
        <f ca="1"/>
        <v>0.80797074666957869</v>
      </c>
      <c r="AH165" s="2" t="str">
        <f ca="1"/>
        <v>Bad</v>
      </c>
    </row>
    <row r="166" spans="2:34" x14ac:dyDescent="0.2">
      <c r="B166" s="2">
        <f ca="1"/>
        <v>0.77220006563634058</v>
      </c>
      <c r="O166" s="2">
        <f ca="1"/>
        <v>-0.81503626122313089</v>
      </c>
      <c r="X166" s="2">
        <f ca="1"/>
        <v>54.878681327497326</v>
      </c>
      <c r="AG166" s="2">
        <f ca="1"/>
        <v>0.27251748401697951</v>
      </c>
      <c r="AH166" s="2" t="str">
        <f ca="1"/>
        <v>OK</v>
      </c>
    </row>
    <row r="167" spans="2:34" x14ac:dyDescent="0.2">
      <c r="B167" s="2">
        <f ca="1"/>
        <v>0.845346106392179</v>
      </c>
      <c r="O167" s="2">
        <f ca="1"/>
        <v>-1.1662930021030493</v>
      </c>
      <c r="X167" s="2">
        <f ca="1"/>
        <v>45.798190172523512</v>
      </c>
      <c r="AG167" s="2">
        <f ca="1"/>
        <v>8.6749095108344054E-2</v>
      </c>
      <c r="AH167" s="2" t="str">
        <f ca="1"/>
        <v>OK</v>
      </c>
    </row>
    <row r="168" spans="2:34" x14ac:dyDescent="0.2">
      <c r="B168" s="2">
        <f ca="1"/>
        <v>0.9212083107157627</v>
      </c>
      <c r="O168" s="2">
        <f ca="1"/>
        <v>0.7725039867447574</v>
      </c>
      <c r="X168" s="2">
        <f ca="1"/>
        <v>55.513990684008888</v>
      </c>
      <c r="AG168" s="2">
        <f ca="1"/>
        <v>0.76497777633700426</v>
      </c>
      <c r="AH168" s="2" t="str">
        <f ca="1"/>
        <v>Bad</v>
      </c>
    </row>
    <row r="169" spans="2:34" x14ac:dyDescent="0.2">
      <c r="B169" s="2">
        <f ca="1"/>
        <v>0.51229214932423517</v>
      </c>
      <c r="O169" s="2">
        <f ca="1"/>
        <v>0.67057046109410923</v>
      </c>
      <c r="X169" s="2">
        <f ca="1"/>
        <v>79.93729767919821</v>
      </c>
      <c r="AG169" s="2">
        <f ca="1"/>
        <v>0.53479901985696476</v>
      </c>
      <c r="AH169" s="2" t="str">
        <f ca="1"/>
        <v>Bad</v>
      </c>
    </row>
    <row r="170" spans="2:34" x14ac:dyDescent="0.2">
      <c r="B170" s="2">
        <f ca="1"/>
        <v>0.91254957561241445</v>
      </c>
      <c r="O170" s="2">
        <f ca="1"/>
        <v>-0.40518833136124494</v>
      </c>
      <c r="X170" s="2">
        <f ca="1"/>
        <v>60.64226696255183</v>
      </c>
      <c r="AG170" s="2">
        <f ca="1"/>
        <v>0.42561942152526955</v>
      </c>
      <c r="AH170" s="2" t="str">
        <f ca="1"/>
        <v>Bad</v>
      </c>
    </row>
    <row r="171" spans="2:34" x14ac:dyDescent="0.2">
      <c r="B171" s="2">
        <f ca="1"/>
        <v>0.34949594209661416</v>
      </c>
      <c r="O171" s="2">
        <f ca="1"/>
        <v>1.1813380148627615</v>
      </c>
      <c r="X171" s="2">
        <f ca="1"/>
        <v>83.409447201802678</v>
      </c>
      <c r="AG171" s="2">
        <f ca="1"/>
        <v>0.28390767080583545</v>
      </c>
      <c r="AH171" s="2" t="str">
        <f ca="1"/>
        <v>OK</v>
      </c>
    </row>
    <row r="172" spans="2:34" x14ac:dyDescent="0.2">
      <c r="B172" s="2">
        <f ca="1"/>
        <v>0.39835370956298899</v>
      </c>
      <c r="O172" s="2">
        <f ca="1"/>
        <v>-0.83203435879017495</v>
      </c>
      <c r="X172" s="2">
        <f ca="1"/>
        <v>51.572898640653861</v>
      </c>
      <c r="AG172" s="2">
        <f ca="1"/>
        <v>2.992135046809774E-2</v>
      </c>
      <c r="AH172" s="2" t="str">
        <f ca="1"/>
        <v>Good</v>
      </c>
    </row>
    <row r="173" spans="2:34" x14ac:dyDescent="0.2">
      <c r="B173" s="2">
        <f ca="1"/>
        <v>0.8105304152696835</v>
      </c>
      <c r="O173" s="2">
        <f ca="1"/>
        <v>1.622571591096994</v>
      </c>
      <c r="X173" s="2">
        <f ca="1"/>
        <v>42.277757182005082</v>
      </c>
      <c r="AG173" s="2">
        <f ca="1"/>
        <v>0.82995363129839372</v>
      </c>
      <c r="AH173" s="2" t="str">
        <f ca="1"/>
        <v>Bad</v>
      </c>
    </row>
    <row r="174" spans="2:34" x14ac:dyDescent="0.2">
      <c r="B174" s="2">
        <f ca="1"/>
        <v>0.46659299566077972</v>
      </c>
      <c r="O174" s="2">
        <f ca="1"/>
        <v>-8.1623548231208598E-2</v>
      </c>
      <c r="X174" s="2">
        <f ca="1"/>
        <v>24.973619152769238</v>
      </c>
      <c r="AG174" s="2">
        <f ca="1"/>
        <v>0.79643889708690607</v>
      </c>
      <c r="AH174" s="2" t="str">
        <f ca="1"/>
        <v>Bad</v>
      </c>
    </row>
    <row r="175" spans="2:34" x14ac:dyDescent="0.2">
      <c r="B175" s="2">
        <f ca="1"/>
        <v>0.25584395119316361</v>
      </c>
      <c r="O175" s="2">
        <f ca="1"/>
        <v>1.8691157555986899</v>
      </c>
      <c r="X175" s="2">
        <f ca="1"/>
        <v>35.263770522969217</v>
      </c>
      <c r="AG175" s="2">
        <f ca="1"/>
        <v>0.95091648580080013</v>
      </c>
      <c r="AH175" s="2" t="str">
        <f ca="1"/>
        <v>Bad</v>
      </c>
    </row>
    <row r="176" spans="2:34" x14ac:dyDescent="0.2">
      <c r="B176" s="2">
        <f ca="1"/>
        <v>5.3197323482799153E-2</v>
      </c>
      <c r="O176" s="2">
        <f ca="1"/>
        <v>0.17722672998659869</v>
      </c>
      <c r="X176" s="2">
        <f ca="1"/>
        <v>57.837052858213156</v>
      </c>
      <c r="AG176" s="2">
        <f ca="1"/>
        <v>0.10041417113468487</v>
      </c>
      <c r="AH176" s="2" t="str">
        <f ca="1"/>
        <v>OK</v>
      </c>
    </row>
    <row r="177" spans="2:34" x14ac:dyDescent="0.2">
      <c r="B177" s="2">
        <f ca="1"/>
        <v>0.62529670571239104</v>
      </c>
      <c r="O177" s="2">
        <f ca="1"/>
        <v>0.42487980368034123</v>
      </c>
      <c r="X177" s="2">
        <f ca="1"/>
        <v>56.324495786473712</v>
      </c>
      <c r="AG177" s="2">
        <f ca="1"/>
        <v>0.881630223878348</v>
      </c>
      <c r="AH177" s="2" t="str">
        <f ca="1"/>
        <v>Bad</v>
      </c>
    </row>
    <row r="178" spans="2:34" x14ac:dyDescent="0.2">
      <c r="B178" s="2">
        <f ca="1"/>
        <v>0.81824823789487922</v>
      </c>
      <c r="O178" s="2">
        <f ca="1"/>
        <v>0.34859091719093477</v>
      </c>
      <c r="X178" s="2">
        <f ca="1"/>
        <v>45.73799464382703</v>
      </c>
      <c r="AG178" s="2">
        <f ca="1"/>
        <v>0.54960364155563912</v>
      </c>
      <c r="AH178" s="2" t="str">
        <f ca="1"/>
        <v>Bad</v>
      </c>
    </row>
    <row r="179" spans="2:34" x14ac:dyDescent="0.2">
      <c r="B179" s="2">
        <f ca="1"/>
        <v>0.70836976483413583</v>
      </c>
      <c r="O179" s="2">
        <f ca="1"/>
        <v>0.29451545584793798</v>
      </c>
      <c r="X179" s="2">
        <f ca="1"/>
        <v>51.762784445581566</v>
      </c>
      <c r="AG179" s="2">
        <f ca="1"/>
        <v>0.9637589873428809</v>
      </c>
      <c r="AH179" s="2" t="str">
        <f ca="1"/>
        <v>Bad</v>
      </c>
    </row>
    <row r="180" spans="2:34" x14ac:dyDescent="0.2">
      <c r="B180" s="2">
        <f ca="1"/>
        <v>0.50428627825249639</v>
      </c>
      <c r="O180" s="2">
        <f ca="1"/>
        <v>-1.9318375595622987</v>
      </c>
      <c r="X180" s="2">
        <f ca="1"/>
        <v>25.605774600242938</v>
      </c>
      <c r="AG180" s="2">
        <f ca="1"/>
        <v>0.15089046456902966</v>
      </c>
      <c r="AH180" s="2" t="str">
        <f ca="1"/>
        <v>OK</v>
      </c>
    </row>
    <row r="181" spans="2:34" x14ac:dyDescent="0.2">
      <c r="B181" s="2">
        <f ca="1"/>
        <v>0.17143737893480959</v>
      </c>
      <c r="O181" s="2">
        <f ca="1"/>
        <v>1.6202439454393476</v>
      </c>
      <c r="X181" s="2">
        <f ca="1"/>
        <v>61.303390348745069</v>
      </c>
      <c r="AG181" s="2">
        <f ca="1"/>
        <v>0.50223231882401831</v>
      </c>
      <c r="AH181" s="2" t="str">
        <f ca="1"/>
        <v>Bad</v>
      </c>
    </row>
    <row r="182" spans="2:34" x14ac:dyDescent="0.2">
      <c r="B182" s="2">
        <f ca="1"/>
        <v>0.46992583368618202</v>
      </c>
      <c r="O182" s="2">
        <f ca="1"/>
        <v>8.839456130313092E-2</v>
      </c>
      <c r="X182" s="2">
        <f ca="1"/>
        <v>31.836770265346573</v>
      </c>
      <c r="AG182" s="2">
        <f ca="1"/>
        <v>0.89851210785373392</v>
      </c>
      <c r="AH182" s="2" t="str">
        <f ca="1"/>
        <v>Bad</v>
      </c>
    </row>
    <row r="183" spans="2:34" x14ac:dyDescent="0.2">
      <c r="B183" s="2">
        <f ca="1"/>
        <v>0.62580475051217044</v>
      </c>
      <c r="O183" s="2">
        <f ca="1"/>
        <v>-0.88804386892568288</v>
      </c>
      <c r="X183" s="2">
        <f ca="1"/>
        <v>57.606353461204883</v>
      </c>
      <c r="AG183" s="2">
        <f ca="1"/>
        <v>0.17919376540332888</v>
      </c>
      <c r="AH183" s="2" t="str">
        <f ca="1"/>
        <v>OK</v>
      </c>
    </row>
    <row r="184" spans="2:34" x14ac:dyDescent="0.2">
      <c r="B184" s="2">
        <f ca="1"/>
        <v>0.48930049143147447</v>
      </c>
      <c r="O184" s="2">
        <f ca="1"/>
        <v>-1.3275258225929996</v>
      </c>
      <c r="X184" s="2">
        <f ca="1"/>
        <v>28.29048164463234</v>
      </c>
      <c r="AG184" s="2">
        <f ca="1"/>
        <v>0.23464887895157638</v>
      </c>
      <c r="AH184" s="2" t="str">
        <f ca="1"/>
        <v>OK</v>
      </c>
    </row>
    <row r="185" spans="2:34" x14ac:dyDescent="0.2">
      <c r="B185" s="2">
        <f ca="1"/>
        <v>0.9276120635188474</v>
      </c>
      <c r="O185" s="2">
        <f ca="1"/>
        <v>0.1263469041350625</v>
      </c>
      <c r="X185" s="2">
        <f ca="1"/>
        <v>55.544127909796273</v>
      </c>
      <c r="AG185" s="2">
        <f ca="1"/>
        <v>0.13563065952983844</v>
      </c>
      <c r="AH185" s="2" t="str">
        <f ca="1"/>
        <v>OK</v>
      </c>
    </row>
    <row r="186" spans="2:34" x14ac:dyDescent="0.2">
      <c r="B186" s="2">
        <f ca="1"/>
        <v>0.46508542747157322</v>
      </c>
      <c r="O186" s="2">
        <f ca="1"/>
        <v>0.19727774019361941</v>
      </c>
      <c r="X186" s="2">
        <f ca="1"/>
        <v>39.372454957859333</v>
      </c>
      <c r="AG186" s="2">
        <f ca="1"/>
        <v>0.73060670162886554</v>
      </c>
      <c r="AH186" s="2" t="str">
        <f ca="1"/>
        <v>Bad</v>
      </c>
    </row>
    <row r="187" spans="2:34" x14ac:dyDescent="0.2">
      <c r="B187" s="2">
        <f ca="1"/>
        <v>0.29603872066075687</v>
      </c>
      <c r="O187" s="2">
        <f ca="1"/>
        <v>0.29169419248905593</v>
      </c>
      <c r="X187" s="2">
        <f ca="1"/>
        <v>66.919801302599993</v>
      </c>
      <c r="AG187" s="2">
        <f ca="1"/>
        <v>0.39524497493647215</v>
      </c>
      <c r="AH187" s="2" t="str">
        <f ca="1"/>
        <v>OK</v>
      </c>
    </row>
    <row r="188" spans="2:34" x14ac:dyDescent="0.2">
      <c r="B188" s="2">
        <f ca="1"/>
        <v>0.50688438211595188</v>
      </c>
      <c r="O188" s="2">
        <f ca="1"/>
        <v>0.90099386736520082</v>
      </c>
      <c r="X188" s="2">
        <f ca="1"/>
        <v>32.800120620871517</v>
      </c>
      <c r="AG188" s="2">
        <f ca="1"/>
        <v>0.89172444165406906</v>
      </c>
      <c r="AH188" s="2" t="str">
        <f ca="1"/>
        <v>Bad</v>
      </c>
    </row>
    <row r="189" spans="2:34" x14ac:dyDescent="0.2">
      <c r="B189" s="2">
        <f ca="1"/>
        <v>0.15267327101464523</v>
      </c>
      <c r="O189" s="2">
        <f ca="1"/>
        <v>-0.25379570200344376</v>
      </c>
      <c r="X189" s="2">
        <f ca="1"/>
        <v>47.584824401640745</v>
      </c>
      <c r="AG189" s="2">
        <f ca="1"/>
        <v>0.74807446896013396</v>
      </c>
      <c r="AH189" s="2" t="str">
        <f ca="1"/>
        <v>Bad</v>
      </c>
    </row>
    <row r="190" spans="2:34" x14ac:dyDescent="0.2">
      <c r="B190" s="2">
        <f ca="1"/>
        <v>0.66251547219272666</v>
      </c>
      <c r="O190" s="2">
        <f ca="1"/>
        <v>-0.80419814174773208</v>
      </c>
      <c r="X190" s="2">
        <f ca="1"/>
        <v>48.218785377249787</v>
      </c>
      <c r="AG190" s="2">
        <f ca="1"/>
        <v>0.60633717583167024</v>
      </c>
      <c r="AH190" s="2" t="str">
        <f ca="1"/>
        <v>Bad</v>
      </c>
    </row>
    <row r="191" spans="2:34" x14ac:dyDescent="0.2">
      <c r="B191" s="2">
        <f ca="1"/>
        <v>0.80111586934513501</v>
      </c>
      <c r="O191" s="2">
        <f ca="1"/>
        <v>1.2145541329284772</v>
      </c>
      <c r="X191" s="2">
        <f ca="1"/>
        <v>69.89200880628691</v>
      </c>
      <c r="AG191" s="2">
        <f ca="1"/>
        <v>0.27240303943090205</v>
      </c>
      <c r="AH191" s="2" t="str">
        <f ca="1"/>
        <v>OK</v>
      </c>
    </row>
    <row r="192" spans="2:34" x14ac:dyDescent="0.2">
      <c r="B192" s="2">
        <f ca="1"/>
        <v>0.42737001972226496</v>
      </c>
      <c r="O192" s="2">
        <f ca="1"/>
        <v>-1.8103227538760827E-2</v>
      </c>
      <c r="X192" s="2">
        <f ca="1"/>
        <v>60.341814859107458</v>
      </c>
      <c r="AG192" s="2">
        <f ca="1"/>
        <v>0.8442218221804243</v>
      </c>
      <c r="AH192" s="2" t="str">
        <f ca="1"/>
        <v>Bad</v>
      </c>
    </row>
    <row r="193" spans="2:34" x14ac:dyDescent="0.2">
      <c r="B193" s="2">
        <f ca="1"/>
        <v>0.23365235136891993</v>
      </c>
      <c r="O193" s="2">
        <f ca="1"/>
        <v>1.47072514873129</v>
      </c>
      <c r="X193" s="2">
        <f ca="1"/>
        <v>58.60504318923666</v>
      </c>
      <c r="AG193" s="2">
        <f ca="1"/>
        <v>0.71174382018517002</v>
      </c>
      <c r="AH193" s="2" t="str">
        <f ca="1"/>
        <v>Bad</v>
      </c>
    </row>
    <row r="194" spans="2:34" x14ac:dyDescent="0.2">
      <c r="B194" s="2">
        <f ca="1"/>
        <v>0.51655601421551745</v>
      </c>
      <c r="O194" s="2">
        <f ca="1"/>
        <v>-0.60969638312948482</v>
      </c>
      <c r="X194" s="2">
        <f ca="1"/>
        <v>38.558155345631114</v>
      </c>
      <c r="AG194" s="2">
        <f ca="1"/>
        <v>0.90567200252849278</v>
      </c>
      <c r="AH194" s="2" t="str">
        <f ca="1"/>
        <v>Bad</v>
      </c>
    </row>
    <row r="195" spans="2:34" x14ac:dyDescent="0.2">
      <c r="B195" s="2">
        <f ca="1"/>
        <v>0.16966421314838076</v>
      </c>
      <c r="O195" s="2">
        <f ca="1"/>
        <v>0.49244509912164042</v>
      </c>
      <c r="X195" s="2">
        <f ca="1"/>
        <v>70.006006344395516</v>
      </c>
      <c r="AG195" s="2">
        <f ca="1"/>
        <v>0.25176573871568841</v>
      </c>
      <c r="AH195" s="2" t="str">
        <f ca="1"/>
        <v>OK</v>
      </c>
    </row>
    <row r="196" spans="2:34" x14ac:dyDescent="0.2">
      <c r="B196" s="2">
        <f ca="1"/>
        <v>0.9262077459421667</v>
      </c>
      <c r="O196" s="2">
        <f ca="1"/>
        <v>0.65947404547731248</v>
      </c>
      <c r="X196" s="2">
        <f ca="1"/>
        <v>36.815347998019298</v>
      </c>
      <c r="AG196" s="2">
        <f ca="1"/>
        <v>0.38114713806761835</v>
      </c>
      <c r="AH196" s="2" t="str">
        <f ca="1"/>
        <v>OK</v>
      </c>
    </row>
    <row r="197" spans="2:34" x14ac:dyDescent="0.2">
      <c r="B197" s="2">
        <f ca="1"/>
        <v>0.39154913503906696</v>
      </c>
      <c r="O197" s="2">
        <f ca="1"/>
        <v>0.24429656513929052</v>
      </c>
      <c r="X197" s="2">
        <f ca="1"/>
        <v>31.671859037698372</v>
      </c>
      <c r="AG197" s="2">
        <f ca="1"/>
        <v>0.68558463601323094</v>
      </c>
      <c r="AH197" s="2" t="str">
        <f ca="1"/>
        <v>Bad</v>
      </c>
    </row>
    <row r="198" spans="2:34" x14ac:dyDescent="0.2">
      <c r="B198" s="2">
        <f ca="1"/>
        <v>5.2412754191471622E-2</v>
      </c>
      <c r="O198" s="2">
        <f ca="1"/>
        <v>-0.46006862884587751</v>
      </c>
      <c r="X198" s="2">
        <f ca="1"/>
        <v>55.852057789085798</v>
      </c>
      <c r="AG198" s="2">
        <f ca="1"/>
        <v>0.66955914561405705</v>
      </c>
      <c r="AH198" s="2" t="str">
        <f ca="1"/>
        <v>Bad</v>
      </c>
    </row>
    <row r="199" spans="2:34" x14ac:dyDescent="0.2">
      <c r="B199" s="2">
        <f ca="1"/>
        <v>0.55010631039699454</v>
      </c>
      <c r="O199" s="2">
        <f ca="1"/>
        <v>-1.9411412283833671</v>
      </c>
      <c r="X199" s="2">
        <f ca="1"/>
        <v>64.504513407793681</v>
      </c>
      <c r="AG199" s="2">
        <f ca="1"/>
        <v>0.58446921182011802</v>
      </c>
      <c r="AH199" s="2" t="str">
        <f ca="1"/>
        <v>Bad</v>
      </c>
    </row>
    <row r="200" spans="2:34" x14ac:dyDescent="0.2">
      <c r="B200" s="2">
        <f ca="1"/>
        <v>0.87600810939996143</v>
      </c>
      <c r="O200" s="2">
        <f ca="1"/>
        <v>0.93849616394142132</v>
      </c>
      <c r="X200" s="2">
        <f ca="1"/>
        <v>58.933548467070452</v>
      </c>
      <c r="AG200" s="2">
        <f ca="1"/>
        <v>0.76576005457728691</v>
      </c>
      <c r="AH200" s="2" t="str">
        <f ca="1"/>
        <v>Bad</v>
      </c>
    </row>
    <row r="201" spans="2:34" x14ac:dyDescent="0.2">
      <c r="B201" s="2">
        <f ca="1"/>
        <v>9.902679271391257E-2</v>
      </c>
      <c r="O201" s="2">
        <f ca="1"/>
        <v>-0.32252813395442187</v>
      </c>
      <c r="X201" s="2">
        <f ca="1"/>
        <v>66.108810635328069</v>
      </c>
      <c r="AG201" s="2">
        <f ca="1"/>
        <v>0.71239319670517576</v>
      </c>
      <c r="AH201" s="2" t="str">
        <f ca="1"/>
        <v>Bad</v>
      </c>
    </row>
    <row r="202" spans="2:34" x14ac:dyDescent="0.2">
      <c r="B202" s="2">
        <f ca="1"/>
        <v>0.70433602164133369</v>
      </c>
      <c r="O202" s="2">
        <f ca="1"/>
        <v>-0.10656152379099817</v>
      </c>
      <c r="X202" s="2">
        <f ca="1"/>
        <v>43.237622738305738</v>
      </c>
      <c r="AG202" s="2">
        <f ca="1"/>
        <v>0.43818348828189202</v>
      </c>
      <c r="AH202" s="2" t="str">
        <f ca="1"/>
        <v>Bad</v>
      </c>
    </row>
    <row r="203" spans="2:34" x14ac:dyDescent="0.2">
      <c r="B203" s="2">
        <f ca="1"/>
        <v>0.1462030809158763</v>
      </c>
      <c r="O203" s="2">
        <f ca="1"/>
        <v>-0.68650823607839417</v>
      </c>
      <c r="X203" s="2">
        <f ca="1"/>
        <v>38.667894890532054</v>
      </c>
      <c r="AG203" s="2">
        <f ca="1"/>
        <v>0.96001724564269786</v>
      </c>
      <c r="AH203" s="2" t="str">
        <f ca="1"/>
        <v>Bad</v>
      </c>
    </row>
    <row r="204" spans="2:34" x14ac:dyDescent="0.2">
      <c r="B204" s="2">
        <f ca="1"/>
        <v>0.95780265560633504</v>
      </c>
      <c r="O204" s="2">
        <f ca="1"/>
        <v>-0.66261355771685315</v>
      </c>
      <c r="X204" s="2">
        <f ca="1"/>
        <v>44.200927659727526</v>
      </c>
      <c r="AG204" s="2">
        <f ca="1"/>
        <v>0.19315190936896354</v>
      </c>
      <c r="AH204" s="2" t="str">
        <f ca="1"/>
        <v>OK</v>
      </c>
    </row>
    <row r="205" spans="2:34" x14ac:dyDescent="0.2">
      <c r="B205" s="2">
        <f ca="1"/>
        <v>0.56500603463988952</v>
      </c>
      <c r="O205" s="2">
        <f ca="1"/>
        <v>-0.69246873495391414</v>
      </c>
      <c r="X205" s="2">
        <f ca="1"/>
        <v>67.615787116022886</v>
      </c>
      <c r="AG205" s="2">
        <f ca="1"/>
        <v>0.45586101182483296</v>
      </c>
      <c r="AH205" s="2" t="str">
        <f ca="1"/>
        <v>Bad</v>
      </c>
    </row>
    <row r="206" spans="2:34" x14ac:dyDescent="0.2">
      <c r="B206" s="2">
        <f ca="1"/>
        <v>0.92261972001203829</v>
      </c>
      <c r="O206" s="2">
        <f ca="1"/>
        <v>-4.665214773527785E-2</v>
      </c>
      <c r="X206" s="2">
        <f ca="1"/>
        <v>43.433130585343477</v>
      </c>
      <c r="AG206" s="2">
        <f ca="1"/>
        <v>0.2605520224568727</v>
      </c>
      <c r="AH206" s="2" t="str">
        <f ca="1"/>
        <v>OK</v>
      </c>
    </row>
    <row r="207" spans="2:34" x14ac:dyDescent="0.2">
      <c r="B207" s="2">
        <f ca="1"/>
        <v>0.46742629111697953</v>
      </c>
      <c r="O207" s="2">
        <f ca="1"/>
        <v>-0.60298732757557427</v>
      </c>
      <c r="X207" s="2">
        <f ca="1"/>
        <v>39.42181574511946</v>
      </c>
      <c r="AG207" s="2">
        <f ca="1"/>
        <v>0.38817780710385152</v>
      </c>
      <c r="AH207" s="2" t="str">
        <f ca="1"/>
        <v>OK</v>
      </c>
    </row>
    <row r="208" spans="2:34" x14ac:dyDescent="0.2">
      <c r="B208" s="2">
        <f ca="1"/>
        <v>0.40201904653306286</v>
      </c>
      <c r="O208" s="2">
        <f ca="1"/>
        <v>0.56449012604185378</v>
      </c>
      <c r="X208" s="2">
        <f ca="1"/>
        <v>31.682943365011859</v>
      </c>
      <c r="AG208" s="2">
        <f ca="1"/>
        <v>0.61511604188161151</v>
      </c>
      <c r="AH208" s="2" t="str">
        <f ca="1"/>
        <v>Bad</v>
      </c>
    </row>
    <row r="209" spans="2:34" x14ac:dyDescent="0.2">
      <c r="B209" s="2">
        <f ca="1"/>
        <v>0.98646375246241247</v>
      </c>
      <c r="O209" s="2">
        <f ca="1"/>
        <v>-0.10551260665516005</v>
      </c>
      <c r="X209" s="2">
        <f ca="1"/>
        <v>63.530796534951087</v>
      </c>
      <c r="AG209" s="2">
        <f ca="1"/>
        <v>0.60449252005797427</v>
      </c>
      <c r="AH209" s="2" t="str">
        <f ca="1"/>
        <v>Bad</v>
      </c>
    </row>
    <row r="210" spans="2:34" x14ac:dyDescent="0.2">
      <c r="B210" s="2">
        <f ca="1"/>
        <v>0.25396165162793949</v>
      </c>
      <c r="O210" s="2">
        <f ca="1"/>
        <v>0.41053293889152637</v>
      </c>
      <c r="X210" s="2">
        <f ca="1"/>
        <v>42.63381756830497</v>
      </c>
      <c r="AG210" s="2">
        <f ca="1"/>
        <v>4.9704814621941873E-2</v>
      </c>
      <c r="AH210" s="2" t="str">
        <f ca="1"/>
        <v>Good</v>
      </c>
    </row>
    <row r="211" spans="2:34" x14ac:dyDescent="0.2">
      <c r="B211" s="2">
        <f ca="1"/>
        <v>0.99312406804437714</v>
      </c>
      <c r="O211" s="2">
        <f ca="1"/>
        <v>0.81494156477781354</v>
      </c>
      <c r="X211" s="2">
        <f ca="1"/>
        <v>61.950785588583379</v>
      </c>
      <c r="AG211" s="2">
        <f ca="1"/>
        <v>0.35741449304726514</v>
      </c>
      <c r="AH211" s="2" t="str">
        <f ca="1"/>
        <v>OK</v>
      </c>
    </row>
    <row r="212" spans="2:34" x14ac:dyDescent="0.2">
      <c r="B212" s="2">
        <f ca="1"/>
        <v>0.22472965159432801</v>
      </c>
      <c r="O212" s="2">
        <f ca="1"/>
        <v>-0.27924265980491408</v>
      </c>
      <c r="X212" s="2">
        <f ca="1"/>
        <v>64.689633743211786</v>
      </c>
      <c r="AG212" s="2">
        <f ca="1"/>
        <v>0.21626845954984475</v>
      </c>
      <c r="AH212" s="2" t="str">
        <f ca="1"/>
        <v>OK</v>
      </c>
    </row>
    <row r="213" spans="2:34" x14ac:dyDescent="0.2">
      <c r="B213" s="2">
        <f ca="1"/>
        <v>0.83537981813981799</v>
      </c>
      <c r="O213" s="2">
        <f ca="1"/>
        <v>0.61346196686541932</v>
      </c>
      <c r="X213" s="2">
        <f ca="1"/>
        <v>43.665426914624057</v>
      </c>
      <c r="AG213" s="2">
        <f ca="1"/>
        <v>0.84223570632890787</v>
      </c>
      <c r="AH213" s="2" t="str">
        <f ca="1"/>
        <v>Bad</v>
      </c>
    </row>
    <row r="214" spans="2:34" x14ac:dyDescent="0.2">
      <c r="B214" s="2">
        <f ca="1"/>
        <v>0.49512022643137565</v>
      </c>
      <c r="O214" s="2">
        <f ca="1"/>
        <v>-1.9176955124371047</v>
      </c>
      <c r="X214" s="2">
        <f ca="1"/>
        <v>39.012856709047995</v>
      </c>
      <c r="AG214" s="2">
        <f ca="1"/>
        <v>0.34320574521198721</v>
      </c>
      <c r="AH214" s="2" t="str">
        <f ca="1"/>
        <v>OK</v>
      </c>
    </row>
    <row r="215" spans="2:34" x14ac:dyDescent="0.2">
      <c r="B215" s="2">
        <f ca="1"/>
        <v>0.377956557796987</v>
      </c>
      <c r="O215" s="2">
        <f ca="1"/>
        <v>0.92694653843082553</v>
      </c>
      <c r="X215" s="2">
        <f ca="1"/>
        <v>57.053931580272376</v>
      </c>
      <c r="AG215" s="2">
        <f ca="1"/>
        <v>0.23654830295740292</v>
      </c>
      <c r="AH215" s="2" t="str">
        <f ca="1"/>
        <v>OK</v>
      </c>
    </row>
    <row r="216" spans="2:34" x14ac:dyDescent="0.2">
      <c r="B216" s="2">
        <f ca="1"/>
        <v>0.97614756475929521</v>
      </c>
      <c r="O216" s="2">
        <f ca="1"/>
        <v>-0.24034359079374384</v>
      </c>
      <c r="X216" s="2">
        <f ca="1"/>
        <v>40.133314587710828</v>
      </c>
      <c r="AG216" s="2">
        <f ca="1"/>
        <v>0.76720415811110043</v>
      </c>
      <c r="AH216" s="2" t="str">
        <f ca="1"/>
        <v>Bad</v>
      </c>
    </row>
    <row r="217" spans="2:34" x14ac:dyDescent="0.2">
      <c r="B217" s="2">
        <f ca="1"/>
        <v>0.49166742374208194</v>
      </c>
      <c r="O217" s="2">
        <f ca="1"/>
        <v>-0.36338121898852838</v>
      </c>
      <c r="X217" s="2">
        <f ca="1"/>
        <v>58.693043385809574</v>
      </c>
      <c r="AG217" s="2">
        <f ca="1"/>
        <v>0.68986694327499554</v>
      </c>
      <c r="AH217" s="2" t="str">
        <f ca="1"/>
        <v>Bad</v>
      </c>
    </row>
    <row r="218" spans="2:34" x14ac:dyDescent="0.2">
      <c r="B218" s="2">
        <f ca="1"/>
        <v>0.75189728602914685</v>
      </c>
      <c r="O218" s="2">
        <f ca="1"/>
        <v>-0.64904020567527931</v>
      </c>
      <c r="X218" s="2">
        <f ca="1"/>
        <v>75.129502105901281</v>
      </c>
      <c r="AG218" s="2">
        <f ca="1"/>
        <v>0.13897560071946269</v>
      </c>
      <c r="AH218" s="2" t="str">
        <f ca="1"/>
        <v>OK</v>
      </c>
    </row>
    <row r="219" spans="2:34" x14ac:dyDescent="0.2">
      <c r="B219" s="2">
        <f ca="1"/>
        <v>0.50748073369250268</v>
      </c>
      <c r="O219" s="2">
        <f ca="1"/>
        <v>0.76918041272091986</v>
      </c>
      <c r="X219" s="2">
        <f ca="1"/>
        <v>38.516946520565682</v>
      </c>
      <c r="AG219" s="2">
        <f ca="1"/>
        <v>0.3518273350161889</v>
      </c>
      <c r="AH219" s="2" t="str">
        <f ca="1"/>
        <v>OK</v>
      </c>
    </row>
    <row r="220" spans="2:34" x14ac:dyDescent="0.2">
      <c r="B220" s="2">
        <f ca="1"/>
        <v>0.286539895220145</v>
      </c>
      <c r="O220" s="2">
        <f ca="1"/>
        <v>0.7314501323670588</v>
      </c>
      <c r="X220" s="2">
        <f ca="1"/>
        <v>56.167027847838511</v>
      </c>
      <c r="AG220" s="2">
        <f ca="1"/>
        <v>0.87704384289959614</v>
      </c>
      <c r="AH220" s="2" t="str">
        <f ca="1"/>
        <v>Bad</v>
      </c>
    </row>
    <row r="221" spans="2:34" x14ac:dyDescent="0.2">
      <c r="B221" s="2">
        <f ca="1"/>
        <v>0.51311274066026535</v>
      </c>
      <c r="O221" s="2">
        <f ca="1"/>
        <v>-0.48269814070412226</v>
      </c>
      <c r="X221" s="2">
        <f ca="1"/>
        <v>25.063534515191691</v>
      </c>
      <c r="AG221" s="2">
        <f ca="1"/>
        <v>0.98882473498927959</v>
      </c>
      <c r="AH221" s="2" t="str">
        <f ca="1"/>
        <v>Bad</v>
      </c>
    </row>
    <row r="222" spans="2:34" x14ac:dyDescent="0.2">
      <c r="B222" s="2">
        <f ca="1"/>
        <v>0.57087744336293267</v>
      </c>
      <c r="O222" s="2">
        <f ca="1"/>
        <v>0.15136010355233409</v>
      </c>
      <c r="X222" s="2">
        <f ca="1"/>
        <v>31.637522222203032</v>
      </c>
      <c r="AG222" s="2">
        <f ca="1"/>
        <v>0.41818282986359878</v>
      </c>
      <c r="AH222" s="2" t="str">
        <f ca="1"/>
        <v>Bad</v>
      </c>
    </row>
    <row r="223" spans="2:34" x14ac:dyDescent="0.2">
      <c r="B223" s="2">
        <f ca="1"/>
        <v>0.82938828128525821</v>
      </c>
      <c r="O223" s="2">
        <f ca="1"/>
        <v>-0.71943883240783923</v>
      </c>
      <c r="X223" s="2">
        <f ca="1"/>
        <v>73.385904531442193</v>
      </c>
      <c r="AG223" s="2">
        <f ca="1"/>
        <v>0.32941498701893424</v>
      </c>
      <c r="AH223" s="2" t="str">
        <f ca="1"/>
        <v>OK</v>
      </c>
    </row>
    <row r="224" spans="2:34" x14ac:dyDescent="0.2">
      <c r="B224" s="2">
        <f ca="1"/>
        <v>0.54399878053919282</v>
      </c>
      <c r="O224" s="2">
        <f ca="1"/>
        <v>0.14401524851148698</v>
      </c>
      <c r="X224" s="2">
        <f ca="1"/>
        <v>55.376552058005196</v>
      </c>
      <c r="AG224" s="2">
        <f ca="1"/>
        <v>0.16961170400998982</v>
      </c>
      <c r="AH224" s="2" t="str">
        <f ca="1"/>
        <v>OK</v>
      </c>
    </row>
    <row r="225" spans="2:34" x14ac:dyDescent="0.2">
      <c r="B225" s="2">
        <f ca="1"/>
        <v>0.81913539960043491</v>
      </c>
      <c r="O225" s="2">
        <f ca="1"/>
        <v>-0.72800757632205793</v>
      </c>
      <c r="X225" s="2">
        <f ca="1"/>
        <v>31.271750124323269</v>
      </c>
      <c r="AG225" s="2">
        <f ca="1"/>
        <v>0.67450595923053469</v>
      </c>
      <c r="AH225" s="2" t="str">
        <f ca="1"/>
        <v>Bad</v>
      </c>
    </row>
    <row r="226" spans="2:34" x14ac:dyDescent="0.2">
      <c r="B226" s="2">
        <f ca="1"/>
        <v>0.39485838454240119</v>
      </c>
      <c r="O226" s="2">
        <f ca="1"/>
        <v>1.1272202278214813</v>
      </c>
      <c r="X226" s="2">
        <f ca="1"/>
        <v>46.591780111986616</v>
      </c>
      <c r="AG226" s="2">
        <f ca="1"/>
        <v>0.78694883634793422</v>
      </c>
      <c r="AH226" s="2" t="str">
        <f ca="1"/>
        <v>Bad</v>
      </c>
    </row>
    <row r="227" spans="2:34" x14ac:dyDescent="0.2">
      <c r="B227" s="2">
        <f ca="1"/>
        <v>0.68887076121497448</v>
      </c>
      <c r="O227" s="2">
        <f ca="1"/>
        <v>0.43870425501543453</v>
      </c>
      <c r="X227" s="2">
        <f ca="1"/>
        <v>36.706484923945276</v>
      </c>
      <c r="AG227" s="2">
        <f ca="1"/>
        <v>0.66524143322870799</v>
      </c>
      <c r="AH227" s="2" t="str">
        <f ca="1"/>
        <v>Bad</v>
      </c>
    </row>
    <row r="228" spans="2:34" x14ac:dyDescent="0.2">
      <c r="B228" s="2">
        <f ca="1"/>
        <v>0.33840758896111311</v>
      </c>
      <c r="O228" s="2">
        <f ca="1"/>
        <v>-0.47523478774102224</v>
      </c>
      <c r="X228" s="2">
        <f ca="1"/>
        <v>31.830631417784751</v>
      </c>
      <c r="AG228" s="2">
        <f ca="1"/>
        <v>2.7186121697724719E-2</v>
      </c>
      <c r="AH228" s="2" t="str">
        <f ca="1"/>
        <v>Good</v>
      </c>
    </row>
    <row r="229" spans="2:34" x14ac:dyDescent="0.2">
      <c r="B229" s="2">
        <f ca="1"/>
        <v>0.71532841768531319</v>
      </c>
      <c r="O229" s="2">
        <f ca="1"/>
        <v>-7.2319756960021104E-4</v>
      </c>
      <c r="X229" s="2">
        <f ca="1"/>
        <v>108.92656194880585</v>
      </c>
      <c r="AG229" s="2">
        <f ca="1"/>
        <v>0.68038162403476865</v>
      </c>
      <c r="AH229" s="2" t="str">
        <f ca="1"/>
        <v>Bad</v>
      </c>
    </row>
    <row r="230" spans="2:34" x14ac:dyDescent="0.2">
      <c r="B230" s="2">
        <f ca="1"/>
        <v>0.38015472226382463</v>
      </c>
      <c r="O230" s="2">
        <f ca="1"/>
        <v>1.1278939675752715</v>
      </c>
      <c r="X230" s="2">
        <f ca="1"/>
        <v>27.067837215699551</v>
      </c>
      <c r="AG230" s="2">
        <f ca="1"/>
        <v>0.92957250803222946</v>
      </c>
      <c r="AH230" s="2" t="str">
        <f ca="1"/>
        <v>Bad</v>
      </c>
    </row>
    <row r="231" spans="2:34" x14ac:dyDescent="0.2">
      <c r="B231" s="2">
        <f ca="1"/>
        <v>0.67465665329333557</v>
      </c>
      <c r="O231" s="2">
        <f ca="1"/>
        <v>0.41200376474458966</v>
      </c>
      <c r="X231" s="2">
        <f ca="1"/>
        <v>39.328204254713327</v>
      </c>
      <c r="AG231" s="2">
        <f ca="1"/>
        <v>0.28248889943427891</v>
      </c>
      <c r="AH231" s="2" t="str">
        <f ca="1"/>
        <v>OK</v>
      </c>
    </row>
    <row r="232" spans="2:34" x14ac:dyDescent="0.2">
      <c r="B232" s="2">
        <f ca="1"/>
        <v>0.46579163472727036</v>
      </c>
      <c r="O232" s="2">
        <f ca="1"/>
        <v>-1.0311679959863083</v>
      </c>
      <c r="X232" s="2">
        <f ca="1"/>
        <v>54.581594685867429</v>
      </c>
      <c r="AG232" s="2">
        <f ca="1"/>
        <v>0.69683607352471033</v>
      </c>
      <c r="AH232" s="2" t="str">
        <f ca="1"/>
        <v>Bad</v>
      </c>
    </row>
    <row r="233" spans="2:34" x14ac:dyDescent="0.2">
      <c r="B233" s="2">
        <f ca="1"/>
        <v>0.61640851396258189</v>
      </c>
      <c r="O233" s="2">
        <f ca="1"/>
        <v>-0.4319940485117757</v>
      </c>
      <c r="X233" s="2">
        <f ca="1"/>
        <v>79.46992491782234</v>
      </c>
      <c r="AG233" s="2">
        <f ca="1"/>
        <v>0.31334597260093933</v>
      </c>
      <c r="AH233" s="2" t="str">
        <f ca="1"/>
        <v>OK</v>
      </c>
    </row>
    <row r="234" spans="2:34" x14ac:dyDescent="0.2">
      <c r="B234" s="2">
        <f ca="1"/>
        <v>0.51117429814262949</v>
      </c>
      <c r="O234" s="2">
        <f ca="1"/>
        <v>-0.71547694828532993</v>
      </c>
      <c r="X234" s="2">
        <f ca="1"/>
        <v>20.87121943822606</v>
      </c>
      <c r="AG234" s="2">
        <f ca="1"/>
        <v>0.68809004734589085</v>
      </c>
      <c r="AH234" s="2" t="str">
        <f ca="1"/>
        <v>Bad</v>
      </c>
    </row>
    <row r="235" spans="2:34" x14ac:dyDescent="0.2">
      <c r="B235" s="2">
        <f ca="1"/>
        <v>0.31053632053347591</v>
      </c>
      <c r="O235" s="2">
        <f ca="1"/>
        <v>7.8025528886348672E-2</v>
      </c>
      <c r="X235" s="2">
        <f ca="1"/>
        <v>73.758992497885444</v>
      </c>
      <c r="AG235" s="2">
        <f ca="1"/>
        <v>0.58127900426354917</v>
      </c>
      <c r="AH235" s="2" t="str">
        <f ca="1"/>
        <v>Bad</v>
      </c>
    </row>
    <row r="236" spans="2:34" x14ac:dyDescent="0.2">
      <c r="B236" s="2">
        <f ca="1"/>
        <v>0.35520356058452207</v>
      </c>
      <c r="O236" s="2">
        <f ca="1"/>
        <v>-0.25530122979873859</v>
      </c>
      <c r="X236" s="2">
        <f ca="1"/>
        <v>39.950147425964275</v>
      </c>
      <c r="AG236" s="2">
        <f ca="1"/>
        <v>0.36588827012789071</v>
      </c>
      <c r="AH236" s="2" t="str">
        <f ca="1"/>
        <v>OK</v>
      </c>
    </row>
    <row r="237" spans="2:34" x14ac:dyDescent="0.2">
      <c r="B237" s="2">
        <f ca="1"/>
        <v>0.11808903552468242</v>
      </c>
      <c r="O237" s="2">
        <f ca="1"/>
        <v>-0.76699106184853216</v>
      </c>
      <c r="X237" s="2">
        <f ca="1"/>
        <v>38.409479540941575</v>
      </c>
      <c r="AG237" s="2">
        <f ca="1"/>
        <v>0.22291762546356675</v>
      </c>
      <c r="AH237" s="2" t="str">
        <f ca="1"/>
        <v>OK</v>
      </c>
    </row>
    <row r="238" spans="2:34" x14ac:dyDescent="0.2">
      <c r="B238" s="2">
        <f ca="1"/>
        <v>0.7965695652820175</v>
      </c>
      <c r="O238" s="2">
        <f ca="1"/>
        <v>-0.87554202687873728</v>
      </c>
      <c r="X238" s="2">
        <f ca="1"/>
        <v>75.257625208618833</v>
      </c>
      <c r="AG238" s="2">
        <f ca="1"/>
        <v>0.40561612193287599</v>
      </c>
      <c r="AH238" s="2" t="str">
        <f ca="1"/>
        <v>Bad</v>
      </c>
    </row>
    <row r="239" spans="2:34" x14ac:dyDescent="0.2">
      <c r="B239" s="2">
        <f ca="1"/>
        <v>0.19781495104189317</v>
      </c>
      <c r="O239" s="2">
        <f ca="1"/>
        <v>0.1743707670911831</v>
      </c>
      <c r="X239" s="2">
        <f ca="1"/>
        <v>54.277558420978792</v>
      </c>
      <c r="AG239" s="2">
        <f ca="1"/>
        <v>8.4981632982181754E-3</v>
      </c>
      <c r="AH239" s="2" t="str">
        <f ca="1"/>
        <v>Good</v>
      </c>
    </row>
    <row r="240" spans="2:34" x14ac:dyDescent="0.2">
      <c r="B240" s="2">
        <f ca="1"/>
        <v>0.95026233170705798</v>
      </c>
      <c r="O240" s="2">
        <f ca="1"/>
        <v>1.0414011043797173</v>
      </c>
      <c r="X240" s="2">
        <f ca="1"/>
        <v>59.935285544355978</v>
      </c>
      <c r="AG240" s="2">
        <f ca="1"/>
        <v>3.0975117693056387E-2</v>
      </c>
      <c r="AH240" s="2" t="str">
        <f ca="1"/>
        <v>Good</v>
      </c>
    </row>
    <row r="241" spans="2:34" x14ac:dyDescent="0.2">
      <c r="B241" s="2">
        <f ca="1"/>
        <v>0.35708509190885707</v>
      </c>
      <c r="O241" s="2">
        <f ca="1"/>
        <v>0.59718572509778212</v>
      </c>
      <c r="X241" s="2">
        <f ca="1"/>
        <v>49.33820037742364</v>
      </c>
      <c r="AG241" s="2">
        <f ca="1"/>
        <v>0.73600075421056421</v>
      </c>
      <c r="AH241" s="2" t="str">
        <f ca="1"/>
        <v>Bad</v>
      </c>
    </row>
    <row r="242" spans="2:34" x14ac:dyDescent="0.2">
      <c r="B242" s="2">
        <f ca="1"/>
        <v>0.81597097998146872</v>
      </c>
      <c r="O242" s="2">
        <f ca="1"/>
        <v>-0.58335757639053631</v>
      </c>
      <c r="X242" s="2">
        <f ca="1"/>
        <v>45.888987264141193</v>
      </c>
      <c r="AG242" s="2">
        <f ca="1"/>
        <v>0.66530183516845143</v>
      </c>
      <c r="AH242" s="2" t="str">
        <f ca="1"/>
        <v>Bad</v>
      </c>
    </row>
    <row r="243" spans="2:34" x14ac:dyDescent="0.2">
      <c r="B243" s="2">
        <f ca="1"/>
        <v>0.53300947884063565</v>
      </c>
      <c r="O243" s="2">
        <f ca="1"/>
        <v>-0.1980229033260357</v>
      </c>
      <c r="X243" s="2">
        <f ca="1"/>
        <v>53.896072789003867</v>
      </c>
      <c r="AG243" s="2">
        <f ca="1"/>
        <v>0.23070766861445646</v>
      </c>
      <c r="AH243" s="2" t="str">
        <f ca="1"/>
        <v>OK</v>
      </c>
    </row>
    <row r="244" spans="2:34" x14ac:dyDescent="0.2">
      <c r="B244" s="2">
        <f ca="1"/>
        <v>2.1927795962300101E-2</v>
      </c>
      <c r="O244" s="2">
        <f ca="1"/>
        <v>1.1895310123121825</v>
      </c>
      <c r="X244" s="2">
        <f ca="1"/>
        <v>39.810884160272167</v>
      </c>
      <c r="AG244" s="2">
        <f ca="1"/>
        <v>0.57351564799342181</v>
      </c>
      <c r="AH244" s="2" t="str">
        <f ca="1"/>
        <v>Bad</v>
      </c>
    </row>
    <row r="245" spans="2:34" x14ac:dyDescent="0.2">
      <c r="B245" s="2">
        <f ca="1"/>
        <v>0.34055185592997161</v>
      </c>
      <c r="O245" s="2">
        <f ca="1"/>
        <v>-1.8981380937625589</v>
      </c>
      <c r="X245" s="2">
        <f ca="1"/>
        <v>69.540489462508418</v>
      </c>
      <c r="AG245" s="2">
        <f ca="1"/>
        <v>0.61752959713583033</v>
      </c>
      <c r="AH245" s="2" t="str">
        <f ca="1"/>
        <v>Bad</v>
      </c>
    </row>
    <row r="246" spans="2:34" x14ac:dyDescent="0.2">
      <c r="B246" s="2">
        <f ca="1"/>
        <v>0.10598493328402081</v>
      </c>
      <c r="O246" s="2">
        <f ca="1"/>
        <v>0.55749826940574276</v>
      </c>
      <c r="X246" s="2">
        <f ca="1"/>
        <v>56.738200964335235</v>
      </c>
      <c r="AG246" s="2">
        <f ca="1"/>
        <v>0.81776363112674622</v>
      </c>
      <c r="AH246" s="2" t="str">
        <f ca="1"/>
        <v>Bad</v>
      </c>
    </row>
    <row r="247" spans="2:34" x14ac:dyDescent="0.2">
      <c r="B247" s="2">
        <f ca="1"/>
        <v>0.88613011863461222</v>
      </c>
      <c r="O247" s="2">
        <f ca="1"/>
        <v>-1.8604946575899028</v>
      </c>
      <c r="X247" s="2">
        <f ca="1"/>
        <v>51.279464526094358</v>
      </c>
      <c r="AG247" s="2">
        <f ca="1"/>
        <v>0.19889524720005247</v>
      </c>
      <c r="AH247" s="2" t="str">
        <f ca="1"/>
        <v>OK</v>
      </c>
    </row>
    <row r="248" spans="2:34" x14ac:dyDescent="0.2">
      <c r="B248" s="2">
        <f ca="1"/>
        <v>0.11607515799505075</v>
      </c>
      <c r="O248" s="2">
        <f ca="1"/>
        <v>-1.9748125095224258</v>
      </c>
      <c r="X248" s="2">
        <f ca="1"/>
        <v>61.81788622519386</v>
      </c>
      <c r="AG248" s="2">
        <f ca="1"/>
        <v>0.30552652580890083</v>
      </c>
      <c r="AH248" s="2" t="str">
        <f ca="1"/>
        <v>OK</v>
      </c>
    </row>
    <row r="249" spans="2:34" x14ac:dyDescent="0.2">
      <c r="B249" s="2">
        <f ca="1"/>
        <v>6.5806547261798576E-2</v>
      </c>
      <c r="O249" s="2">
        <f ca="1"/>
        <v>-0.84475209117252914</v>
      </c>
      <c r="X249" s="2">
        <f ca="1"/>
        <v>49.640110632249417</v>
      </c>
      <c r="AG249" s="2">
        <f ca="1"/>
        <v>0.75055721549084575</v>
      </c>
      <c r="AH249" s="2" t="str">
        <f ca="1"/>
        <v>Bad</v>
      </c>
    </row>
    <row r="250" spans="2:34" x14ac:dyDescent="0.2">
      <c r="B250" s="2">
        <f ca="1"/>
        <v>0.77492967806120205</v>
      </c>
      <c r="O250" s="2">
        <f ca="1"/>
        <v>-0.98694923858704475</v>
      </c>
      <c r="X250" s="2">
        <f ca="1"/>
        <v>34.523040810414621</v>
      </c>
      <c r="AG250" s="2">
        <f ca="1"/>
        <v>0.83196300022598568</v>
      </c>
      <c r="AH250" s="2" t="str">
        <f ca="1"/>
        <v>Bad</v>
      </c>
    </row>
    <row r="251" spans="2:34" x14ac:dyDescent="0.2">
      <c r="B251" s="2">
        <f ca="1"/>
        <v>9.2363853816253005E-3</v>
      </c>
      <c r="O251" s="2">
        <f ca="1"/>
        <v>-1.4638221913388367</v>
      </c>
      <c r="X251" s="2">
        <f ca="1"/>
        <v>34.342121013998977</v>
      </c>
      <c r="AG251" s="2">
        <f ca="1"/>
        <v>0.23975245529625755</v>
      </c>
      <c r="AH251" s="2" t="str">
        <f ca="1"/>
        <v>OK</v>
      </c>
    </row>
    <row r="252" spans="2:34" x14ac:dyDescent="0.2">
      <c r="B252" s="2">
        <f ca="1"/>
        <v>0.66972507345287524</v>
      </c>
      <c r="O252" s="2">
        <f ca="1"/>
        <v>-0.55949599676416673</v>
      </c>
      <c r="X252" s="2">
        <f ca="1"/>
        <v>83.308734795685467</v>
      </c>
      <c r="AG252" s="2">
        <f ca="1"/>
        <v>0.2811448047642906</v>
      </c>
      <c r="AH252" s="2" t="str">
        <f ca="1"/>
        <v>OK</v>
      </c>
    </row>
    <row r="253" spans="2:34" x14ac:dyDescent="0.2">
      <c r="B253" s="2">
        <f ca="1"/>
        <v>0.48483651493114066</v>
      </c>
      <c r="O253" s="2">
        <f ca="1"/>
        <v>2.0454109913673522</v>
      </c>
      <c r="X253" s="2">
        <f ca="1"/>
        <v>28.085252107978921</v>
      </c>
      <c r="AG253" s="2">
        <f ca="1"/>
        <v>8.8368318155626735E-2</v>
      </c>
      <c r="AH253" s="2" t="str">
        <f ca="1"/>
        <v>OK</v>
      </c>
    </row>
    <row r="254" spans="2:34" x14ac:dyDescent="0.2">
      <c r="B254" s="2">
        <f ca="1"/>
        <v>9.2364494963862676E-2</v>
      </c>
      <c r="O254" s="2">
        <f ca="1"/>
        <v>-1.0451301943055837</v>
      </c>
      <c r="X254" s="2">
        <f ca="1"/>
        <v>33.152346286384585</v>
      </c>
      <c r="AG254" s="2">
        <f ca="1"/>
        <v>0.20737795385568969</v>
      </c>
      <c r="AH254" s="2" t="str">
        <f ca="1"/>
        <v>OK</v>
      </c>
    </row>
    <row r="255" spans="2:34" x14ac:dyDescent="0.2">
      <c r="B255" s="2">
        <f ca="1"/>
        <v>0.39103985853390655</v>
      </c>
      <c r="O255" s="2">
        <f ca="1"/>
        <v>1.6646961498196329</v>
      </c>
      <c r="X255" s="2">
        <f ca="1"/>
        <v>44.388335168209593</v>
      </c>
      <c r="AG255" s="2">
        <f ca="1"/>
        <v>0.34433958687377908</v>
      </c>
      <c r="AH255" s="2" t="str">
        <f ca="1"/>
        <v>OK</v>
      </c>
    </row>
    <row r="256" spans="2:34" x14ac:dyDescent="0.2">
      <c r="B256" s="2">
        <f ca="1"/>
        <v>0.44082332079634945</v>
      </c>
      <c r="O256" s="2">
        <f ca="1"/>
        <v>-0.72003984504760477</v>
      </c>
      <c r="X256" s="2">
        <f ca="1"/>
        <v>42.084957171718372</v>
      </c>
      <c r="AG256" s="2">
        <f ca="1"/>
        <v>0.80262914153652676</v>
      </c>
      <c r="AH256" s="2" t="str">
        <f ca="1"/>
        <v>Bad</v>
      </c>
    </row>
    <row r="257" spans="2:34" x14ac:dyDescent="0.2">
      <c r="B257" s="2">
        <f ca="1"/>
        <v>0.54920125755271543</v>
      </c>
      <c r="O257" s="2">
        <f ca="1"/>
        <v>0.56723072231603411</v>
      </c>
      <c r="X257" s="2">
        <f ca="1"/>
        <v>61.014868446937129</v>
      </c>
      <c r="AG257" s="2">
        <f ca="1"/>
        <v>2.2013750473614202E-2</v>
      </c>
      <c r="AH257" s="2" t="str">
        <f ca="1"/>
        <v>Good</v>
      </c>
    </row>
    <row r="258" spans="2:34" x14ac:dyDescent="0.2">
      <c r="B258" s="2">
        <f ca="1"/>
        <v>0.78165086233756753</v>
      </c>
      <c r="O258" s="2">
        <f ca="1"/>
        <v>-0.57923560412577313</v>
      </c>
      <c r="X258" s="2">
        <f ca="1"/>
        <v>23.792143418722699</v>
      </c>
      <c r="AG258" s="2">
        <f ca="1"/>
        <v>0.75326555133411843</v>
      </c>
      <c r="AH258" s="2" t="str">
        <f ca="1"/>
        <v>Bad</v>
      </c>
    </row>
    <row r="259" spans="2:34" x14ac:dyDescent="0.2">
      <c r="B259" s="2">
        <f ca="1"/>
        <v>0.84287721431476581</v>
      </c>
      <c r="O259" s="2">
        <f ca="1"/>
        <v>0.81654855667580484</v>
      </c>
      <c r="X259" s="2">
        <f ca="1"/>
        <v>54.134505844263145</v>
      </c>
      <c r="AG259" s="2">
        <f ca="1"/>
        <v>0.42385459003289649</v>
      </c>
      <c r="AH259" s="2" t="str">
        <f ca="1"/>
        <v>Bad</v>
      </c>
    </row>
    <row r="260" spans="2:34" x14ac:dyDescent="0.2">
      <c r="B260" s="2">
        <f ca="1"/>
        <v>0.47363239067930518</v>
      </c>
      <c r="O260" s="2">
        <f ca="1"/>
        <v>-0.75347277353875675</v>
      </c>
      <c r="X260" s="2">
        <f ca="1"/>
        <v>52.059910069626071</v>
      </c>
      <c r="AG260" s="2">
        <f ca="1"/>
        <v>0.77868275008675503</v>
      </c>
      <c r="AH260" s="2" t="str">
        <f ca="1"/>
        <v>Bad</v>
      </c>
    </row>
    <row r="261" spans="2:34" x14ac:dyDescent="0.2">
      <c r="B261" s="2">
        <f ca="1"/>
        <v>0.33619610059908056</v>
      </c>
      <c r="O261" s="2">
        <f ca="1"/>
        <v>0.4951140125991696</v>
      </c>
      <c r="X261" s="2">
        <f ca="1"/>
        <v>32.928342810316828</v>
      </c>
      <c r="AG261" s="2">
        <f ca="1"/>
        <v>0.49848300455419814</v>
      </c>
      <c r="AH261" s="2" t="str">
        <f ca="1"/>
        <v>Bad</v>
      </c>
    </row>
    <row r="262" spans="2:34" x14ac:dyDescent="0.2">
      <c r="B262" s="2">
        <f ca="1"/>
        <v>0.92069341427643625</v>
      </c>
      <c r="O262" s="2">
        <f ca="1"/>
        <v>0.10804004417652632</v>
      </c>
      <c r="X262" s="2">
        <f ca="1"/>
        <v>56.984510546305401</v>
      </c>
      <c r="AG262" s="2">
        <f ca="1"/>
        <v>7.6295870402708799E-2</v>
      </c>
      <c r="AH262" s="2" t="str">
        <f ca="1"/>
        <v>OK</v>
      </c>
    </row>
    <row r="263" spans="2:34" x14ac:dyDescent="0.2">
      <c r="B263" s="2">
        <f ca="1"/>
        <v>0.6692124143339564</v>
      </c>
      <c r="O263" s="2">
        <f ca="1"/>
        <v>1.3589957330168638</v>
      </c>
      <c r="X263" s="2">
        <f ca="1"/>
        <v>33.129335850719187</v>
      </c>
      <c r="AG263" s="2">
        <f ca="1"/>
        <v>0.80464634739027674</v>
      </c>
      <c r="AH263" s="2" t="str">
        <f ca="1"/>
        <v>Bad</v>
      </c>
    </row>
    <row r="264" spans="2:34" x14ac:dyDescent="0.2">
      <c r="B264" s="2">
        <f ca="1"/>
        <v>0.11593696196795045</v>
      </c>
      <c r="O264" s="2">
        <f ca="1"/>
        <v>0.31761657427674372</v>
      </c>
      <c r="X264" s="2">
        <f ca="1"/>
        <v>45.361063487894384</v>
      </c>
      <c r="AG264" s="2">
        <f ca="1"/>
        <v>0.72314218360234706</v>
      </c>
      <c r="AH264" s="2" t="str">
        <f ca="1"/>
        <v>Bad</v>
      </c>
    </row>
    <row r="265" spans="2:34" x14ac:dyDescent="0.2">
      <c r="B265" s="2">
        <f ca="1"/>
        <v>0.82419490735346668</v>
      </c>
      <c r="O265" s="2">
        <f ca="1"/>
        <v>1.3965152053517891</v>
      </c>
      <c r="X265" s="2">
        <f ca="1"/>
        <v>68.728949608115698</v>
      </c>
      <c r="AG265" s="2">
        <f ca="1"/>
        <v>0.37201332703157175</v>
      </c>
      <c r="AH265" s="2" t="str">
        <f ca="1"/>
        <v>OK</v>
      </c>
    </row>
    <row r="266" spans="2:34" x14ac:dyDescent="0.2">
      <c r="B266" s="2">
        <f ca="1"/>
        <v>0.20117241717598433</v>
      </c>
      <c r="O266" s="2">
        <f ca="1"/>
        <v>8.7767665943573964E-2</v>
      </c>
      <c r="X266" s="2">
        <f ca="1"/>
        <v>24.971705660690695</v>
      </c>
      <c r="AG266" s="2">
        <f ca="1"/>
        <v>0.64092345694432895</v>
      </c>
      <c r="AH266" s="2" t="str">
        <f ca="1"/>
        <v>Bad</v>
      </c>
    </row>
    <row r="267" spans="2:34" x14ac:dyDescent="0.2">
      <c r="B267" s="2">
        <f ca="1"/>
        <v>0.38390931521410443</v>
      </c>
      <c r="O267" s="2">
        <f ca="1"/>
        <v>1.0012716953003848</v>
      </c>
      <c r="X267" s="2">
        <f ca="1"/>
        <v>55.172179536603949</v>
      </c>
      <c r="AG267" s="2">
        <f ca="1"/>
        <v>0.66426908455101175</v>
      </c>
      <c r="AH267" s="2" t="str">
        <f ca="1"/>
        <v>Bad</v>
      </c>
    </row>
    <row r="268" spans="2:34" x14ac:dyDescent="0.2">
      <c r="B268" s="2">
        <f ca="1"/>
        <v>9.2411064154183542E-2</v>
      </c>
      <c r="O268" s="2">
        <f ca="1"/>
        <v>0.94125145365692242</v>
      </c>
      <c r="X268" s="2">
        <f ca="1"/>
        <v>54.084005301019218</v>
      </c>
      <c r="AG268" s="2">
        <f ca="1"/>
        <v>0.49524308133294581</v>
      </c>
      <c r="AH268" s="2" t="str">
        <f ca="1"/>
        <v>Bad</v>
      </c>
    </row>
    <row r="269" spans="2:34" x14ac:dyDescent="0.2">
      <c r="B269" s="2">
        <f ca="1"/>
        <v>0.44225824252616741</v>
      </c>
      <c r="O269" s="2">
        <f ca="1"/>
        <v>-1.8107785931964457</v>
      </c>
      <c r="X269" s="2">
        <f ca="1"/>
        <v>41.737147080999989</v>
      </c>
      <c r="AG269" s="2">
        <f ca="1"/>
        <v>5.9180455384868935E-2</v>
      </c>
      <c r="AH269" s="2" t="str">
        <f ca="1"/>
        <v>OK</v>
      </c>
    </row>
    <row r="270" spans="2:34" x14ac:dyDescent="0.2">
      <c r="B270" s="2">
        <f ca="1"/>
        <v>0.12341506434279625</v>
      </c>
      <c r="O270" s="2">
        <f ca="1"/>
        <v>1.7465323391422325</v>
      </c>
      <c r="X270" s="2">
        <f ca="1"/>
        <v>75.34594057476545</v>
      </c>
      <c r="AG270" s="2">
        <f ca="1"/>
        <v>0.25977325215001956</v>
      </c>
      <c r="AH270" s="2" t="str">
        <f ca="1"/>
        <v>OK</v>
      </c>
    </row>
    <row r="271" spans="2:34" x14ac:dyDescent="0.2">
      <c r="B271" s="2">
        <f ca="1"/>
        <v>0.13561994138420119</v>
      </c>
      <c r="O271" s="2">
        <f ca="1"/>
        <v>-0.81492603038009337</v>
      </c>
      <c r="X271" s="2">
        <f ca="1"/>
        <v>59.367502327328658</v>
      </c>
      <c r="AG271" s="2">
        <f ca="1"/>
        <v>0.4779843620573514</v>
      </c>
      <c r="AH271" s="2" t="str">
        <f ca="1"/>
        <v>Bad</v>
      </c>
    </row>
    <row r="272" spans="2:34" x14ac:dyDescent="0.2">
      <c r="B272" s="2">
        <f ca="1"/>
        <v>0.75863042520082735</v>
      </c>
      <c r="O272" s="2">
        <f ca="1"/>
        <v>6.0143477681882086E-2</v>
      </c>
      <c r="X272" s="2">
        <f ca="1"/>
        <v>56.300320701588696</v>
      </c>
      <c r="AG272" s="2">
        <f ca="1"/>
        <v>0.70597000306340418</v>
      </c>
      <c r="AH272" s="2" t="str">
        <f ca="1"/>
        <v>Bad</v>
      </c>
    </row>
    <row r="273" spans="2:34" x14ac:dyDescent="0.2">
      <c r="B273" s="2">
        <f ca="1"/>
        <v>0.86859389769255557</v>
      </c>
      <c r="O273" s="2">
        <f ca="1"/>
        <v>0.26661545873011672</v>
      </c>
      <c r="X273" s="2">
        <f ca="1"/>
        <v>43.022748089448314</v>
      </c>
      <c r="AG273" s="2">
        <f ca="1"/>
        <v>7.5172789639117221E-2</v>
      </c>
      <c r="AH273" s="2" t="str">
        <f ca="1"/>
        <v>OK</v>
      </c>
    </row>
    <row r="274" spans="2:34" x14ac:dyDescent="0.2">
      <c r="B274" s="2">
        <f ca="1"/>
        <v>0.55844512883152708</v>
      </c>
      <c r="O274" s="2">
        <f ca="1"/>
        <v>-1.5027785081589378</v>
      </c>
      <c r="X274" s="2">
        <f ca="1"/>
        <v>29.672619927500307</v>
      </c>
      <c r="AG274" s="2">
        <f ca="1"/>
        <v>0.26466178042453592</v>
      </c>
      <c r="AH274" s="2" t="str">
        <f ca="1"/>
        <v>OK</v>
      </c>
    </row>
    <row r="275" spans="2:34" x14ac:dyDescent="0.2">
      <c r="B275" s="2">
        <f ca="1"/>
        <v>0.29362578045843013</v>
      </c>
      <c r="O275" s="2">
        <f ca="1"/>
        <v>-1.8148669278987859</v>
      </c>
      <c r="X275" s="2">
        <f ca="1"/>
        <v>50.61075572735885</v>
      </c>
      <c r="AG275" s="2">
        <f ca="1"/>
        <v>0.38464226268227919</v>
      </c>
      <c r="AH275" s="2" t="str">
        <f ca="1"/>
        <v>OK</v>
      </c>
    </row>
    <row r="276" spans="2:34" x14ac:dyDescent="0.2">
      <c r="B276" s="2">
        <f ca="1"/>
        <v>0.15241247803660718</v>
      </c>
      <c r="O276" s="2">
        <f ca="1"/>
        <v>-0.54752228516444879</v>
      </c>
      <c r="X276" s="2">
        <f ca="1"/>
        <v>54.002593070623149</v>
      </c>
      <c r="AG276" s="2">
        <f ca="1"/>
        <v>0.82267437693676171</v>
      </c>
      <c r="AH276" s="2" t="str">
        <f ca="1"/>
        <v>Bad</v>
      </c>
    </row>
    <row r="277" spans="2:34" x14ac:dyDescent="0.2">
      <c r="B277" s="2">
        <f ca="1"/>
        <v>0.77393593741406397</v>
      </c>
      <c r="O277" s="2">
        <f ca="1"/>
        <v>0.42884112569610189</v>
      </c>
      <c r="X277" s="2">
        <f ca="1"/>
        <v>53.444507651915643</v>
      </c>
      <c r="AG277" s="2">
        <f ca="1"/>
        <v>0.88394748512845656</v>
      </c>
      <c r="AH277" s="2" t="str">
        <f ca="1"/>
        <v>Bad</v>
      </c>
    </row>
    <row r="278" spans="2:34" x14ac:dyDescent="0.2">
      <c r="B278" s="2">
        <f ca="1"/>
        <v>0.109023050598414</v>
      </c>
      <c r="O278" s="2">
        <f ca="1"/>
        <v>-0.85837438415792611</v>
      </c>
      <c r="X278" s="2">
        <f ca="1"/>
        <v>60.0174919465762</v>
      </c>
      <c r="AG278" s="2">
        <f ca="1"/>
        <v>0.92048820608921589</v>
      </c>
      <c r="AH278" s="2" t="str">
        <f ca="1"/>
        <v>Bad</v>
      </c>
    </row>
    <row r="279" spans="2:34" x14ac:dyDescent="0.2">
      <c r="B279" s="2">
        <f ca="1"/>
        <v>0.21633804683170554</v>
      </c>
      <c r="O279" s="2">
        <f ca="1"/>
        <v>-1.1956615537003157</v>
      </c>
      <c r="X279" s="2">
        <f ca="1"/>
        <v>49.426624429629165</v>
      </c>
      <c r="AG279" s="2">
        <f ca="1"/>
        <v>0.47435279079570347</v>
      </c>
      <c r="AH279" s="2" t="str">
        <f ca="1"/>
        <v>Bad</v>
      </c>
    </row>
    <row r="280" spans="2:34" x14ac:dyDescent="0.2">
      <c r="B280" s="2">
        <f ca="1"/>
        <v>0.46437128038819231</v>
      </c>
      <c r="O280" s="2">
        <f ca="1"/>
        <v>1.3333338922331601</v>
      </c>
      <c r="X280" s="2">
        <f ca="1"/>
        <v>61.941993409091353</v>
      </c>
      <c r="AG280" s="2">
        <f ca="1"/>
        <v>0.12302653823024912</v>
      </c>
      <c r="AH280" s="2" t="str">
        <f ca="1"/>
        <v>OK</v>
      </c>
    </row>
    <row r="281" spans="2:34" x14ac:dyDescent="0.2">
      <c r="B281" s="2">
        <f ca="1"/>
        <v>0.61870607611888873</v>
      </c>
      <c r="O281" s="2">
        <f ca="1"/>
        <v>-0.14112015202748598</v>
      </c>
      <c r="X281" s="2">
        <f ca="1"/>
        <v>63.323098666512756</v>
      </c>
      <c r="AG281" s="2">
        <f ca="1"/>
        <v>0.31210873266532491</v>
      </c>
      <c r="AH281" s="2" t="str">
        <f ca="1"/>
        <v>OK</v>
      </c>
    </row>
    <row r="282" spans="2:34" x14ac:dyDescent="0.2">
      <c r="B282" s="2">
        <f ca="1"/>
        <v>0.16082849049771064</v>
      </c>
      <c r="O282" s="2">
        <f ca="1"/>
        <v>-0.35702915437936245</v>
      </c>
      <c r="X282" s="2">
        <f ca="1"/>
        <v>88.052175447459717</v>
      </c>
      <c r="AG282" s="2">
        <f ca="1"/>
        <v>0.86324914697051125</v>
      </c>
      <c r="AH282" s="2" t="str">
        <f ca="1"/>
        <v>Bad</v>
      </c>
    </row>
    <row r="283" spans="2:34" x14ac:dyDescent="0.2">
      <c r="B283" s="2">
        <f ca="1"/>
        <v>0.49449314683967183</v>
      </c>
      <c r="O283" s="2">
        <f ca="1"/>
        <v>-0.88561947600490432</v>
      </c>
      <c r="X283" s="2">
        <f ca="1"/>
        <v>52.05312418669601</v>
      </c>
      <c r="AG283" s="2">
        <f ca="1"/>
        <v>0.39632840609352549</v>
      </c>
      <c r="AH283" s="2" t="str">
        <f ca="1"/>
        <v>OK</v>
      </c>
    </row>
    <row r="284" spans="2:34" x14ac:dyDescent="0.2">
      <c r="B284" s="2">
        <f ca="1"/>
        <v>0.34380093256557642</v>
      </c>
      <c r="O284" s="2">
        <f ca="1"/>
        <v>1.2713994066820058</v>
      </c>
      <c r="X284" s="2">
        <f ca="1"/>
        <v>54.140817376519678</v>
      </c>
      <c r="AG284" s="2">
        <f ca="1"/>
        <v>0.51751579752281573</v>
      </c>
      <c r="AH284" s="2" t="str">
        <f ca="1"/>
        <v>Bad</v>
      </c>
    </row>
    <row r="285" spans="2:34" x14ac:dyDescent="0.2">
      <c r="B285" s="2">
        <f ca="1"/>
        <v>0.19120329070548592</v>
      </c>
      <c r="O285" s="2">
        <f ca="1"/>
        <v>1.3693314668945875</v>
      </c>
      <c r="X285" s="2">
        <f ca="1"/>
        <v>39.493314057638827</v>
      </c>
      <c r="AG285" s="2">
        <f ca="1"/>
        <v>0.95502632917613872</v>
      </c>
      <c r="AH285" s="2" t="str">
        <f ca="1"/>
        <v>Bad</v>
      </c>
    </row>
    <row r="286" spans="2:34" x14ac:dyDescent="0.2">
      <c r="B286" s="2">
        <f ca="1"/>
        <v>5.9153324288552911E-2</v>
      </c>
      <c r="O286" s="2">
        <f ca="1"/>
        <v>0.55365813570940492</v>
      </c>
      <c r="X286" s="2">
        <f ca="1"/>
        <v>39.030622051803704</v>
      </c>
      <c r="AG286" s="2">
        <f ca="1"/>
        <v>0.61049671380960735</v>
      </c>
      <c r="AH286" s="2" t="str">
        <f ca="1"/>
        <v>Bad</v>
      </c>
    </row>
    <row r="287" spans="2:34" x14ac:dyDescent="0.2">
      <c r="B287" s="2">
        <f ca="1"/>
        <v>0.83917162277521773</v>
      </c>
      <c r="O287" s="2">
        <f ca="1"/>
        <v>1.7655060064128689</v>
      </c>
      <c r="X287" s="2">
        <f ca="1"/>
        <v>64.14979980865715</v>
      </c>
      <c r="AG287" s="2">
        <f ca="1"/>
        <v>0.31074730765599146</v>
      </c>
      <c r="AH287" s="2" t="str">
        <f ca="1"/>
        <v>OK</v>
      </c>
    </row>
    <row r="288" spans="2:34" x14ac:dyDescent="0.2">
      <c r="B288" s="2">
        <f ca="1"/>
        <v>0.62613463006286896</v>
      </c>
      <c r="O288" s="2">
        <f ca="1"/>
        <v>-0.22325960325622163</v>
      </c>
      <c r="X288" s="2">
        <f ca="1"/>
        <v>43.477884498710857</v>
      </c>
      <c r="AG288" s="2">
        <f ca="1"/>
        <v>0.53472349820657761</v>
      </c>
      <c r="AH288" s="2" t="str">
        <f ca="1"/>
        <v>Bad</v>
      </c>
    </row>
    <row r="289" spans="2:34" x14ac:dyDescent="0.2">
      <c r="B289" s="2">
        <f ca="1"/>
        <v>0.28808650939276559</v>
      </c>
      <c r="O289" s="2">
        <f ca="1"/>
        <v>0.31486488931228607</v>
      </c>
      <c r="X289" s="2">
        <f ca="1"/>
        <v>32.953622639092728</v>
      </c>
      <c r="AG289" s="2">
        <f ca="1"/>
        <v>0.88069025450664151</v>
      </c>
      <c r="AH289" s="2" t="str">
        <f ca="1"/>
        <v>Bad</v>
      </c>
    </row>
    <row r="290" spans="2:34" x14ac:dyDescent="0.2">
      <c r="B290" s="2">
        <f ca="1"/>
        <v>0.25497391342693132</v>
      </c>
      <c r="O290" s="2">
        <f ca="1"/>
        <v>6.4012444547749014E-2</v>
      </c>
      <c r="X290" s="2">
        <f ca="1"/>
        <v>34.941302594954976</v>
      </c>
      <c r="AG290" s="2">
        <f ca="1"/>
        <v>0.64554644207030387</v>
      </c>
      <c r="AH290" s="2" t="str">
        <f ca="1"/>
        <v>Bad</v>
      </c>
    </row>
    <row r="291" spans="2:34" x14ac:dyDescent="0.2">
      <c r="B291" s="2">
        <f ca="1"/>
        <v>0.18532606186223677</v>
      </c>
      <c r="O291" s="2">
        <f ca="1"/>
        <v>1.9044057560076042</v>
      </c>
      <c r="X291" s="2">
        <f ca="1"/>
        <v>42.768947288274518</v>
      </c>
      <c r="AG291" s="2">
        <f ca="1"/>
        <v>0.37414008462778003</v>
      </c>
      <c r="AH291" s="2" t="str">
        <f ca="1"/>
        <v>OK</v>
      </c>
    </row>
    <row r="292" spans="2:34" x14ac:dyDescent="0.2">
      <c r="B292" s="2">
        <f ca="1"/>
        <v>0.60815880089230534</v>
      </c>
      <c r="O292" s="2">
        <f ca="1"/>
        <v>-0.37190263623666081</v>
      </c>
      <c r="X292" s="2">
        <f ca="1"/>
        <v>60.873047666147208</v>
      </c>
      <c r="AG292" s="2">
        <f ca="1"/>
        <v>0.61683208180594273</v>
      </c>
      <c r="AH292" s="2" t="str">
        <f ca="1"/>
        <v>Bad</v>
      </c>
    </row>
    <row r="293" spans="2:34" x14ac:dyDescent="0.2">
      <c r="B293" s="2">
        <f ca="1"/>
        <v>0.35247005343416249</v>
      </c>
      <c r="O293" s="2">
        <f ca="1"/>
        <v>-0.92327848149216818</v>
      </c>
      <c r="X293" s="2">
        <f ca="1"/>
        <v>57.369272509803515</v>
      </c>
      <c r="AG293" s="2">
        <f ca="1"/>
        <v>0.95220093705661513</v>
      </c>
      <c r="AH293" s="2" t="str">
        <f ca="1"/>
        <v>Bad</v>
      </c>
    </row>
    <row r="294" spans="2:34" x14ac:dyDescent="0.2">
      <c r="B294" s="2">
        <f ca="1"/>
        <v>7.6370361691165733E-2</v>
      </c>
      <c r="O294" s="2">
        <f ca="1"/>
        <v>1.0714776001474142</v>
      </c>
      <c r="X294" s="2">
        <f ca="1"/>
        <v>47.986161385081914</v>
      </c>
      <c r="AG294" s="2">
        <f ca="1"/>
        <v>0.62697605982317639</v>
      </c>
      <c r="AH294" s="2" t="str">
        <f ca="1"/>
        <v>Bad</v>
      </c>
    </row>
    <row r="295" spans="2:34" x14ac:dyDescent="0.2">
      <c r="B295" s="2">
        <f ca="1"/>
        <v>0.14311928458920042</v>
      </c>
      <c r="O295" s="2">
        <f ca="1"/>
        <v>0.69510352895396177</v>
      </c>
      <c r="X295" s="2">
        <f ca="1"/>
        <v>57.633980314034659</v>
      </c>
      <c r="AG295" s="2">
        <f ca="1"/>
        <v>0.96742013085561096</v>
      </c>
      <c r="AH295" s="2" t="str">
        <f ca="1"/>
        <v>Bad</v>
      </c>
    </row>
    <row r="296" spans="2:34" x14ac:dyDescent="0.2">
      <c r="B296" s="2">
        <f ca="1"/>
        <v>9.8884588294995579E-2</v>
      </c>
      <c r="O296" s="2">
        <f ca="1"/>
        <v>1.144019277702405</v>
      </c>
      <c r="X296" s="2">
        <f ca="1"/>
        <v>48.076521443627499</v>
      </c>
      <c r="AG296" s="2">
        <f ca="1"/>
        <v>0.30450188175830983</v>
      </c>
      <c r="AH296" s="2" t="str">
        <f ca="1"/>
        <v>OK</v>
      </c>
    </row>
    <row r="297" spans="2:34" x14ac:dyDescent="0.2">
      <c r="B297" s="2">
        <f ca="1"/>
        <v>0.65060706350032005</v>
      </c>
      <c r="O297" s="2">
        <f ca="1"/>
        <v>1.4677515436141526</v>
      </c>
      <c r="X297" s="2">
        <f ca="1"/>
        <v>51.177331237090456</v>
      </c>
      <c r="AG297" s="2">
        <f ca="1"/>
        <v>0.75633513872675673</v>
      </c>
      <c r="AH297" s="2" t="str">
        <f ca="1"/>
        <v>Bad</v>
      </c>
    </row>
    <row r="298" spans="2:34" x14ac:dyDescent="0.2">
      <c r="B298" s="2">
        <f ca="1"/>
        <v>0.76956412507971872</v>
      </c>
      <c r="O298" s="2">
        <f ca="1"/>
        <v>-1.8123303127409343</v>
      </c>
      <c r="X298" s="2">
        <f ca="1"/>
        <v>86.022315317376936</v>
      </c>
      <c r="AG298" s="2">
        <f ca="1"/>
        <v>0.83305537344668834</v>
      </c>
      <c r="AH298" s="2" t="str">
        <f ca="1"/>
        <v>Bad</v>
      </c>
    </row>
    <row r="299" spans="2:34" x14ac:dyDescent="0.2">
      <c r="B299" s="2">
        <f ca="1"/>
        <v>0.68556998249765733</v>
      </c>
      <c r="O299" s="2">
        <f ca="1"/>
        <v>0.28803410906294741</v>
      </c>
      <c r="X299" s="2">
        <f ca="1"/>
        <v>41.855526858236445</v>
      </c>
      <c r="AG299" s="2">
        <f ca="1"/>
        <v>0.32733169669029261</v>
      </c>
      <c r="AH299" s="2" t="str">
        <f ca="1"/>
        <v>OK</v>
      </c>
    </row>
    <row r="300" spans="2:34" x14ac:dyDescent="0.2">
      <c r="B300" s="2">
        <f ca="1"/>
        <v>2.7940961173354983E-2</v>
      </c>
      <c r="O300" s="2">
        <f ca="1"/>
        <v>-0.67173662850695504</v>
      </c>
      <c r="X300" s="2">
        <f ca="1"/>
        <v>30.819773257601693</v>
      </c>
      <c r="AG300" s="2">
        <f ca="1"/>
        <v>0.11958623770704579</v>
      </c>
      <c r="AH300" s="2" t="str">
        <f ca="1"/>
        <v>OK</v>
      </c>
    </row>
    <row r="301" spans="2:34" x14ac:dyDescent="0.2">
      <c r="B301" s="2">
        <f ca="1"/>
        <v>0.76332534289873677</v>
      </c>
      <c r="O301" s="2">
        <f ca="1"/>
        <v>1.5844672151718437</v>
      </c>
      <c r="X301" s="2">
        <f ca="1"/>
        <v>54.461524122330552</v>
      </c>
      <c r="AG301" s="2">
        <f ca="1"/>
        <v>0.95416890593547543</v>
      </c>
      <c r="AH301" s="2" t="str">
        <f ca="1"/>
        <v>Bad</v>
      </c>
    </row>
    <row r="302" spans="2:34" x14ac:dyDescent="0.2">
      <c r="B302" s="2">
        <f ca="1"/>
        <v>0.56382624490941535</v>
      </c>
      <c r="O302" s="2">
        <f ca="1"/>
        <v>1.4266972757204759</v>
      </c>
      <c r="X302" s="2">
        <f ca="1"/>
        <v>69.073327289891282</v>
      </c>
      <c r="AG302" s="2">
        <f ca="1"/>
        <v>0.3858206777507609</v>
      </c>
      <c r="AH302" s="2" t="str">
        <f ca="1"/>
        <v>OK</v>
      </c>
    </row>
    <row r="303" spans="2:34" x14ac:dyDescent="0.2">
      <c r="B303" s="2">
        <f ca="1"/>
        <v>0.22439929323012953</v>
      </c>
      <c r="O303" s="2">
        <f ca="1"/>
        <v>0.58524087445138018</v>
      </c>
      <c r="X303" s="2">
        <f ca="1"/>
        <v>79.946722409199566</v>
      </c>
      <c r="AG303" s="2">
        <f ca="1"/>
        <v>0.57433461047817791</v>
      </c>
      <c r="AH303" s="2" t="str">
        <f ca="1"/>
        <v>Bad</v>
      </c>
    </row>
    <row r="304" spans="2:34" x14ac:dyDescent="0.2">
      <c r="B304" s="2">
        <f ca="1"/>
        <v>0.99900544367486366</v>
      </c>
      <c r="O304" s="2">
        <f ca="1"/>
        <v>0.1213624935019039</v>
      </c>
      <c r="X304" s="2">
        <f ca="1"/>
        <v>40.670122336578601</v>
      </c>
      <c r="AG304" s="2">
        <f ca="1"/>
        <v>0.16616637383388722</v>
      </c>
      <c r="AH304" s="2" t="str">
        <f ca="1"/>
        <v>OK</v>
      </c>
    </row>
    <row r="305" spans="2:34" x14ac:dyDescent="0.2">
      <c r="B305" s="2">
        <f ca="1"/>
        <v>0.45220701706754185</v>
      </c>
      <c r="O305" s="2">
        <f ca="1"/>
        <v>-0.4336264985352995</v>
      </c>
      <c r="X305" s="2">
        <f ca="1"/>
        <v>56.372893447051098</v>
      </c>
      <c r="AG305" s="2">
        <f ca="1"/>
        <v>0.30402190528873496</v>
      </c>
      <c r="AH305" s="2" t="str">
        <f ca="1"/>
        <v>OK</v>
      </c>
    </row>
    <row r="306" spans="2:34" x14ac:dyDescent="0.2">
      <c r="B306" s="2">
        <f ca="1"/>
        <v>0.40234682040746472</v>
      </c>
      <c r="O306" s="2">
        <f ca="1"/>
        <v>1.4096203159044161</v>
      </c>
      <c r="X306" s="2">
        <f ca="1"/>
        <v>62.262238170694218</v>
      </c>
      <c r="AG306" s="2">
        <f ca="1"/>
        <v>4.5693016510079953E-2</v>
      </c>
      <c r="AH306" s="2" t="str">
        <f ca="1"/>
        <v>Good</v>
      </c>
    </row>
    <row r="307" spans="2:34" x14ac:dyDescent="0.2">
      <c r="B307" s="2">
        <f ca="1"/>
        <v>0.69239188628844284</v>
      </c>
      <c r="O307" s="2">
        <f ca="1"/>
        <v>-8.2768799891976053E-2</v>
      </c>
      <c r="X307" s="2">
        <f ca="1"/>
        <v>30.017155766432243</v>
      </c>
      <c r="AG307" s="2">
        <f ca="1"/>
        <v>0.57215386961026971</v>
      </c>
      <c r="AH307" s="2" t="str">
        <f ca="1"/>
        <v>Bad</v>
      </c>
    </row>
    <row r="308" spans="2:34" x14ac:dyDescent="0.2">
      <c r="B308" s="2">
        <f ca="1"/>
        <v>0.5127459520206672</v>
      </c>
      <c r="O308" s="2">
        <f ca="1"/>
        <v>-3.0165095971251221E-2</v>
      </c>
      <c r="X308" s="2">
        <f ca="1"/>
        <v>51.181112884137427</v>
      </c>
      <c r="AG308" s="2">
        <f ca="1"/>
        <v>0.88484689903725888</v>
      </c>
      <c r="AH308" s="2" t="str">
        <f ca="1"/>
        <v>Bad</v>
      </c>
    </row>
    <row r="309" spans="2:34" x14ac:dyDescent="0.2">
      <c r="B309" s="2">
        <f ca="1"/>
        <v>0.36358310374166325</v>
      </c>
      <c r="O309" s="2">
        <f ca="1"/>
        <v>2.4906777277224386</v>
      </c>
      <c r="X309" s="2">
        <f ca="1"/>
        <v>52.289231583177255</v>
      </c>
      <c r="AG309" s="2">
        <f ca="1"/>
        <v>0.89537689816435106</v>
      </c>
      <c r="AH309" s="2" t="str">
        <f ca="1"/>
        <v>Bad</v>
      </c>
    </row>
    <row r="310" spans="2:34" x14ac:dyDescent="0.2">
      <c r="B310" s="2">
        <f ca="1"/>
        <v>0.79338168825879007</v>
      </c>
      <c r="O310" s="2">
        <f ca="1"/>
        <v>-0.29423571405388527</v>
      </c>
      <c r="X310" s="2">
        <f ca="1"/>
        <v>30.24378094380878</v>
      </c>
      <c r="AG310" s="2">
        <f ca="1"/>
        <v>0.65297106965142548</v>
      </c>
      <c r="AH310" s="2" t="str">
        <f ca="1"/>
        <v>Bad</v>
      </c>
    </row>
    <row r="311" spans="2:34" x14ac:dyDescent="0.2">
      <c r="B311" s="2">
        <f ca="1"/>
        <v>0.79656520274681442</v>
      </c>
      <c r="O311" s="2">
        <f ca="1"/>
        <v>-5.0440924261355893E-2</v>
      </c>
      <c r="X311" s="2">
        <f ca="1"/>
        <v>39.794160701302793</v>
      </c>
      <c r="AG311" s="2">
        <f ca="1"/>
        <v>1.4761206277589478E-2</v>
      </c>
      <c r="AH311" s="2" t="str">
        <f ca="1"/>
        <v>Good</v>
      </c>
    </row>
    <row r="312" spans="2:34" x14ac:dyDescent="0.2">
      <c r="B312" s="2">
        <f ca="1"/>
        <v>0.24181646648165644</v>
      </c>
      <c r="O312" s="2">
        <f ca="1"/>
        <v>1.8714635972295575</v>
      </c>
      <c r="X312" s="2">
        <f ca="1"/>
        <v>53.48212714961992</v>
      </c>
      <c r="AG312" s="2">
        <f ca="1"/>
        <v>9.2207786483122778E-2</v>
      </c>
      <c r="AH312" s="2" t="str">
        <f ca="1"/>
        <v>OK</v>
      </c>
    </row>
    <row r="313" spans="2:34" x14ac:dyDescent="0.2">
      <c r="B313" s="2">
        <f ca="1"/>
        <v>0.76788419874992031</v>
      </c>
      <c r="O313" s="2">
        <f ca="1"/>
        <v>-0.57557394146740704</v>
      </c>
      <c r="X313" s="2">
        <f ca="1"/>
        <v>50.762431013043695</v>
      </c>
      <c r="AG313" s="2">
        <f ca="1"/>
        <v>0.12006579273321116</v>
      </c>
      <c r="AH313" s="2" t="str">
        <f ca="1"/>
        <v>OK</v>
      </c>
    </row>
    <row r="314" spans="2:34" x14ac:dyDescent="0.2">
      <c r="B314" s="2">
        <f ca="1"/>
        <v>0.50431014496948845</v>
      </c>
      <c r="O314" s="2">
        <f ca="1"/>
        <v>-0.22525756831634425</v>
      </c>
      <c r="X314" s="2">
        <f ca="1"/>
        <v>70.858525034299134</v>
      </c>
      <c r="AG314" s="2">
        <f ca="1"/>
        <v>0.32338007089097354</v>
      </c>
      <c r="AH314" s="2" t="str">
        <f ca="1"/>
        <v>OK</v>
      </c>
    </row>
    <row r="315" spans="2:34" x14ac:dyDescent="0.2">
      <c r="B315" s="2">
        <f ca="1"/>
        <v>0.13066320523375907</v>
      </c>
      <c r="O315" s="2">
        <f ca="1"/>
        <v>-0.93628579068327378</v>
      </c>
      <c r="X315" s="2">
        <f ca="1"/>
        <v>55.472440550407626</v>
      </c>
      <c r="AG315" s="2">
        <f ca="1"/>
        <v>0.70047088479030606</v>
      </c>
      <c r="AH315" s="2" t="str">
        <f ca="1"/>
        <v>Bad</v>
      </c>
    </row>
    <row r="316" spans="2:34" x14ac:dyDescent="0.2">
      <c r="B316" s="2">
        <f ca="1"/>
        <v>0.79554261047127683</v>
      </c>
      <c r="O316" s="2">
        <f ca="1"/>
        <v>-7.2090454778960075E-2</v>
      </c>
      <c r="X316" s="2">
        <f ca="1"/>
        <v>46.106411997257368</v>
      </c>
      <c r="AG316" s="2">
        <f ca="1"/>
        <v>0.23492047017400464</v>
      </c>
      <c r="AH316" s="2" t="str">
        <f ca="1"/>
        <v>OK</v>
      </c>
    </row>
    <row r="317" spans="2:34" x14ac:dyDescent="0.2">
      <c r="B317" s="2">
        <f ca="1"/>
        <v>0.56661919553116724</v>
      </c>
      <c r="O317" s="2">
        <f ca="1"/>
        <v>0.25862096903574555</v>
      </c>
      <c r="X317" s="2">
        <f ca="1"/>
        <v>51.464303335372136</v>
      </c>
      <c r="AG317" s="2">
        <f ca="1"/>
        <v>0.96613506119075843</v>
      </c>
      <c r="AH317" s="2" t="str">
        <f ca="1"/>
        <v>Bad</v>
      </c>
    </row>
    <row r="318" spans="2:34" x14ac:dyDescent="0.2">
      <c r="B318" s="2">
        <f ca="1"/>
        <v>0.95143734341081077</v>
      </c>
      <c r="O318" s="2">
        <f ca="1"/>
        <v>-1.0363800678273423</v>
      </c>
      <c r="X318" s="2">
        <f ca="1"/>
        <v>93.957562824812996</v>
      </c>
      <c r="AG318" s="2">
        <f ca="1"/>
        <v>0.57112010934074564</v>
      </c>
      <c r="AH318" s="2" t="str">
        <f ca="1"/>
        <v>Bad</v>
      </c>
    </row>
    <row r="319" spans="2:34" x14ac:dyDescent="0.2">
      <c r="B319" s="2">
        <f ca="1"/>
        <v>0.187276376597173</v>
      </c>
      <c r="O319" s="2">
        <f ca="1"/>
        <v>1.295916443750146</v>
      </c>
      <c r="X319" s="2">
        <f ca="1"/>
        <v>39.233433311906587</v>
      </c>
      <c r="AG319" s="2">
        <f ca="1"/>
        <v>0.50464877368667649</v>
      </c>
      <c r="AH319" s="2" t="str">
        <f ca="1"/>
        <v>Bad</v>
      </c>
    </row>
    <row r="320" spans="2:34" x14ac:dyDescent="0.2">
      <c r="B320" s="2">
        <f ca="1"/>
        <v>0.76401112362586576</v>
      </c>
      <c r="O320" s="2">
        <f ca="1"/>
        <v>0.48386681576444768</v>
      </c>
      <c r="X320" s="2">
        <f ca="1"/>
        <v>60.629993233425495</v>
      </c>
      <c r="AG320" s="2">
        <f ca="1"/>
        <v>0.19897027307796455</v>
      </c>
      <c r="AH320" s="2" t="str">
        <f ca="1"/>
        <v>OK</v>
      </c>
    </row>
    <row r="321" spans="2:34" x14ac:dyDescent="0.2">
      <c r="B321" s="2">
        <f ca="1"/>
        <v>0.25906381002488321</v>
      </c>
      <c r="O321" s="2">
        <f ca="1"/>
        <v>-0.56458897768778948</v>
      </c>
      <c r="X321" s="2">
        <f ca="1"/>
        <v>54.49279753556236</v>
      </c>
      <c r="AG321" s="2">
        <f ca="1"/>
        <v>0.89289622358663756</v>
      </c>
      <c r="AH321" s="2" t="str">
        <f ca="1"/>
        <v>Bad</v>
      </c>
    </row>
    <row r="322" spans="2:34" x14ac:dyDescent="0.2">
      <c r="B322" s="2">
        <f ca="1"/>
        <v>0.87248378024572082</v>
      </c>
      <c r="O322" s="2">
        <f ca="1"/>
        <v>0.19587441583164467</v>
      </c>
      <c r="X322" s="2">
        <f ca="1"/>
        <v>58.574480834821713</v>
      </c>
      <c r="AG322" s="2">
        <f ca="1"/>
        <v>0.81074422739142515</v>
      </c>
      <c r="AH322" s="2" t="str">
        <f ca="1"/>
        <v>Bad</v>
      </c>
    </row>
    <row r="323" spans="2:34" x14ac:dyDescent="0.2">
      <c r="B323" s="2">
        <f ca="1"/>
        <v>0.5892954231668035</v>
      </c>
      <c r="O323" s="2">
        <f ca="1"/>
        <v>-0.4882861865248676</v>
      </c>
      <c r="X323" s="2">
        <f ca="1"/>
        <v>65.16212106074201</v>
      </c>
      <c r="AG323" s="2">
        <f ca="1"/>
        <v>0.78480734424447984</v>
      </c>
      <c r="AH323" s="2" t="str">
        <f ca="1"/>
        <v>Bad</v>
      </c>
    </row>
    <row r="324" spans="2:34" x14ac:dyDescent="0.2">
      <c r="B324" s="2">
        <f ca="1"/>
        <v>0.3965466767131629</v>
      </c>
      <c r="O324" s="2">
        <f ca="1"/>
        <v>-0.74155658119446721</v>
      </c>
      <c r="X324" s="2">
        <f ca="1"/>
        <v>52.210368121691943</v>
      </c>
      <c r="AG324" s="2">
        <f ca="1"/>
        <v>0.40243896018982062</v>
      </c>
      <c r="AH324" s="2" t="str">
        <f ca="1"/>
        <v>Bad</v>
      </c>
    </row>
    <row r="325" spans="2:34" x14ac:dyDescent="0.2">
      <c r="B325" s="2">
        <f ca="1"/>
        <v>0.91218530552218935</v>
      </c>
      <c r="O325" s="2">
        <f ca="1"/>
        <v>0.37641832110144213</v>
      </c>
      <c r="X325" s="2">
        <f ca="1"/>
        <v>37.505962298973017</v>
      </c>
      <c r="AG325" s="2">
        <f ca="1"/>
        <v>4.0566788055980574E-2</v>
      </c>
      <c r="AH325" s="2" t="str">
        <f ca="1"/>
        <v>Good</v>
      </c>
    </row>
    <row r="326" spans="2:34" x14ac:dyDescent="0.2">
      <c r="B326" s="2">
        <f ca="1"/>
        <v>1.4804517703846054E-2</v>
      </c>
      <c r="O326" s="2">
        <f ca="1"/>
        <v>-1.5595604251858546</v>
      </c>
      <c r="X326" s="2">
        <f ca="1"/>
        <v>23.868407678337462</v>
      </c>
      <c r="AG326" s="2">
        <f ca="1"/>
        <v>0.63733520097113794</v>
      </c>
      <c r="AH326" s="2" t="str">
        <f ca="1"/>
        <v>Bad</v>
      </c>
    </row>
    <row r="327" spans="2:34" x14ac:dyDescent="0.2">
      <c r="B327" s="2">
        <f ca="1"/>
        <v>0.13063703973163854</v>
      </c>
      <c r="O327" s="2">
        <f ca="1"/>
        <v>-0.16906302471868523</v>
      </c>
      <c r="X327" s="2">
        <f ca="1"/>
        <v>49.151493977522421</v>
      </c>
      <c r="AG327" s="2">
        <f ca="1"/>
        <v>0.46029648884094265</v>
      </c>
      <c r="AH327" s="2" t="str">
        <f ca="1"/>
        <v>Bad</v>
      </c>
    </row>
    <row r="328" spans="2:34" x14ac:dyDescent="0.2">
      <c r="B328" s="2">
        <f ca="1"/>
        <v>0.95157083885215132</v>
      </c>
      <c r="O328" s="2">
        <f ca="1"/>
        <v>0.41221771470332874</v>
      </c>
      <c r="X328" s="2">
        <f ca="1"/>
        <v>60.585790021319383</v>
      </c>
      <c r="AG328" s="2">
        <f ca="1"/>
        <v>0.14922737997929669</v>
      </c>
      <c r="AH328" s="2" t="str">
        <f ca="1"/>
        <v>OK</v>
      </c>
    </row>
    <row r="329" spans="2:34" x14ac:dyDescent="0.2">
      <c r="B329" s="2">
        <f ca="1"/>
        <v>0.74577536099389174</v>
      </c>
      <c r="O329" s="2">
        <f ca="1"/>
        <v>1.3499860323569854</v>
      </c>
      <c r="X329" s="2">
        <f ca="1"/>
        <v>57.965327027586937</v>
      </c>
      <c r="AG329" s="2">
        <f ca="1"/>
        <v>0.16103365957691196</v>
      </c>
      <c r="AH329" s="2" t="str">
        <f ca="1"/>
        <v>OK</v>
      </c>
    </row>
    <row r="330" spans="2:34" x14ac:dyDescent="0.2">
      <c r="B330" s="2">
        <f ca="1"/>
        <v>0.3904125070560156</v>
      </c>
      <c r="O330" s="2">
        <f ca="1"/>
        <v>-2.1016826092788965</v>
      </c>
      <c r="X330" s="2">
        <f ca="1"/>
        <v>51.545256638075287</v>
      </c>
      <c r="AG330" s="2">
        <f ca="1"/>
        <v>0.18436397677571748</v>
      </c>
      <c r="AH330" s="2" t="str">
        <f ca="1"/>
        <v>OK</v>
      </c>
    </row>
    <row r="331" spans="2:34" x14ac:dyDescent="0.2">
      <c r="B331" s="2">
        <f ca="1"/>
        <v>0.44336629021234719</v>
      </c>
      <c r="O331" s="2">
        <f ca="1"/>
        <v>2.731413423648188</v>
      </c>
      <c r="X331" s="2">
        <f ca="1"/>
        <v>48.387099532084328</v>
      </c>
      <c r="AG331" s="2">
        <f ca="1"/>
        <v>8.6596946231170202E-2</v>
      </c>
      <c r="AH331" s="2" t="str">
        <f ca="1"/>
        <v>OK</v>
      </c>
    </row>
    <row r="332" spans="2:34" x14ac:dyDescent="0.2">
      <c r="B332" s="2">
        <f ca="1"/>
        <v>0.70510073080090718</v>
      </c>
      <c r="O332" s="2">
        <f ca="1"/>
        <v>-1.2463988957239445</v>
      </c>
      <c r="X332" s="2">
        <f ca="1"/>
        <v>48.924473952593111</v>
      </c>
      <c r="AG332" s="2">
        <f ca="1"/>
        <v>0.27269134232586567</v>
      </c>
      <c r="AH332" s="2" t="str">
        <f ca="1"/>
        <v>OK</v>
      </c>
    </row>
    <row r="333" spans="2:34" x14ac:dyDescent="0.2">
      <c r="B333" s="2">
        <f ca="1"/>
        <v>0.65662133514568111</v>
      </c>
      <c r="O333" s="2">
        <f ca="1"/>
        <v>1.7174131513446447</v>
      </c>
      <c r="X333" s="2">
        <f ca="1"/>
        <v>35.277697489310363</v>
      </c>
      <c r="AG333" s="2">
        <f ca="1"/>
        <v>0.36378630444313753</v>
      </c>
      <c r="AH333" s="2" t="str">
        <f ca="1"/>
        <v>OK</v>
      </c>
    </row>
    <row r="334" spans="2:34" x14ac:dyDescent="0.2">
      <c r="B334" s="2">
        <f ca="1"/>
        <v>0.99632178518675873</v>
      </c>
      <c r="O334" s="2">
        <f ca="1"/>
        <v>1.1686731914179087</v>
      </c>
      <c r="X334" s="2">
        <f ca="1"/>
        <v>52.208580813512803</v>
      </c>
      <c r="AG334" s="2">
        <f ca="1"/>
        <v>0.87567986595073211</v>
      </c>
      <c r="AH334" s="2" t="str">
        <f ca="1"/>
        <v>Bad</v>
      </c>
    </row>
    <row r="335" spans="2:34" x14ac:dyDescent="0.2">
      <c r="B335" s="2">
        <f ca="1"/>
        <v>0.3797120870022741</v>
      </c>
      <c r="O335" s="2">
        <f ca="1"/>
        <v>-0.55486991763874971</v>
      </c>
      <c r="X335" s="2">
        <f ca="1"/>
        <v>18.001304220854223</v>
      </c>
      <c r="AG335" s="2">
        <f ca="1"/>
        <v>0.8837800232704931</v>
      </c>
      <c r="AH335" s="2" t="str">
        <f ca="1"/>
        <v>Bad</v>
      </c>
    </row>
    <row r="336" spans="2:34" x14ac:dyDescent="0.2">
      <c r="B336" s="2">
        <f ca="1"/>
        <v>0.43199753252854967</v>
      </c>
      <c r="O336" s="2">
        <f ca="1"/>
        <v>-0.11880305544256549</v>
      </c>
      <c r="X336" s="2">
        <f ca="1"/>
        <v>41.45388313633169</v>
      </c>
      <c r="AG336" s="2">
        <f ca="1"/>
        <v>0.90916749955741594</v>
      </c>
      <c r="AH336" s="2" t="str">
        <f ca="1"/>
        <v>Bad</v>
      </c>
    </row>
    <row r="337" spans="2:34" x14ac:dyDescent="0.2">
      <c r="B337" s="2">
        <f ca="1"/>
        <v>0.72836428608032744</v>
      </c>
      <c r="O337" s="2">
        <f ca="1"/>
        <v>0.79831437442883746</v>
      </c>
      <c r="X337" s="2">
        <f ca="1"/>
        <v>67.08553862358518</v>
      </c>
      <c r="AG337" s="2">
        <f ca="1"/>
        <v>0.38957532210421508</v>
      </c>
      <c r="AH337" s="2" t="str">
        <f ca="1"/>
        <v>OK</v>
      </c>
    </row>
    <row r="338" spans="2:34" x14ac:dyDescent="0.2">
      <c r="B338" s="2">
        <f ca="1"/>
        <v>0.26592263237666791</v>
      </c>
      <c r="O338" s="2">
        <f ca="1"/>
        <v>0.2038429450372827</v>
      </c>
      <c r="X338" s="2">
        <f ca="1"/>
        <v>44.675315078457068</v>
      </c>
      <c r="AG338" s="2">
        <f ca="1"/>
        <v>0.74057520516971431</v>
      </c>
      <c r="AH338" s="2" t="str">
        <f ca="1"/>
        <v>Bad</v>
      </c>
    </row>
    <row r="339" spans="2:34" x14ac:dyDescent="0.2">
      <c r="B339" s="2">
        <f ca="1"/>
        <v>0.97128415115796551</v>
      </c>
      <c r="O339" s="2">
        <f ca="1"/>
        <v>0.69018135319212726</v>
      </c>
      <c r="X339" s="2">
        <f ca="1"/>
        <v>45.633431512487036</v>
      </c>
      <c r="AG339" s="2">
        <f ca="1"/>
        <v>0.19435346637158757</v>
      </c>
      <c r="AH339" s="2" t="str">
        <f ca="1"/>
        <v>OK</v>
      </c>
    </row>
    <row r="340" spans="2:34" x14ac:dyDescent="0.2">
      <c r="B340" s="2">
        <f ca="1"/>
        <v>0.62995866414467661</v>
      </c>
      <c r="O340" s="2">
        <f ca="1"/>
        <v>0.36114568026709709</v>
      </c>
      <c r="X340" s="2">
        <f ca="1"/>
        <v>39.208882429257457</v>
      </c>
      <c r="AG340" s="2">
        <f ca="1"/>
        <v>0.2998133714906055</v>
      </c>
      <c r="AH340" s="2" t="str">
        <f ca="1"/>
        <v>OK</v>
      </c>
    </row>
    <row r="341" spans="2:34" x14ac:dyDescent="0.2">
      <c r="B341" s="2">
        <f ca="1"/>
        <v>0.97928724270998413</v>
      </c>
      <c r="O341" s="2">
        <f ca="1"/>
        <v>-2.1473191139033818</v>
      </c>
      <c r="X341" s="2">
        <f ca="1"/>
        <v>35.115508113365578</v>
      </c>
      <c r="AG341" s="2">
        <f ca="1"/>
        <v>0.63123421479742725</v>
      </c>
      <c r="AH341" s="2" t="str">
        <f ca="1"/>
        <v>Bad</v>
      </c>
    </row>
    <row r="342" spans="2:34" x14ac:dyDescent="0.2">
      <c r="B342" s="2">
        <f ca="1"/>
        <v>0.49021057445313643</v>
      </c>
      <c r="O342" s="2">
        <f ca="1"/>
        <v>0.37025083460813191</v>
      </c>
      <c r="X342" s="2">
        <f ca="1"/>
        <v>30.378895525755407</v>
      </c>
      <c r="AG342" s="2">
        <f ca="1"/>
        <v>0.34487489057903176</v>
      </c>
      <c r="AH342" s="2" t="str">
        <f ca="1"/>
        <v>OK</v>
      </c>
    </row>
    <row r="343" spans="2:34" x14ac:dyDescent="0.2">
      <c r="B343" s="2">
        <f ca="1"/>
        <v>0.8395573620196175</v>
      </c>
      <c r="O343" s="2">
        <f ca="1"/>
        <v>9.6539911611381465E-2</v>
      </c>
      <c r="X343" s="2">
        <f ca="1"/>
        <v>72.051616200971665</v>
      </c>
      <c r="AG343" s="2">
        <f ca="1"/>
        <v>0.96692238468598934</v>
      </c>
      <c r="AH343" s="2" t="str">
        <f ca="1"/>
        <v>Bad</v>
      </c>
    </row>
    <row r="344" spans="2:34" x14ac:dyDescent="0.2">
      <c r="B344" s="2">
        <f ca="1"/>
        <v>0.66584219212534035</v>
      </c>
      <c r="O344" s="2">
        <f ca="1"/>
        <v>-0.64647201322743397</v>
      </c>
      <c r="X344" s="2">
        <f ca="1"/>
        <v>50.28290659378218</v>
      </c>
      <c r="AG344" s="2">
        <f ca="1"/>
        <v>0.60410874051747787</v>
      </c>
      <c r="AH344" s="2" t="str">
        <f ca="1"/>
        <v>Bad</v>
      </c>
    </row>
    <row r="345" spans="2:34" x14ac:dyDescent="0.2">
      <c r="B345" s="2">
        <f ca="1"/>
        <v>0.15424048318872363</v>
      </c>
      <c r="O345" s="2">
        <f ca="1"/>
        <v>2.8243329510512685</v>
      </c>
      <c r="X345" s="2">
        <f ca="1"/>
        <v>23.796551118515247</v>
      </c>
      <c r="AG345" s="2">
        <f ca="1"/>
        <v>0.97250253126613218</v>
      </c>
      <c r="AH345" s="2" t="str">
        <f ca="1"/>
        <v>Bad</v>
      </c>
    </row>
    <row r="346" spans="2:34" x14ac:dyDescent="0.2">
      <c r="B346" s="2">
        <f ca="1"/>
        <v>0.59731070758342764</v>
      </c>
      <c r="O346" s="2">
        <f ca="1"/>
        <v>0.94817930898438829</v>
      </c>
      <c r="X346" s="2">
        <f ca="1"/>
        <v>56.635106676552489</v>
      </c>
      <c r="AG346" s="2">
        <f ca="1"/>
        <v>0.29182420502835971</v>
      </c>
      <c r="AH346" s="2" t="str">
        <f ca="1"/>
        <v>OK</v>
      </c>
    </row>
    <row r="347" spans="2:34" x14ac:dyDescent="0.2">
      <c r="B347" s="2">
        <f ca="1"/>
        <v>0.57430110655609479</v>
      </c>
      <c r="O347" s="2">
        <f ca="1"/>
        <v>2.6225557282253047</v>
      </c>
      <c r="X347" s="2">
        <f ca="1"/>
        <v>53.145216417931934</v>
      </c>
      <c r="AG347" s="2">
        <f ca="1"/>
        <v>0.40200792987003053</v>
      </c>
      <c r="AH347" s="2" t="str">
        <f ca="1"/>
        <v>Bad</v>
      </c>
    </row>
    <row r="348" spans="2:34" x14ac:dyDescent="0.2">
      <c r="B348" s="2">
        <f ca="1"/>
        <v>6.2505255425668427E-2</v>
      </c>
      <c r="O348" s="2">
        <f ca="1"/>
        <v>-8.497019571454506E-2</v>
      </c>
      <c r="X348" s="2">
        <f ca="1"/>
        <v>58.847306134508102</v>
      </c>
      <c r="AG348" s="2">
        <f ca="1"/>
        <v>0.20435099208620278</v>
      </c>
      <c r="AH348" s="2" t="str">
        <f ca="1"/>
        <v>OK</v>
      </c>
    </row>
    <row r="349" spans="2:34" x14ac:dyDescent="0.2">
      <c r="B349" s="2">
        <f ca="1"/>
        <v>0.20504284489591673</v>
      </c>
      <c r="O349" s="2">
        <f ca="1"/>
        <v>0.81195490590578878</v>
      </c>
      <c r="X349" s="2">
        <f ca="1"/>
        <v>73.032351530109622</v>
      </c>
      <c r="AG349" s="2">
        <f ca="1"/>
        <v>0.15770166638253302</v>
      </c>
      <c r="AH349" s="2" t="str">
        <f ca="1"/>
        <v>OK</v>
      </c>
    </row>
    <row r="350" spans="2:34" x14ac:dyDescent="0.2">
      <c r="B350" s="2">
        <f ca="1"/>
        <v>0.88722181138458112</v>
      </c>
      <c r="O350" s="2">
        <f ca="1"/>
        <v>0.75482558398906385</v>
      </c>
      <c r="X350" s="2">
        <f ca="1"/>
        <v>33.875412302880747</v>
      </c>
      <c r="AG350" s="2">
        <f ca="1"/>
        <v>0.81525336712585639</v>
      </c>
      <c r="AH350" s="2" t="str">
        <f ca="1"/>
        <v>Bad</v>
      </c>
    </row>
    <row r="351" spans="2:34" x14ac:dyDescent="0.2">
      <c r="B351" s="2">
        <f ca="1"/>
        <v>0.96671816304204761</v>
      </c>
      <c r="O351" s="2">
        <f ca="1"/>
        <v>1.4890923236409088</v>
      </c>
      <c r="X351" s="2">
        <f ca="1"/>
        <v>42.007594322486852</v>
      </c>
      <c r="AG351" s="2">
        <f ca="1"/>
        <v>0.90508869069560216</v>
      </c>
      <c r="AH351" s="2" t="str">
        <f ca="1"/>
        <v>Bad</v>
      </c>
    </row>
    <row r="352" spans="2:34" x14ac:dyDescent="0.2">
      <c r="B352" s="2">
        <f ca="1"/>
        <v>0.42056034008701593</v>
      </c>
      <c r="O352" s="2">
        <f ca="1"/>
        <v>-0.13401191149741523</v>
      </c>
      <c r="X352" s="2">
        <f ca="1"/>
        <v>63.694998529092913</v>
      </c>
      <c r="AG352" s="2">
        <f ca="1"/>
        <v>0.16282205252470727</v>
      </c>
      <c r="AH352" s="2" t="str">
        <f ca="1"/>
        <v>OK</v>
      </c>
    </row>
    <row r="353" spans="2:34" x14ac:dyDescent="0.2">
      <c r="B353" s="2">
        <f ca="1"/>
        <v>0.72180508403581278</v>
      </c>
      <c r="O353" s="2">
        <f ca="1"/>
        <v>1.172828691236848E-3</v>
      </c>
      <c r="X353" s="2">
        <f ca="1"/>
        <v>25.761556017562594</v>
      </c>
      <c r="AG353" s="2">
        <f ca="1"/>
        <v>0.90478943636793274</v>
      </c>
      <c r="AH353" s="2" t="str">
        <f ca="1"/>
        <v>Bad</v>
      </c>
    </row>
    <row r="354" spans="2:34" x14ac:dyDescent="0.2">
      <c r="B354" s="2">
        <f ca="1"/>
        <v>5.1286995821578474E-2</v>
      </c>
      <c r="O354" s="2">
        <f ca="1"/>
        <v>0.33433705319877594</v>
      </c>
      <c r="X354" s="2">
        <f ca="1"/>
        <v>48.808250620161608</v>
      </c>
      <c r="AG354" s="2">
        <f ca="1"/>
        <v>0.22613627112561097</v>
      </c>
      <c r="AH354" s="2" t="str">
        <f ca="1"/>
        <v>OK</v>
      </c>
    </row>
    <row r="355" spans="2:34" x14ac:dyDescent="0.2">
      <c r="B355" s="2">
        <f ca="1"/>
        <v>0.32223976200746751</v>
      </c>
      <c r="O355" s="2">
        <f ca="1"/>
        <v>0.55403857516243671</v>
      </c>
      <c r="X355" s="2">
        <f ca="1"/>
        <v>69.305318188768808</v>
      </c>
      <c r="AG355" s="2">
        <f ca="1"/>
        <v>0.61750147099443087</v>
      </c>
      <c r="AH355" s="2" t="str">
        <f ca="1"/>
        <v>Bad</v>
      </c>
    </row>
    <row r="356" spans="2:34" x14ac:dyDescent="0.2">
      <c r="B356" s="2">
        <f ca="1"/>
        <v>4.1873937540439776E-3</v>
      </c>
      <c r="O356" s="2">
        <f ca="1"/>
        <v>0.53478937222409206</v>
      </c>
      <c r="X356" s="2">
        <f ca="1"/>
        <v>57.562594751112321</v>
      </c>
      <c r="AG356" s="2">
        <f ca="1"/>
        <v>0.45509945892708825</v>
      </c>
      <c r="AH356" s="2" t="str">
        <f ca="1"/>
        <v>Bad</v>
      </c>
    </row>
    <row r="357" spans="2:34" x14ac:dyDescent="0.2">
      <c r="B357" s="2">
        <f ca="1"/>
        <v>0.70638077083895801</v>
      </c>
      <c r="O357" s="2">
        <f ca="1"/>
        <v>1.1254984244187609</v>
      </c>
      <c r="X357" s="2">
        <f ca="1"/>
        <v>40.128306043185553</v>
      </c>
      <c r="AG357" s="2">
        <f ca="1"/>
        <v>0.1719570347332855</v>
      </c>
      <c r="AH357" s="2" t="str">
        <f ca="1"/>
        <v>OK</v>
      </c>
    </row>
    <row r="358" spans="2:34" x14ac:dyDescent="0.2">
      <c r="B358" s="2">
        <f ca="1"/>
        <v>0.81877582292930562</v>
      </c>
      <c r="O358" s="2">
        <f ca="1"/>
        <v>1.1211138907218796</v>
      </c>
      <c r="X358" s="2">
        <f ca="1"/>
        <v>31.809704647901782</v>
      </c>
      <c r="AG358" s="2">
        <f ca="1"/>
        <v>0.1386575213700858</v>
      </c>
      <c r="AH358" s="2" t="str">
        <f ca="1"/>
        <v>OK</v>
      </c>
    </row>
    <row r="359" spans="2:34" x14ac:dyDescent="0.2">
      <c r="B359" s="2">
        <f ca="1"/>
        <v>2.1941976418884845E-2</v>
      </c>
      <c r="O359" s="2">
        <f ca="1"/>
        <v>0.40513186739227464</v>
      </c>
      <c r="X359" s="2">
        <f ca="1"/>
        <v>53.329373374240461</v>
      </c>
      <c r="AG359" s="2">
        <f ca="1"/>
        <v>0.76465275634287511</v>
      </c>
      <c r="AH359" s="2" t="str">
        <f ca="1"/>
        <v>Bad</v>
      </c>
    </row>
    <row r="360" spans="2:34" x14ac:dyDescent="0.2">
      <c r="B360" s="2">
        <f ca="1"/>
        <v>0.22092704535841845</v>
      </c>
      <c r="O360" s="2">
        <f ca="1"/>
        <v>-1.4649896477062898</v>
      </c>
      <c r="X360" s="2">
        <f ca="1"/>
        <v>63.37019764620112</v>
      </c>
      <c r="AG360" s="2">
        <f ca="1"/>
        <v>0.43924175622329265</v>
      </c>
      <c r="AH360" s="2" t="str">
        <f ca="1"/>
        <v>Bad</v>
      </c>
    </row>
    <row r="361" spans="2:34" x14ac:dyDescent="0.2">
      <c r="B361" s="2">
        <f ca="1"/>
        <v>0.30884628001587511</v>
      </c>
      <c r="O361" s="2">
        <f ca="1"/>
        <v>0.1824995130536646</v>
      </c>
      <c r="X361" s="2">
        <f ca="1"/>
        <v>57.437212696129578</v>
      </c>
      <c r="AG361" s="2">
        <f ca="1"/>
        <v>0.38609584403322073</v>
      </c>
      <c r="AH361" s="2" t="str">
        <f ca="1"/>
        <v>OK</v>
      </c>
    </row>
    <row r="362" spans="2:34" x14ac:dyDescent="0.2">
      <c r="B362" s="2">
        <f ca="1"/>
        <v>0.9407472555534715</v>
      </c>
      <c r="O362" s="2">
        <f ca="1"/>
        <v>-0.81887321880162556</v>
      </c>
      <c r="X362" s="2">
        <f ca="1"/>
        <v>86.976532281250925</v>
      </c>
      <c r="AG362" s="2">
        <f ca="1"/>
        <v>0.36677599456519405</v>
      </c>
      <c r="AH362" s="2" t="str">
        <f ca="1"/>
        <v>OK</v>
      </c>
    </row>
    <row r="363" spans="2:34" x14ac:dyDescent="0.2">
      <c r="B363" s="2">
        <f ca="1"/>
        <v>2.468974965798898E-3</v>
      </c>
      <c r="O363" s="2">
        <f ca="1"/>
        <v>1.0098187163165993</v>
      </c>
      <c r="X363" s="2">
        <f ca="1"/>
        <v>43.027785696852561</v>
      </c>
      <c r="AG363" s="2">
        <f ca="1"/>
        <v>0.8744579422098524</v>
      </c>
      <c r="AH363" s="2" t="str">
        <f ca="1"/>
        <v>Bad</v>
      </c>
    </row>
    <row r="364" spans="2:34" x14ac:dyDescent="0.2">
      <c r="B364" s="2">
        <f ca="1"/>
        <v>0.74436755277593347</v>
      </c>
      <c r="O364" s="2">
        <f ca="1"/>
        <v>-0.55441526553347276</v>
      </c>
      <c r="X364" s="2">
        <f ca="1"/>
        <v>38.223090485507747</v>
      </c>
      <c r="AG364" s="2">
        <f ca="1"/>
        <v>0.42024512765160749</v>
      </c>
      <c r="AH364" s="2" t="str">
        <f ca="1"/>
        <v>Bad</v>
      </c>
    </row>
    <row r="365" spans="2:34" x14ac:dyDescent="0.2">
      <c r="B365" s="2">
        <f ca="1"/>
        <v>0.31106572745509209</v>
      </c>
      <c r="O365" s="2">
        <f ca="1"/>
        <v>0.27183694471986969</v>
      </c>
      <c r="X365" s="2">
        <f ca="1"/>
        <v>42.027352093008062</v>
      </c>
      <c r="AG365" s="2">
        <f ca="1"/>
        <v>0.43993835807615067</v>
      </c>
      <c r="AH365" s="2" t="str">
        <f ca="1"/>
        <v>Bad</v>
      </c>
    </row>
    <row r="366" spans="2:34" x14ac:dyDescent="0.2">
      <c r="B366" s="2">
        <f ca="1"/>
        <v>9.5911117735022255E-2</v>
      </c>
      <c r="O366" s="2">
        <f ca="1"/>
        <v>1.8084914863323418</v>
      </c>
      <c r="X366" s="2">
        <f ca="1"/>
        <v>71.431573885079615</v>
      </c>
      <c r="AG366" s="2">
        <f ca="1"/>
        <v>0.71872338806485137</v>
      </c>
      <c r="AH366" s="2" t="str">
        <f ca="1"/>
        <v>Bad</v>
      </c>
    </row>
    <row r="367" spans="2:34" x14ac:dyDescent="0.2">
      <c r="B367" s="2">
        <f ca="1"/>
        <v>0.86459389976988366</v>
      </c>
      <c r="O367" s="2">
        <f ca="1"/>
        <v>0.43508758483826515</v>
      </c>
      <c r="X367" s="2">
        <f ca="1"/>
        <v>53.742545528021815</v>
      </c>
      <c r="AG367" s="2">
        <f ca="1"/>
        <v>7.4776471216935425E-2</v>
      </c>
      <c r="AH367" s="2" t="str">
        <f ca="1"/>
        <v>OK</v>
      </c>
    </row>
    <row r="368" spans="2:34" x14ac:dyDescent="0.2">
      <c r="B368" s="2">
        <f ca="1"/>
        <v>0.43288380789420966</v>
      </c>
      <c r="O368" s="2">
        <f ca="1"/>
        <v>1.8276003071721805</v>
      </c>
      <c r="X368" s="2">
        <f ca="1"/>
        <v>66.619053690603494</v>
      </c>
      <c r="AG368" s="2">
        <f ca="1"/>
        <v>0.60618952100890588</v>
      </c>
      <c r="AH368" s="2" t="str">
        <f ca="1"/>
        <v>Bad</v>
      </c>
    </row>
    <row r="369" spans="2:34" x14ac:dyDescent="0.2">
      <c r="B369" s="2">
        <f ca="1"/>
        <v>0.58079089004649909</v>
      </c>
      <c r="O369" s="2">
        <f ca="1"/>
        <v>8.4851553275850422E-2</v>
      </c>
      <c r="X369" s="2">
        <f ca="1"/>
        <v>46.38423693508603</v>
      </c>
      <c r="AG369" s="2">
        <f ca="1"/>
        <v>0.42505707901952405</v>
      </c>
      <c r="AH369" s="2" t="str">
        <f ca="1"/>
        <v>Bad</v>
      </c>
    </row>
    <row r="370" spans="2:34" x14ac:dyDescent="0.2">
      <c r="B370" s="2">
        <f ca="1"/>
        <v>0.12549178825675278</v>
      </c>
      <c r="O370" s="2">
        <f ca="1"/>
        <v>0.93104411006914078</v>
      </c>
      <c r="X370" s="2">
        <f ca="1"/>
        <v>80.67517459052452</v>
      </c>
      <c r="AG370" s="2">
        <f ca="1"/>
        <v>0.38552556447308106</v>
      </c>
      <c r="AH370" s="2" t="str">
        <f ca="1"/>
        <v>OK</v>
      </c>
    </row>
    <row r="371" spans="2:34" x14ac:dyDescent="0.2">
      <c r="B371" s="2">
        <f ca="1"/>
        <v>0.22930325344818203</v>
      </c>
      <c r="O371" s="2">
        <f ca="1"/>
        <v>-1.0175727883963057</v>
      </c>
      <c r="X371" s="2">
        <f ca="1"/>
        <v>101.45470314344897</v>
      </c>
      <c r="AG371" s="2">
        <f ca="1"/>
        <v>0.65564782282942047</v>
      </c>
      <c r="AH371" s="2" t="str">
        <f ca="1"/>
        <v>Bad</v>
      </c>
    </row>
    <row r="372" spans="2:34" x14ac:dyDescent="0.2">
      <c r="B372" s="2">
        <f ca="1"/>
        <v>0.21135145977056835</v>
      </c>
      <c r="O372" s="2">
        <f ca="1"/>
        <v>0.93444717914446551</v>
      </c>
      <c r="X372" s="2">
        <f ca="1"/>
        <v>19.966231508540236</v>
      </c>
      <c r="AG372" s="2">
        <f ca="1"/>
        <v>0.72730496798583233</v>
      </c>
      <c r="AH372" s="2" t="str">
        <f ca="1"/>
        <v>Bad</v>
      </c>
    </row>
    <row r="373" spans="2:34" x14ac:dyDescent="0.2">
      <c r="B373" s="2">
        <f ca="1"/>
        <v>8.2337489877254644E-2</v>
      </c>
      <c r="O373" s="2">
        <f ca="1"/>
        <v>-0.51019643153651573</v>
      </c>
      <c r="X373" s="2">
        <f ca="1"/>
        <v>43.807169582918341</v>
      </c>
      <c r="AG373" s="2">
        <f ca="1"/>
        <v>0.51120611288490503</v>
      </c>
      <c r="AH373" s="2" t="str">
        <f ca="1"/>
        <v>Bad</v>
      </c>
    </row>
    <row r="374" spans="2:34" x14ac:dyDescent="0.2">
      <c r="B374" s="2">
        <f ca="1"/>
        <v>0.39770689978380935</v>
      </c>
      <c r="O374" s="2">
        <f ca="1"/>
        <v>-2.5729276599949116</v>
      </c>
      <c r="X374" s="2">
        <f ca="1"/>
        <v>42.53922903571177</v>
      </c>
      <c r="AG374" s="2">
        <f ca="1"/>
        <v>0.25629771200613982</v>
      </c>
      <c r="AH374" s="2" t="str">
        <f ca="1"/>
        <v>OK</v>
      </c>
    </row>
    <row r="375" spans="2:34" x14ac:dyDescent="0.2">
      <c r="B375" s="2">
        <f ca="1"/>
        <v>0.97255151292764142</v>
      </c>
      <c r="O375" s="2">
        <f ca="1"/>
        <v>-0.66353865120689737</v>
      </c>
      <c r="X375" s="2">
        <f ca="1"/>
        <v>38.362773937148212</v>
      </c>
      <c r="AG375" s="2">
        <f ca="1"/>
        <v>0.95050122443371166</v>
      </c>
      <c r="AH375" s="2" t="str">
        <f ca="1"/>
        <v>Bad</v>
      </c>
    </row>
    <row r="376" spans="2:34" x14ac:dyDescent="0.2">
      <c r="B376" s="2">
        <f ca="1"/>
        <v>0.16360876294741789</v>
      </c>
      <c r="O376" s="2">
        <f ca="1"/>
        <v>0.43681691368469083</v>
      </c>
      <c r="X376" s="2">
        <f ca="1"/>
        <v>20.869089737727005</v>
      </c>
      <c r="AG376" s="2">
        <f ca="1"/>
        <v>0.89949857297233926</v>
      </c>
      <c r="AH376" s="2" t="str">
        <f ca="1"/>
        <v>Bad</v>
      </c>
    </row>
    <row r="377" spans="2:34" x14ac:dyDescent="0.2">
      <c r="B377" s="2">
        <f ca="1"/>
        <v>0.81929520620719232</v>
      </c>
      <c r="O377" s="2">
        <f ca="1"/>
        <v>-0.61062474583445814</v>
      </c>
      <c r="X377" s="2">
        <f ca="1"/>
        <v>45.511358646225624</v>
      </c>
      <c r="AG377" s="2">
        <f ca="1"/>
        <v>0.58665000817440038</v>
      </c>
      <c r="AH377" s="2" t="str">
        <f ca="1"/>
        <v>Bad</v>
      </c>
    </row>
    <row r="378" spans="2:34" x14ac:dyDescent="0.2">
      <c r="B378" s="2">
        <f ca="1"/>
        <v>0.27064846382983543</v>
      </c>
      <c r="O378" s="2">
        <f ca="1"/>
        <v>0.58399825534212113</v>
      </c>
      <c r="X378" s="2">
        <f ca="1"/>
        <v>49.603812962873604</v>
      </c>
      <c r="AG378" s="2">
        <f ca="1"/>
        <v>0.17349294620916833</v>
      </c>
      <c r="AH378" s="2" t="str">
        <f ca="1"/>
        <v>OK</v>
      </c>
    </row>
    <row r="379" spans="2:34" x14ac:dyDescent="0.2">
      <c r="B379" s="2">
        <f ca="1"/>
        <v>0.99170689463682327</v>
      </c>
      <c r="O379" s="2">
        <f ca="1"/>
        <v>-0.76792026297101001</v>
      </c>
      <c r="X379" s="2">
        <f ca="1"/>
        <v>40.593578013609026</v>
      </c>
      <c r="AG379" s="2">
        <f ca="1"/>
        <v>0.19047497494432708</v>
      </c>
      <c r="AH379" s="2" t="str">
        <f ca="1"/>
        <v>OK</v>
      </c>
    </row>
    <row r="380" spans="2:34" x14ac:dyDescent="0.2">
      <c r="B380" s="2">
        <f ca="1"/>
        <v>0.16080570195404609</v>
      </c>
      <c r="O380" s="2">
        <f ca="1"/>
        <v>0.12692469660356087</v>
      </c>
      <c r="X380" s="2">
        <f ca="1"/>
        <v>60.093654956925775</v>
      </c>
      <c r="AG380" s="2">
        <f ca="1"/>
        <v>0.33387947896151249</v>
      </c>
      <c r="AH380" s="2" t="str">
        <f ca="1"/>
        <v>OK</v>
      </c>
    </row>
    <row r="381" spans="2:34" x14ac:dyDescent="0.2">
      <c r="B381" s="2">
        <f ca="1"/>
        <v>0.28227127200301649</v>
      </c>
      <c r="O381" s="2">
        <f ca="1"/>
        <v>-0.31523351009789941</v>
      </c>
      <c r="X381" s="2">
        <f ca="1"/>
        <v>57.788267003078516</v>
      </c>
      <c r="AG381" s="2">
        <f ca="1"/>
        <v>0.49406965979734796</v>
      </c>
      <c r="AH381" s="2" t="str">
        <f ca="1"/>
        <v>Bad</v>
      </c>
    </row>
    <row r="382" spans="2:34" x14ac:dyDescent="0.2">
      <c r="B382" s="2">
        <f ca="1"/>
        <v>0.6377606779171443</v>
      </c>
      <c r="O382" s="2">
        <f ca="1"/>
        <v>0.64829740719372952</v>
      </c>
      <c r="X382" s="2">
        <f ca="1"/>
        <v>65.923911206613582</v>
      </c>
      <c r="AG382" s="2">
        <f ca="1"/>
        <v>0.57967811855347917</v>
      </c>
      <c r="AH382" s="2" t="str">
        <f ca="1"/>
        <v>Bad</v>
      </c>
    </row>
    <row r="383" spans="2:34" x14ac:dyDescent="0.2">
      <c r="B383" s="2">
        <f ca="1"/>
        <v>0.96625441561391279</v>
      </c>
      <c r="O383" s="2">
        <f ca="1"/>
        <v>9.8004247274891002E-2</v>
      </c>
      <c r="X383" s="2">
        <f ca="1"/>
        <v>43.57891966209489</v>
      </c>
      <c r="AG383" s="2">
        <f ca="1"/>
        <v>2.2194474634695815E-4</v>
      </c>
      <c r="AH383" s="2" t="str">
        <f ca="1"/>
        <v>Good</v>
      </c>
    </row>
    <row r="384" spans="2:34" x14ac:dyDescent="0.2">
      <c r="B384" s="2">
        <f ca="1"/>
        <v>0.14996704576996467</v>
      </c>
      <c r="O384" s="2">
        <f ca="1"/>
        <v>0.10328301628729333</v>
      </c>
      <c r="X384" s="2">
        <f ca="1"/>
        <v>37.959718101579639</v>
      </c>
      <c r="AG384" s="2">
        <f ca="1"/>
        <v>0.67263716683127583</v>
      </c>
      <c r="AH384" s="2" t="str">
        <f ca="1"/>
        <v>Bad</v>
      </c>
    </row>
    <row r="385" spans="2:34" x14ac:dyDescent="0.2">
      <c r="B385" s="2">
        <f ca="1"/>
        <v>0.92258205647866287</v>
      </c>
      <c r="O385" s="2">
        <f ca="1"/>
        <v>-0.12298997200319486</v>
      </c>
      <c r="X385" s="2">
        <f ca="1"/>
        <v>54.934226279202775</v>
      </c>
      <c r="AG385" s="2">
        <f ca="1"/>
        <v>0.18269191469870871</v>
      </c>
      <c r="AH385" s="2" t="str">
        <f ca="1"/>
        <v>OK</v>
      </c>
    </row>
    <row r="386" spans="2:34" x14ac:dyDescent="0.2">
      <c r="B386" s="2">
        <f ca="1"/>
        <v>0.52212189896507333</v>
      </c>
      <c r="O386" s="2">
        <f ca="1"/>
        <v>-0.1558725041267493</v>
      </c>
      <c r="X386" s="2">
        <f ca="1"/>
        <v>44.787224363982759</v>
      </c>
      <c r="AG386" s="2">
        <f ca="1"/>
        <v>0.88691709467456814</v>
      </c>
      <c r="AH386" s="2" t="str">
        <f ca="1"/>
        <v>Bad</v>
      </c>
    </row>
    <row r="387" spans="2:34" x14ac:dyDescent="0.2">
      <c r="B387" s="2">
        <f ca="1"/>
        <v>0.14780518728742709</v>
      </c>
      <c r="O387" s="2">
        <f ca="1"/>
        <v>0.20083152379725339</v>
      </c>
      <c r="X387" s="2">
        <f ca="1"/>
        <v>70.254805404471071</v>
      </c>
      <c r="AG387" s="2">
        <f ca="1"/>
        <v>0.46203687046997177</v>
      </c>
      <c r="AH387" s="2" t="str">
        <f ca="1"/>
        <v>Bad</v>
      </c>
    </row>
    <row r="388" spans="2:34" x14ac:dyDescent="0.2">
      <c r="B388" s="2">
        <f ca="1"/>
        <v>2.848409120248907E-2</v>
      </c>
      <c r="O388" s="2">
        <f ca="1"/>
        <v>0.30832053448350372</v>
      </c>
      <c r="X388" s="2">
        <f ca="1"/>
        <v>44.216956489917479</v>
      </c>
      <c r="AG388" s="2">
        <f ca="1"/>
        <v>2.4713495060534996E-2</v>
      </c>
      <c r="AH388" s="2" t="str">
        <f ca="1"/>
        <v>Good</v>
      </c>
    </row>
    <row r="389" spans="2:34" x14ac:dyDescent="0.2">
      <c r="B389" s="2">
        <f ca="1"/>
        <v>0.25865609535156775</v>
      </c>
      <c r="O389" s="2">
        <f ca="1"/>
        <v>-1.1774144681398464</v>
      </c>
      <c r="X389" s="2">
        <f ca="1"/>
        <v>23.599169826932759</v>
      </c>
      <c r="AG389" s="2">
        <f ca="1"/>
        <v>0.63874597408735156</v>
      </c>
      <c r="AH389" s="2" t="str">
        <f ca="1"/>
        <v>Bad</v>
      </c>
    </row>
    <row r="390" spans="2:34" x14ac:dyDescent="0.2">
      <c r="B390" s="2">
        <f ca="1"/>
        <v>0.23141201504284403</v>
      </c>
      <c r="O390" s="2">
        <f ca="1"/>
        <v>-0.37231801718599655</v>
      </c>
      <c r="X390" s="2">
        <f ca="1"/>
        <v>53.674072986574764</v>
      </c>
      <c r="AG390" s="2">
        <f ca="1"/>
        <v>0.13377750237923069</v>
      </c>
      <c r="AH390" s="2" t="str">
        <f ca="1"/>
        <v>OK</v>
      </c>
    </row>
    <row r="391" spans="2:34" x14ac:dyDescent="0.2">
      <c r="B391" s="2">
        <f ca="1"/>
        <v>0.89151197437619389</v>
      </c>
      <c r="O391" s="2">
        <f ca="1"/>
        <v>0.618690667789075</v>
      </c>
      <c r="X391" s="2">
        <f ca="1"/>
        <v>51.445455832507548</v>
      </c>
      <c r="AG391" s="2">
        <f ca="1"/>
        <v>0.59412751466056535</v>
      </c>
      <c r="AH391" s="2" t="str">
        <f ca="1"/>
        <v>Bad</v>
      </c>
    </row>
    <row r="392" spans="2:34" x14ac:dyDescent="0.2">
      <c r="B392" s="2">
        <f ca="1"/>
        <v>0.72477445046264166</v>
      </c>
      <c r="O392" s="2">
        <f ca="1"/>
        <v>-1.8506623195589778</v>
      </c>
      <c r="X392" s="2">
        <f ca="1"/>
        <v>53.965039072576417</v>
      </c>
      <c r="AG392" s="2">
        <f ca="1"/>
        <v>0.74655572930390823</v>
      </c>
      <c r="AH392" s="2" t="str">
        <f ca="1"/>
        <v>Bad</v>
      </c>
    </row>
    <row r="393" spans="2:34" x14ac:dyDescent="0.2">
      <c r="B393" s="2">
        <f ca="1"/>
        <v>0.19393628791957584</v>
      </c>
      <c r="O393" s="2">
        <f ca="1"/>
        <v>-0.54364005441709295</v>
      </c>
      <c r="X393" s="2">
        <f ca="1"/>
        <v>34.369542865112159</v>
      </c>
      <c r="AG393" s="2">
        <f ca="1"/>
        <v>0.61873471987967643</v>
      </c>
      <c r="AH393" s="2" t="str">
        <f ca="1"/>
        <v>Bad</v>
      </c>
    </row>
    <row r="394" spans="2:34" x14ac:dyDescent="0.2">
      <c r="B394" s="2">
        <f ca="1"/>
        <v>0.78024502890717362</v>
      </c>
      <c r="O394" s="2">
        <f ca="1"/>
        <v>0.38095837852985703</v>
      </c>
      <c r="X394" s="2">
        <f ca="1"/>
        <v>46.177115377454768</v>
      </c>
      <c r="AG394" s="2">
        <f ca="1"/>
        <v>0.60562672584030941</v>
      </c>
      <c r="AH394" s="2" t="str">
        <f ca="1"/>
        <v>Bad</v>
      </c>
    </row>
    <row r="395" spans="2:34" x14ac:dyDescent="0.2">
      <c r="B395" s="2">
        <f ca="1"/>
        <v>0.23474537107802429</v>
      </c>
      <c r="O395" s="2">
        <f ca="1"/>
        <v>-1.2564886722507851</v>
      </c>
      <c r="X395" s="2">
        <f ca="1"/>
        <v>53.441267343497891</v>
      </c>
      <c r="AG395" s="2">
        <f ca="1"/>
        <v>0.33190286119255008</v>
      </c>
      <c r="AH395" s="2" t="str">
        <f ca="1"/>
        <v>OK</v>
      </c>
    </row>
    <row r="396" spans="2:34" x14ac:dyDescent="0.2">
      <c r="B396" s="2">
        <f ca="1"/>
        <v>7.396959937216252E-2</v>
      </c>
      <c r="O396" s="2">
        <f ca="1"/>
        <v>0.57338193308483365</v>
      </c>
      <c r="X396" s="2">
        <f ca="1"/>
        <v>61.691697954640503</v>
      </c>
      <c r="AG396" s="2">
        <f ca="1"/>
        <v>0.11293198920212855</v>
      </c>
      <c r="AH396" s="2" t="str">
        <f ca="1"/>
        <v>OK</v>
      </c>
    </row>
    <row r="397" spans="2:34" x14ac:dyDescent="0.2">
      <c r="B397" s="2">
        <f ca="1"/>
        <v>0.93719929734802387</v>
      </c>
      <c r="O397" s="2">
        <f ca="1"/>
        <v>1.1619239491958655</v>
      </c>
      <c r="X397" s="2">
        <f ca="1"/>
        <v>90.646296289062519</v>
      </c>
      <c r="AG397" s="2">
        <f ca="1"/>
        <v>0.24971295416008488</v>
      </c>
      <c r="AH397" s="2" t="str">
        <f ca="1"/>
        <v>OK</v>
      </c>
    </row>
    <row r="398" spans="2:34" x14ac:dyDescent="0.2">
      <c r="B398" s="2">
        <f ca="1"/>
        <v>0.67763839923355129</v>
      </c>
      <c r="O398" s="2">
        <f ca="1"/>
        <v>-0.22755958840169405</v>
      </c>
      <c r="X398" s="2">
        <f ca="1"/>
        <v>56.089387702295738</v>
      </c>
      <c r="AG398" s="2">
        <f ca="1"/>
        <v>0.37732511230032917</v>
      </c>
      <c r="AH398" s="2" t="str">
        <f ca="1"/>
        <v>OK</v>
      </c>
    </row>
    <row r="399" spans="2:34" x14ac:dyDescent="0.2">
      <c r="B399" s="2">
        <f ca="1"/>
        <v>0.21752557944447171</v>
      </c>
      <c r="O399" s="2">
        <f ca="1"/>
        <v>-0.86993456189940954</v>
      </c>
      <c r="X399" s="2">
        <f ca="1"/>
        <v>64.723270150967437</v>
      </c>
      <c r="AG399" s="2">
        <f ca="1"/>
        <v>0.51609822119138848</v>
      </c>
      <c r="AH399" s="2" t="str">
        <f ca="1"/>
        <v>Bad</v>
      </c>
    </row>
    <row r="400" spans="2:34" x14ac:dyDescent="0.2">
      <c r="B400" s="2">
        <f ca="1"/>
        <v>0.90120973539290539</v>
      </c>
      <c r="O400" s="2">
        <f ca="1"/>
        <v>0.77369380956245781</v>
      </c>
      <c r="X400" s="2">
        <f ca="1"/>
        <v>63.075193404675922</v>
      </c>
      <c r="AG400" s="2">
        <f ca="1"/>
        <v>1.382637148762722E-2</v>
      </c>
      <c r="AH400" s="2" t="str">
        <f ca="1"/>
        <v>Good</v>
      </c>
    </row>
    <row r="401" spans="2:34" x14ac:dyDescent="0.2">
      <c r="B401" s="2">
        <f ca="1"/>
        <v>2.6384779058768126E-2</v>
      </c>
      <c r="O401" s="2">
        <f ca="1"/>
        <v>1.4074812520302762</v>
      </c>
      <c r="X401" s="2">
        <f ca="1"/>
        <v>72.039619801972464</v>
      </c>
      <c r="AG401" s="2">
        <f ca="1"/>
        <v>0.33590497395722374</v>
      </c>
      <c r="AH401" s="2" t="str">
        <f ca="1"/>
        <v>OK</v>
      </c>
    </row>
    <row r="402" spans="2:34" x14ac:dyDescent="0.2">
      <c r="B402" s="2">
        <f ca="1"/>
        <v>0.19085563022021779</v>
      </c>
      <c r="O402" s="2">
        <f ca="1"/>
        <v>-1.8495186793496889</v>
      </c>
      <c r="X402" s="2">
        <f ca="1"/>
        <v>51.121889419314428</v>
      </c>
      <c r="AG402" s="2">
        <f ca="1"/>
        <v>0.24761423411746231</v>
      </c>
      <c r="AH402" s="2" t="str">
        <f ca="1"/>
        <v>OK</v>
      </c>
    </row>
    <row r="403" spans="2:34" x14ac:dyDescent="0.2">
      <c r="B403" s="2">
        <f ca="1"/>
        <v>0.9789773594798179</v>
      </c>
      <c r="O403" s="2">
        <f ca="1"/>
        <v>-9.23575948069916E-2</v>
      </c>
      <c r="X403" s="2">
        <f ca="1"/>
        <v>37.815448204508819</v>
      </c>
      <c r="AG403" s="2">
        <f ca="1"/>
        <v>0.27020168263728572</v>
      </c>
      <c r="AH403" s="2" t="str">
        <f ca="1"/>
        <v>OK</v>
      </c>
    </row>
    <row r="404" spans="2:34" x14ac:dyDescent="0.2">
      <c r="B404" s="2">
        <f ca="1"/>
        <v>9.9036294944601089E-2</v>
      </c>
      <c r="O404" s="2">
        <f ca="1"/>
        <v>0.38357413024606846</v>
      </c>
      <c r="X404" s="2">
        <f ca="1"/>
        <v>57.630091354791865</v>
      </c>
      <c r="AG404" s="2">
        <f ca="1"/>
        <v>0.93951093418857901</v>
      </c>
      <c r="AH404" s="2" t="str">
        <f ca="1"/>
        <v>Bad</v>
      </c>
    </row>
    <row r="405" spans="2:34" x14ac:dyDescent="0.2">
      <c r="B405" s="2">
        <f ca="1"/>
        <v>0.77106278878689616</v>
      </c>
      <c r="O405" s="2">
        <f ca="1"/>
        <v>0.10305194247508274</v>
      </c>
      <c r="X405" s="2">
        <f ca="1"/>
        <v>49.356113061151191</v>
      </c>
      <c r="AG405" s="2">
        <f ca="1"/>
        <v>0.991047394467929</v>
      </c>
      <c r="AH405" s="2" t="str">
        <f ca="1"/>
        <v>Bad</v>
      </c>
    </row>
    <row r="406" spans="2:34" x14ac:dyDescent="0.2">
      <c r="B406" s="2">
        <f ca="1"/>
        <v>0.74475504193803044</v>
      </c>
      <c r="O406" s="2">
        <f ca="1"/>
        <v>-1.1134754308594841</v>
      </c>
      <c r="X406" s="2">
        <f ca="1"/>
        <v>41.249238081539346</v>
      </c>
      <c r="AG406" s="2">
        <f ca="1"/>
        <v>0.65583296319600226</v>
      </c>
      <c r="AH406" s="2" t="str">
        <f ca="1"/>
        <v>Bad</v>
      </c>
    </row>
    <row r="407" spans="2:34" x14ac:dyDescent="0.2">
      <c r="B407" s="2">
        <f ca="1"/>
        <v>6.8261438619697357E-2</v>
      </c>
      <c r="O407" s="2">
        <f ca="1"/>
        <v>-0.20513674095198309</v>
      </c>
      <c r="X407" s="2">
        <f ca="1"/>
        <v>41.665690497620382</v>
      </c>
      <c r="AG407" s="2">
        <f ca="1"/>
        <v>0.95957606505181747</v>
      </c>
      <c r="AH407" s="2" t="str">
        <f ca="1"/>
        <v>Bad</v>
      </c>
    </row>
    <row r="408" spans="2:34" x14ac:dyDescent="0.2">
      <c r="B408" s="2">
        <f ca="1"/>
        <v>0.53142213981607833</v>
      </c>
      <c r="O408" s="2">
        <f ca="1"/>
        <v>0.45097495101074281</v>
      </c>
      <c r="X408" s="2">
        <f ca="1"/>
        <v>60.025207849297047</v>
      </c>
      <c r="AG408" s="2">
        <f ca="1"/>
        <v>0.33295250888058403</v>
      </c>
      <c r="AH408" s="2" t="str">
        <f ca="1"/>
        <v>OK</v>
      </c>
    </row>
    <row r="409" spans="2:34" x14ac:dyDescent="0.2">
      <c r="B409" s="2">
        <f ca="1"/>
        <v>0.24713920490716368</v>
      </c>
      <c r="O409" s="2">
        <f ca="1"/>
        <v>1.0428030110589148</v>
      </c>
      <c r="X409" s="2">
        <f ca="1"/>
        <v>52.026339585253965</v>
      </c>
      <c r="AG409" s="2">
        <f ca="1"/>
        <v>0.95248199312449788</v>
      </c>
      <c r="AH409" s="2" t="str">
        <f ca="1"/>
        <v>Bad</v>
      </c>
    </row>
    <row r="410" spans="2:34" x14ac:dyDescent="0.2">
      <c r="B410" s="2">
        <f ca="1"/>
        <v>0.11366911650514466</v>
      </c>
      <c r="O410" s="2">
        <f ca="1"/>
        <v>-0.73534952958352251</v>
      </c>
      <c r="X410" s="2">
        <f ca="1"/>
        <v>83.136736616909815</v>
      </c>
      <c r="AG410" s="2">
        <f ca="1"/>
        <v>0.18586882366385926</v>
      </c>
      <c r="AH410" s="2" t="str">
        <f ca="1"/>
        <v>OK</v>
      </c>
    </row>
    <row r="411" spans="2:34" x14ac:dyDescent="0.2">
      <c r="B411" s="2">
        <f ca="1"/>
        <v>2.0294485588484568E-2</v>
      </c>
      <c r="O411" s="2">
        <f ca="1"/>
        <v>0.26193577165457849</v>
      </c>
      <c r="X411" s="2">
        <f ca="1"/>
        <v>41.236077666855159</v>
      </c>
      <c r="AG411" s="2">
        <f ca="1"/>
        <v>0.52170887740645133</v>
      </c>
      <c r="AH411" s="2" t="str">
        <f ca="1"/>
        <v>Bad</v>
      </c>
    </row>
    <row r="412" spans="2:34" x14ac:dyDescent="0.2">
      <c r="B412" s="2">
        <f ca="1"/>
        <v>0.42096852771971283</v>
      </c>
      <c r="O412" s="2">
        <f ca="1"/>
        <v>0.10628821385010048</v>
      </c>
      <c r="X412" s="2">
        <f ca="1"/>
        <v>25.526817912063414</v>
      </c>
      <c r="AG412" s="2">
        <f ca="1"/>
        <v>1.1571960446346452E-2</v>
      </c>
      <c r="AH412" s="2" t="str">
        <f ca="1"/>
        <v>Good</v>
      </c>
    </row>
    <row r="413" spans="2:34" x14ac:dyDescent="0.2">
      <c r="B413" s="2">
        <f ca="1"/>
        <v>0.72725966881273774</v>
      </c>
      <c r="O413" s="2">
        <f ca="1"/>
        <v>-0.97500336096054641</v>
      </c>
      <c r="X413" s="2">
        <f ca="1"/>
        <v>47.998203795565189</v>
      </c>
      <c r="AG413" s="2">
        <f ca="1"/>
        <v>0.25344880448580809</v>
      </c>
      <c r="AH413" s="2" t="str">
        <f ca="1"/>
        <v>OK</v>
      </c>
    </row>
    <row r="414" spans="2:34" x14ac:dyDescent="0.2">
      <c r="B414" s="2">
        <f ca="1"/>
        <v>0.3221568301755664</v>
      </c>
      <c r="O414" s="2">
        <f ca="1"/>
        <v>-6.1398937472375396E-2</v>
      </c>
      <c r="X414" s="2">
        <f ca="1"/>
        <v>75.791452037655759</v>
      </c>
      <c r="AG414" s="2">
        <f ca="1"/>
        <v>0.89381030200015399</v>
      </c>
      <c r="AH414" s="2" t="str">
        <f ca="1"/>
        <v>Bad</v>
      </c>
    </row>
    <row r="415" spans="2:34" x14ac:dyDescent="0.2">
      <c r="B415" s="2">
        <f ca="1"/>
        <v>9.8842426800846761E-2</v>
      </c>
      <c r="O415" s="2">
        <f ca="1"/>
        <v>-2.3134162930458073</v>
      </c>
      <c r="X415" s="2">
        <f ca="1"/>
        <v>28.27322998539206</v>
      </c>
      <c r="AG415" s="2">
        <f ca="1"/>
        <v>0.16341760670717798</v>
      </c>
      <c r="AH415" s="2" t="str">
        <f ca="1"/>
        <v>OK</v>
      </c>
    </row>
    <row r="416" spans="2:34" x14ac:dyDescent="0.2">
      <c r="B416" s="2">
        <f ca="1"/>
        <v>0.11756257621259625</v>
      </c>
      <c r="O416" s="2">
        <f ca="1"/>
        <v>0.73567499678769088</v>
      </c>
      <c r="X416" s="2">
        <f ca="1"/>
        <v>48.285077892719798</v>
      </c>
      <c r="AG416" s="2">
        <f ca="1"/>
        <v>0.51083668713435704</v>
      </c>
      <c r="AH416" s="2" t="str">
        <f ca="1"/>
        <v>Bad</v>
      </c>
    </row>
    <row r="417" spans="2:34" x14ac:dyDescent="0.2">
      <c r="B417" s="2">
        <f ca="1"/>
        <v>0.45284870024672852</v>
      </c>
      <c r="O417" s="2">
        <f ca="1"/>
        <v>0.1857974112285708</v>
      </c>
      <c r="X417" s="2">
        <f ca="1"/>
        <v>54.518079206536655</v>
      </c>
      <c r="AG417" s="2">
        <f ca="1"/>
        <v>0.60784798244709148</v>
      </c>
      <c r="AH417" s="2" t="str">
        <f ca="1"/>
        <v>Bad</v>
      </c>
    </row>
    <row r="418" spans="2:34" x14ac:dyDescent="0.2">
      <c r="B418" s="2">
        <f ca="1"/>
        <v>0.81295694480297098</v>
      </c>
      <c r="O418" s="2">
        <f ca="1"/>
        <v>-9.9929697323690669E-2</v>
      </c>
      <c r="X418" s="2">
        <f ca="1"/>
        <v>48.726320581641573</v>
      </c>
      <c r="AG418" s="2">
        <f ca="1"/>
        <v>0.58976348542862533</v>
      </c>
      <c r="AH418" s="2" t="str">
        <f ca="1"/>
        <v>Bad</v>
      </c>
    </row>
    <row r="419" spans="2:34" x14ac:dyDescent="0.2">
      <c r="B419" s="2">
        <f ca="1"/>
        <v>0.21575503802667639</v>
      </c>
      <c r="O419" s="2">
        <f ca="1"/>
        <v>-0.58601775138328849</v>
      </c>
      <c r="X419" s="2">
        <f ca="1"/>
        <v>76.494393279696581</v>
      </c>
      <c r="AG419" s="2">
        <f ca="1"/>
        <v>0.33258967379180104</v>
      </c>
      <c r="AH419" s="2" t="str">
        <f ca="1"/>
        <v>OK</v>
      </c>
    </row>
    <row r="420" spans="2:34" x14ac:dyDescent="0.2">
      <c r="B420" s="2">
        <f ca="1"/>
        <v>2.9954790707713563E-2</v>
      </c>
      <c r="O420" s="2">
        <f ca="1"/>
        <v>0.46429594831635634</v>
      </c>
      <c r="X420" s="2">
        <f ca="1"/>
        <v>44.452728683247457</v>
      </c>
      <c r="AG420" s="2">
        <f ca="1"/>
        <v>0.75204010595281745</v>
      </c>
      <c r="AH420" s="2" t="str">
        <f ca="1"/>
        <v>Bad</v>
      </c>
    </row>
    <row r="421" spans="2:34" x14ac:dyDescent="0.2">
      <c r="B421" s="2">
        <f ca="1"/>
        <v>0.46318741017508525</v>
      </c>
      <c r="O421" s="2">
        <f ca="1"/>
        <v>2.3924396952839251</v>
      </c>
      <c r="X421" s="2">
        <f ca="1"/>
        <v>60.344499755346334</v>
      </c>
      <c r="AG421" s="2">
        <f ca="1"/>
        <v>0.37893666695832362</v>
      </c>
      <c r="AH421" s="2" t="str">
        <f ca="1"/>
        <v>OK</v>
      </c>
    </row>
    <row r="422" spans="2:34" x14ac:dyDescent="0.2">
      <c r="B422" s="2">
        <f ca="1"/>
        <v>0.77752138092594092</v>
      </c>
      <c r="O422" s="2">
        <f ca="1"/>
        <v>5.830375766038963E-2</v>
      </c>
      <c r="X422" s="2">
        <f ca="1"/>
        <v>68.693209755726798</v>
      </c>
      <c r="AG422" s="2">
        <f ca="1"/>
        <v>8.4619168966031388E-3</v>
      </c>
      <c r="AH422" s="2" t="str">
        <f ca="1"/>
        <v>Good</v>
      </c>
    </row>
    <row r="423" spans="2:34" x14ac:dyDescent="0.2">
      <c r="B423" s="2">
        <f ca="1"/>
        <v>0.26053646352973936</v>
      </c>
      <c r="O423" s="2">
        <f ca="1"/>
        <v>1.1147158903063523</v>
      </c>
      <c r="X423" s="2">
        <f ca="1"/>
        <v>71.137823619521583</v>
      </c>
      <c r="AG423" s="2">
        <f ca="1"/>
        <v>0.23699189360994288</v>
      </c>
      <c r="AH423" s="2" t="str">
        <f ca="1"/>
        <v>OK</v>
      </c>
    </row>
    <row r="424" spans="2:34" x14ac:dyDescent="0.2">
      <c r="B424" s="2">
        <f ca="1"/>
        <v>0.36682374313367472</v>
      </c>
      <c r="O424" s="2">
        <f ca="1"/>
        <v>-0.41639024719717654</v>
      </c>
      <c r="X424" s="2">
        <f ca="1"/>
        <v>34.393722883937194</v>
      </c>
      <c r="AG424" s="2">
        <f ca="1"/>
        <v>0.78323629231251424</v>
      </c>
      <c r="AH424" s="2" t="str">
        <f ca="1"/>
        <v>Bad</v>
      </c>
    </row>
    <row r="425" spans="2:34" x14ac:dyDescent="0.2">
      <c r="B425" s="2">
        <f ca="1"/>
        <v>0.56622445434079394</v>
      </c>
      <c r="O425" s="2">
        <f ca="1"/>
        <v>-0.42571916279875516</v>
      </c>
      <c r="X425" s="2">
        <f ca="1"/>
        <v>65.210472087384545</v>
      </c>
      <c r="AG425" s="2">
        <f ca="1"/>
        <v>0.86150569425179158</v>
      </c>
      <c r="AH425" s="2" t="str">
        <f ca="1"/>
        <v>Bad</v>
      </c>
    </row>
    <row r="426" spans="2:34" x14ac:dyDescent="0.2">
      <c r="B426" s="2">
        <f ca="1"/>
        <v>0.66677007246184883</v>
      </c>
      <c r="O426" s="2">
        <f ca="1"/>
        <v>0.14640718773911474</v>
      </c>
      <c r="X426" s="2">
        <f ca="1"/>
        <v>73.741366994052953</v>
      </c>
      <c r="AG426" s="2">
        <f ca="1"/>
        <v>0.63858827112632732</v>
      </c>
      <c r="AH426" s="2" t="str">
        <f ca="1"/>
        <v>Bad</v>
      </c>
    </row>
    <row r="427" spans="2:34" x14ac:dyDescent="0.2">
      <c r="B427" s="2">
        <f ca="1"/>
        <v>0.90522118703383203</v>
      </c>
      <c r="O427" s="2">
        <f ca="1"/>
        <v>-1.2652845213474266</v>
      </c>
      <c r="X427" s="2">
        <f ca="1"/>
        <v>34.941812692246977</v>
      </c>
      <c r="AG427" s="2">
        <f ca="1"/>
        <v>0.84437560440296333</v>
      </c>
      <c r="AH427" s="2" t="str">
        <f ca="1"/>
        <v>Bad</v>
      </c>
    </row>
    <row r="428" spans="2:34" x14ac:dyDescent="0.2">
      <c r="B428" s="2">
        <f ca="1"/>
        <v>0.87152542444272063</v>
      </c>
      <c r="O428" s="2">
        <f ca="1"/>
        <v>-0.48369569989541794</v>
      </c>
      <c r="X428" s="2">
        <f ca="1"/>
        <v>56.73256360780119</v>
      </c>
      <c r="AG428" s="2">
        <f ca="1"/>
        <v>0.59903875157566411</v>
      </c>
      <c r="AH428" s="2" t="str">
        <f ca="1"/>
        <v>Bad</v>
      </c>
    </row>
    <row r="429" spans="2:34" x14ac:dyDescent="0.2">
      <c r="B429" s="2">
        <f ca="1"/>
        <v>0.16250803551013382</v>
      </c>
      <c r="O429" s="2">
        <f ca="1"/>
        <v>4.1148407996035939E-2</v>
      </c>
      <c r="X429" s="2">
        <f ca="1"/>
        <v>57.499294291515582</v>
      </c>
      <c r="AG429" s="2">
        <f ca="1"/>
        <v>0.79468925201113327</v>
      </c>
      <c r="AH429" s="2" t="str">
        <f ca="1"/>
        <v>Bad</v>
      </c>
    </row>
    <row r="430" spans="2:34" x14ac:dyDescent="0.2">
      <c r="B430" s="2">
        <f ca="1"/>
        <v>0.53025272858842465</v>
      </c>
      <c r="O430" s="2">
        <f ca="1"/>
        <v>8.6420555944528341E-2</v>
      </c>
      <c r="X430" s="2">
        <f ca="1"/>
        <v>50.452720951167613</v>
      </c>
      <c r="AG430" s="2">
        <f ca="1"/>
        <v>0.72097900911635016</v>
      </c>
      <c r="AH430" s="2" t="str">
        <f ca="1"/>
        <v>Bad</v>
      </c>
    </row>
    <row r="431" spans="2:34" x14ac:dyDescent="0.2">
      <c r="B431" s="2">
        <f ca="1"/>
        <v>0.76791065688120663</v>
      </c>
      <c r="O431" s="2">
        <f ca="1"/>
        <v>-0.25128367012840713</v>
      </c>
      <c r="X431" s="2">
        <f ca="1"/>
        <v>50.890805192615844</v>
      </c>
      <c r="AG431" s="2">
        <f ca="1"/>
        <v>0.38730858350887343</v>
      </c>
      <c r="AH431" s="2" t="str">
        <f ca="1"/>
        <v>OK</v>
      </c>
    </row>
    <row r="432" spans="2:34" x14ac:dyDescent="0.2">
      <c r="B432" s="2">
        <f ca="1"/>
        <v>9.2421957078351546E-2</v>
      </c>
      <c r="O432" s="2">
        <f ca="1"/>
        <v>-0.25854120220811239</v>
      </c>
      <c r="X432" s="2">
        <f ca="1"/>
        <v>43.606746868022022</v>
      </c>
      <c r="AG432" s="2">
        <f ca="1"/>
        <v>0.85018208742005541</v>
      </c>
      <c r="AH432" s="2" t="str">
        <f ca="1"/>
        <v>Bad</v>
      </c>
    </row>
    <row r="433" spans="2:34" x14ac:dyDescent="0.2">
      <c r="B433" s="2">
        <f ca="1"/>
        <v>0.60222744181791765</v>
      </c>
      <c r="O433" s="2">
        <f ca="1"/>
        <v>0.11185494471459315</v>
      </c>
      <c r="X433" s="2">
        <f ca="1"/>
        <v>59.400747415968851</v>
      </c>
      <c r="AG433" s="2">
        <f ca="1"/>
        <v>0.32534980552386172</v>
      </c>
      <c r="AH433" s="2" t="str">
        <f ca="1"/>
        <v>OK</v>
      </c>
    </row>
    <row r="434" spans="2:34" x14ac:dyDescent="0.2">
      <c r="B434" s="2">
        <f ca="1"/>
        <v>2.4815519828283339E-2</v>
      </c>
      <c r="O434" s="2">
        <f ca="1"/>
        <v>0.26284081126519004</v>
      </c>
      <c r="X434" s="2">
        <f ca="1"/>
        <v>53.421566269075768</v>
      </c>
      <c r="AG434" s="2">
        <f ca="1"/>
        <v>0.94520218655394572</v>
      </c>
      <c r="AH434" s="2" t="str">
        <f ca="1"/>
        <v>Bad</v>
      </c>
    </row>
    <row r="435" spans="2:34" x14ac:dyDescent="0.2">
      <c r="B435" s="2">
        <f ca="1"/>
        <v>0.52886997409167358</v>
      </c>
      <c r="O435" s="2">
        <f ca="1"/>
        <v>-9.9758235223035424E-2</v>
      </c>
      <c r="X435" s="2">
        <f ca="1"/>
        <v>30.905447669327273</v>
      </c>
      <c r="AG435" s="2">
        <f ca="1"/>
        <v>0.25226420974185615</v>
      </c>
      <c r="AH435" s="2" t="str">
        <f ca="1"/>
        <v>OK</v>
      </c>
    </row>
    <row r="436" spans="2:34" x14ac:dyDescent="0.2">
      <c r="B436" s="2">
        <f ca="1"/>
        <v>0.96538714870378128</v>
      </c>
      <c r="O436" s="2">
        <f ca="1"/>
        <v>1.1120389671081581</v>
      </c>
      <c r="X436" s="2">
        <f ca="1"/>
        <v>32.08327912925715</v>
      </c>
      <c r="AG436" s="2">
        <f ca="1"/>
        <v>0.41154521918337239</v>
      </c>
      <c r="AH436" s="2" t="str">
        <f ca="1"/>
        <v>Bad</v>
      </c>
    </row>
    <row r="437" spans="2:34" x14ac:dyDescent="0.2">
      <c r="B437" s="2">
        <f ca="1"/>
        <v>0.81905076299978519</v>
      </c>
      <c r="O437" s="2">
        <f ca="1"/>
        <v>1.7852171638847412E-2</v>
      </c>
      <c r="X437" s="2">
        <f ca="1"/>
        <v>42.290867227648228</v>
      </c>
      <c r="AG437" s="2">
        <f ca="1"/>
        <v>0.11369431340465086</v>
      </c>
      <c r="AH437" s="2" t="str">
        <f ca="1"/>
        <v>OK</v>
      </c>
    </row>
    <row r="438" spans="2:34" x14ac:dyDescent="0.2">
      <c r="B438" s="2">
        <f ca="1"/>
        <v>0.36636575659948889</v>
      </c>
      <c r="O438" s="2">
        <f ca="1"/>
        <v>0.29562598069546026</v>
      </c>
      <c r="X438" s="2">
        <f ca="1"/>
        <v>50.942369545680236</v>
      </c>
      <c r="AG438" s="2">
        <f ca="1"/>
        <v>0.50920732381528144</v>
      </c>
      <c r="AH438" s="2" t="str">
        <f ca="1"/>
        <v>Bad</v>
      </c>
    </row>
    <row r="439" spans="2:34" x14ac:dyDescent="0.2">
      <c r="B439" s="2">
        <f ca="1"/>
        <v>0.90165792727416894</v>
      </c>
      <c r="O439" s="2">
        <f ca="1"/>
        <v>0.39034294512164996</v>
      </c>
      <c r="X439" s="2">
        <f ca="1"/>
        <v>50.163497668184675</v>
      </c>
      <c r="AG439" s="2">
        <f ca="1"/>
        <v>0.27211392579502647</v>
      </c>
      <c r="AH439" s="2" t="str">
        <f ca="1"/>
        <v>OK</v>
      </c>
    </row>
    <row r="440" spans="2:34" x14ac:dyDescent="0.2">
      <c r="B440" s="2">
        <f ca="1"/>
        <v>0.93527851802223894</v>
      </c>
      <c r="O440" s="2">
        <f ca="1"/>
        <v>-0.49060728981879298</v>
      </c>
      <c r="X440" s="2">
        <f ca="1"/>
        <v>48.242929847987838</v>
      </c>
      <c r="AG440" s="2">
        <f ca="1"/>
        <v>0.23855202075663717</v>
      </c>
      <c r="AH440" s="2" t="str">
        <f ca="1"/>
        <v>OK</v>
      </c>
    </row>
    <row r="441" spans="2:34" x14ac:dyDescent="0.2">
      <c r="B441" s="2">
        <f ca="1"/>
        <v>0.68271751098153644</v>
      </c>
      <c r="O441" s="2">
        <f ca="1"/>
        <v>0.17987627966701422</v>
      </c>
      <c r="X441" s="2">
        <f ca="1"/>
        <v>48.548369355627301</v>
      </c>
      <c r="AG441" s="2">
        <f ca="1"/>
        <v>0.6998848746927977</v>
      </c>
      <c r="AH441" s="2" t="str">
        <f ca="1"/>
        <v>Bad</v>
      </c>
    </row>
    <row r="442" spans="2:34" x14ac:dyDescent="0.2">
      <c r="B442" s="2">
        <f ca="1"/>
        <v>0.52097700387089896</v>
      </c>
      <c r="O442" s="2">
        <f ca="1"/>
        <v>-0.85344219566878232</v>
      </c>
      <c r="X442" s="2">
        <f ca="1"/>
        <v>27.211952120172832</v>
      </c>
      <c r="AG442" s="2">
        <f ca="1"/>
        <v>0.71706720784339217</v>
      </c>
      <c r="AH442" s="2" t="str">
        <f ca="1"/>
        <v>Bad</v>
      </c>
    </row>
    <row r="443" spans="2:34" x14ac:dyDescent="0.2">
      <c r="B443" s="2">
        <f ca="1"/>
        <v>0.63182611635385055</v>
      </c>
      <c r="O443" s="2">
        <f ca="1"/>
        <v>-2.271885934364192</v>
      </c>
      <c r="X443" s="2">
        <f ca="1"/>
        <v>68.720115914684868</v>
      </c>
      <c r="AG443" s="2">
        <f ca="1"/>
        <v>0.70186637193335377</v>
      </c>
      <c r="AH443" s="2" t="str">
        <f ca="1"/>
        <v>Bad</v>
      </c>
    </row>
    <row r="444" spans="2:34" x14ac:dyDescent="0.2">
      <c r="B444" s="2">
        <f ca="1"/>
        <v>0.92688743133915708</v>
      </c>
      <c r="O444" s="2">
        <f ca="1"/>
        <v>-6.3177818188131951E-2</v>
      </c>
      <c r="X444" s="2">
        <f ca="1"/>
        <v>50.23841071664431</v>
      </c>
      <c r="AG444" s="2">
        <f ca="1"/>
        <v>0.42929993193630467</v>
      </c>
      <c r="AH444" s="2" t="str">
        <f ca="1"/>
        <v>Bad</v>
      </c>
    </row>
    <row r="445" spans="2:34" x14ac:dyDescent="0.2">
      <c r="B445" s="2">
        <f ca="1"/>
        <v>0.15003832981993748</v>
      </c>
      <c r="O445" s="2">
        <f ca="1"/>
        <v>0.90401412277965876</v>
      </c>
      <c r="X445" s="2">
        <f ca="1"/>
        <v>44.395568383297388</v>
      </c>
      <c r="AG445" s="2">
        <f ca="1"/>
        <v>3.0286575271172289E-2</v>
      </c>
      <c r="AH445" s="2" t="str">
        <f ca="1"/>
        <v>Good</v>
      </c>
    </row>
    <row r="446" spans="2:34" x14ac:dyDescent="0.2">
      <c r="B446" s="2">
        <f ca="1"/>
        <v>0.26739623855582617</v>
      </c>
      <c r="O446" s="2">
        <f ca="1"/>
        <v>-3.5274639133720261E-2</v>
      </c>
      <c r="X446" s="2">
        <f ca="1"/>
        <v>77.930506223459645</v>
      </c>
      <c r="AG446" s="2">
        <f ca="1"/>
        <v>0.59972411601506415</v>
      </c>
      <c r="AH446" s="2" t="str">
        <f ca="1"/>
        <v>Bad</v>
      </c>
    </row>
    <row r="447" spans="2:34" x14ac:dyDescent="0.2">
      <c r="B447" s="2">
        <f ca="1"/>
        <v>0.86818604292580281</v>
      </c>
      <c r="O447" s="2">
        <f ca="1"/>
        <v>-1.1415421770623355</v>
      </c>
      <c r="X447" s="2">
        <f ca="1"/>
        <v>34.630559804319731</v>
      </c>
      <c r="AG447" s="2">
        <f ca="1"/>
        <v>0.27345476133810087</v>
      </c>
      <c r="AH447" s="2" t="str">
        <f ca="1"/>
        <v>OK</v>
      </c>
    </row>
    <row r="448" spans="2:34" x14ac:dyDescent="0.2">
      <c r="B448" s="2">
        <f ca="1"/>
        <v>0.8297047327591851</v>
      </c>
      <c r="O448" s="2">
        <f ca="1"/>
        <v>-0.62748770465086967</v>
      </c>
      <c r="X448" s="2">
        <f ca="1"/>
        <v>38.379630719620124</v>
      </c>
      <c r="AG448" s="2">
        <f ca="1"/>
        <v>0.43749527799341714</v>
      </c>
      <c r="AH448" s="2" t="str">
        <f ca="1"/>
        <v>Bad</v>
      </c>
    </row>
    <row r="449" spans="2:34" x14ac:dyDescent="0.2">
      <c r="B449" s="2">
        <f ca="1"/>
        <v>0.21848842065173724</v>
      </c>
      <c r="O449" s="2">
        <f ca="1"/>
        <v>-1.6359410669399699</v>
      </c>
      <c r="X449" s="2">
        <f ca="1"/>
        <v>44.381465519675977</v>
      </c>
      <c r="AG449" s="2">
        <f ca="1"/>
        <v>0.25078514223719606</v>
      </c>
      <c r="AH449" s="2" t="str">
        <f ca="1"/>
        <v>OK</v>
      </c>
    </row>
    <row r="450" spans="2:34" x14ac:dyDescent="0.2">
      <c r="B450" s="2">
        <f ca="1"/>
        <v>0.12724455532223367</v>
      </c>
      <c r="O450" s="2">
        <f ca="1"/>
        <v>1.4921018320677786</v>
      </c>
      <c r="X450" s="2">
        <f ca="1"/>
        <v>77.749163557508609</v>
      </c>
      <c r="AG450" s="2">
        <f ca="1"/>
        <v>0.52597793952276062</v>
      </c>
      <c r="AH450" s="2" t="str">
        <f ca="1"/>
        <v>Bad</v>
      </c>
    </row>
    <row r="451" spans="2:34" x14ac:dyDescent="0.2">
      <c r="B451" s="2">
        <f ca="1"/>
        <v>0.14208843097454094</v>
      </c>
      <c r="O451" s="2">
        <f ca="1"/>
        <v>0.59795897841736667</v>
      </c>
      <c r="X451" s="2">
        <f ca="1"/>
        <v>49.839065889601528</v>
      </c>
      <c r="AG451" s="2">
        <f ca="1"/>
        <v>0.75533671643516564</v>
      </c>
      <c r="AH451" s="2" t="str">
        <f ca="1"/>
        <v>Bad</v>
      </c>
    </row>
    <row r="452" spans="2:34" x14ac:dyDescent="0.2">
      <c r="B452" s="2">
        <f ca="1"/>
        <v>0.83854342886113886</v>
      </c>
      <c r="O452" s="2">
        <f ca="1"/>
        <v>0.48410977054639265</v>
      </c>
      <c r="X452" s="2">
        <f ca="1"/>
        <v>17.000629761202728</v>
      </c>
      <c r="AG452" s="2">
        <f ca="1"/>
        <v>0.21655113379266377</v>
      </c>
      <c r="AH452" s="2" t="str">
        <f ca="1"/>
        <v>OK</v>
      </c>
    </row>
    <row r="453" spans="2:34" x14ac:dyDescent="0.2">
      <c r="B453" s="2">
        <f ca="1"/>
        <v>0.86270812401946695</v>
      </c>
      <c r="O453" s="2">
        <f ca="1"/>
        <v>-0.56798527469054005</v>
      </c>
      <c r="X453" s="2">
        <f ca="1"/>
        <v>41.213312420482431</v>
      </c>
      <c r="AG453" s="2">
        <f ca="1"/>
        <v>0.63673839678787947</v>
      </c>
      <c r="AH453" s="2" t="str">
        <f ca="1"/>
        <v>Bad</v>
      </c>
    </row>
    <row r="454" spans="2:34" x14ac:dyDescent="0.2">
      <c r="B454" s="2">
        <f ca="1"/>
        <v>0.73251156909460624</v>
      </c>
      <c r="O454" s="2">
        <f ca="1"/>
        <v>2.0821383903664654</v>
      </c>
      <c r="X454" s="2">
        <f ca="1"/>
        <v>69.377717242172167</v>
      </c>
      <c r="AG454" s="2">
        <f ca="1"/>
        <v>0.98882059433588521</v>
      </c>
      <c r="AH454" s="2" t="str">
        <f ca="1"/>
        <v>Bad</v>
      </c>
    </row>
    <row r="455" spans="2:34" x14ac:dyDescent="0.2">
      <c r="B455" s="2">
        <f ca="1"/>
        <v>0.84067069597388833</v>
      </c>
      <c r="O455" s="2">
        <f ca="1"/>
        <v>1.1373123249299712E-2</v>
      </c>
      <c r="X455" s="2">
        <f ca="1"/>
        <v>66.10097695291023</v>
      </c>
      <c r="AG455" s="2">
        <f ca="1"/>
        <v>0.32794967652791551</v>
      </c>
      <c r="AH455" s="2" t="str">
        <f ca="1"/>
        <v>OK</v>
      </c>
    </row>
    <row r="456" spans="2:34" x14ac:dyDescent="0.2">
      <c r="B456" s="2">
        <f ca="1"/>
        <v>0.36613684232025667</v>
      </c>
      <c r="O456" s="2">
        <f ca="1"/>
        <v>-0.46650313343267041</v>
      </c>
      <c r="X456" s="2">
        <f ca="1"/>
        <v>52.750930196713803</v>
      </c>
      <c r="AG456" s="2">
        <f ca="1"/>
        <v>0.29920261558187611</v>
      </c>
      <c r="AH456" s="2" t="str">
        <f ca="1"/>
        <v>OK</v>
      </c>
    </row>
    <row r="457" spans="2:34" x14ac:dyDescent="0.2">
      <c r="B457" s="2">
        <f ca="1"/>
        <v>0.82689596194227555</v>
      </c>
      <c r="O457" s="2">
        <f ca="1"/>
        <v>-0.52620568389660494</v>
      </c>
      <c r="X457" s="2">
        <f ca="1"/>
        <v>74.183660737859142</v>
      </c>
      <c r="AG457" s="2">
        <f ca="1"/>
        <v>1.3889266800211741E-2</v>
      </c>
      <c r="AH457" s="2" t="str">
        <f ca="1"/>
        <v>Good</v>
      </c>
    </row>
    <row r="458" spans="2:34" x14ac:dyDescent="0.2">
      <c r="B458" s="2">
        <f ca="1"/>
        <v>8.9082859036619944E-3</v>
      </c>
      <c r="O458" s="2">
        <f ca="1"/>
        <v>0.87469941982161503</v>
      </c>
      <c r="X458" s="2">
        <f ca="1"/>
        <v>48.187515524784914</v>
      </c>
      <c r="AG458" s="2">
        <f ca="1"/>
        <v>0.53830105615207469</v>
      </c>
      <c r="AH458" s="2" t="str">
        <f ca="1"/>
        <v>Bad</v>
      </c>
    </row>
    <row r="459" spans="2:34" x14ac:dyDescent="0.2">
      <c r="B459" s="2">
        <f ca="1"/>
        <v>0.10181294616242753</v>
      </c>
      <c r="O459" s="2">
        <f ca="1"/>
        <v>1.4132355106293482E-2</v>
      </c>
      <c r="X459" s="2">
        <f ca="1"/>
        <v>52.907636772285741</v>
      </c>
      <c r="AG459" s="2">
        <f ca="1"/>
        <v>0.47276517671020102</v>
      </c>
      <c r="AH459" s="2" t="str">
        <f ca="1"/>
        <v>Bad</v>
      </c>
    </row>
    <row r="460" spans="2:34" x14ac:dyDescent="0.2">
      <c r="B460" s="2">
        <f ca="1"/>
        <v>0.80425721041482956</v>
      </c>
      <c r="O460" s="2">
        <f ca="1"/>
        <v>-0.6669446162740893</v>
      </c>
      <c r="X460" s="2">
        <f ca="1"/>
        <v>30.305866207629585</v>
      </c>
      <c r="AG460" s="2">
        <f ca="1"/>
        <v>0.10803237580742864</v>
      </c>
      <c r="AH460" s="2" t="str">
        <f ca="1"/>
        <v>OK</v>
      </c>
    </row>
    <row r="461" spans="2:34" x14ac:dyDescent="0.2">
      <c r="B461" s="2">
        <f ca="1"/>
        <v>0.47468134886704516</v>
      </c>
      <c r="O461" s="2">
        <f ca="1"/>
        <v>0.64161386411591748</v>
      </c>
      <c r="X461" s="2">
        <f ca="1"/>
        <v>70.417752510185153</v>
      </c>
      <c r="AG461" s="2">
        <f ca="1"/>
        <v>0.31125301408130834</v>
      </c>
      <c r="AH461" s="2" t="str">
        <f ca="1"/>
        <v>OK</v>
      </c>
    </row>
    <row r="462" spans="2:34" x14ac:dyDescent="0.2">
      <c r="B462" s="2">
        <f ca="1"/>
        <v>0.26428362718224152</v>
      </c>
      <c r="O462" s="2">
        <f ca="1"/>
        <v>-0.16081875382410715</v>
      </c>
      <c r="X462" s="2">
        <f ca="1"/>
        <v>72.08915458617912</v>
      </c>
      <c r="AG462" s="2">
        <f ca="1"/>
        <v>0.69691324277945799</v>
      </c>
      <c r="AH462" s="2" t="str">
        <f ca="1"/>
        <v>Bad</v>
      </c>
    </row>
    <row r="463" spans="2:34" x14ac:dyDescent="0.2">
      <c r="B463" s="2">
        <f ca="1"/>
        <v>0.98325078885557127</v>
      </c>
      <c r="O463" s="2">
        <f ca="1"/>
        <v>-1.6535416868751212</v>
      </c>
      <c r="X463" s="2">
        <f ca="1"/>
        <v>76.997801849274524</v>
      </c>
      <c r="AG463" s="2">
        <f ca="1"/>
        <v>0.20842465605819904</v>
      </c>
      <c r="AH463" s="2" t="str">
        <f ca="1"/>
        <v>OK</v>
      </c>
    </row>
    <row r="464" spans="2:34" x14ac:dyDescent="0.2">
      <c r="B464" s="2">
        <f ca="1"/>
        <v>0.29700147607277216</v>
      </c>
      <c r="O464" s="2">
        <f ca="1"/>
        <v>1.0983070718730867</v>
      </c>
      <c r="X464" s="2">
        <f ca="1"/>
        <v>39.215978750623734</v>
      </c>
      <c r="AG464" s="2">
        <f ca="1"/>
        <v>0.29155466091618432</v>
      </c>
      <c r="AH464" s="2" t="str">
        <f ca="1"/>
        <v>OK</v>
      </c>
    </row>
    <row r="465" spans="2:34" x14ac:dyDescent="0.2">
      <c r="B465" s="2">
        <f ca="1"/>
        <v>0.6686669493956634</v>
      </c>
      <c r="O465" s="2">
        <f ca="1"/>
        <v>8.4372964080986254E-2</v>
      </c>
      <c r="X465" s="2">
        <f ca="1"/>
        <v>66.802749190143572</v>
      </c>
      <c r="AG465" s="2">
        <f ca="1"/>
        <v>0.52440771415474696</v>
      </c>
      <c r="AH465" s="2" t="str">
        <f ca="1"/>
        <v>Bad</v>
      </c>
    </row>
    <row r="466" spans="2:34" x14ac:dyDescent="0.2">
      <c r="B466" s="2">
        <f ca="1"/>
        <v>0.65686534936090357</v>
      </c>
      <c r="O466" s="2">
        <f ca="1"/>
        <v>1.3097932829584107</v>
      </c>
      <c r="X466" s="2">
        <f ca="1"/>
        <v>41.606377744408036</v>
      </c>
      <c r="AG466" s="2">
        <f ca="1"/>
        <v>0.22237338220500313</v>
      </c>
      <c r="AH466" s="2" t="str">
        <f ca="1"/>
        <v>OK</v>
      </c>
    </row>
    <row r="467" spans="2:34" x14ac:dyDescent="0.2">
      <c r="B467" s="2">
        <f ca="1"/>
        <v>0.68029199845295696</v>
      </c>
      <c r="O467" s="2">
        <f ca="1"/>
        <v>-0.219822380772281</v>
      </c>
      <c r="X467" s="2">
        <f ca="1"/>
        <v>50.991066633657489</v>
      </c>
      <c r="AG467" s="2">
        <f ca="1"/>
        <v>0.58441860170678317</v>
      </c>
      <c r="AH467" s="2" t="str">
        <f ca="1"/>
        <v>Bad</v>
      </c>
    </row>
    <row r="468" spans="2:34" x14ac:dyDescent="0.2">
      <c r="B468" s="2">
        <f ca="1"/>
        <v>0.44995809030382339</v>
      </c>
      <c r="O468" s="2">
        <f ca="1"/>
        <v>-1.825751437177263</v>
      </c>
      <c r="X468" s="2">
        <f ca="1"/>
        <v>17.628120158617037</v>
      </c>
      <c r="AG468" s="2">
        <f ca="1"/>
        <v>0.14414612478794941</v>
      </c>
      <c r="AH468" s="2" t="str">
        <f ca="1"/>
        <v>OK</v>
      </c>
    </row>
    <row r="469" spans="2:34" x14ac:dyDescent="0.2">
      <c r="B469" s="2">
        <f ca="1"/>
        <v>0.37873585243365704</v>
      </c>
      <c r="O469" s="2">
        <f ca="1"/>
        <v>-0.18692261320668896</v>
      </c>
      <c r="X469" s="2">
        <f ca="1"/>
        <v>51.588936695822952</v>
      </c>
      <c r="AG469" s="2">
        <f ca="1"/>
        <v>0.62477046216402332</v>
      </c>
      <c r="AH469" s="2" t="str">
        <f ca="1"/>
        <v>Bad</v>
      </c>
    </row>
    <row r="470" spans="2:34" x14ac:dyDescent="0.2">
      <c r="B470" s="2">
        <f ca="1"/>
        <v>0.94189348580146937</v>
      </c>
      <c r="O470" s="2">
        <f ca="1"/>
        <v>0.93448568161983059</v>
      </c>
      <c r="X470" s="2">
        <f ca="1"/>
        <v>33.148583686931005</v>
      </c>
      <c r="AG470" s="2">
        <f ca="1"/>
        <v>0.59970875508607602</v>
      </c>
      <c r="AH470" s="2" t="str">
        <f ca="1"/>
        <v>Bad</v>
      </c>
    </row>
    <row r="471" spans="2:34" x14ac:dyDescent="0.2">
      <c r="B471" s="2">
        <f ca="1"/>
        <v>0.70425528262949877</v>
      </c>
      <c r="O471" s="2">
        <f ca="1"/>
        <v>-0.3523935446287948</v>
      </c>
      <c r="X471" s="2">
        <f ca="1"/>
        <v>69.911582990786499</v>
      </c>
      <c r="AG471" s="2">
        <f ca="1"/>
        <v>0.49266512410600538</v>
      </c>
      <c r="AH471" s="2" t="str">
        <f ca="1"/>
        <v>Bad</v>
      </c>
    </row>
    <row r="472" spans="2:34" x14ac:dyDescent="0.2">
      <c r="B472" s="2">
        <f ca="1"/>
        <v>0.44173018956911392</v>
      </c>
      <c r="O472" s="2">
        <f ca="1"/>
        <v>1.1043030889598924</v>
      </c>
      <c r="X472" s="2">
        <f ca="1"/>
        <v>39.771777960290649</v>
      </c>
      <c r="AG472" s="2">
        <f ca="1"/>
        <v>0.95366697855252802</v>
      </c>
      <c r="AH472" s="2" t="str">
        <f ca="1"/>
        <v>Bad</v>
      </c>
    </row>
    <row r="473" spans="2:34" x14ac:dyDescent="0.2">
      <c r="B473" s="2">
        <f ca="1"/>
        <v>0.67290426631044875</v>
      </c>
      <c r="O473" s="2">
        <f ca="1"/>
        <v>-0.54566466460859497</v>
      </c>
      <c r="X473" s="2">
        <f ca="1"/>
        <v>43.455120929969262</v>
      </c>
      <c r="AG473" s="2">
        <f ca="1"/>
        <v>1.783959756686837E-2</v>
      </c>
      <c r="AH473" s="2" t="str">
        <f ca="1"/>
        <v>Good</v>
      </c>
    </row>
    <row r="474" spans="2:34" x14ac:dyDescent="0.2">
      <c r="B474" s="2">
        <f ca="1"/>
        <v>0.42531848244911363</v>
      </c>
      <c r="O474" s="2">
        <f ca="1"/>
        <v>1.1502441164035977</v>
      </c>
      <c r="X474" s="2">
        <f ca="1"/>
        <v>21.808455286464103</v>
      </c>
      <c r="AG474" s="2">
        <f ca="1"/>
        <v>6.1658605387018284E-2</v>
      </c>
      <c r="AH474" s="2" t="str">
        <f ca="1"/>
        <v>OK</v>
      </c>
    </row>
    <row r="475" spans="2:34" x14ac:dyDescent="0.2">
      <c r="B475" s="2">
        <f ca="1"/>
        <v>5.9690703607343965E-2</v>
      </c>
      <c r="O475" s="2">
        <f ca="1"/>
        <v>0.29025019015368386</v>
      </c>
      <c r="X475" s="2">
        <f ca="1"/>
        <v>37.801782355953641</v>
      </c>
      <c r="AG475" s="2">
        <f ca="1"/>
        <v>0.88391807206097828</v>
      </c>
      <c r="AH475" s="2" t="str">
        <f ca="1"/>
        <v>Bad</v>
      </c>
    </row>
    <row r="476" spans="2:34" x14ac:dyDescent="0.2">
      <c r="B476" s="2">
        <f ca="1"/>
        <v>9.7515141200186672E-2</v>
      </c>
      <c r="O476" s="2">
        <f ca="1"/>
        <v>1.8634169655440413</v>
      </c>
      <c r="X476" s="2">
        <f ca="1"/>
        <v>48.442416761553332</v>
      </c>
      <c r="AG476" s="2">
        <f ca="1"/>
        <v>0.74825757249084046</v>
      </c>
      <c r="AH476" s="2" t="str">
        <f ca="1"/>
        <v>Bad</v>
      </c>
    </row>
    <row r="477" spans="2:34" x14ac:dyDescent="0.2">
      <c r="B477" s="2">
        <f ca="1"/>
        <v>0.52899790208246245</v>
      </c>
      <c r="O477" s="2">
        <f ca="1"/>
        <v>-0.1358907457052172</v>
      </c>
      <c r="X477" s="2">
        <f ca="1"/>
        <v>30.092860872754979</v>
      </c>
      <c r="AG477" s="2">
        <f ca="1"/>
        <v>0.78142388470941637</v>
      </c>
      <c r="AH477" s="2" t="str">
        <f ca="1"/>
        <v>Bad</v>
      </c>
    </row>
    <row r="478" spans="2:34" x14ac:dyDescent="0.2">
      <c r="B478" s="2">
        <f ca="1"/>
        <v>0.47976232674059549</v>
      </c>
      <c r="O478" s="2">
        <f ca="1"/>
        <v>-0.66691422297294878</v>
      </c>
      <c r="X478" s="2">
        <f ca="1"/>
        <v>92.69686953605644</v>
      </c>
      <c r="AG478" s="2">
        <f ca="1"/>
        <v>0.68192588214904259</v>
      </c>
      <c r="AH478" s="2" t="str">
        <f ca="1"/>
        <v>Bad</v>
      </c>
    </row>
    <row r="479" spans="2:34" x14ac:dyDescent="0.2">
      <c r="B479" s="2">
        <f ca="1"/>
        <v>1.6383420210754451E-2</v>
      </c>
      <c r="O479" s="2">
        <f ca="1"/>
        <v>-1.6097846250433567</v>
      </c>
      <c r="X479" s="2">
        <f ca="1"/>
        <v>67.40153232483506</v>
      </c>
      <c r="AG479" s="2">
        <f ca="1"/>
        <v>0.3284124939541988</v>
      </c>
      <c r="AH479" s="2" t="str">
        <f ca="1"/>
        <v>OK</v>
      </c>
    </row>
    <row r="480" spans="2:34" x14ac:dyDescent="0.2">
      <c r="B480" s="2">
        <f ca="1"/>
        <v>0.67784045150210859</v>
      </c>
      <c r="O480" s="2">
        <f ca="1"/>
        <v>0.78214007026461685</v>
      </c>
      <c r="X480" s="2">
        <f ca="1"/>
        <v>41.947802826651575</v>
      </c>
      <c r="AG480" s="2">
        <f ca="1"/>
        <v>0.82189427192359421</v>
      </c>
      <c r="AH480" s="2" t="str">
        <f ca="1"/>
        <v>Bad</v>
      </c>
    </row>
    <row r="481" spans="2:34" x14ac:dyDescent="0.2">
      <c r="B481" s="2">
        <f ca="1"/>
        <v>0.8910348085659181</v>
      </c>
      <c r="O481" s="2">
        <f ca="1"/>
        <v>0.52408451172976067</v>
      </c>
      <c r="X481" s="2">
        <f ca="1"/>
        <v>43.636242198631727</v>
      </c>
      <c r="AG481" s="2">
        <f ca="1"/>
        <v>0.72258187804645857</v>
      </c>
      <c r="AH481" s="2" t="str">
        <f ca="1"/>
        <v>Bad</v>
      </c>
    </row>
    <row r="482" spans="2:34" x14ac:dyDescent="0.2">
      <c r="B482" s="2">
        <f ca="1"/>
        <v>0.21923020819497419</v>
      </c>
      <c r="O482" s="2">
        <f ca="1"/>
        <v>-0.54252411131442579</v>
      </c>
      <c r="X482" s="2">
        <f ca="1"/>
        <v>44.559444273213074</v>
      </c>
      <c r="AG482" s="2">
        <f ca="1"/>
        <v>0.27504560132656319</v>
      </c>
      <c r="AH482" s="2" t="str">
        <f ca="1"/>
        <v>OK</v>
      </c>
    </row>
    <row r="483" spans="2:34" x14ac:dyDescent="0.2">
      <c r="B483" s="2">
        <f ca="1"/>
        <v>9.7742735831006344E-2</v>
      </c>
      <c r="O483" s="2">
        <f ca="1"/>
        <v>0.5426295561976654</v>
      </c>
      <c r="X483" s="2">
        <f ca="1"/>
        <v>26.009474560590849</v>
      </c>
      <c r="AG483" s="2">
        <f ca="1"/>
        <v>0.38340333165848706</v>
      </c>
      <c r="AH483" s="2" t="str">
        <f ca="1"/>
        <v>OK</v>
      </c>
    </row>
    <row r="484" spans="2:34" x14ac:dyDescent="0.2">
      <c r="B484" s="2">
        <f ca="1"/>
        <v>0.15538541450618326</v>
      </c>
      <c r="O484" s="2">
        <f ca="1"/>
        <v>-1.1397789890340966</v>
      </c>
      <c r="X484" s="2">
        <f ca="1"/>
        <v>68.896436081083124</v>
      </c>
      <c r="AG484" s="2">
        <f ca="1"/>
        <v>0.67620062090775046</v>
      </c>
      <c r="AH484" s="2" t="str">
        <f ca="1"/>
        <v>Bad</v>
      </c>
    </row>
    <row r="485" spans="2:34" x14ac:dyDescent="0.2">
      <c r="B485" s="2">
        <f ca="1"/>
        <v>0.11894229415930502</v>
      </c>
      <c r="O485" s="2">
        <f ca="1"/>
        <v>0.74851002360605146</v>
      </c>
      <c r="X485" s="2">
        <f ca="1"/>
        <v>35.028334229865806</v>
      </c>
      <c r="AG485" s="2">
        <f ca="1"/>
        <v>0.88928214129704042</v>
      </c>
      <c r="AH485" s="2" t="str">
        <f ca="1"/>
        <v>Bad</v>
      </c>
    </row>
    <row r="486" spans="2:34" x14ac:dyDescent="0.2">
      <c r="B486" s="2">
        <f ca="1"/>
        <v>0.13171290577532857</v>
      </c>
      <c r="O486" s="2">
        <f ca="1"/>
        <v>-1.2273391839561982</v>
      </c>
      <c r="X486" s="2">
        <f ca="1"/>
        <v>79.790642413751044</v>
      </c>
      <c r="AG486" s="2">
        <f ca="1"/>
        <v>0.42061699271612674</v>
      </c>
      <c r="AH486" s="2" t="str">
        <f ca="1"/>
        <v>Bad</v>
      </c>
    </row>
    <row r="487" spans="2:34" x14ac:dyDescent="0.2">
      <c r="B487" s="2">
        <f ca="1"/>
        <v>0.97768312529687273</v>
      </c>
      <c r="O487" s="2">
        <f ca="1"/>
        <v>-1.436120619779041</v>
      </c>
      <c r="X487" s="2">
        <f ca="1"/>
        <v>59.783659432148227</v>
      </c>
      <c r="AG487" s="2">
        <f ca="1"/>
        <v>0.29408876405364892</v>
      </c>
      <c r="AH487" s="2" t="str">
        <f ca="1"/>
        <v>OK</v>
      </c>
    </row>
    <row r="488" spans="2:34" x14ac:dyDescent="0.2">
      <c r="B488" s="2">
        <f ca="1"/>
        <v>0.67912036683102617</v>
      </c>
      <c r="O488" s="2">
        <f ca="1"/>
        <v>0.61879178898617893</v>
      </c>
      <c r="X488" s="2">
        <f ca="1"/>
        <v>37.046187197211552</v>
      </c>
      <c r="AG488" s="2">
        <f ca="1"/>
        <v>0.5616944440724505</v>
      </c>
      <c r="AH488" s="2" t="str">
        <f ca="1"/>
        <v>Bad</v>
      </c>
    </row>
    <row r="489" spans="2:34" x14ac:dyDescent="0.2">
      <c r="B489" s="2">
        <f ca="1"/>
        <v>9.2974742058111293E-2</v>
      </c>
      <c r="O489" s="2">
        <f ca="1"/>
        <v>0.23924200732654485</v>
      </c>
      <c r="X489" s="2">
        <f ca="1"/>
        <v>36.256746129475694</v>
      </c>
      <c r="AG489" s="2">
        <f ca="1"/>
        <v>0.63719483677564215</v>
      </c>
      <c r="AH489" s="2" t="str">
        <f ca="1"/>
        <v>Bad</v>
      </c>
    </row>
    <row r="490" spans="2:34" x14ac:dyDescent="0.2">
      <c r="B490" s="2">
        <f ca="1"/>
        <v>0.31496215425240193</v>
      </c>
      <c r="O490" s="2">
        <f ca="1"/>
        <v>-0.1675989468234205</v>
      </c>
      <c r="X490" s="2">
        <f ca="1"/>
        <v>29.115648684839996</v>
      </c>
      <c r="AG490" s="2">
        <f ca="1"/>
        <v>0.65346028117844424</v>
      </c>
      <c r="AH490" s="2" t="str">
        <f ca="1"/>
        <v>Bad</v>
      </c>
    </row>
    <row r="491" spans="2:34" x14ac:dyDescent="0.2">
      <c r="B491" s="2">
        <f ca="1"/>
        <v>0.24325628950320244</v>
      </c>
      <c r="O491" s="2">
        <f ca="1"/>
        <v>-0.48573126761426727</v>
      </c>
      <c r="X491" s="2">
        <f ca="1"/>
        <v>57.903354580211968</v>
      </c>
      <c r="AG491" s="2">
        <f ca="1"/>
        <v>0.4778905779116327</v>
      </c>
      <c r="AH491" s="2" t="str">
        <f ca="1"/>
        <v>Bad</v>
      </c>
    </row>
    <row r="492" spans="2:34" x14ac:dyDescent="0.2">
      <c r="B492" s="2">
        <f ca="1"/>
        <v>0.25405741050158515</v>
      </c>
      <c r="O492" s="2">
        <f ca="1"/>
        <v>1.5040923245430979</v>
      </c>
      <c r="X492" s="2">
        <f ca="1"/>
        <v>27.609928773348472</v>
      </c>
      <c r="AG492" s="2">
        <f ca="1"/>
        <v>0.30745645601929805</v>
      </c>
      <c r="AH492" s="2" t="str">
        <f ca="1"/>
        <v>OK</v>
      </c>
    </row>
    <row r="493" spans="2:34" x14ac:dyDescent="0.2">
      <c r="B493" s="2">
        <f ca="1"/>
        <v>0.2065126526321317</v>
      </c>
      <c r="O493" s="2">
        <f ca="1"/>
        <v>-1.2222127367028788</v>
      </c>
      <c r="X493" s="2">
        <f ca="1"/>
        <v>18.665681044085311</v>
      </c>
      <c r="AG493" s="2">
        <f ca="1"/>
        <v>0.57157849548799122</v>
      </c>
      <c r="AH493" s="2" t="str">
        <f ca="1"/>
        <v>Bad</v>
      </c>
    </row>
    <row r="494" spans="2:34" x14ac:dyDescent="0.2">
      <c r="B494" s="2">
        <f ca="1"/>
        <v>0.77025799392300676</v>
      </c>
      <c r="O494" s="2">
        <f ca="1"/>
        <v>-1.0015478624210927</v>
      </c>
      <c r="X494" s="2">
        <f ca="1"/>
        <v>64.248900770929296</v>
      </c>
      <c r="AG494" s="2">
        <f ca="1"/>
        <v>0.45053115500524199</v>
      </c>
      <c r="AH494" s="2" t="str">
        <f ca="1"/>
        <v>Bad</v>
      </c>
    </row>
    <row r="495" spans="2:34" x14ac:dyDescent="0.2">
      <c r="B495" s="2">
        <f ca="1"/>
        <v>4.541398743304681E-2</v>
      </c>
      <c r="O495" s="2">
        <f ca="1"/>
        <v>-1.0254991015759631</v>
      </c>
      <c r="X495" s="2">
        <f ca="1"/>
        <v>55.704684516669225</v>
      </c>
      <c r="AG495" s="2">
        <f ca="1"/>
        <v>0.35577017016504908</v>
      </c>
      <c r="AH495" s="2" t="str">
        <f ca="1"/>
        <v>OK</v>
      </c>
    </row>
    <row r="496" spans="2:34" x14ac:dyDescent="0.2">
      <c r="B496" s="2">
        <f ca="1"/>
        <v>0.42965869143794855</v>
      </c>
      <c r="O496" s="2">
        <f ca="1"/>
        <v>1.0555048910733067</v>
      </c>
      <c r="X496" s="2">
        <f ca="1"/>
        <v>47.402370132044865</v>
      </c>
      <c r="AG496" s="2">
        <f ca="1"/>
        <v>0.6147243747133071</v>
      </c>
      <c r="AH496" s="2" t="str">
        <f ca="1"/>
        <v>Bad</v>
      </c>
    </row>
    <row r="497" spans="2:34" x14ac:dyDescent="0.2">
      <c r="B497" s="2">
        <f ca="1"/>
        <v>0.52433056383063659</v>
      </c>
      <c r="O497" s="2">
        <f ca="1"/>
        <v>0.89659859052110946</v>
      </c>
      <c r="X497" s="2">
        <f ca="1"/>
        <v>61.11730539934355</v>
      </c>
      <c r="AG497" s="2">
        <f ca="1"/>
        <v>0.96600635986104599</v>
      </c>
      <c r="AH497" s="2" t="str">
        <f ca="1"/>
        <v>Bad</v>
      </c>
    </row>
    <row r="498" spans="2:34" x14ac:dyDescent="0.2">
      <c r="B498" s="2">
        <f ca="1"/>
        <v>2.864923974742184E-2</v>
      </c>
      <c r="O498" s="2">
        <f ca="1"/>
        <v>-0.66597325928026685</v>
      </c>
      <c r="X498" s="2">
        <f ca="1"/>
        <v>69.378911920283159</v>
      </c>
      <c r="AG498" s="2">
        <f ca="1"/>
        <v>0.27809939229901981</v>
      </c>
      <c r="AH498" s="2" t="str">
        <f ca="1"/>
        <v>OK</v>
      </c>
    </row>
    <row r="499" spans="2:34" x14ac:dyDescent="0.2">
      <c r="B499" s="2">
        <f ca="1"/>
        <v>0.40058625770634171</v>
      </c>
      <c r="O499" s="2">
        <f ca="1"/>
        <v>0.74388926881228457</v>
      </c>
      <c r="X499" s="2">
        <f ca="1"/>
        <v>85.00539263527331</v>
      </c>
      <c r="AG499" s="2">
        <f ca="1"/>
        <v>3.142884699532944E-3</v>
      </c>
      <c r="AH499" s="2" t="str">
        <f ca="1"/>
        <v>Good</v>
      </c>
    </row>
    <row r="500" spans="2:34" x14ac:dyDescent="0.2">
      <c r="B500" s="2">
        <f ca="1"/>
        <v>0.58202196209334489</v>
      </c>
      <c r="O500" s="2">
        <f ca="1"/>
        <v>0.74302955053551534</v>
      </c>
      <c r="X500" s="2">
        <f ca="1"/>
        <v>38.577996123290589</v>
      </c>
      <c r="AG500" s="2">
        <f ca="1"/>
        <v>0.41498311802479937</v>
      </c>
      <c r="AH500" s="2" t="str">
        <f ca="1"/>
        <v>Bad</v>
      </c>
    </row>
    <row r="501" spans="2:34" x14ac:dyDescent="0.2">
      <c r="B501" s="2">
        <f ca="1"/>
        <v>0.25073362222429751</v>
      </c>
      <c r="O501" s="2">
        <f ca="1"/>
        <v>0.64788160426072228</v>
      </c>
      <c r="X501" s="2">
        <f ca="1"/>
        <v>56.871948912433268</v>
      </c>
      <c r="AG501" s="2">
        <f ca="1"/>
        <v>0.23923101476902886</v>
      </c>
      <c r="AH501" s="2" t="str">
        <f ca="1"/>
        <v>OK</v>
      </c>
    </row>
    <row r="502" spans="2:34" x14ac:dyDescent="0.2">
      <c r="B502" s="2">
        <f ca="1"/>
        <v>0.25794293165338478</v>
      </c>
      <c r="O502" s="2">
        <f ca="1"/>
        <v>-0.68536865554138182</v>
      </c>
      <c r="X502" s="2">
        <f ca="1"/>
        <v>80.694573899411239</v>
      </c>
      <c r="AG502" s="2">
        <f ca="1"/>
        <v>5.4132820858283415E-2</v>
      </c>
      <c r="AH502" s="2" t="str">
        <f ca="1"/>
        <v>OK</v>
      </c>
    </row>
    <row r="503" spans="2:34" x14ac:dyDescent="0.2">
      <c r="B503" s="2">
        <f ca="1"/>
        <v>3.769696124879518E-2</v>
      </c>
      <c r="O503" s="2">
        <f ca="1"/>
        <v>0.64715358952541502</v>
      </c>
      <c r="X503" s="2">
        <f ca="1"/>
        <v>47.475431058407615</v>
      </c>
      <c r="AG503" s="2">
        <f ca="1"/>
        <v>0.49438137654010994</v>
      </c>
      <c r="AH503" s="2" t="str">
        <f ca="1"/>
        <v>Bad</v>
      </c>
    </row>
    <row r="504" spans="2:34" x14ac:dyDescent="0.2">
      <c r="B504" s="2">
        <f ca="1"/>
        <v>0.95272753616314509</v>
      </c>
      <c r="O504" s="2">
        <f ca="1"/>
        <v>1.4736963259077194</v>
      </c>
      <c r="X504" s="2">
        <f ca="1"/>
        <v>31.254594132202879</v>
      </c>
      <c r="AG504" s="2">
        <f ca="1"/>
        <v>0.43027590223287948</v>
      </c>
      <c r="AH504" s="2" t="str">
        <f ca="1"/>
        <v>Bad</v>
      </c>
    </row>
    <row r="505" spans="2:34" x14ac:dyDescent="0.2">
      <c r="B505" s="2">
        <f ca="1"/>
        <v>0.58750492388933795</v>
      </c>
      <c r="O505" s="2">
        <f ca="1"/>
        <v>-0.34301472454059256</v>
      </c>
      <c r="X505" s="2">
        <f ca="1"/>
        <v>42.713515031450342</v>
      </c>
      <c r="AG505" s="2">
        <f ca="1"/>
        <v>0.58532949180182592</v>
      </c>
      <c r="AH505" s="2" t="str">
        <f ca="1"/>
        <v>Bad</v>
      </c>
    </row>
    <row r="506" spans="2:34" x14ac:dyDescent="0.2">
      <c r="B506" s="2">
        <f ca="1"/>
        <v>0.66263780994992461</v>
      </c>
      <c r="O506" s="2">
        <f ca="1"/>
        <v>2.5003418339603409</v>
      </c>
      <c r="X506" s="2">
        <f ca="1"/>
        <v>57.746954761872324</v>
      </c>
      <c r="AG506" s="2">
        <f ca="1"/>
        <v>7.1004073232802778E-2</v>
      </c>
      <c r="AH506" s="2" t="str">
        <f ca="1"/>
        <v>OK</v>
      </c>
    </row>
    <row r="507" spans="2:34" x14ac:dyDescent="0.2">
      <c r="B507" s="2">
        <f ca="1"/>
        <v>0.96655270560067086</v>
      </c>
      <c r="O507" s="2">
        <f ca="1"/>
        <v>-2.781609319663314</v>
      </c>
      <c r="X507" s="2">
        <f ca="1"/>
        <v>48.357117807088919</v>
      </c>
      <c r="AG507" s="2">
        <f ca="1"/>
        <v>0.82727474299847481</v>
      </c>
      <c r="AH507" s="2" t="str">
        <f ca="1"/>
        <v>Bad</v>
      </c>
    </row>
    <row r="508" spans="2:34" x14ac:dyDescent="0.2">
      <c r="B508" s="2">
        <f ca="1"/>
        <v>0.79050651496205759</v>
      </c>
      <c r="O508" s="2">
        <f ca="1"/>
        <v>-0.49006643271093769</v>
      </c>
      <c r="X508" s="2">
        <f ca="1"/>
        <v>42.511764235485323</v>
      </c>
      <c r="AG508" s="2">
        <f ca="1"/>
        <v>0.52521781769172216</v>
      </c>
      <c r="AH508" s="2" t="str">
        <f ca="1"/>
        <v>Bad</v>
      </c>
    </row>
    <row r="509" spans="2:34" x14ac:dyDescent="0.2">
      <c r="B509" s="2">
        <f ca="1"/>
        <v>0.3782671092509502</v>
      </c>
      <c r="O509" s="2">
        <f ca="1"/>
        <v>-0.70504206879487485</v>
      </c>
      <c r="X509" s="2">
        <f ca="1"/>
        <v>44.624286630253977</v>
      </c>
      <c r="AG509" s="2">
        <f ca="1"/>
        <v>0.73504031751945886</v>
      </c>
      <c r="AH509" s="2" t="str">
        <f ca="1"/>
        <v>Bad</v>
      </c>
    </row>
    <row r="510" spans="2:34" x14ac:dyDescent="0.2">
      <c r="B510" s="2">
        <f ca="1"/>
        <v>0.61883734842070859</v>
      </c>
      <c r="O510" s="2">
        <f ca="1"/>
        <v>-0.12584329909551131</v>
      </c>
      <c r="X510" s="2">
        <f ca="1"/>
        <v>62.70198443769533</v>
      </c>
      <c r="AG510" s="2">
        <f ca="1"/>
        <v>1.5857414675166659E-2</v>
      </c>
      <c r="AH510" s="2" t="str">
        <f ca="1"/>
        <v>Good</v>
      </c>
    </row>
    <row r="511" spans="2:34" x14ac:dyDescent="0.2">
      <c r="B511" s="2">
        <f ca="1"/>
        <v>0.14238632661004647</v>
      </c>
      <c r="O511" s="2">
        <f ca="1"/>
        <v>-0.17033887355884028</v>
      </c>
      <c r="X511" s="2">
        <f ca="1"/>
        <v>40.349554160988504</v>
      </c>
      <c r="AG511" s="2">
        <f ca="1"/>
        <v>0.54545855393142317</v>
      </c>
      <c r="AH511" s="2" t="str">
        <f ca="1"/>
        <v>Bad</v>
      </c>
    </row>
    <row r="512" spans="2:34" x14ac:dyDescent="0.2">
      <c r="B512" s="2">
        <f ca="1"/>
        <v>0.16893823358485238</v>
      </c>
      <c r="O512" s="2">
        <f ca="1"/>
        <v>-0.14319294976029881</v>
      </c>
      <c r="X512" s="2">
        <f ca="1"/>
        <v>79.268453382395435</v>
      </c>
      <c r="AG512" s="2">
        <f ca="1"/>
        <v>0.9958563046733433</v>
      </c>
      <c r="AH512" s="2" t="str">
        <f ca="1"/>
        <v>Bad</v>
      </c>
    </row>
    <row r="513" spans="2:34" x14ac:dyDescent="0.2">
      <c r="B513" s="2">
        <f ca="1"/>
        <v>0.54397425168355062</v>
      </c>
      <c r="O513" s="2">
        <f ca="1"/>
        <v>1.1373124962245067</v>
      </c>
      <c r="X513" s="2">
        <f ca="1"/>
        <v>63.590115560688702</v>
      </c>
      <c r="AG513" s="2">
        <f ca="1"/>
        <v>2.6491995434905435E-2</v>
      </c>
      <c r="AH513" s="2" t="str">
        <f ca="1"/>
        <v>Good</v>
      </c>
    </row>
    <row r="514" spans="2:34" x14ac:dyDescent="0.2">
      <c r="B514" s="2">
        <f ca="1"/>
        <v>3.015522479700361E-2</v>
      </c>
      <c r="O514" s="2">
        <f ca="1"/>
        <v>1.0238690827764618</v>
      </c>
      <c r="X514" s="2">
        <f ca="1"/>
        <v>36.597569562926537</v>
      </c>
      <c r="AG514" s="2">
        <f ca="1"/>
        <v>0.83156883287463823</v>
      </c>
      <c r="AH514" s="2" t="str">
        <f ca="1"/>
        <v>Bad</v>
      </c>
    </row>
    <row r="515" spans="2:34" x14ac:dyDescent="0.2">
      <c r="B515" s="2">
        <f ca="1"/>
        <v>0.29769173617215827</v>
      </c>
      <c r="O515" s="2">
        <f ca="1"/>
        <v>0.64296432300381257</v>
      </c>
      <c r="X515" s="2">
        <f ca="1"/>
        <v>61.54502277253922</v>
      </c>
      <c r="AG515" s="2">
        <f ca="1"/>
        <v>0.35161606216011343</v>
      </c>
      <c r="AH515" s="2" t="str">
        <f ca="1"/>
        <v>OK</v>
      </c>
    </row>
    <row r="516" spans="2:34" x14ac:dyDescent="0.2">
      <c r="B516" s="2">
        <f ca="1"/>
        <v>0.31673189857892803</v>
      </c>
      <c r="O516" s="2">
        <f ca="1"/>
        <v>0.69177633026489216</v>
      </c>
      <c r="X516" s="2">
        <f ca="1"/>
        <v>44.897890875845064</v>
      </c>
      <c r="AG516" s="2">
        <f ca="1"/>
        <v>0.78043229958048688</v>
      </c>
      <c r="AH516" s="2" t="str">
        <f ca="1"/>
        <v>Bad</v>
      </c>
    </row>
    <row r="517" spans="2:34" x14ac:dyDescent="0.2">
      <c r="B517" s="2">
        <f ca="1"/>
        <v>0.76325452992407605</v>
      </c>
      <c r="O517" s="2">
        <f ca="1"/>
        <v>0.58955245995829131</v>
      </c>
      <c r="X517" s="2">
        <f ca="1"/>
        <v>48.805027688997157</v>
      </c>
      <c r="AG517" s="2">
        <f ca="1"/>
        <v>0.80067459732397839</v>
      </c>
      <c r="AH517" s="2" t="str">
        <f ca="1"/>
        <v>Bad</v>
      </c>
    </row>
    <row r="518" spans="2:34" x14ac:dyDescent="0.2">
      <c r="B518" s="2">
        <f ca="1"/>
        <v>0.11730782753014624</v>
      </c>
      <c r="O518" s="2">
        <f ca="1"/>
        <v>-0.18200561441022761</v>
      </c>
      <c r="X518" s="2">
        <f ca="1"/>
        <v>65.238528555766365</v>
      </c>
      <c r="AG518" s="2">
        <f ca="1"/>
        <v>0.39776603137540589</v>
      </c>
      <c r="AH518" s="2" t="str">
        <f ca="1"/>
        <v>OK</v>
      </c>
    </row>
    <row r="519" spans="2:34" x14ac:dyDescent="0.2">
      <c r="B519" s="2">
        <f ca="1"/>
        <v>6.0662098554095101E-2</v>
      </c>
      <c r="O519" s="2">
        <f ca="1"/>
        <v>-0.22118295865118193</v>
      </c>
      <c r="X519" s="2">
        <f ca="1"/>
        <v>59.242251556055912</v>
      </c>
      <c r="AG519" s="2">
        <f ca="1"/>
        <v>0.45308438658089134</v>
      </c>
      <c r="AH519" s="2" t="str">
        <f ca="1"/>
        <v>Bad</v>
      </c>
    </row>
    <row r="520" spans="2:34" x14ac:dyDescent="0.2">
      <c r="B520" s="2">
        <f ca="1"/>
        <v>5.0643108193030306E-2</v>
      </c>
      <c r="O520" s="2">
        <f ca="1"/>
        <v>1.4352539291055322</v>
      </c>
      <c r="X520" s="2">
        <f ca="1"/>
        <v>34.933512501546751</v>
      </c>
      <c r="AG520" s="2">
        <f ca="1"/>
        <v>9.0575869391362751E-3</v>
      </c>
      <c r="AH520" s="2" t="str">
        <f ca="1"/>
        <v>Good</v>
      </c>
    </row>
    <row r="521" spans="2:34" x14ac:dyDescent="0.2">
      <c r="B521" s="2">
        <f ca="1"/>
        <v>0.79581828877635719</v>
      </c>
      <c r="O521" s="2">
        <f ca="1"/>
        <v>-0.47388641730527808</v>
      </c>
      <c r="X521" s="2">
        <f ca="1"/>
        <v>36.207403288429902</v>
      </c>
      <c r="AG521" s="2">
        <f ca="1"/>
        <v>3.7500417369085604E-2</v>
      </c>
      <c r="AH521" s="2" t="str">
        <f ca="1"/>
        <v>Good</v>
      </c>
    </row>
    <row r="522" spans="2:34" x14ac:dyDescent="0.2">
      <c r="B522" s="2">
        <f ca="1"/>
        <v>0.3499515771346009</v>
      </c>
      <c r="O522" s="2">
        <f ca="1"/>
        <v>-0.12141912982412313</v>
      </c>
      <c r="X522" s="2">
        <f ca="1"/>
        <v>47.524911995940151</v>
      </c>
      <c r="AG522" s="2">
        <f ca="1"/>
        <v>0.93975604038319926</v>
      </c>
      <c r="AH522" s="2" t="str">
        <f ca="1"/>
        <v>Bad</v>
      </c>
    </row>
    <row r="523" spans="2:34" x14ac:dyDescent="0.2">
      <c r="B523" s="2">
        <f ca="1"/>
        <v>0.15557697942657223</v>
      </c>
      <c r="O523" s="2">
        <f ca="1"/>
        <v>1.6797481214838168</v>
      </c>
      <c r="X523" s="2">
        <f ca="1"/>
        <v>30.576545793138109</v>
      </c>
      <c r="AG523" s="2">
        <f ca="1"/>
        <v>0.31966314696291009</v>
      </c>
      <c r="AH523" s="2" t="str">
        <f ca="1"/>
        <v>OK</v>
      </c>
    </row>
    <row r="524" spans="2:34" x14ac:dyDescent="0.2">
      <c r="B524" s="2">
        <f ca="1"/>
        <v>2.7865582789420529E-2</v>
      </c>
      <c r="O524" s="2">
        <f ca="1"/>
        <v>0.66159786858807768</v>
      </c>
      <c r="X524" s="2">
        <f ca="1"/>
        <v>25.991993383779828</v>
      </c>
      <c r="AG524" s="2">
        <f ca="1"/>
        <v>0.30398294417364546</v>
      </c>
      <c r="AH524" s="2" t="str">
        <f ca="1"/>
        <v>OK</v>
      </c>
    </row>
    <row r="525" spans="2:34" x14ac:dyDescent="0.2">
      <c r="B525" s="2">
        <f ca="1"/>
        <v>0.84401300689127035</v>
      </c>
      <c r="O525" s="2">
        <f ca="1"/>
        <v>-1.363567370113725</v>
      </c>
      <c r="X525" s="2">
        <f ca="1"/>
        <v>33.283408985279522</v>
      </c>
      <c r="AG525" s="2">
        <f ca="1"/>
        <v>0.33170196944566732</v>
      </c>
      <c r="AH525" s="2" t="str">
        <f ca="1"/>
        <v>OK</v>
      </c>
    </row>
    <row r="526" spans="2:34" x14ac:dyDescent="0.2">
      <c r="B526" s="2">
        <f ca="1"/>
        <v>8.845391062075425E-2</v>
      </c>
      <c r="O526" s="2">
        <f ca="1"/>
        <v>1.5033441522932822</v>
      </c>
      <c r="X526" s="2">
        <f ca="1"/>
        <v>52.550843608457917</v>
      </c>
      <c r="AG526" s="2">
        <f ca="1"/>
        <v>0.51586770487567057</v>
      </c>
      <c r="AH526" s="2" t="str">
        <f ca="1"/>
        <v>Bad</v>
      </c>
    </row>
    <row r="527" spans="2:34" x14ac:dyDescent="0.2">
      <c r="B527" s="2">
        <f ca="1"/>
        <v>0.71364302045576644</v>
      </c>
      <c r="O527" s="2">
        <f ca="1"/>
        <v>-1.6084153245498916</v>
      </c>
      <c r="X527" s="2">
        <f ca="1"/>
        <v>21.305186458783947</v>
      </c>
      <c r="AG527" s="2">
        <f ca="1"/>
        <v>0.2219974411547625</v>
      </c>
      <c r="AH527" s="2" t="str">
        <f ca="1"/>
        <v>OK</v>
      </c>
    </row>
    <row r="528" spans="2:34" x14ac:dyDescent="0.2">
      <c r="B528" s="2">
        <f ca="1"/>
        <v>3.7974773344087165E-2</v>
      </c>
      <c r="O528" s="2">
        <f ca="1"/>
        <v>-1.7125594474061021</v>
      </c>
      <c r="X528" s="2">
        <f ca="1"/>
        <v>49.995779507019037</v>
      </c>
      <c r="AG528" s="2">
        <f ca="1"/>
        <v>1.4786124485332675E-2</v>
      </c>
      <c r="AH528" s="2" t="str">
        <f ca="1"/>
        <v>Good</v>
      </c>
    </row>
    <row r="529" spans="2:34" x14ac:dyDescent="0.2">
      <c r="B529" s="2">
        <f ca="1"/>
        <v>0.90497609735144691</v>
      </c>
      <c r="O529" s="2">
        <f ca="1"/>
        <v>0.13841802327419322</v>
      </c>
      <c r="X529" s="2">
        <f ca="1"/>
        <v>39.835962730363001</v>
      </c>
      <c r="AG529" s="2">
        <f ca="1"/>
        <v>0.21363791047122604</v>
      </c>
      <c r="AH529" s="2" t="str">
        <f ca="1"/>
        <v>OK</v>
      </c>
    </row>
    <row r="530" spans="2:34" x14ac:dyDescent="0.2">
      <c r="B530" s="2">
        <f ca="1"/>
        <v>0.554236638679382</v>
      </c>
      <c r="O530" s="2">
        <f ca="1"/>
        <v>1.0809514305856824</v>
      </c>
      <c r="X530" s="2">
        <f ca="1"/>
        <v>75.362105427909214</v>
      </c>
      <c r="AG530" s="2">
        <f ca="1"/>
        <v>0.91956480464979506</v>
      </c>
      <c r="AH530" s="2" t="str">
        <f ca="1"/>
        <v>Bad</v>
      </c>
    </row>
    <row r="531" spans="2:34" x14ac:dyDescent="0.2">
      <c r="B531" s="2">
        <f ca="1"/>
        <v>0.24995009125622758</v>
      </c>
      <c r="O531" s="2">
        <f ca="1"/>
        <v>0.71218379089006745</v>
      </c>
      <c r="X531" s="2">
        <f ca="1"/>
        <v>34.750304450595749</v>
      </c>
      <c r="AG531" s="2">
        <f ca="1"/>
        <v>0.73843139769795063</v>
      </c>
      <c r="AH531" s="2" t="str">
        <f ca="1"/>
        <v>Bad</v>
      </c>
    </row>
    <row r="532" spans="2:34" x14ac:dyDescent="0.2">
      <c r="B532" s="2">
        <f ca="1"/>
        <v>0.36467641434913878</v>
      </c>
      <c r="O532" s="2">
        <f ca="1"/>
        <v>0.49907489018382567</v>
      </c>
      <c r="X532" s="2">
        <f ca="1"/>
        <v>62.461202411326546</v>
      </c>
      <c r="AG532" s="2">
        <f ca="1"/>
        <v>7.9636066842014408E-2</v>
      </c>
      <c r="AH532" s="2" t="str">
        <f ca="1"/>
        <v>OK</v>
      </c>
    </row>
    <row r="533" spans="2:34" x14ac:dyDescent="0.2">
      <c r="B533" s="2">
        <f ca="1"/>
        <v>0.58515900048745606</v>
      </c>
      <c r="O533" s="2">
        <f ca="1"/>
        <v>0.42442331476119277</v>
      </c>
      <c r="X533" s="2">
        <f ca="1"/>
        <v>63.10527377391778</v>
      </c>
      <c r="AG533" s="2">
        <f ca="1"/>
        <v>0.96953833731111594</v>
      </c>
      <c r="AH533" s="2" t="str">
        <f ca="1"/>
        <v>Bad</v>
      </c>
    </row>
    <row r="534" spans="2:34" x14ac:dyDescent="0.2">
      <c r="B534" s="2">
        <f ca="1"/>
        <v>0.69145709850472903</v>
      </c>
      <c r="O534" s="2">
        <f ca="1"/>
        <v>0.41084163201239443</v>
      </c>
      <c r="X534" s="2">
        <f ca="1"/>
        <v>65.553233004896938</v>
      </c>
      <c r="AG534" s="2">
        <f ca="1"/>
        <v>0.82270133232265286</v>
      </c>
      <c r="AH534" s="2" t="str">
        <f ca="1"/>
        <v>Bad</v>
      </c>
    </row>
    <row r="535" spans="2:34" x14ac:dyDescent="0.2">
      <c r="B535" s="2">
        <f ca="1"/>
        <v>4.1801405226898458E-2</v>
      </c>
      <c r="O535" s="2">
        <f ca="1"/>
        <v>0.81303667943223434</v>
      </c>
      <c r="X535" s="2">
        <f ca="1"/>
        <v>63.119096181215298</v>
      </c>
      <c r="AG535" s="2">
        <f ca="1"/>
        <v>0.77279937699301904</v>
      </c>
      <c r="AH535" s="2" t="str">
        <f ca="1"/>
        <v>Bad</v>
      </c>
    </row>
    <row r="536" spans="2:34" x14ac:dyDescent="0.2">
      <c r="B536" s="2">
        <f ca="1"/>
        <v>0.55217466744556187</v>
      </c>
      <c r="O536" s="2">
        <f ca="1"/>
        <v>0.11612375772482064</v>
      </c>
      <c r="X536" s="2">
        <f ca="1"/>
        <v>39.862942482843543</v>
      </c>
      <c r="AG536" s="2">
        <f ca="1"/>
        <v>0.33689855476073927</v>
      </c>
      <c r="AH536" s="2" t="str">
        <f ca="1"/>
        <v>OK</v>
      </c>
    </row>
    <row r="537" spans="2:34" x14ac:dyDescent="0.2">
      <c r="B537" s="2">
        <f ca="1"/>
        <v>5.7869587547870527E-2</v>
      </c>
      <c r="O537" s="2">
        <f ca="1"/>
        <v>2.2958144903536697</v>
      </c>
      <c r="X537" s="2">
        <f ca="1"/>
        <v>45.44863844349544</v>
      </c>
      <c r="AG537" s="2">
        <f ca="1"/>
        <v>0.93127440249832283</v>
      </c>
      <c r="AH537" s="2" t="str">
        <f ca="1"/>
        <v>Bad</v>
      </c>
    </row>
    <row r="538" spans="2:34" x14ac:dyDescent="0.2">
      <c r="B538" s="2">
        <f ca="1"/>
        <v>0.82726061889095703</v>
      </c>
      <c r="O538" s="2">
        <f ca="1"/>
        <v>0.21130818433022808</v>
      </c>
      <c r="X538" s="2">
        <f ca="1"/>
        <v>29.166937935698595</v>
      </c>
      <c r="AG538" s="2">
        <f ca="1"/>
        <v>0.9935615352731737</v>
      </c>
      <c r="AH538" s="2" t="str">
        <f ca="1"/>
        <v>Bad</v>
      </c>
    </row>
    <row r="539" spans="2:34" x14ac:dyDescent="0.2">
      <c r="B539" s="2">
        <f ca="1"/>
        <v>0.84564233595039195</v>
      </c>
      <c r="O539" s="2">
        <f ca="1"/>
        <v>-0.28477144367938945</v>
      </c>
      <c r="X539" s="2">
        <f ca="1"/>
        <v>38.971121660907698</v>
      </c>
      <c r="AG539" s="2">
        <f ca="1"/>
        <v>0.99297114093307393</v>
      </c>
      <c r="AH539" s="2" t="str">
        <f ca="1"/>
        <v>Bad</v>
      </c>
    </row>
    <row r="540" spans="2:34" x14ac:dyDescent="0.2">
      <c r="B540" s="2">
        <f ca="1"/>
        <v>9.4695942974383662E-2</v>
      </c>
      <c r="O540" s="2">
        <f ca="1"/>
        <v>0.60370820883786991</v>
      </c>
      <c r="X540" s="2">
        <f ca="1"/>
        <v>65.317235284208635</v>
      </c>
      <c r="AG540" s="2">
        <f ca="1"/>
        <v>0.11561005975553851</v>
      </c>
      <c r="AH540" s="2" t="str">
        <f ca="1"/>
        <v>OK</v>
      </c>
    </row>
    <row r="541" spans="2:34" x14ac:dyDescent="0.2">
      <c r="B541" s="2">
        <f ca="1"/>
        <v>0.61219276630985631</v>
      </c>
      <c r="O541" s="2">
        <f ca="1"/>
        <v>-0.94998231060350047</v>
      </c>
      <c r="X541" s="2">
        <f ca="1"/>
        <v>67.623558080844475</v>
      </c>
      <c r="AG541" s="2">
        <f ca="1"/>
        <v>0.29978990157509933</v>
      </c>
      <c r="AH541" s="2" t="str">
        <f ca="1"/>
        <v>OK</v>
      </c>
    </row>
    <row r="542" spans="2:34" x14ac:dyDescent="0.2">
      <c r="B542" s="2">
        <f ca="1"/>
        <v>6.4325010898366175E-2</v>
      </c>
      <c r="O542" s="2">
        <f ca="1"/>
        <v>1.0044437808998732</v>
      </c>
      <c r="X542" s="2">
        <f ca="1"/>
        <v>37.365306818895107</v>
      </c>
      <c r="AG542" s="2">
        <f ca="1"/>
        <v>0.75555668266444331</v>
      </c>
      <c r="AH542" s="2" t="str">
        <f ca="1"/>
        <v>Bad</v>
      </c>
    </row>
    <row r="543" spans="2:34" x14ac:dyDescent="0.2">
      <c r="B543" s="2">
        <f ca="1"/>
        <v>5.4253804959169649E-2</v>
      </c>
      <c r="O543" s="2">
        <f ca="1"/>
        <v>1.2238986971955004</v>
      </c>
      <c r="X543" s="2">
        <f ca="1"/>
        <v>48.091203772368736</v>
      </c>
      <c r="AG543" s="2">
        <f ca="1"/>
        <v>0.90879117389709241</v>
      </c>
      <c r="AH543" s="2" t="str">
        <f ca="1"/>
        <v>Bad</v>
      </c>
    </row>
    <row r="544" spans="2:34" x14ac:dyDescent="0.2">
      <c r="B544" s="2">
        <f ca="1"/>
        <v>0.60839536138470818</v>
      </c>
      <c r="O544" s="2">
        <f ca="1"/>
        <v>-0.80840170106739873</v>
      </c>
      <c r="X544" s="2">
        <f ca="1"/>
        <v>63.752550849626488</v>
      </c>
      <c r="AG544" s="2">
        <f ca="1"/>
        <v>0.99812905114055339</v>
      </c>
      <c r="AH544" s="2" t="str">
        <f ca="1"/>
        <v>Bad</v>
      </c>
    </row>
    <row r="545" spans="2:34" x14ac:dyDescent="0.2">
      <c r="B545" s="2">
        <f ca="1"/>
        <v>0.19469064389224044</v>
      </c>
      <c r="O545" s="2">
        <f ca="1"/>
        <v>0.41965944992434528</v>
      </c>
      <c r="X545" s="2">
        <f ca="1"/>
        <v>36.900386181747884</v>
      </c>
      <c r="AG545" s="2">
        <f ca="1"/>
        <v>4.6053195010820946E-2</v>
      </c>
      <c r="AH545" s="2" t="str">
        <f ca="1"/>
        <v>Good</v>
      </c>
    </row>
    <row r="546" spans="2:34" x14ac:dyDescent="0.2">
      <c r="B546" s="2">
        <f ca="1"/>
        <v>0.64188502301493378</v>
      </c>
      <c r="O546" s="2">
        <f ca="1"/>
        <v>0.70799967609335779</v>
      </c>
      <c r="X546" s="2">
        <f ca="1"/>
        <v>52.36572480591208</v>
      </c>
      <c r="AG546" s="2">
        <f ca="1"/>
        <v>0.15964768422861675</v>
      </c>
      <c r="AH546" s="2" t="str">
        <f ca="1"/>
        <v>OK</v>
      </c>
    </row>
    <row r="547" spans="2:34" x14ac:dyDescent="0.2">
      <c r="B547" s="2">
        <f ca="1"/>
        <v>0.97174708153628075</v>
      </c>
      <c r="O547" s="2">
        <f ca="1"/>
        <v>8.1331047248414431E-2</v>
      </c>
      <c r="X547" s="2">
        <f ca="1"/>
        <v>34.378583308470475</v>
      </c>
      <c r="AG547" s="2">
        <f ca="1"/>
        <v>0.54044776037259257</v>
      </c>
      <c r="AH547" s="2" t="str">
        <f ca="1"/>
        <v>Bad</v>
      </c>
    </row>
    <row r="548" spans="2:34" x14ac:dyDescent="0.2">
      <c r="B548" s="2">
        <f ca="1"/>
        <v>5.3237990122723122E-3</v>
      </c>
      <c r="O548" s="2">
        <f ca="1"/>
        <v>-1.2281240310500177</v>
      </c>
      <c r="X548" s="2">
        <f ca="1"/>
        <v>34.16684666171632</v>
      </c>
      <c r="AG548" s="2">
        <f ca="1"/>
        <v>0.56775479965378906</v>
      </c>
      <c r="AH548" s="2" t="str">
        <f ca="1"/>
        <v>Bad</v>
      </c>
    </row>
    <row r="549" spans="2:34" x14ac:dyDescent="0.2">
      <c r="B549" s="2">
        <f ca="1"/>
        <v>0.52625222865073051</v>
      </c>
      <c r="O549" s="2">
        <f ca="1"/>
        <v>0.79950090036616805</v>
      </c>
      <c r="X549" s="2">
        <f ca="1"/>
        <v>48.560828458556088</v>
      </c>
      <c r="AG549" s="2">
        <f ca="1"/>
        <v>0.79848181263848339</v>
      </c>
      <c r="AH549" s="2" t="str">
        <f ca="1"/>
        <v>Bad</v>
      </c>
    </row>
    <row r="550" spans="2:34" x14ac:dyDescent="0.2">
      <c r="B550" s="2">
        <f ca="1"/>
        <v>0.79544472720061798</v>
      </c>
      <c r="O550" s="2">
        <f ca="1"/>
        <v>-5.4273878714491089E-2</v>
      </c>
      <c r="X550" s="2">
        <f ca="1"/>
        <v>39.978164954230138</v>
      </c>
      <c r="AG550" s="2">
        <f ca="1"/>
        <v>0.78757720155301802</v>
      </c>
      <c r="AH550" s="2" t="str">
        <f ca="1"/>
        <v>Bad</v>
      </c>
    </row>
    <row r="551" spans="2:34" x14ac:dyDescent="0.2">
      <c r="B551" s="2">
        <f ca="1"/>
        <v>0.86327826155346599</v>
      </c>
      <c r="O551" s="2">
        <f ca="1"/>
        <v>-0.40123790029386674</v>
      </c>
      <c r="X551" s="2">
        <f ca="1"/>
        <v>57.135243640691243</v>
      </c>
      <c r="AG551" s="2">
        <f ca="1"/>
        <v>0.81471774155745313</v>
      </c>
      <c r="AH551" s="2" t="str">
        <f ca="1"/>
        <v>Bad</v>
      </c>
    </row>
    <row r="552" spans="2:34" x14ac:dyDescent="0.2">
      <c r="B552" s="2">
        <f ca="1"/>
        <v>0.32233838465126929</v>
      </c>
      <c r="O552" s="2">
        <f ca="1"/>
        <v>-1.4484621081124271</v>
      </c>
      <c r="X552" s="2">
        <f ca="1"/>
        <v>57.635025013056989</v>
      </c>
      <c r="AG552" s="2">
        <f ca="1"/>
        <v>0.89665920812191224</v>
      </c>
      <c r="AH552" s="2" t="str">
        <f ca="1"/>
        <v>Bad</v>
      </c>
    </row>
    <row r="553" spans="2:34" x14ac:dyDescent="0.2">
      <c r="B553" s="2">
        <f ca="1"/>
        <v>0.10205911398769274</v>
      </c>
      <c r="O553" s="2">
        <f ca="1"/>
        <v>-0.36089308783355895</v>
      </c>
      <c r="X553" s="2">
        <f ca="1"/>
        <v>42.79214073912334</v>
      </c>
      <c r="AG553" s="2">
        <f ca="1"/>
        <v>0.54682743727361038</v>
      </c>
      <c r="AH553" s="2" t="str">
        <f ca="1"/>
        <v>Bad</v>
      </c>
    </row>
    <row r="554" spans="2:34" x14ac:dyDescent="0.2">
      <c r="B554" s="2">
        <f ca="1"/>
        <v>0.1742618328341301</v>
      </c>
      <c r="O554" s="2">
        <f ca="1"/>
        <v>1.6070400044874109</v>
      </c>
      <c r="X554" s="2">
        <f ca="1"/>
        <v>34.682026549291784</v>
      </c>
      <c r="AG554" s="2">
        <f ca="1"/>
        <v>6.1531258943528844E-2</v>
      </c>
      <c r="AH554" s="2" t="str">
        <f ca="1"/>
        <v>OK</v>
      </c>
    </row>
    <row r="555" spans="2:34" x14ac:dyDescent="0.2">
      <c r="B555" s="2">
        <f ca="1"/>
        <v>0.15464212210015771</v>
      </c>
      <c r="O555" s="2">
        <f ca="1"/>
        <v>-0.76446945341578609</v>
      </c>
      <c r="X555" s="2">
        <f ca="1"/>
        <v>71.228185879823684</v>
      </c>
      <c r="AG555" s="2">
        <f ca="1"/>
        <v>0.51411833164577958</v>
      </c>
      <c r="AH555" s="2" t="str">
        <f ca="1"/>
        <v>Bad</v>
      </c>
    </row>
    <row r="556" spans="2:34" x14ac:dyDescent="0.2">
      <c r="B556" s="2">
        <f ca="1"/>
        <v>0.51330513775563946</v>
      </c>
      <c r="O556" s="2">
        <f ca="1"/>
        <v>0.9657545272631326</v>
      </c>
      <c r="X556" s="2">
        <f ca="1"/>
        <v>30.501269002235265</v>
      </c>
      <c r="AG556" s="2">
        <f ca="1"/>
        <v>9.9213668848930681E-2</v>
      </c>
      <c r="AH556" s="2" t="str">
        <f ca="1"/>
        <v>OK</v>
      </c>
    </row>
    <row r="557" spans="2:34" x14ac:dyDescent="0.2">
      <c r="B557" s="2">
        <f ca="1"/>
        <v>0.61843896013420374</v>
      </c>
      <c r="O557" s="2">
        <f ca="1"/>
        <v>1.7709520143608621</v>
      </c>
      <c r="X557" s="2">
        <f ca="1"/>
        <v>30.466228539842021</v>
      </c>
      <c r="AG557" s="2">
        <f ca="1"/>
        <v>0.43475999337767668</v>
      </c>
      <c r="AH557" s="2" t="str">
        <f ca="1"/>
        <v>Bad</v>
      </c>
    </row>
    <row r="558" spans="2:34" x14ac:dyDescent="0.2">
      <c r="B558" s="2">
        <f ca="1"/>
        <v>0.73073509516315727</v>
      </c>
      <c r="O558" s="2">
        <f ca="1"/>
        <v>-0.28957111713479733</v>
      </c>
      <c r="X558" s="2">
        <f ca="1"/>
        <v>45.638341530378959</v>
      </c>
      <c r="AG558" s="2">
        <f ca="1"/>
        <v>0.25865000009641959</v>
      </c>
      <c r="AH558" s="2" t="str">
        <f ca="1"/>
        <v>OK</v>
      </c>
    </row>
    <row r="559" spans="2:34" x14ac:dyDescent="0.2">
      <c r="B559" s="2">
        <f ca="1"/>
        <v>0.25522605357190353</v>
      </c>
      <c r="O559" s="2">
        <f ca="1"/>
        <v>-0.92781678053719496</v>
      </c>
      <c r="X559" s="2">
        <f ca="1"/>
        <v>42.590157120925838</v>
      </c>
      <c r="AG559" s="2">
        <f ca="1"/>
        <v>0.25349051582651838</v>
      </c>
      <c r="AH559" s="2" t="str">
        <f ca="1"/>
        <v>OK</v>
      </c>
    </row>
    <row r="560" spans="2:34" x14ac:dyDescent="0.2">
      <c r="B560" s="2">
        <f ca="1"/>
        <v>0.92139046357085075</v>
      </c>
      <c r="O560" s="2">
        <f ca="1"/>
        <v>1.0052621240871726</v>
      </c>
      <c r="X560" s="2">
        <f ca="1"/>
        <v>67.981670837787291</v>
      </c>
      <c r="AG560" s="2">
        <f ca="1"/>
        <v>0.49392838987367238</v>
      </c>
      <c r="AH560" s="2" t="str">
        <f ca="1"/>
        <v>Bad</v>
      </c>
    </row>
    <row r="561" spans="2:34" x14ac:dyDescent="0.2">
      <c r="B561" s="2">
        <f ca="1"/>
        <v>0.22615399575653528</v>
      </c>
      <c r="O561" s="2">
        <f ca="1"/>
        <v>-0.84028734454153298</v>
      </c>
      <c r="X561" s="2">
        <f ca="1"/>
        <v>55.378075743087997</v>
      </c>
      <c r="AG561" s="2">
        <f ca="1"/>
        <v>0.37062875672447859</v>
      </c>
      <c r="AH561" s="2" t="str">
        <f ca="1"/>
        <v>OK</v>
      </c>
    </row>
    <row r="562" spans="2:34" x14ac:dyDescent="0.2">
      <c r="B562" s="2">
        <f ca="1"/>
        <v>0.88939400476437114</v>
      </c>
      <c r="O562" s="2">
        <f ca="1"/>
        <v>-1.4640184269575764</v>
      </c>
      <c r="X562" s="2">
        <f ca="1"/>
        <v>53.621279206642178</v>
      </c>
      <c r="AG562" s="2">
        <f ca="1"/>
        <v>0.69005418764409177</v>
      </c>
      <c r="AH562" s="2" t="str">
        <f ca="1"/>
        <v>Bad</v>
      </c>
    </row>
    <row r="563" spans="2:34" x14ac:dyDescent="0.2">
      <c r="B563" s="2">
        <f ca="1"/>
        <v>0.57755705447663841</v>
      </c>
      <c r="O563" s="2">
        <f ca="1"/>
        <v>-0.16948127746355485</v>
      </c>
      <c r="X563" s="2">
        <f ca="1"/>
        <v>35.914665165580111</v>
      </c>
      <c r="AG563" s="2">
        <f ca="1"/>
        <v>0.34192473435588</v>
      </c>
      <c r="AH563" s="2" t="str">
        <f ca="1"/>
        <v>OK</v>
      </c>
    </row>
    <row r="564" spans="2:34" x14ac:dyDescent="0.2">
      <c r="B564" s="2">
        <f ca="1"/>
        <v>0.45034181884053281</v>
      </c>
      <c r="O564" s="2">
        <f ca="1"/>
        <v>-0.44438079286388016</v>
      </c>
      <c r="X564" s="2">
        <f ca="1"/>
        <v>18.173952447850105</v>
      </c>
      <c r="AG564" s="2">
        <f ca="1"/>
        <v>0.7589081574394656</v>
      </c>
      <c r="AH564" s="2" t="str">
        <f ca="1"/>
        <v>Bad</v>
      </c>
    </row>
    <row r="565" spans="2:34" x14ac:dyDescent="0.2">
      <c r="B565" s="2">
        <f ca="1"/>
        <v>0.20031949216154432</v>
      </c>
      <c r="O565" s="2">
        <f ca="1"/>
        <v>-0.39916137239880639</v>
      </c>
      <c r="X565" s="2">
        <f ca="1"/>
        <v>61.822159650789949</v>
      </c>
      <c r="AG565" s="2">
        <f ca="1"/>
        <v>0.29561666310146428</v>
      </c>
      <c r="AH565" s="2" t="str">
        <f ca="1"/>
        <v>OK</v>
      </c>
    </row>
    <row r="566" spans="2:34" x14ac:dyDescent="0.2">
      <c r="B566" s="2">
        <f ca="1"/>
        <v>0.30826392988769991</v>
      </c>
      <c r="O566" s="2">
        <f ca="1"/>
        <v>0.51038402771356373</v>
      </c>
      <c r="X566" s="2">
        <f ca="1"/>
        <v>54.545009010899989</v>
      </c>
      <c r="AG566" s="2">
        <f ca="1"/>
        <v>0.5899515695300126</v>
      </c>
      <c r="AH566" s="2" t="str">
        <f ca="1"/>
        <v>Bad</v>
      </c>
    </row>
    <row r="567" spans="2:34" x14ac:dyDescent="0.2">
      <c r="B567" s="2">
        <f ca="1"/>
        <v>0.36961622120146354</v>
      </c>
      <c r="O567" s="2">
        <f ca="1"/>
        <v>-1.4271247403846958</v>
      </c>
      <c r="X567" s="2">
        <f ca="1"/>
        <v>37.95838087729004</v>
      </c>
      <c r="AG567" s="2">
        <f ca="1"/>
        <v>9.9330397488251343E-2</v>
      </c>
      <c r="AH567" s="2" t="str">
        <f ca="1"/>
        <v>OK</v>
      </c>
    </row>
    <row r="568" spans="2:34" x14ac:dyDescent="0.2">
      <c r="B568" s="2">
        <f ca="1"/>
        <v>0.85277772974914701</v>
      </c>
      <c r="O568" s="2">
        <f ca="1"/>
        <v>-0.18604580025616244</v>
      </c>
      <c r="X568" s="2">
        <f ca="1"/>
        <v>66.767151392545458</v>
      </c>
      <c r="AG568" s="2">
        <f ca="1"/>
        <v>4.6044553153652634E-2</v>
      </c>
      <c r="AH568" s="2" t="str">
        <f ca="1"/>
        <v>Good</v>
      </c>
    </row>
    <row r="569" spans="2:34" x14ac:dyDescent="0.2">
      <c r="B569" s="2">
        <f ca="1"/>
        <v>0.29290538146157452</v>
      </c>
      <c r="O569" s="2">
        <f ca="1"/>
        <v>-0.90162691801746719</v>
      </c>
      <c r="X569" s="2">
        <f ca="1"/>
        <v>67.064883431133651</v>
      </c>
      <c r="AG569" s="2">
        <f ca="1"/>
        <v>4.4180870832903674E-2</v>
      </c>
      <c r="AH569" s="2" t="str">
        <f ca="1"/>
        <v>Good</v>
      </c>
    </row>
    <row r="570" spans="2:34" x14ac:dyDescent="0.2">
      <c r="B570" s="2">
        <f ca="1"/>
        <v>0.95271136263735823</v>
      </c>
      <c r="O570" s="2">
        <f ca="1"/>
        <v>0.13869228650296198</v>
      </c>
      <c r="X570" s="2">
        <f ca="1"/>
        <v>54.9604305109347</v>
      </c>
      <c r="AG570" s="2">
        <f ca="1"/>
        <v>0.57857738588210217</v>
      </c>
      <c r="AH570" s="2" t="str">
        <f ca="1"/>
        <v>Bad</v>
      </c>
    </row>
    <row r="571" spans="2:34" x14ac:dyDescent="0.2">
      <c r="B571" s="2">
        <f ca="1"/>
        <v>0.15935034890217903</v>
      </c>
      <c r="O571" s="2">
        <f ca="1"/>
        <v>-0.67787584238213183</v>
      </c>
      <c r="X571" s="2">
        <f ca="1"/>
        <v>45.422157803781872</v>
      </c>
      <c r="AG571" s="2">
        <f ca="1"/>
        <v>0.99352414138931233</v>
      </c>
      <c r="AH571" s="2" t="str">
        <f ca="1"/>
        <v>Bad</v>
      </c>
    </row>
    <row r="572" spans="2:34" x14ac:dyDescent="0.2">
      <c r="B572" s="2">
        <f ca="1"/>
        <v>0.69908172843888972</v>
      </c>
      <c r="O572" s="2">
        <f ca="1"/>
        <v>-0.69379608108830138</v>
      </c>
      <c r="X572" s="2">
        <f ca="1"/>
        <v>45.682256282333142</v>
      </c>
      <c r="AG572" s="2">
        <f ca="1"/>
        <v>0.81986488598725371</v>
      </c>
      <c r="AH572" s="2" t="str">
        <f ca="1"/>
        <v>Bad</v>
      </c>
    </row>
    <row r="573" spans="2:34" x14ac:dyDescent="0.2">
      <c r="B573" s="2">
        <f ca="1"/>
        <v>0.83419241876683037</v>
      </c>
      <c r="O573" s="2">
        <f ca="1"/>
        <v>0.14496905294720747</v>
      </c>
      <c r="X573" s="2">
        <f ca="1"/>
        <v>38.135162516401053</v>
      </c>
      <c r="AG573" s="2">
        <f ca="1"/>
        <v>0.10124653123513894</v>
      </c>
      <c r="AH573" s="2" t="str">
        <f ca="1"/>
        <v>OK</v>
      </c>
    </row>
    <row r="574" spans="2:34" x14ac:dyDescent="0.2">
      <c r="B574" s="2">
        <f ca="1"/>
        <v>0.2026837067051197</v>
      </c>
      <c r="O574" s="2">
        <f ca="1"/>
        <v>-0.73090659041133699</v>
      </c>
      <c r="X574" s="2">
        <f ca="1"/>
        <v>36.000875217956768</v>
      </c>
      <c r="AG574" s="2">
        <f ca="1"/>
        <v>0.29486918138422102</v>
      </c>
      <c r="AH574" s="2" t="str">
        <f ca="1"/>
        <v>OK</v>
      </c>
    </row>
    <row r="575" spans="2:34" x14ac:dyDescent="0.2">
      <c r="B575" s="2">
        <f ca="1"/>
        <v>0.1223302140473419</v>
      </c>
      <c r="O575" s="2">
        <f ca="1"/>
        <v>-1.748918593080294</v>
      </c>
      <c r="X575" s="2">
        <f ca="1"/>
        <v>59.157684942339806</v>
      </c>
      <c r="AG575" s="2">
        <f ca="1"/>
        <v>0.56630621355728028</v>
      </c>
      <c r="AH575" s="2" t="str">
        <f ca="1"/>
        <v>Bad</v>
      </c>
    </row>
    <row r="576" spans="2:34" x14ac:dyDescent="0.2">
      <c r="B576" s="2">
        <f ca="1"/>
        <v>0.51502495269036452</v>
      </c>
      <c r="O576" s="2">
        <f ca="1"/>
        <v>-0.30673605137820409</v>
      </c>
      <c r="X576" s="2">
        <f ca="1"/>
        <v>51.009651334306085</v>
      </c>
      <c r="AG576" s="2">
        <f ca="1"/>
        <v>0.57136413578223255</v>
      </c>
      <c r="AH576" s="2" t="str">
        <f ca="1"/>
        <v>Bad</v>
      </c>
    </row>
    <row r="577" spans="2:34" x14ac:dyDescent="0.2">
      <c r="B577" s="2">
        <f ca="1"/>
        <v>8.0339736599345679E-2</v>
      </c>
      <c r="O577" s="2">
        <f ca="1"/>
        <v>0.58858427700960991</v>
      </c>
      <c r="X577" s="2">
        <f ca="1"/>
        <v>47.781916423844407</v>
      </c>
      <c r="AG577" s="2">
        <f ca="1"/>
        <v>0.44164036852996391</v>
      </c>
      <c r="AH577" s="2" t="str">
        <f ca="1"/>
        <v>Bad</v>
      </c>
    </row>
    <row r="578" spans="2:34" x14ac:dyDescent="0.2">
      <c r="B578" s="2">
        <f ca="1"/>
        <v>6.339466548145567E-2</v>
      </c>
      <c r="O578" s="2">
        <f ca="1"/>
        <v>0.3845352281020048</v>
      </c>
      <c r="X578" s="2">
        <f ca="1"/>
        <v>27.257230239356261</v>
      </c>
      <c r="AG578" s="2">
        <f ca="1"/>
        <v>0.76413537581878854</v>
      </c>
      <c r="AH578" s="2" t="str">
        <f ca="1"/>
        <v>Bad</v>
      </c>
    </row>
    <row r="579" spans="2:34" x14ac:dyDescent="0.2">
      <c r="B579" s="2">
        <f ca="1"/>
        <v>0.74047186904740259</v>
      </c>
      <c r="O579" s="2">
        <f ca="1"/>
        <v>0.95435047741829393</v>
      </c>
      <c r="X579" s="2">
        <f ca="1"/>
        <v>26.119497592831134</v>
      </c>
      <c r="AG579" s="2">
        <f ca="1"/>
        <v>0.15334501252570476</v>
      </c>
      <c r="AH579" s="2" t="str">
        <f ca="1"/>
        <v>OK</v>
      </c>
    </row>
    <row r="580" spans="2:34" x14ac:dyDescent="0.2">
      <c r="B580" s="2">
        <f ca="1"/>
        <v>0.69141395919740489</v>
      </c>
      <c r="O580" s="2">
        <f ca="1"/>
        <v>-1.9758962597229899</v>
      </c>
      <c r="X580" s="2">
        <f ca="1"/>
        <v>35.773149381704037</v>
      </c>
      <c r="AG580" s="2">
        <f ca="1"/>
        <v>0.22313467226078076</v>
      </c>
      <c r="AH580" s="2" t="str">
        <f ca="1"/>
        <v>OK</v>
      </c>
    </row>
    <row r="581" spans="2:34" x14ac:dyDescent="0.2">
      <c r="B581" s="2">
        <f ca="1"/>
        <v>0.70932285784017912</v>
      </c>
      <c r="O581" s="2">
        <f ca="1"/>
        <v>-0.72438289015570267</v>
      </c>
      <c r="X581" s="2">
        <f ca="1"/>
        <v>51.232757940701489</v>
      </c>
      <c r="AG581" s="2">
        <f ca="1"/>
        <v>0.51616189191976836</v>
      </c>
      <c r="AH581" s="2" t="str">
        <f ca="1"/>
        <v>Bad</v>
      </c>
    </row>
    <row r="582" spans="2:34" x14ac:dyDescent="0.2">
      <c r="B582" s="2">
        <f ca="1"/>
        <v>0.21838801056005952</v>
      </c>
      <c r="O582" s="2">
        <f ca="1"/>
        <v>1.2629248655679501E-2</v>
      </c>
      <c r="X582" s="2">
        <f ca="1"/>
        <v>29.398025926626488</v>
      </c>
      <c r="AG582" s="2">
        <f ca="1"/>
        <v>0.12712709823704338</v>
      </c>
      <c r="AH582" s="2" t="str">
        <f ca="1"/>
        <v>OK</v>
      </c>
    </row>
    <row r="583" spans="2:34" x14ac:dyDescent="0.2">
      <c r="B583" s="2">
        <f ca="1"/>
        <v>0.93687726088863688</v>
      </c>
      <c r="O583" s="2">
        <f ca="1"/>
        <v>8.7623755001840886E-2</v>
      </c>
      <c r="X583" s="2">
        <f ca="1"/>
        <v>44.819727912926993</v>
      </c>
      <c r="AG583" s="2">
        <f ca="1"/>
        <v>0.6715833833387399</v>
      </c>
      <c r="AH583" s="2" t="str">
        <f ca="1"/>
        <v>Bad</v>
      </c>
    </row>
    <row r="584" spans="2:34" x14ac:dyDescent="0.2">
      <c r="B584" s="2">
        <f ca="1"/>
        <v>0.2490807085874025</v>
      </c>
      <c r="O584" s="2">
        <f ca="1"/>
        <v>-0.15270159069662778</v>
      </c>
      <c r="X584" s="2">
        <f ca="1"/>
        <v>60.174102243970218</v>
      </c>
      <c r="AG584" s="2">
        <f ca="1"/>
        <v>0.72184642217810158</v>
      </c>
      <c r="AH584" s="2" t="str">
        <f ca="1"/>
        <v>Bad</v>
      </c>
    </row>
    <row r="585" spans="2:34" x14ac:dyDescent="0.2">
      <c r="B585" s="2">
        <f ca="1"/>
        <v>0.92969118345960422</v>
      </c>
      <c r="O585" s="2">
        <f ca="1"/>
        <v>-0.46405151554407903</v>
      </c>
      <c r="X585" s="2">
        <f ca="1"/>
        <v>42.502951637955</v>
      </c>
      <c r="AG585" s="2">
        <f ca="1"/>
        <v>0.78384971167529471</v>
      </c>
      <c r="AH585" s="2" t="str">
        <f ca="1"/>
        <v>Bad</v>
      </c>
    </row>
    <row r="586" spans="2:34" x14ac:dyDescent="0.2">
      <c r="B586" s="2">
        <f ca="1"/>
        <v>0.14172919401994455</v>
      </c>
      <c r="O586" s="2">
        <f ca="1"/>
        <v>-0.57117485128613477</v>
      </c>
      <c r="X586" s="2">
        <f ca="1"/>
        <v>44.627296087620614</v>
      </c>
      <c r="AG586" s="2">
        <f ca="1"/>
        <v>0.80628086866893467</v>
      </c>
      <c r="AH586" s="2" t="str">
        <f ca="1"/>
        <v>Bad</v>
      </c>
    </row>
    <row r="587" spans="2:34" x14ac:dyDescent="0.2">
      <c r="B587" s="2">
        <f ca="1"/>
        <v>2.1588905826356086E-2</v>
      </c>
      <c r="O587" s="2">
        <f ca="1"/>
        <v>0.52616232997846379</v>
      </c>
      <c r="X587" s="2">
        <f ca="1"/>
        <v>43.879486228368343</v>
      </c>
      <c r="AG587" s="2">
        <f ca="1"/>
        <v>0.83336167333985012</v>
      </c>
      <c r="AH587" s="2" t="str">
        <f ca="1"/>
        <v>Bad</v>
      </c>
    </row>
    <row r="588" spans="2:34" x14ac:dyDescent="0.2">
      <c r="B588" s="2">
        <f ca="1"/>
        <v>0.62603196635765568</v>
      </c>
      <c r="O588" s="2">
        <f ca="1"/>
        <v>0.48698103258073439</v>
      </c>
      <c r="X588" s="2">
        <f ca="1"/>
        <v>76.894298262683876</v>
      </c>
      <c r="AG588" s="2">
        <f ca="1"/>
        <v>0.78882894342240473</v>
      </c>
      <c r="AH588" s="2" t="str">
        <f ca="1"/>
        <v>Bad</v>
      </c>
    </row>
    <row r="589" spans="2:34" x14ac:dyDescent="0.2">
      <c r="B589" s="2">
        <f ca="1"/>
        <v>0.65874317643828384</v>
      </c>
      <c r="O589" s="2">
        <f ca="1"/>
        <v>0.50603194077250069</v>
      </c>
      <c r="X589" s="2">
        <f ca="1"/>
        <v>43.567379427381432</v>
      </c>
      <c r="AG589" s="2">
        <f ca="1"/>
        <v>0.62871166749667307</v>
      </c>
      <c r="AH589" s="2" t="str">
        <f ca="1"/>
        <v>Bad</v>
      </c>
    </row>
    <row r="590" spans="2:34" x14ac:dyDescent="0.2">
      <c r="B590" s="2">
        <f ca="1"/>
        <v>0.39085577756312895</v>
      </c>
      <c r="O590" s="2">
        <f ca="1"/>
        <v>-3.961632300885843E-2</v>
      </c>
      <c r="X590" s="2">
        <f ca="1"/>
        <v>29.437605604663972</v>
      </c>
      <c r="AG590" s="2">
        <f ca="1"/>
        <v>0.52512971053233648</v>
      </c>
      <c r="AH590" s="2" t="str">
        <f ca="1"/>
        <v>Bad</v>
      </c>
    </row>
    <row r="591" spans="2:34" x14ac:dyDescent="0.2">
      <c r="B591" s="2">
        <f ca="1"/>
        <v>0.60946417525752072</v>
      </c>
      <c r="O591" s="2">
        <f ca="1"/>
        <v>-0.35215607895775386</v>
      </c>
      <c r="X591" s="2">
        <f ca="1"/>
        <v>21.632960108220701</v>
      </c>
      <c r="AG591" s="2">
        <f ca="1"/>
        <v>0.86385610799153745</v>
      </c>
      <c r="AH591" s="2" t="str">
        <f ca="1"/>
        <v>Bad</v>
      </c>
    </row>
    <row r="592" spans="2:34" x14ac:dyDescent="0.2">
      <c r="B592" s="2">
        <f ca="1"/>
        <v>0.84577496740574931</v>
      </c>
      <c r="O592" s="2">
        <f ca="1"/>
        <v>0.63437294321140958</v>
      </c>
      <c r="X592" s="2">
        <f ca="1"/>
        <v>25.268435794318744</v>
      </c>
      <c r="AG592" s="2">
        <f ca="1"/>
        <v>0.24659664371816659</v>
      </c>
      <c r="AH592" s="2" t="str">
        <f ca="1"/>
        <v>OK</v>
      </c>
    </row>
    <row r="593" spans="2:34" x14ac:dyDescent="0.2">
      <c r="B593" s="2">
        <f ca="1"/>
        <v>0.65101869486995234</v>
      </c>
      <c r="O593" s="2">
        <f ca="1"/>
        <v>-0.63631429844674736</v>
      </c>
      <c r="X593" s="2">
        <f ca="1"/>
        <v>35.225808354752758</v>
      </c>
      <c r="AG593" s="2">
        <f ca="1"/>
        <v>0.38338254694062779</v>
      </c>
      <c r="AH593" s="2" t="str">
        <f ca="1"/>
        <v>OK</v>
      </c>
    </row>
    <row r="594" spans="2:34" x14ac:dyDescent="0.2">
      <c r="B594" s="2">
        <f ca="1"/>
        <v>0.59226197592044483</v>
      </c>
      <c r="O594" s="2">
        <f ca="1"/>
        <v>1.038426754919497</v>
      </c>
      <c r="X594" s="2">
        <f ca="1"/>
        <v>47.839816345699553</v>
      </c>
      <c r="AG594" s="2">
        <f ca="1"/>
        <v>5.5694292280737301E-2</v>
      </c>
      <c r="AH594" s="2" t="str">
        <f ca="1"/>
        <v>OK</v>
      </c>
    </row>
    <row r="595" spans="2:34" x14ac:dyDescent="0.2">
      <c r="B595" s="2">
        <f ca="1"/>
        <v>0.25219942757281788</v>
      </c>
      <c r="O595" s="2">
        <f ca="1"/>
        <v>1.0604060719510529</v>
      </c>
      <c r="X595" s="2">
        <f ca="1"/>
        <v>38.024646271744757</v>
      </c>
      <c r="AG595" s="2">
        <f ca="1"/>
        <v>0.16338781797819379</v>
      </c>
      <c r="AH595" s="2" t="str">
        <f ca="1"/>
        <v>OK</v>
      </c>
    </row>
    <row r="596" spans="2:34" x14ac:dyDescent="0.2">
      <c r="B596" s="2">
        <f ca="1"/>
        <v>0.26950983117480276</v>
      </c>
      <c r="O596" s="2">
        <f ca="1"/>
        <v>-0.86921398344760792</v>
      </c>
      <c r="X596" s="2">
        <f ca="1"/>
        <v>44.732599342866457</v>
      </c>
      <c r="AG596" s="2">
        <f ca="1"/>
        <v>0.26636545954846058</v>
      </c>
      <c r="AH596" s="2" t="str">
        <f ca="1"/>
        <v>OK</v>
      </c>
    </row>
    <row r="597" spans="2:34" x14ac:dyDescent="0.2">
      <c r="B597" s="2">
        <f ca="1"/>
        <v>7.2268700930306684E-2</v>
      </c>
      <c r="O597" s="2">
        <f ca="1"/>
        <v>1.3177216391482873</v>
      </c>
      <c r="X597" s="2">
        <f ca="1"/>
        <v>62.581009971246296</v>
      </c>
      <c r="AG597" s="2">
        <f ca="1"/>
        <v>0.82652955761976932</v>
      </c>
      <c r="AH597" s="2" t="str">
        <f ca="1"/>
        <v>Bad</v>
      </c>
    </row>
    <row r="598" spans="2:34" x14ac:dyDescent="0.2">
      <c r="B598" s="2">
        <f ca="1"/>
        <v>0.12944197282645575</v>
      </c>
      <c r="O598" s="2">
        <f ca="1"/>
        <v>-0.16583122598885802</v>
      </c>
      <c r="X598" s="2">
        <f ca="1"/>
        <v>46.454428826125451</v>
      </c>
      <c r="AG598" s="2">
        <f ca="1"/>
        <v>0.83803319471003701</v>
      </c>
      <c r="AH598" s="2" t="str">
        <f ca="1"/>
        <v>Bad</v>
      </c>
    </row>
    <row r="599" spans="2:34" x14ac:dyDescent="0.2">
      <c r="B599" s="2">
        <f ca="1"/>
        <v>0.90356383032341459</v>
      </c>
      <c r="O599" s="2">
        <f ca="1"/>
        <v>-0.54879451810121727</v>
      </c>
      <c r="X599" s="2">
        <f ca="1"/>
        <v>58.864773566682913</v>
      </c>
      <c r="AG599" s="2">
        <f ca="1"/>
        <v>0.10273452900460267</v>
      </c>
      <c r="AH599" s="2" t="str">
        <f ca="1"/>
        <v>OK</v>
      </c>
    </row>
    <row r="600" spans="2:34" x14ac:dyDescent="0.2">
      <c r="B600" s="2">
        <f ca="1"/>
        <v>0.41947272194986462</v>
      </c>
      <c r="O600" s="2">
        <f ca="1"/>
        <v>1.182746110724743</v>
      </c>
      <c r="X600" s="2">
        <f ca="1"/>
        <v>39.776742930070277</v>
      </c>
      <c r="AG600" s="2">
        <f ca="1"/>
        <v>0.46000535194285019</v>
      </c>
      <c r="AH600" s="2" t="str">
        <f ca="1"/>
        <v>Bad</v>
      </c>
    </row>
    <row r="601" spans="2:34" x14ac:dyDescent="0.2">
      <c r="B601" s="2">
        <f ca="1"/>
        <v>0.83712471594131244</v>
      </c>
      <c r="O601" s="2">
        <f ca="1"/>
        <v>0.28454711833546908</v>
      </c>
      <c r="X601" s="2">
        <f ca="1"/>
        <v>38.586146487714466</v>
      </c>
      <c r="AG601" s="2">
        <f ca="1"/>
        <v>0.59880296567489055</v>
      </c>
      <c r="AH601" s="2" t="str">
        <f ca="1"/>
        <v>Bad</v>
      </c>
    </row>
    <row r="602" spans="2:34" x14ac:dyDescent="0.2">
      <c r="B602" s="2">
        <f ca="1"/>
        <v>0.98348654159831383</v>
      </c>
      <c r="O602" s="2">
        <f ca="1"/>
        <v>-9.7628408751552612E-2</v>
      </c>
      <c r="X602" s="2">
        <f ca="1"/>
        <v>68.176167843554737</v>
      </c>
      <c r="AG602" s="2">
        <f ca="1"/>
        <v>0.65808217711813577</v>
      </c>
      <c r="AH602" s="2" t="str">
        <f ca="1"/>
        <v>Bad</v>
      </c>
    </row>
    <row r="603" spans="2:34" x14ac:dyDescent="0.2">
      <c r="B603" s="2">
        <f ca="1"/>
        <v>0.43148152369363335</v>
      </c>
      <c r="O603" s="2">
        <f ca="1"/>
        <v>0.65002754926881379</v>
      </c>
      <c r="X603" s="2">
        <f ca="1"/>
        <v>64.345242965324786</v>
      </c>
      <c r="AG603" s="2">
        <f ca="1"/>
        <v>0.21879121856201555</v>
      </c>
      <c r="AH603" s="2" t="str">
        <f ca="1"/>
        <v>OK</v>
      </c>
    </row>
    <row r="604" spans="2:34" x14ac:dyDescent="0.2">
      <c r="B604" s="2">
        <f ca="1"/>
        <v>0.64204112383826395</v>
      </c>
      <c r="O604" s="2">
        <f ca="1"/>
        <v>-1.2752306648780471</v>
      </c>
      <c r="X604" s="2">
        <f ca="1"/>
        <v>45.019290224606237</v>
      </c>
      <c r="AG604" s="2">
        <f ca="1"/>
        <v>0.31230078868018651</v>
      </c>
      <c r="AH604" s="2" t="str">
        <f ca="1"/>
        <v>OK</v>
      </c>
    </row>
    <row r="605" spans="2:34" x14ac:dyDescent="0.2">
      <c r="B605" s="2">
        <f ca="1"/>
        <v>0.52215843685012242</v>
      </c>
      <c r="O605" s="2">
        <f ca="1"/>
        <v>-0.7929975320971876</v>
      </c>
      <c r="X605" s="2">
        <f ca="1"/>
        <v>46.574883532679991</v>
      </c>
      <c r="AG605" s="2">
        <f ca="1"/>
        <v>0.18375449542704758</v>
      </c>
      <c r="AH605" s="2" t="str">
        <f ca="1"/>
        <v>OK</v>
      </c>
    </row>
    <row r="606" spans="2:34" x14ac:dyDescent="0.2">
      <c r="B606" s="2">
        <f ca="1"/>
        <v>0.2984155611008934</v>
      </c>
      <c r="O606" s="2">
        <f ca="1"/>
        <v>-1.5063382854585348</v>
      </c>
      <c r="X606" s="2">
        <f ca="1"/>
        <v>44.545169720147697</v>
      </c>
      <c r="AG606" s="2">
        <f ca="1"/>
        <v>0.21844293795248304</v>
      </c>
      <c r="AH606" s="2" t="str">
        <f ca="1"/>
        <v>OK</v>
      </c>
    </row>
    <row r="607" spans="2:34" x14ac:dyDescent="0.2">
      <c r="B607" s="2">
        <f ca="1"/>
        <v>1.0168546773472897E-2</v>
      </c>
      <c r="O607" s="2">
        <f ca="1"/>
        <v>-1.8258615925175361</v>
      </c>
      <c r="X607" s="2">
        <f ca="1"/>
        <v>48.393877164086049</v>
      </c>
      <c r="AG607" s="2">
        <f ca="1"/>
        <v>0.98420366772312895</v>
      </c>
      <c r="AH607" s="2" t="str">
        <f ca="1"/>
        <v>Bad</v>
      </c>
    </row>
    <row r="608" spans="2:34" x14ac:dyDescent="0.2">
      <c r="B608" s="2">
        <f ca="1"/>
        <v>0.74764256924409844</v>
      </c>
      <c r="O608" s="2">
        <f ca="1"/>
        <v>0.4580739851333443</v>
      </c>
      <c r="X608" s="2">
        <f ca="1"/>
        <v>47.318541863204004</v>
      </c>
      <c r="AG608" s="2">
        <f ca="1"/>
        <v>0.10191864156062258</v>
      </c>
      <c r="AH608" s="2" t="str">
        <f ca="1"/>
        <v>OK</v>
      </c>
    </row>
    <row r="609" spans="2:34" x14ac:dyDescent="0.2">
      <c r="B609" s="2">
        <f ca="1"/>
        <v>8.0504067827902537E-2</v>
      </c>
      <c r="O609" s="2">
        <f ca="1"/>
        <v>-1.8021605685024516E-2</v>
      </c>
      <c r="X609" s="2">
        <f ca="1"/>
        <v>22.918149398454666</v>
      </c>
      <c r="AG609" s="2">
        <f ca="1"/>
        <v>0.86319256378824938</v>
      </c>
      <c r="AH609" s="2" t="str">
        <f ca="1"/>
        <v>Bad</v>
      </c>
    </row>
    <row r="610" spans="2:34" x14ac:dyDescent="0.2">
      <c r="B610" s="2">
        <f ca="1"/>
        <v>0.433623656553348</v>
      </c>
      <c r="O610" s="2">
        <f ca="1"/>
        <v>1.8291488278400483</v>
      </c>
      <c r="X610" s="2">
        <f ca="1"/>
        <v>42.34133759130755</v>
      </c>
      <c r="AG610" s="2">
        <f ca="1"/>
        <v>0.79957941897741103</v>
      </c>
      <c r="AH610" s="2" t="str">
        <f ca="1"/>
        <v>Bad</v>
      </c>
    </row>
    <row r="611" spans="2:34" x14ac:dyDescent="0.2">
      <c r="B611" s="2">
        <f ca="1"/>
        <v>0.95901018059749332</v>
      </c>
      <c r="O611" s="2">
        <f ca="1"/>
        <v>-0.35360936153102518</v>
      </c>
      <c r="X611" s="2">
        <f ca="1"/>
        <v>51.499329392939941</v>
      </c>
      <c r="AG611" s="2">
        <f ca="1"/>
        <v>0.3372084488105298</v>
      </c>
      <c r="AH611" s="2" t="str">
        <f ca="1"/>
        <v>OK</v>
      </c>
    </row>
    <row r="612" spans="2:34" x14ac:dyDescent="0.2">
      <c r="B612" s="2">
        <f ca="1"/>
        <v>0.21320659575159207</v>
      </c>
      <c r="O612" s="2">
        <f ca="1"/>
        <v>-1.2219016259073809</v>
      </c>
      <c r="X612" s="2">
        <f ca="1"/>
        <v>42.371316753834378</v>
      </c>
      <c r="AG612" s="2">
        <f ca="1"/>
        <v>0.75985979859963604</v>
      </c>
      <c r="AH612" s="2" t="str">
        <f ca="1"/>
        <v>Bad</v>
      </c>
    </row>
    <row r="613" spans="2:34" x14ac:dyDescent="0.2">
      <c r="B613" s="2">
        <f ca="1"/>
        <v>0.29932956378296138</v>
      </c>
      <c r="O613" s="2">
        <f ca="1"/>
        <v>-0.24540441354764361</v>
      </c>
      <c r="X613" s="2">
        <f ca="1"/>
        <v>44.154680494076558</v>
      </c>
      <c r="AG613" s="2">
        <f ca="1"/>
        <v>0.19651453560735299</v>
      </c>
      <c r="AH613" s="2" t="str">
        <f ca="1"/>
        <v>OK</v>
      </c>
    </row>
    <row r="614" spans="2:34" x14ac:dyDescent="0.2">
      <c r="B614" s="2">
        <f ca="1"/>
        <v>0.99252182313866921</v>
      </c>
      <c r="O614" s="2">
        <f ca="1"/>
        <v>-0.39424097331694785</v>
      </c>
      <c r="X614" s="2">
        <f ca="1"/>
        <v>52.083964955157711</v>
      </c>
      <c r="AG614" s="2">
        <f ca="1"/>
        <v>0.4577944040033417</v>
      </c>
      <c r="AH614" s="2" t="str">
        <f ca="1"/>
        <v>Bad</v>
      </c>
    </row>
    <row r="615" spans="2:34" x14ac:dyDescent="0.2">
      <c r="B615" s="2">
        <f ca="1"/>
        <v>0.25474408902083256</v>
      </c>
      <c r="O615" s="2">
        <f ca="1"/>
        <v>-2.2495679322423166E-2</v>
      </c>
      <c r="X615" s="2">
        <f ca="1"/>
        <v>44.996798879825086</v>
      </c>
      <c r="AG615" s="2">
        <f ca="1"/>
        <v>0.66049889328557843</v>
      </c>
      <c r="AH615" s="2" t="str">
        <f ca="1"/>
        <v>Bad</v>
      </c>
    </row>
    <row r="616" spans="2:34" x14ac:dyDescent="0.2">
      <c r="B616" s="2">
        <f ca="1"/>
        <v>2.0311651035061162E-2</v>
      </c>
      <c r="O616" s="2">
        <f ca="1"/>
        <v>-0.23895121740836214</v>
      </c>
      <c r="X616" s="2">
        <f ca="1"/>
        <v>62.753023648189668</v>
      </c>
      <c r="AG616" s="2">
        <f ca="1"/>
        <v>0.53518612746339334</v>
      </c>
      <c r="AH616" s="2" t="str">
        <f ca="1"/>
        <v>Bad</v>
      </c>
    </row>
    <row r="617" spans="2:34" x14ac:dyDescent="0.2">
      <c r="B617" s="2">
        <f ca="1"/>
        <v>0.37311523389891366</v>
      </c>
      <c r="O617" s="2">
        <f ca="1"/>
        <v>-1.2479844759207852</v>
      </c>
      <c r="X617" s="2">
        <f ca="1"/>
        <v>61.195417286941449</v>
      </c>
      <c r="AG617" s="2">
        <f ca="1"/>
        <v>0.21599739244240457</v>
      </c>
      <c r="AH617" s="2" t="str">
        <f ca="1"/>
        <v>OK</v>
      </c>
    </row>
    <row r="618" spans="2:34" x14ac:dyDescent="0.2">
      <c r="B618" s="2">
        <f ca="1"/>
        <v>0.15643793183927901</v>
      </c>
      <c r="O618" s="2">
        <f ca="1"/>
        <v>0.22744330438323623</v>
      </c>
      <c r="X618" s="2">
        <f ca="1"/>
        <v>91.671959853722313</v>
      </c>
      <c r="AG618" s="2">
        <f ca="1"/>
        <v>7.2615393901021008E-4</v>
      </c>
      <c r="AH618" s="2" t="str">
        <f ca="1"/>
        <v>Good</v>
      </c>
    </row>
    <row r="619" spans="2:34" x14ac:dyDescent="0.2">
      <c r="B619" s="2">
        <f ca="1"/>
        <v>0.22309510758707618</v>
      </c>
      <c r="O619" s="2">
        <f ca="1"/>
        <v>-0.23226322001303779</v>
      </c>
      <c r="X619" s="2">
        <f ca="1"/>
        <v>36.747784816116095</v>
      </c>
      <c r="AG619" s="2">
        <f ca="1"/>
        <v>0.79692665461365175</v>
      </c>
      <c r="AH619" s="2" t="str">
        <f ca="1"/>
        <v>Bad</v>
      </c>
    </row>
    <row r="620" spans="2:34" x14ac:dyDescent="0.2">
      <c r="B620" s="2">
        <f ca="1"/>
        <v>0.63862560676299385</v>
      </c>
      <c r="O620" s="2">
        <f ca="1"/>
        <v>-0.37666569415811002</v>
      </c>
      <c r="X620" s="2">
        <f ca="1"/>
        <v>53.990730845455218</v>
      </c>
      <c r="AG620" s="2">
        <f ca="1"/>
        <v>0.30717694863972866</v>
      </c>
      <c r="AH620" s="2" t="str">
        <f ca="1"/>
        <v>OK</v>
      </c>
    </row>
    <row r="621" spans="2:34" x14ac:dyDescent="0.2">
      <c r="B621" s="2">
        <f ca="1"/>
        <v>0.57173646465046479</v>
      </c>
      <c r="O621" s="2">
        <f ca="1"/>
        <v>-1.4650570762328936</v>
      </c>
      <c r="X621" s="2">
        <f ca="1"/>
        <v>54.245051142118477</v>
      </c>
      <c r="AG621" s="2">
        <f ca="1"/>
        <v>0.60772363161920828</v>
      </c>
      <c r="AH621" s="2" t="str">
        <f ca="1"/>
        <v>Bad</v>
      </c>
    </row>
    <row r="622" spans="2:34" x14ac:dyDescent="0.2">
      <c r="B622" s="2">
        <f ca="1"/>
        <v>0.66082924149048949</v>
      </c>
      <c r="O622" s="2">
        <f ca="1"/>
        <v>-0.750224198164259</v>
      </c>
      <c r="X622" s="2">
        <f ca="1"/>
        <v>46.004755620767533</v>
      </c>
      <c r="AG622" s="2">
        <f ca="1"/>
        <v>0.48085035425467448</v>
      </c>
      <c r="AH622" s="2" t="str">
        <f ca="1"/>
        <v>Bad</v>
      </c>
    </row>
    <row r="623" spans="2:34" x14ac:dyDescent="0.2">
      <c r="B623" s="2">
        <f ca="1"/>
        <v>0.7909305351709135</v>
      </c>
      <c r="O623" s="2">
        <f ca="1"/>
        <v>-1.0648016928684341</v>
      </c>
      <c r="X623" s="2">
        <f ca="1"/>
        <v>33.975976702209088</v>
      </c>
      <c r="AG623" s="2">
        <f ca="1"/>
        <v>0.9186336881274253</v>
      </c>
      <c r="AH623" s="2" t="str">
        <f ca="1"/>
        <v>Bad</v>
      </c>
    </row>
    <row r="624" spans="2:34" x14ac:dyDescent="0.2">
      <c r="B624" s="2">
        <f ca="1"/>
        <v>0.91190445039343881</v>
      </c>
      <c r="O624" s="2">
        <f ca="1"/>
        <v>0.41216668593866201</v>
      </c>
      <c r="X624" s="2">
        <f ca="1"/>
        <v>27.51137898235001</v>
      </c>
      <c r="AG624" s="2">
        <f ca="1"/>
        <v>0.94156208843835709</v>
      </c>
      <c r="AH624" s="2" t="str">
        <f ca="1"/>
        <v>Bad</v>
      </c>
    </row>
    <row r="625" spans="2:34" x14ac:dyDescent="0.2">
      <c r="B625" s="2">
        <f ca="1"/>
        <v>0.90069383421812654</v>
      </c>
      <c r="O625" s="2">
        <f ca="1"/>
        <v>0.28240549643950658</v>
      </c>
      <c r="X625" s="2">
        <f ca="1"/>
        <v>41.694281908957961</v>
      </c>
      <c r="AG625" s="2">
        <f ca="1"/>
        <v>0.11216763420780951</v>
      </c>
      <c r="AH625" s="2" t="str">
        <f ca="1"/>
        <v>OK</v>
      </c>
    </row>
    <row r="626" spans="2:34" x14ac:dyDescent="0.2">
      <c r="B626" s="2">
        <f ca="1"/>
        <v>0.56642261865965371</v>
      </c>
      <c r="O626" s="2">
        <f ca="1"/>
        <v>1.7404387694945049</v>
      </c>
      <c r="X626" s="2">
        <f ca="1"/>
        <v>31.7864425890372</v>
      </c>
      <c r="AG626" s="2">
        <f ca="1"/>
        <v>0.95086514356312168</v>
      </c>
      <c r="AH626" s="2" t="str">
        <f ca="1"/>
        <v>Bad</v>
      </c>
    </row>
    <row r="627" spans="2:34" x14ac:dyDescent="0.2">
      <c r="B627" s="2">
        <f ca="1"/>
        <v>0.8196908864832626</v>
      </c>
      <c r="O627" s="2">
        <f ca="1"/>
        <v>-0.40822985613335483</v>
      </c>
      <c r="X627" s="2">
        <f ca="1"/>
        <v>37.286073435618448</v>
      </c>
      <c r="AG627" s="2">
        <f ca="1"/>
        <v>0.24324716951980063</v>
      </c>
      <c r="AH627" s="2" t="str">
        <f ca="1"/>
        <v>OK</v>
      </c>
    </row>
    <row r="628" spans="2:34" x14ac:dyDescent="0.2">
      <c r="B628" s="2">
        <f ca="1"/>
        <v>0.85694524507991376</v>
      </c>
      <c r="O628" s="2">
        <f ca="1"/>
        <v>0.41076120879496275</v>
      </c>
      <c r="X628" s="2">
        <f ca="1"/>
        <v>71.780749026219837</v>
      </c>
      <c r="AG628" s="2">
        <f ca="1"/>
        <v>7.8364566239442768E-2</v>
      </c>
      <c r="AH628" s="2" t="str">
        <f ca="1"/>
        <v>OK</v>
      </c>
    </row>
    <row r="629" spans="2:34" x14ac:dyDescent="0.2">
      <c r="B629" s="2">
        <f ca="1"/>
        <v>0.50012001154414687</v>
      </c>
      <c r="O629" s="2">
        <f ca="1"/>
        <v>-1.4115156531782438</v>
      </c>
      <c r="X629" s="2">
        <f ca="1"/>
        <v>65.332407624245349</v>
      </c>
      <c r="AG629" s="2">
        <f ca="1"/>
        <v>0.89766452368830518</v>
      </c>
      <c r="AH629" s="2" t="str">
        <f ca="1"/>
        <v>Bad</v>
      </c>
    </row>
    <row r="630" spans="2:34" x14ac:dyDescent="0.2">
      <c r="B630" s="2">
        <f ca="1"/>
        <v>0.73442804317907751</v>
      </c>
      <c r="O630" s="2">
        <f ca="1"/>
        <v>0.64569374475379526</v>
      </c>
      <c r="X630" s="2">
        <f ca="1"/>
        <v>58.890587274772528</v>
      </c>
      <c r="AG630" s="2">
        <f ca="1"/>
        <v>0.8159355376686368</v>
      </c>
      <c r="AH630" s="2" t="str">
        <f ca="1"/>
        <v>Bad</v>
      </c>
    </row>
    <row r="631" spans="2:34" x14ac:dyDescent="0.2">
      <c r="B631" s="2">
        <f ca="1"/>
        <v>2.3118901185449348E-2</v>
      </c>
      <c r="O631" s="2">
        <f ca="1"/>
        <v>0.82827436141881683</v>
      </c>
      <c r="X631" s="2">
        <f ca="1"/>
        <v>84.603656669440554</v>
      </c>
      <c r="AG631" s="2">
        <f ca="1"/>
        <v>0.18595421421120495</v>
      </c>
      <c r="AH631" s="2" t="str">
        <f ca="1"/>
        <v>OK</v>
      </c>
    </row>
    <row r="632" spans="2:34" x14ac:dyDescent="0.2">
      <c r="B632" s="2">
        <f ca="1"/>
        <v>0.19638046754576566</v>
      </c>
      <c r="O632" s="2">
        <f ca="1"/>
        <v>-0.22121217243631769</v>
      </c>
      <c r="X632" s="2">
        <f ca="1"/>
        <v>70.636822309500602</v>
      </c>
      <c r="AG632" s="2">
        <f ca="1"/>
        <v>0.48029785684351856</v>
      </c>
      <c r="AH632" s="2" t="str">
        <f ca="1"/>
        <v>Bad</v>
      </c>
    </row>
    <row r="633" spans="2:34" x14ac:dyDescent="0.2">
      <c r="B633" s="2">
        <f ca="1"/>
        <v>0.35588853212047034</v>
      </c>
      <c r="O633" s="2">
        <f ca="1"/>
        <v>-0.1436075553261392</v>
      </c>
      <c r="X633" s="2">
        <f ca="1"/>
        <v>45.17701341267859</v>
      </c>
      <c r="AG633" s="2">
        <f ca="1"/>
        <v>0.22298487478392048</v>
      </c>
      <c r="AH633" s="2" t="str">
        <f ca="1"/>
        <v>OK</v>
      </c>
    </row>
    <row r="634" spans="2:34" x14ac:dyDescent="0.2">
      <c r="B634" s="2">
        <f ca="1"/>
        <v>0.21179511800822759</v>
      </c>
      <c r="O634" s="2">
        <f ca="1"/>
        <v>0.5499281999835437</v>
      </c>
      <c r="X634" s="2">
        <f ca="1"/>
        <v>36.481039380083843</v>
      </c>
      <c r="AG634" s="2">
        <f ca="1"/>
        <v>0.94511413260509758</v>
      </c>
      <c r="AH634" s="2" t="str">
        <f ca="1"/>
        <v>Bad</v>
      </c>
    </row>
    <row r="635" spans="2:34" x14ac:dyDescent="0.2">
      <c r="B635" s="2">
        <f ca="1"/>
        <v>0.99716248115057349</v>
      </c>
      <c r="O635" s="2">
        <f ca="1"/>
        <v>-0.78778480842051923</v>
      </c>
      <c r="X635" s="2">
        <f ca="1"/>
        <v>78.691911394439913</v>
      </c>
      <c r="AG635" s="2">
        <f ca="1"/>
        <v>0.43911879087484773</v>
      </c>
      <c r="AH635" s="2" t="str">
        <f ca="1"/>
        <v>Bad</v>
      </c>
    </row>
    <row r="636" spans="2:34" x14ac:dyDescent="0.2">
      <c r="B636" s="2">
        <f ca="1"/>
        <v>0.56887684075595502</v>
      </c>
      <c r="O636" s="2">
        <f ca="1"/>
        <v>-1.1391651753685108</v>
      </c>
      <c r="X636" s="2">
        <f ca="1"/>
        <v>34.414940852946579</v>
      </c>
      <c r="AG636" s="2">
        <f ca="1"/>
        <v>0.12035181835886122</v>
      </c>
      <c r="AH636" s="2" t="str">
        <f ca="1"/>
        <v>OK</v>
      </c>
    </row>
    <row r="637" spans="2:34" x14ac:dyDescent="0.2">
      <c r="B637" s="2">
        <f ca="1"/>
        <v>0.22952804178580477</v>
      </c>
      <c r="O637" s="2">
        <f ca="1"/>
        <v>0.91018560028234463</v>
      </c>
      <c r="X637" s="2">
        <f ca="1"/>
        <v>55.914409666478875</v>
      </c>
      <c r="AG637" s="2">
        <f ca="1"/>
        <v>0.45911122954905181</v>
      </c>
      <c r="AH637" s="2" t="str">
        <f ca="1"/>
        <v>Bad</v>
      </c>
    </row>
    <row r="638" spans="2:34" x14ac:dyDescent="0.2">
      <c r="B638" s="2">
        <f ca="1"/>
        <v>0.94463995130342338</v>
      </c>
      <c r="O638" s="2">
        <f ca="1"/>
        <v>-1.4033749385873342</v>
      </c>
      <c r="X638" s="2">
        <f ca="1"/>
        <v>54.083922798283155</v>
      </c>
      <c r="AG638" s="2">
        <f ca="1"/>
        <v>0.2862484458665262</v>
      </c>
      <c r="AH638" s="2" t="str">
        <f ca="1"/>
        <v>OK</v>
      </c>
    </row>
    <row r="639" spans="2:34" x14ac:dyDescent="0.2">
      <c r="B639" s="2">
        <f ca="1"/>
        <v>0.66652638074500614</v>
      </c>
      <c r="O639" s="2">
        <f ca="1"/>
        <v>-0.26651635416694847</v>
      </c>
      <c r="X639" s="2">
        <f ca="1"/>
        <v>50.298768326586092</v>
      </c>
      <c r="AG639" s="2">
        <f ca="1"/>
        <v>0.49559989296410789</v>
      </c>
      <c r="AH639" s="2" t="str">
        <f ca="1"/>
        <v>Bad</v>
      </c>
    </row>
    <row r="640" spans="2:34" x14ac:dyDescent="0.2">
      <c r="B640" s="2">
        <f ca="1"/>
        <v>0.71536762201588866</v>
      </c>
      <c r="O640" s="2">
        <f ca="1"/>
        <v>1.6415709211792067</v>
      </c>
      <c r="X640" s="2">
        <f ca="1"/>
        <v>52.806946334070247</v>
      </c>
      <c r="AG640" s="2">
        <f ca="1"/>
        <v>0.37163945440699075</v>
      </c>
      <c r="AH640" s="2" t="str">
        <f ca="1"/>
        <v>OK</v>
      </c>
    </row>
    <row r="641" spans="2:34" x14ac:dyDescent="0.2">
      <c r="B641" s="2">
        <f ca="1"/>
        <v>0.42654563106764698</v>
      </c>
      <c r="O641" s="2">
        <f ca="1"/>
        <v>-0.72235834738437776</v>
      </c>
      <c r="X641" s="2">
        <f ca="1"/>
        <v>57.815234549196461</v>
      </c>
      <c r="AG641" s="2">
        <f ca="1"/>
        <v>0.72409193960213458</v>
      </c>
      <c r="AH641" s="2" t="str">
        <f ca="1"/>
        <v>Bad</v>
      </c>
    </row>
    <row r="642" spans="2:34" x14ac:dyDescent="0.2">
      <c r="B642" s="2">
        <f ca="1"/>
        <v>0.66061073052909114</v>
      </c>
      <c r="O642" s="2">
        <f ca="1"/>
        <v>-0.30826692228432151</v>
      </c>
      <c r="X642" s="2">
        <f ca="1"/>
        <v>79.567164988958424</v>
      </c>
      <c r="AG642" s="2">
        <f ca="1"/>
        <v>0.38017079947262133</v>
      </c>
      <c r="AH642" s="2" t="str">
        <f ca="1"/>
        <v>OK</v>
      </c>
    </row>
    <row r="643" spans="2:34" x14ac:dyDescent="0.2">
      <c r="B643" s="2">
        <f ca="1"/>
        <v>0.54158733864570974</v>
      </c>
      <c r="O643" s="2">
        <f ca="1"/>
        <v>0.51096507551382331</v>
      </c>
      <c r="X643" s="2">
        <f ca="1"/>
        <v>26.911720150462671</v>
      </c>
      <c r="AG643" s="2">
        <f ca="1"/>
        <v>0.31138793034815504</v>
      </c>
      <c r="AH643" s="2" t="str">
        <f ca="1"/>
        <v>OK</v>
      </c>
    </row>
    <row r="644" spans="2:34" x14ac:dyDescent="0.2">
      <c r="B644" s="2">
        <f ca="1"/>
        <v>0.64303586093907938</v>
      </c>
      <c r="O644" s="2">
        <f ca="1"/>
        <v>-1.6031681531247985</v>
      </c>
      <c r="X644" s="2">
        <f ca="1"/>
        <v>57.21227272346151</v>
      </c>
      <c r="AG644" s="2">
        <f ca="1"/>
        <v>0.81885232672416652</v>
      </c>
      <c r="AH644" s="2" t="str">
        <f ca="1"/>
        <v>Bad</v>
      </c>
    </row>
    <row r="645" spans="2:34" x14ac:dyDescent="0.2">
      <c r="B645" s="2">
        <f ca="1"/>
        <v>6.0857912426375282E-3</v>
      </c>
      <c r="O645" s="2">
        <f ca="1"/>
        <v>1.2429848627190636</v>
      </c>
      <c r="X645" s="2">
        <f ca="1"/>
        <v>71.195399567568799</v>
      </c>
      <c r="AG645" s="2">
        <f ca="1"/>
        <v>0.94969344565755032</v>
      </c>
      <c r="AH645" s="2" t="str">
        <f ca="1"/>
        <v>Bad</v>
      </c>
    </row>
    <row r="646" spans="2:34" x14ac:dyDescent="0.2">
      <c r="B646" s="2">
        <f ca="1"/>
        <v>0.29700960331149018</v>
      </c>
      <c r="O646" s="2">
        <f ca="1"/>
        <v>-7.8953165337597761E-2</v>
      </c>
      <c r="X646" s="2">
        <f ca="1"/>
        <v>73.155410581226519</v>
      </c>
      <c r="AG646" s="2">
        <f ca="1"/>
        <v>0.15533434824083581</v>
      </c>
      <c r="AH646" s="2" t="str">
        <f ca="1"/>
        <v>OK</v>
      </c>
    </row>
    <row r="647" spans="2:34" x14ac:dyDescent="0.2">
      <c r="B647" s="2">
        <f ca="1"/>
        <v>0.16511492612201595</v>
      </c>
      <c r="O647" s="2">
        <f ca="1"/>
        <v>0.71731030936909324</v>
      </c>
      <c r="X647" s="2">
        <f ca="1"/>
        <v>68.44455613276385</v>
      </c>
      <c r="AG647" s="2">
        <f ca="1"/>
        <v>0.4136377410685721</v>
      </c>
      <c r="AH647" s="2" t="str">
        <f ca="1"/>
        <v>Bad</v>
      </c>
    </row>
    <row r="648" spans="2:34" x14ac:dyDescent="0.2">
      <c r="B648" s="2">
        <f ca="1"/>
        <v>0.66702232748310197</v>
      </c>
      <c r="O648" s="2">
        <f ca="1"/>
        <v>-0.72809130002435751</v>
      </c>
      <c r="X648" s="2">
        <f ca="1"/>
        <v>48.913234750198143</v>
      </c>
      <c r="AG648" s="2">
        <f ca="1"/>
        <v>0.91380742083009392</v>
      </c>
      <c r="AH648" s="2" t="str">
        <f ca="1"/>
        <v>Bad</v>
      </c>
    </row>
    <row r="649" spans="2:34" x14ac:dyDescent="0.2">
      <c r="B649" s="2">
        <f ca="1"/>
        <v>0.32448305632931951</v>
      </c>
      <c r="O649" s="2">
        <f ca="1"/>
        <v>-1.5236771338390807</v>
      </c>
      <c r="X649" s="2">
        <f ca="1"/>
        <v>37.597417858924501</v>
      </c>
      <c r="AG649" s="2">
        <f ca="1"/>
        <v>0.78149446549621793</v>
      </c>
      <c r="AH649" s="2" t="str">
        <f ca="1"/>
        <v>Bad</v>
      </c>
    </row>
    <row r="650" spans="2:34" x14ac:dyDescent="0.2">
      <c r="B650" s="2">
        <f ca="1"/>
        <v>0.76573374442986863</v>
      </c>
      <c r="O650" s="2">
        <f ca="1"/>
        <v>-0.27536431836970937</v>
      </c>
      <c r="X650" s="2">
        <f ca="1"/>
        <v>55.244530691469116</v>
      </c>
      <c r="AG650" s="2">
        <f ca="1"/>
        <v>0.99074143434260398</v>
      </c>
      <c r="AH650" s="2" t="str">
        <f ca="1"/>
        <v>Bad</v>
      </c>
    </row>
    <row r="651" spans="2:34" x14ac:dyDescent="0.2">
      <c r="B651" s="2">
        <f ca="1"/>
        <v>0.62025242664972335</v>
      </c>
      <c r="O651" s="2">
        <f ca="1"/>
        <v>-0.26672869409240157</v>
      </c>
      <c r="X651" s="2">
        <f ca="1"/>
        <v>31.078626130371269</v>
      </c>
      <c r="AG651" s="2">
        <f ca="1"/>
        <v>0.83137885962751445</v>
      </c>
      <c r="AH651" s="2" t="str">
        <f ca="1"/>
        <v>Bad</v>
      </c>
    </row>
    <row r="652" spans="2:34" x14ac:dyDescent="0.2">
      <c r="B652" s="2">
        <f ca="1"/>
        <v>0.72109267991287695</v>
      </c>
      <c r="O652" s="2">
        <f ca="1"/>
        <v>0.50337351830436905</v>
      </c>
      <c r="X652" s="2">
        <f ca="1"/>
        <v>39.279295330959798</v>
      </c>
      <c r="AG652" s="2">
        <f ca="1"/>
        <v>0.64206129786995958</v>
      </c>
      <c r="AH652" s="2" t="str">
        <f ca="1"/>
        <v>Bad</v>
      </c>
    </row>
    <row r="653" spans="2:34" x14ac:dyDescent="0.2">
      <c r="B653" s="2">
        <f ca="1"/>
        <v>0.44450461428149501</v>
      </c>
      <c r="O653" s="2">
        <f ca="1"/>
        <v>0.55107112432138883</v>
      </c>
      <c r="X653" s="2">
        <f ca="1"/>
        <v>26.337099109496794</v>
      </c>
      <c r="AG653" s="2">
        <f ca="1"/>
        <v>0.2741467145401606</v>
      </c>
      <c r="AH653" s="2" t="str">
        <f ca="1"/>
        <v>OK</v>
      </c>
    </row>
    <row r="654" spans="2:34" x14ac:dyDescent="0.2">
      <c r="B654" s="2">
        <f ca="1"/>
        <v>0.64739356962755679</v>
      </c>
      <c r="O654" s="2">
        <f ca="1"/>
        <v>-1.0836451594332679</v>
      </c>
      <c r="X654" s="2">
        <f ca="1"/>
        <v>15.01087441667565</v>
      </c>
      <c r="AG654" s="2">
        <f ca="1"/>
        <v>0.43199701881313879</v>
      </c>
      <c r="AH654" s="2" t="str">
        <f ca="1"/>
        <v>Bad</v>
      </c>
    </row>
    <row r="655" spans="2:34" x14ac:dyDescent="0.2">
      <c r="B655" s="2">
        <f ca="1"/>
        <v>0.90097317420487988</v>
      </c>
      <c r="O655" s="2">
        <f ca="1"/>
        <v>0.96534678494078008</v>
      </c>
      <c r="X655" s="2">
        <f ca="1"/>
        <v>41.253840064141102</v>
      </c>
      <c r="AG655" s="2">
        <f ca="1"/>
        <v>0.93345806475558835</v>
      </c>
      <c r="AH655" s="2" t="str">
        <f ca="1"/>
        <v>Bad</v>
      </c>
    </row>
    <row r="656" spans="2:34" x14ac:dyDescent="0.2">
      <c r="B656" s="2">
        <f ca="1"/>
        <v>0.87886562986577643</v>
      </c>
      <c r="O656" s="2">
        <f ca="1"/>
        <v>-0.27029818289319696</v>
      </c>
      <c r="X656" s="2">
        <f ca="1"/>
        <v>65.632301769033091</v>
      </c>
      <c r="AG656" s="2">
        <f ca="1"/>
        <v>0.78676079386988906</v>
      </c>
      <c r="AH656" s="2" t="str">
        <f ca="1"/>
        <v>Bad</v>
      </c>
    </row>
    <row r="657" spans="2:34" x14ac:dyDescent="0.2">
      <c r="B657" s="2">
        <f ca="1"/>
        <v>0.67443338716664814</v>
      </c>
      <c r="O657" s="2">
        <f ca="1"/>
        <v>0.17957258284972091</v>
      </c>
      <c r="X657" s="2">
        <f ca="1"/>
        <v>60.63861856392262</v>
      </c>
      <c r="AG657" s="2">
        <f ca="1"/>
        <v>0.10550207658548283</v>
      </c>
      <c r="AH657" s="2" t="str">
        <f ca="1"/>
        <v>OK</v>
      </c>
    </row>
    <row r="658" spans="2:34" x14ac:dyDescent="0.2">
      <c r="B658" s="2">
        <f ca="1"/>
        <v>0.18342588230722123</v>
      </c>
      <c r="O658" s="2">
        <f ca="1"/>
        <v>-1.3220314214979878</v>
      </c>
      <c r="X658" s="2">
        <f ca="1"/>
        <v>58.510269170621797</v>
      </c>
      <c r="AG658" s="2">
        <f ca="1"/>
        <v>0.78937250245368862</v>
      </c>
      <c r="AH658" s="2" t="str">
        <f ca="1"/>
        <v>Bad</v>
      </c>
    </row>
    <row r="659" spans="2:34" x14ac:dyDescent="0.2">
      <c r="B659" s="2">
        <f ca="1"/>
        <v>0.347288465105277</v>
      </c>
      <c r="O659" s="2">
        <f ca="1"/>
        <v>-2.2484956419679358</v>
      </c>
      <c r="X659" s="2">
        <f ca="1"/>
        <v>60.727802941389783</v>
      </c>
      <c r="AG659" s="2">
        <f ca="1"/>
        <v>0.59127183740433287</v>
      </c>
      <c r="AH659" s="2" t="str">
        <f ca="1"/>
        <v>Bad</v>
      </c>
    </row>
    <row r="660" spans="2:34" x14ac:dyDescent="0.2">
      <c r="B660" s="2">
        <f ca="1"/>
        <v>0.85029571862737496</v>
      </c>
      <c r="O660" s="2">
        <f ca="1"/>
        <v>-0.84616620400239284</v>
      </c>
      <c r="X660" s="2">
        <f ca="1"/>
        <v>33.086423086487024</v>
      </c>
      <c r="AG660" s="2">
        <f ca="1"/>
        <v>0.13407847926684213</v>
      </c>
      <c r="AH660" s="2" t="str">
        <f ca="1"/>
        <v>OK</v>
      </c>
    </row>
    <row r="661" spans="2:34" x14ac:dyDescent="0.2">
      <c r="B661" s="2">
        <f ca="1"/>
        <v>4.5346167878905774E-3</v>
      </c>
      <c r="O661" s="2">
        <f ca="1"/>
        <v>0.32306729477593416</v>
      </c>
      <c r="X661" s="2">
        <f ca="1"/>
        <v>50.277643382968279</v>
      </c>
      <c r="AG661" s="2">
        <f ca="1"/>
        <v>0.5609388016857606</v>
      </c>
      <c r="AH661" s="2" t="str">
        <f ca="1"/>
        <v>Bad</v>
      </c>
    </row>
    <row r="662" spans="2:34" x14ac:dyDescent="0.2">
      <c r="B662" s="2">
        <f ca="1"/>
        <v>0.39271178773787563</v>
      </c>
      <c r="O662" s="2">
        <f ca="1"/>
        <v>-1.3432888461500454</v>
      </c>
      <c r="X662" s="2">
        <f ca="1"/>
        <v>59.591366356083199</v>
      </c>
      <c r="AG662" s="2">
        <f ca="1"/>
        <v>0.83550234701317749</v>
      </c>
      <c r="AH662" s="2" t="str">
        <f ca="1"/>
        <v>Bad</v>
      </c>
    </row>
    <row r="663" spans="2:34" x14ac:dyDescent="0.2">
      <c r="B663" s="2">
        <f ca="1"/>
        <v>2.2360120140769713E-2</v>
      </c>
      <c r="O663" s="2">
        <f ca="1"/>
        <v>0.78242696330492623</v>
      </c>
      <c r="X663" s="2">
        <f ca="1"/>
        <v>39.693035394000319</v>
      </c>
      <c r="AG663" s="2">
        <f ca="1"/>
        <v>8.7358189609653358E-2</v>
      </c>
      <c r="AH663" s="2" t="str">
        <f ca="1"/>
        <v>OK</v>
      </c>
    </row>
    <row r="664" spans="2:34" x14ac:dyDescent="0.2">
      <c r="B664" s="2">
        <f ca="1"/>
        <v>9.5700806347973399E-2</v>
      </c>
      <c r="O664" s="2">
        <f ca="1"/>
        <v>-0.92716137049015201</v>
      </c>
      <c r="X664" s="2">
        <f ca="1"/>
        <v>66.042000704070901</v>
      </c>
      <c r="AG664" s="2">
        <f ca="1"/>
        <v>0.27352274440222168</v>
      </c>
      <c r="AH664" s="2" t="str">
        <f ca="1"/>
        <v>OK</v>
      </c>
    </row>
    <row r="665" spans="2:34" x14ac:dyDescent="0.2">
      <c r="B665" s="2">
        <f ca="1"/>
        <v>0.4313705338660434</v>
      </c>
      <c r="O665" s="2">
        <f ca="1"/>
        <v>0.81188136272448885</v>
      </c>
      <c r="X665" s="2">
        <f ca="1"/>
        <v>46.281080843424256</v>
      </c>
      <c r="AG665" s="2">
        <f ca="1"/>
        <v>0.44200533968129618</v>
      </c>
      <c r="AH665" s="2" t="str">
        <f ca="1"/>
        <v>Bad</v>
      </c>
    </row>
    <row r="666" spans="2:34" x14ac:dyDescent="0.2">
      <c r="B666" s="2">
        <f ca="1"/>
        <v>3.5574356558695897E-2</v>
      </c>
      <c r="O666" s="2">
        <f ca="1"/>
        <v>0.79757880883429533</v>
      </c>
      <c r="X666" s="2">
        <f ca="1"/>
        <v>58.338048234492952</v>
      </c>
      <c r="AG666" s="2">
        <f ca="1"/>
        <v>0.41628833436978674</v>
      </c>
      <c r="AH666" s="2" t="str">
        <f ca="1"/>
        <v>Bad</v>
      </c>
    </row>
    <row r="667" spans="2:34" x14ac:dyDescent="0.2">
      <c r="B667" s="2">
        <f ca="1"/>
        <v>0.7991078959284641</v>
      </c>
      <c r="O667" s="2">
        <f ca="1"/>
        <v>-1.549171719474707</v>
      </c>
      <c r="X667" s="2">
        <f ca="1"/>
        <v>54.205663640200932</v>
      </c>
      <c r="AG667" s="2">
        <f ca="1"/>
        <v>0.93301145615419467</v>
      </c>
      <c r="AH667" s="2" t="str">
        <f ca="1"/>
        <v>Bad</v>
      </c>
    </row>
    <row r="668" spans="2:34" x14ac:dyDescent="0.2">
      <c r="B668" s="2">
        <f ca="1"/>
        <v>0.40360366665075365</v>
      </c>
      <c r="O668" s="2">
        <f ca="1"/>
        <v>-1.4863909569963218</v>
      </c>
      <c r="X668" s="2">
        <f ca="1"/>
        <v>53.769108177570203</v>
      </c>
      <c r="AG668" s="2">
        <f ca="1"/>
        <v>0.20669364067761342</v>
      </c>
      <c r="AH668" s="2" t="str">
        <f ca="1"/>
        <v>OK</v>
      </c>
    </row>
    <row r="669" spans="2:34" x14ac:dyDescent="0.2">
      <c r="B669" s="2">
        <f ca="1"/>
        <v>0.63186488354365533</v>
      </c>
      <c r="O669" s="2">
        <f ca="1"/>
        <v>-8.3617039206392504E-2</v>
      </c>
      <c r="X669" s="2">
        <f ca="1"/>
        <v>37.225483077499902</v>
      </c>
      <c r="AG669" s="2">
        <f ca="1"/>
        <v>0.64184646191466377</v>
      </c>
      <c r="AH669" s="2" t="str">
        <f ca="1"/>
        <v>Bad</v>
      </c>
    </row>
    <row r="670" spans="2:34" x14ac:dyDescent="0.2">
      <c r="B670" s="2">
        <f ca="1"/>
        <v>0.91729555316161893</v>
      </c>
      <c r="O670" s="2">
        <f ca="1"/>
        <v>1.2993128703837113</v>
      </c>
      <c r="X670" s="2">
        <f ca="1"/>
        <v>38.312650240122174</v>
      </c>
      <c r="AG670" s="2">
        <f ca="1"/>
        <v>0.75347641843320678</v>
      </c>
      <c r="AH670" s="2" t="str">
        <f ca="1"/>
        <v>Bad</v>
      </c>
    </row>
    <row r="671" spans="2:34" x14ac:dyDescent="0.2">
      <c r="B671" s="2">
        <f ca="1"/>
        <v>0.78121568241428374</v>
      </c>
      <c r="O671" s="2">
        <f ca="1"/>
        <v>1.4816199628182338</v>
      </c>
      <c r="X671" s="2">
        <f ca="1"/>
        <v>44.364042218912665</v>
      </c>
      <c r="AG671" s="2">
        <f ca="1"/>
        <v>0.93219534162419082</v>
      </c>
      <c r="AH671" s="2" t="str">
        <f ca="1"/>
        <v>Bad</v>
      </c>
    </row>
    <row r="672" spans="2:34" x14ac:dyDescent="0.2">
      <c r="B672" s="2">
        <f ca="1"/>
        <v>0.35405693291098461</v>
      </c>
      <c r="O672" s="2">
        <f ca="1"/>
        <v>1.3849244517344432</v>
      </c>
      <c r="X672" s="2">
        <f ca="1"/>
        <v>33.813595543395657</v>
      </c>
      <c r="AG672" s="2">
        <f ca="1"/>
        <v>0.41319896270293688</v>
      </c>
      <c r="AH672" s="2" t="str">
        <f ca="1"/>
        <v>Bad</v>
      </c>
    </row>
    <row r="673" spans="2:34" x14ac:dyDescent="0.2">
      <c r="B673" s="2">
        <f ca="1"/>
        <v>0.39473108328045625</v>
      </c>
      <c r="O673" s="2">
        <f ca="1"/>
        <v>-1.2036939584390065</v>
      </c>
      <c r="X673" s="2">
        <f ca="1"/>
        <v>47.187736871135861</v>
      </c>
      <c r="AG673" s="2">
        <f ca="1"/>
        <v>0.43492849289344804</v>
      </c>
      <c r="AH673" s="2" t="str">
        <f ca="1"/>
        <v>Bad</v>
      </c>
    </row>
    <row r="674" spans="2:34" x14ac:dyDescent="0.2">
      <c r="B674" s="2">
        <f ca="1"/>
        <v>0.91163460412073416</v>
      </c>
      <c r="O674" s="2">
        <f ca="1"/>
        <v>-8.3780233280936964E-2</v>
      </c>
      <c r="X674" s="2">
        <f ca="1"/>
        <v>49.183995258306339</v>
      </c>
      <c r="AG674" s="2">
        <f ca="1"/>
        <v>0.8026643310003081</v>
      </c>
      <c r="AH674" s="2" t="str">
        <f ca="1"/>
        <v>Bad</v>
      </c>
    </row>
    <row r="675" spans="2:34" x14ac:dyDescent="0.2">
      <c r="B675" s="2">
        <f ca="1"/>
        <v>0.82957684581215929</v>
      </c>
      <c r="O675" s="2">
        <f ca="1"/>
        <v>1.8403471982045181</v>
      </c>
      <c r="X675" s="2">
        <f ca="1"/>
        <v>50.797271477821369</v>
      </c>
      <c r="AG675" s="2">
        <f ca="1"/>
        <v>0.28412121704171978</v>
      </c>
      <c r="AH675" s="2" t="str">
        <f ca="1"/>
        <v>OK</v>
      </c>
    </row>
    <row r="676" spans="2:34" x14ac:dyDescent="0.2">
      <c r="B676" s="2">
        <f ca="1"/>
        <v>0.28693616520832976</v>
      </c>
      <c r="O676" s="2">
        <f ca="1"/>
        <v>-0.28658390608852041</v>
      </c>
      <c r="X676" s="2">
        <f ca="1"/>
        <v>41.523747114881701</v>
      </c>
      <c r="AG676" s="2">
        <f ca="1"/>
        <v>4.858476498256703E-2</v>
      </c>
      <c r="AH676" s="2" t="str">
        <f ca="1"/>
        <v>Good</v>
      </c>
    </row>
    <row r="677" spans="2:34" x14ac:dyDescent="0.2">
      <c r="B677" s="2">
        <f ca="1"/>
        <v>0.17567104775204467</v>
      </c>
      <c r="O677" s="2">
        <f ca="1"/>
        <v>-1.0023205078696695</v>
      </c>
      <c r="X677" s="2">
        <f ca="1"/>
        <v>63.146669432222744</v>
      </c>
      <c r="AG677" s="2">
        <f ca="1"/>
        <v>0.64708884020709379</v>
      </c>
      <c r="AH677" s="2" t="str">
        <f ca="1"/>
        <v>Bad</v>
      </c>
    </row>
    <row r="678" spans="2:34" x14ac:dyDescent="0.2">
      <c r="B678" s="2">
        <f ca="1"/>
        <v>0.88155665707705833</v>
      </c>
      <c r="O678" s="2">
        <f ca="1"/>
        <v>-4.2030676971809261E-2</v>
      </c>
      <c r="X678" s="2">
        <f ca="1"/>
        <v>40.020801217633739</v>
      </c>
      <c r="AG678" s="2">
        <f ca="1"/>
        <v>0.29541641243925709</v>
      </c>
      <c r="AH678" s="2" t="str">
        <f ca="1"/>
        <v>OK</v>
      </c>
    </row>
    <row r="679" spans="2:34" x14ac:dyDescent="0.2">
      <c r="B679" s="2">
        <f ca="1"/>
        <v>0.91106591212035881</v>
      </c>
      <c r="O679" s="2">
        <f ca="1"/>
        <v>-1.325234516780277</v>
      </c>
      <c r="X679" s="2">
        <f ca="1"/>
        <v>64.343877944749664</v>
      </c>
      <c r="AG679" s="2">
        <f ca="1"/>
        <v>0.24658828460578874</v>
      </c>
      <c r="AH679" s="2" t="str">
        <f ca="1"/>
        <v>OK</v>
      </c>
    </row>
    <row r="680" spans="2:34" x14ac:dyDescent="0.2">
      <c r="B680" s="2">
        <f ca="1"/>
        <v>0.30383957598647204</v>
      </c>
      <c r="O680" s="2">
        <f ca="1"/>
        <v>-1.3698887122667953</v>
      </c>
      <c r="X680" s="2">
        <f ca="1"/>
        <v>46.201415570552264</v>
      </c>
      <c r="AG680" s="2">
        <f ca="1"/>
        <v>7.3842530421651453E-2</v>
      </c>
      <c r="AH680" s="2" t="str">
        <f ca="1"/>
        <v>OK</v>
      </c>
    </row>
    <row r="681" spans="2:34" x14ac:dyDescent="0.2">
      <c r="B681" s="2">
        <f ca="1"/>
        <v>0.52913282872991529</v>
      </c>
      <c r="O681" s="2">
        <f ca="1"/>
        <v>-0.79201455820428246</v>
      </c>
      <c r="X681" s="2">
        <f ca="1"/>
        <v>42.770653214015127</v>
      </c>
      <c r="AG681" s="2">
        <f ca="1"/>
        <v>0.20131930890437211</v>
      </c>
      <c r="AH681" s="2" t="str">
        <f ca="1"/>
        <v>OK</v>
      </c>
    </row>
    <row r="682" spans="2:34" x14ac:dyDescent="0.2">
      <c r="B682" s="2">
        <f ca="1"/>
        <v>9.8220974231299163E-2</v>
      </c>
      <c r="O682" s="2">
        <f ca="1"/>
        <v>-0.89130411669200027</v>
      </c>
      <c r="X682" s="2">
        <f ca="1"/>
        <v>32.245917666046239</v>
      </c>
      <c r="AG682" s="2">
        <f ca="1"/>
        <v>0.74227574276883601</v>
      </c>
      <c r="AH682" s="2" t="str">
        <f ca="1"/>
        <v>Bad</v>
      </c>
    </row>
    <row r="683" spans="2:34" x14ac:dyDescent="0.2">
      <c r="B683" s="2">
        <f ca="1"/>
        <v>0.35705686517233493</v>
      </c>
      <c r="O683" s="2">
        <f ca="1"/>
        <v>0.60674467376618635</v>
      </c>
      <c r="X683" s="2">
        <f ca="1"/>
        <v>92.716134210577678</v>
      </c>
      <c r="AG683" s="2">
        <f ca="1"/>
        <v>2.0625578928938015E-2</v>
      </c>
      <c r="AH683" s="2" t="str">
        <f ca="1"/>
        <v>Good</v>
      </c>
    </row>
    <row r="684" spans="2:34" x14ac:dyDescent="0.2">
      <c r="B684" s="2">
        <f ca="1"/>
        <v>0.86944105846470432</v>
      </c>
      <c r="O684" s="2">
        <f ca="1"/>
        <v>0.21661984390263014</v>
      </c>
      <c r="X684" s="2">
        <f ca="1"/>
        <v>57.190756442534294</v>
      </c>
      <c r="AG684" s="2">
        <f ca="1"/>
        <v>0.26149329697574797</v>
      </c>
      <c r="AH684" s="2" t="str">
        <f ca="1"/>
        <v>OK</v>
      </c>
    </row>
    <row r="685" spans="2:34" x14ac:dyDescent="0.2">
      <c r="B685" s="2">
        <f ca="1"/>
        <v>0.51740533115229326</v>
      </c>
      <c r="O685" s="2">
        <f ca="1"/>
        <v>-1.095818300385319</v>
      </c>
      <c r="X685" s="2">
        <f ca="1"/>
        <v>66.615116598280679</v>
      </c>
      <c r="AG685" s="2">
        <f ca="1"/>
        <v>0.20594533844063068</v>
      </c>
      <c r="AH685" s="2" t="str">
        <f ca="1"/>
        <v>OK</v>
      </c>
    </row>
    <row r="686" spans="2:34" x14ac:dyDescent="0.2">
      <c r="B686" s="2">
        <f ca="1"/>
        <v>0.76910346007581754</v>
      </c>
      <c r="O686" s="2">
        <f ca="1"/>
        <v>-1.3724598116092606</v>
      </c>
      <c r="X686" s="2">
        <f ca="1"/>
        <v>53.184927819998805</v>
      </c>
      <c r="AG686" s="2">
        <f ca="1"/>
        <v>0.2010844499885982</v>
      </c>
      <c r="AH686" s="2" t="str">
        <f ca="1"/>
        <v>OK</v>
      </c>
    </row>
    <row r="687" spans="2:34" x14ac:dyDescent="0.2">
      <c r="B687" s="2">
        <f ca="1"/>
        <v>0.84487313190179192</v>
      </c>
      <c r="O687" s="2">
        <f ca="1"/>
        <v>-0.31541901876083001</v>
      </c>
      <c r="X687" s="2">
        <f ca="1"/>
        <v>44.639216405595256</v>
      </c>
      <c r="AG687" s="2">
        <f ca="1"/>
        <v>0.66019275767163066</v>
      </c>
      <c r="AH687" s="2" t="str">
        <f ca="1"/>
        <v>Bad</v>
      </c>
    </row>
    <row r="688" spans="2:34" x14ac:dyDescent="0.2">
      <c r="B688" s="2">
        <f ca="1"/>
        <v>0.28859025246409153</v>
      </c>
      <c r="O688" s="2">
        <f ca="1"/>
        <v>0.41283789322326886</v>
      </c>
      <c r="X688" s="2">
        <f ca="1"/>
        <v>24.387769456524158</v>
      </c>
      <c r="AG688" s="2">
        <f ca="1"/>
        <v>0.31705874904129994</v>
      </c>
      <c r="AH688" s="2" t="str">
        <f ca="1"/>
        <v>OK</v>
      </c>
    </row>
    <row r="689" spans="2:34" x14ac:dyDescent="0.2">
      <c r="B689" s="2">
        <f ca="1"/>
        <v>8.8324979867218101E-2</v>
      </c>
      <c r="O689" s="2">
        <f ca="1"/>
        <v>0.80698198505395491</v>
      </c>
      <c r="X689" s="2">
        <f ca="1"/>
        <v>72.043994718591065</v>
      </c>
      <c r="AG689" s="2">
        <f ca="1"/>
        <v>0.84394151632115544</v>
      </c>
      <c r="AH689" s="2" t="str">
        <f ca="1"/>
        <v>Bad</v>
      </c>
    </row>
    <row r="690" spans="2:34" x14ac:dyDescent="0.2">
      <c r="B690" s="2">
        <f ca="1"/>
        <v>3.4607424470279424E-2</v>
      </c>
      <c r="O690" s="2">
        <f ca="1"/>
        <v>0.17834538639794392</v>
      </c>
      <c r="X690" s="2">
        <f ca="1"/>
        <v>45.609904377640696</v>
      </c>
      <c r="AG690" s="2">
        <f ca="1"/>
        <v>4.9789691517325485E-2</v>
      </c>
      <c r="AH690" s="2" t="str">
        <f ca="1"/>
        <v>Good</v>
      </c>
    </row>
    <row r="691" spans="2:34" x14ac:dyDescent="0.2">
      <c r="B691" s="2">
        <f ca="1"/>
        <v>0.25064234425393295</v>
      </c>
      <c r="O691" s="2">
        <f ca="1"/>
        <v>-0.62036871609946842</v>
      </c>
      <c r="X691" s="2">
        <f ca="1"/>
        <v>46.539713031483217</v>
      </c>
      <c r="AG691" s="2">
        <f ca="1"/>
        <v>0.22738346463635906</v>
      </c>
      <c r="AH691" s="2" t="str">
        <f ca="1"/>
        <v>OK</v>
      </c>
    </row>
    <row r="692" spans="2:34" x14ac:dyDescent="0.2">
      <c r="B692" s="2">
        <f ca="1"/>
        <v>0.12138134948609092</v>
      </c>
      <c r="O692" s="2">
        <f ca="1"/>
        <v>-0.4112214566486937</v>
      </c>
      <c r="X692" s="2">
        <f ca="1"/>
        <v>46.041118403569811</v>
      </c>
      <c r="AG692" s="2">
        <f ca="1"/>
        <v>0.34991245847419261</v>
      </c>
      <c r="AH692" s="2" t="str">
        <f ca="1"/>
        <v>OK</v>
      </c>
    </row>
    <row r="693" spans="2:34" x14ac:dyDescent="0.2">
      <c r="B693" s="2">
        <f ca="1"/>
        <v>0.25025958625251743</v>
      </c>
      <c r="O693" s="2">
        <f ca="1"/>
        <v>0.6205041864350519</v>
      </c>
      <c r="X693" s="2">
        <f ca="1"/>
        <v>38.192401603756359</v>
      </c>
      <c r="AG693" s="2">
        <f ca="1"/>
        <v>0.12905924220060427</v>
      </c>
      <c r="AH693" s="2" t="str">
        <f ca="1"/>
        <v>OK</v>
      </c>
    </row>
    <row r="694" spans="2:34" x14ac:dyDescent="0.2">
      <c r="B694" s="2">
        <f ca="1"/>
        <v>0.19139261409993003</v>
      </c>
      <c r="O694" s="2">
        <f ca="1"/>
        <v>2.0069362318053194</v>
      </c>
      <c r="X694" s="2">
        <f ca="1"/>
        <v>82.219233167910517</v>
      </c>
      <c r="AG694" s="2">
        <f ca="1"/>
        <v>0.74702003281463258</v>
      </c>
      <c r="AH694" s="2" t="str">
        <f ca="1"/>
        <v>Bad</v>
      </c>
    </row>
    <row r="695" spans="2:34" x14ac:dyDescent="0.2">
      <c r="B695" s="2">
        <f ca="1"/>
        <v>0.60213473629243541</v>
      </c>
      <c r="O695" s="2">
        <f ca="1"/>
        <v>3.8531792662244532E-2</v>
      </c>
      <c r="X695" s="2">
        <f ca="1"/>
        <v>36.735364973704435</v>
      </c>
      <c r="AG695" s="2">
        <f ca="1"/>
        <v>0.3903452214474632</v>
      </c>
      <c r="AH695" s="2" t="str">
        <f ca="1"/>
        <v>OK</v>
      </c>
    </row>
    <row r="696" spans="2:34" x14ac:dyDescent="0.2">
      <c r="B696" s="2">
        <f ca="1"/>
        <v>0.69214874086754974</v>
      </c>
      <c r="O696" s="2">
        <f ca="1"/>
        <v>-0.29484924281626551</v>
      </c>
      <c r="X696" s="2">
        <f ca="1"/>
        <v>54.329875218213893</v>
      </c>
      <c r="AG696" s="2">
        <f ca="1"/>
        <v>0.54491690044389851</v>
      </c>
      <c r="AH696" s="2" t="str">
        <f ca="1"/>
        <v>Bad</v>
      </c>
    </row>
    <row r="697" spans="2:34" x14ac:dyDescent="0.2">
      <c r="B697" s="2">
        <f ca="1"/>
        <v>1.5766445962423603E-2</v>
      </c>
      <c r="O697" s="2">
        <f ca="1"/>
        <v>-0.54315683322017549</v>
      </c>
      <c r="X697" s="2">
        <f ca="1"/>
        <v>59.064055014587886</v>
      </c>
      <c r="AG697" s="2">
        <f ca="1"/>
        <v>0.95973643792867347</v>
      </c>
      <c r="AH697" s="2" t="str">
        <f ca="1"/>
        <v>Bad</v>
      </c>
    </row>
    <row r="698" spans="2:34" x14ac:dyDescent="0.2">
      <c r="B698" s="2">
        <f ca="1"/>
        <v>0.56435956400463461</v>
      </c>
      <c r="O698" s="2">
        <f ca="1"/>
        <v>-1.2389243046411049</v>
      </c>
      <c r="X698" s="2">
        <f ca="1"/>
        <v>31.527489769225387</v>
      </c>
      <c r="AG698" s="2">
        <f ca="1"/>
        <v>0.60145261135211059</v>
      </c>
      <c r="AH698" s="2" t="str">
        <f ca="1"/>
        <v>Bad</v>
      </c>
    </row>
    <row r="699" spans="2:34" x14ac:dyDescent="0.2">
      <c r="B699" s="2">
        <f ca="1"/>
        <v>0.7845724681591093</v>
      </c>
      <c r="O699" s="2">
        <f ca="1"/>
        <v>-0.10619218690449095</v>
      </c>
      <c r="X699" s="2">
        <f ca="1"/>
        <v>55.021523230459565</v>
      </c>
      <c r="AG699" s="2">
        <f ca="1"/>
        <v>0.90360520415789214</v>
      </c>
      <c r="AH699" s="2" t="str">
        <f ca="1"/>
        <v>Bad</v>
      </c>
    </row>
    <row r="700" spans="2:34" x14ac:dyDescent="0.2">
      <c r="B700" s="2">
        <f ca="1"/>
        <v>0.31420164372407822</v>
      </c>
      <c r="O700" s="2">
        <f ca="1"/>
        <v>-0.52236115455457377</v>
      </c>
      <c r="X700" s="2">
        <f ca="1"/>
        <v>34.879218563839643</v>
      </c>
      <c r="AG700" s="2">
        <f ca="1"/>
        <v>0.3490443367373488</v>
      </c>
      <c r="AH700" s="2" t="str">
        <f ca="1"/>
        <v>OK</v>
      </c>
    </row>
    <row r="701" spans="2:34" x14ac:dyDescent="0.2">
      <c r="B701" s="2">
        <f ca="1"/>
        <v>0.10411294833060625</v>
      </c>
      <c r="O701" s="2">
        <f ca="1"/>
        <v>2.3088118887643307E-2</v>
      </c>
      <c r="X701" s="2">
        <f ca="1"/>
        <v>72.223099786574608</v>
      </c>
      <c r="AG701" s="2">
        <f ca="1"/>
        <v>0.60488677294019322</v>
      </c>
      <c r="AH701" s="2" t="str">
        <f ca="1"/>
        <v>Bad</v>
      </c>
    </row>
    <row r="702" spans="2:34" x14ac:dyDescent="0.2">
      <c r="B702" s="2">
        <f ca="1"/>
        <v>0.43290522108872231</v>
      </c>
      <c r="O702" s="2">
        <f ca="1"/>
        <v>-1.067110017738562</v>
      </c>
      <c r="X702" s="2">
        <f ca="1"/>
        <v>32.835198083981759</v>
      </c>
      <c r="AG702" s="2">
        <f ca="1"/>
        <v>0.97026048643846385</v>
      </c>
      <c r="AH702" s="2" t="str">
        <f ca="1"/>
        <v>Bad</v>
      </c>
    </row>
    <row r="703" spans="2:34" x14ac:dyDescent="0.2">
      <c r="B703" s="2">
        <f ca="1"/>
        <v>0.98720320347625701</v>
      </c>
      <c r="O703" s="2">
        <f ca="1"/>
        <v>-0.41671910380925559</v>
      </c>
      <c r="X703" s="2">
        <f ca="1"/>
        <v>27.240204460860042</v>
      </c>
      <c r="AG703" s="2">
        <f ca="1"/>
        <v>0.31523341939785388</v>
      </c>
      <c r="AH703" s="2" t="str">
        <f ca="1"/>
        <v>OK</v>
      </c>
    </row>
    <row r="704" spans="2:34" x14ac:dyDescent="0.2">
      <c r="B704" s="2">
        <f ca="1"/>
        <v>0.52621881973074869</v>
      </c>
      <c r="O704" s="2">
        <f ca="1"/>
        <v>-0.72243605528412991</v>
      </c>
      <c r="X704" s="2">
        <f ca="1"/>
        <v>56.660320281598572</v>
      </c>
      <c r="AG704" s="2">
        <f ca="1"/>
        <v>0.51270318625272493</v>
      </c>
      <c r="AH704" s="2" t="str">
        <f ca="1"/>
        <v>Bad</v>
      </c>
    </row>
    <row r="705" spans="2:34" x14ac:dyDescent="0.2">
      <c r="B705" s="2">
        <f ca="1"/>
        <v>0.905060852259578</v>
      </c>
      <c r="O705" s="2">
        <f ca="1"/>
        <v>1.2222347645462586</v>
      </c>
      <c r="X705" s="2">
        <f ca="1"/>
        <v>77.061741607555575</v>
      </c>
      <c r="AG705" s="2">
        <f ca="1"/>
        <v>0.22944186794266819</v>
      </c>
      <c r="AH705" s="2" t="str">
        <f ca="1"/>
        <v>OK</v>
      </c>
    </row>
    <row r="706" spans="2:34" x14ac:dyDescent="0.2">
      <c r="B706" s="2">
        <f ca="1"/>
        <v>0.67980819177723806</v>
      </c>
      <c r="O706" s="2">
        <f ca="1"/>
        <v>-0.26082175066949426</v>
      </c>
      <c r="X706" s="2">
        <f ca="1"/>
        <v>70.700310368980723</v>
      </c>
      <c r="AG706" s="2">
        <f ca="1"/>
        <v>0.66126461691436633</v>
      </c>
      <c r="AH706" s="2" t="str">
        <f ca="1"/>
        <v>Bad</v>
      </c>
    </row>
    <row r="707" spans="2:34" x14ac:dyDescent="0.2">
      <c r="B707" s="2">
        <f ca="1"/>
        <v>0.36154710802304302</v>
      </c>
      <c r="O707" s="2">
        <f ca="1"/>
        <v>-1.4834926560120949</v>
      </c>
      <c r="X707" s="2">
        <f ca="1"/>
        <v>32.549476738962369</v>
      </c>
      <c r="AG707" s="2">
        <f ca="1"/>
        <v>0.82587861613629343</v>
      </c>
      <c r="AH707" s="2" t="str">
        <f ca="1"/>
        <v>Bad</v>
      </c>
    </row>
    <row r="708" spans="2:34" x14ac:dyDescent="0.2">
      <c r="B708" s="2">
        <f ca="1"/>
        <v>7.8163714721165345E-2</v>
      </c>
      <c r="O708" s="2">
        <f ca="1"/>
        <v>1.0385409794876339</v>
      </c>
      <c r="X708" s="2">
        <f ca="1"/>
        <v>56.115800858070543</v>
      </c>
      <c r="AG708" s="2">
        <f ca="1"/>
        <v>0.82903634799734172</v>
      </c>
      <c r="AH708" s="2" t="str">
        <f ca="1"/>
        <v>Bad</v>
      </c>
    </row>
    <row r="709" spans="2:34" x14ac:dyDescent="0.2">
      <c r="B709" s="2">
        <f ca="1"/>
        <v>5.6941711216217383E-2</v>
      </c>
      <c r="O709" s="2">
        <f ca="1"/>
        <v>0.33730508169043683</v>
      </c>
      <c r="X709" s="2">
        <f ca="1"/>
        <v>49.796275345230228</v>
      </c>
      <c r="AG709" s="2">
        <f ca="1"/>
        <v>0.67912195445966761</v>
      </c>
      <c r="AH709" s="2" t="str">
        <f ca="1"/>
        <v>Bad</v>
      </c>
    </row>
    <row r="710" spans="2:34" x14ac:dyDescent="0.2">
      <c r="B710" s="2">
        <f ca="1"/>
        <v>0.83898024662072923</v>
      </c>
      <c r="O710" s="2">
        <f ca="1"/>
        <v>0.25676364583271361</v>
      </c>
      <c r="X710" s="2">
        <f ca="1"/>
        <v>51.73240585257421</v>
      </c>
      <c r="AG710" s="2">
        <f ca="1"/>
        <v>0.67838938808041793</v>
      </c>
      <c r="AH710" s="2" t="str">
        <f ca="1"/>
        <v>Bad</v>
      </c>
    </row>
    <row r="711" spans="2:34" x14ac:dyDescent="0.2">
      <c r="B711" s="2">
        <f ca="1"/>
        <v>0.69136730218560194</v>
      </c>
      <c r="O711" s="2">
        <f ca="1"/>
        <v>1.1023544424980258</v>
      </c>
      <c r="X711" s="2">
        <f ca="1"/>
        <v>47.664725476425865</v>
      </c>
      <c r="AG711" s="2">
        <f ca="1"/>
        <v>0.96558257463556729</v>
      </c>
      <c r="AH711" s="2" t="str">
        <f ca="1"/>
        <v>Bad</v>
      </c>
    </row>
    <row r="712" spans="2:34" x14ac:dyDescent="0.2">
      <c r="B712" s="2">
        <f ca="1"/>
        <v>0.70077203061180549</v>
      </c>
      <c r="O712" s="2">
        <f ca="1"/>
        <v>-1.35365490762526</v>
      </c>
      <c r="X712" s="2">
        <f ca="1"/>
        <v>75.255764344685886</v>
      </c>
      <c r="AG712" s="2">
        <f ca="1"/>
        <v>0.44116800298078629</v>
      </c>
      <c r="AH712" s="2" t="str">
        <f ca="1"/>
        <v>Bad</v>
      </c>
    </row>
    <row r="713" spans="2:34" x14ac:dyDescent="0.2">
      <c r="B713" s="2">
        <f ca="1"/>
        <v>0.99061486973853219</v>
      </c>
      <c r="O713" s="2">
        <f ca="1"/>
        <v>3.0658037239115841E-2</v>
      </c>
      <c r="X713" s="2">
        <f ca="1"/>
        <v>42.118550605392187</v>
      </c>
      <c r="AG713" s="2">
        <f ca="1"/>
        <v>0.88314601074036347</v>
      </c>
      <c r="AH713" s="2" t="str">
        <f ca="1"/>
        <v>Bad</v>
      </c>
    </row>
    <row r="714" spans="2:34" x14ac:dyDescent="0.2">
      <c r="B714" s="2">
        <f ca="1"/>
        <v>3.2492945327585065E-2</v>
      </c>
      <c r="O714" s="2">
        <f ca="1"/>
        <v>-0.63142412356394728</v>
      </c>
      <c r="X714" s="2">
        <f ca="1"/>
        <v>45.293845329139579</v>
      </c>
      <c r="AG714" s="2">
        <f ca="1"/>
        <v>0.42862724862541079</v>
      </c>
      <c r="AH714" s="2" t="str">
        <f ca="1"/>
        <v>Bad</v>
      </c>
    </row>
    <row r="715" spans="2:34" x14ac:dyDescent="0.2">
      <c r="B715" s="2">
        <f ca="1"/>
        <v>0.79130045546156391</v>
      </c>
      <c r="O715" s="2">
        <f ca="1"/>
        <v>0.84521863175010459</v>
      </c>
      <c r="X715" s="2">
        <f ca="1"/>
        <v>52.456297520382492</v>
      </c>
      <c r="AG715" s="2">
        <f ca="1"/>
        <v>0.43413936852179003</v>
      </c>
      <c r="AH715" s="2" t="str">
        <f ca="1"/>
        <v>Bad</v>
      </c>
    </row>
    <row r="716" spans="2:34" x14ac:dyDescent="0.2">
      <c r="B716" s="2">
        <f ca="1"/>
        <v>0.97435165726981121</v>
      </c>
      <c r="O716" s="2">
        <f ca="1"/>
        <v>1.7348786643599863</v>
      </c>
      <c r="X716" s="2">
        <f ca="1"/>
        <v>52.470941851703785</v>
      </c>
      <c r="AG716" s="2">
        <f ca="1"/>
        <v>0.51773462128704884</v>
      </c>
      <c r="AH716" s="2" t="str">
        <f ca="1"/>
        <v>Bad</v>
      </c>
    </row>
    <row r="717" spans="2:34" x14ac:dyDescent="0.2">
      <c r="B717" s="2">
        <f ca="1"/>
        <v>0.70137021883858353</v>
      </c>
      <c r="O717" s="2">
        <f ca="1"/>
        <v>-0.72913461164686333</v>
      </c>
      <c r="X717" s="2">
        <f ca="1"/>
        <v>34.852684429199968</v>
      </c>
      <c r="AG717" s="2">
        <f ca="1"/>
        <v>2.3583901474813151E-2</v>
      </c>
      <c r="AH717" s="2" t="str">
        <f ca="1"/>
        <v>Good</v>
      </c>
    </row>
    <row r="718" spans="2:34" x14ac:dyDescent="0.2">
      <c r="B718" s="2">
        <f ca="1"/>
        <v>0.12974134963574735</v>
      </c>
      <c r="O718" s="2">
        <f ca="1"/>
        <v>-0.72362585389834999</v>
      </c>
      <c r="X718" s="2">
        <f ca="1"/>
        <v>65.076431322995361</v>
      </c>
      <c r="AG718" s="2">
        <f ca="1"/>
        <v>0.46630172421090377</v>
      </c>
      <c r="AH718" s="2" t="str">
        <f ca="1"/>
        <v>Bad</v>
      </c>
    </row>
    <row r="719" spans="2:34" x14ac:dyDescent="0.2">
      <c r="B719" s="2">
        <f ca="1"/>
        <v>0.97060808184018388</v>
      </c>
      <c r="O719" s="2">
        <f ca="1"/>
        <v>-0.71154917521703853</v>
      </c>
      <c r="X719" s="2">
        <f ca="1"/>
        <v>34.659288259618435</v>
      </c>
      <c r="AG719" s="2">
        <f ca="1"/>
        <v>0.49292999842334506</v>
      </c>
      <c r="AH719" s="2" t="str">
        <f ca="1"/>
        <v>Bad</v>
      </c>
    </row>
    <row r="720" spans="2:34" x14ac:dyDescent="0.2">
      <c r="B720" s="2">
        <f ca="1"/>
        <v>0.83003131743530001</v>
      </c>
      <c r="O720" s="2">
        <f ca="1"/>
        <v>0.8312694699884049</v>
      </c>
      <c r="X720" s="2">
        <f ca="1"/>
        <v>68.894555776852101</v>
      </c>
      <c r="AG720" s="2">
        <f ca="1"/>
        <v>0.79412727912345416</v>
      </c>
      <c r="AH720" s="2" t="str">
        <f ca="1"/>
        <v>Bad</v>
      </c>
    </row>
    <row r="721" spans="2:34" x14ac:dyDescent="0.2">
      <c r="B721" s="2">
        <f ca="1"/>
        <v>0.37182980588020675</v>
      </c>
      <c r="O721" s="2">
        <f ca="1"/>
        <v>-0.41941247636189827</v>
      </c>
      <c r="X721" s="2">
        <f ca="1"/>
        <v>37.355649183541487</v>
      </c>
      <c r="AG721" s="2">
        <f ca="1"/>
        <v>0.71723139039266193</v>
      </c>
      <c r="AH721" s="2" t="str">
        <f ca="1"/>
        <v>Bad</v>
      </c>
    </row>
    <row r="722" spans="2:34" x14ac:dyDescent="0.2">
      <c r="B722" s="2">
        <f ca="1"/>
        <v>0.94915655958178102</v>
      </c>
      <c r="O722" s="2">
        <f ca="1"/>
        <v>-1.7499100363095013</v>
      </c>
      <c r="X722" s="2">
        <f ca="1"/>
        <v>35.09368772786754</v>
      </c>
      <c r="AG722" s="2">
        <f ca="1"/>
        <v>8.8655776599748881E-2</v>
      </c>
      <c r="AH722" s="2" t="str">
        <f ca="1"/>
        <v>OK</v>
      </c>
    </row>
    <row r="723" spans="2:34" x14ac:dyDescent="0.2">
      <c r="B723" s="2">
        <f ca="1"/>
        <v>0.44258240872140786</v>
      </c>
      <c r="O723" s="2">
        <f ca="1"/>
        <v>-0.83966226663015597</v>
      </c>
      <c r="X723" s="2">
        <f ca="1"/>
        <v>52.791126650311348</v>
      </c>
      <c r="AG723" s="2">
        <f ca="1"/>
        <v>0.30091999597996599</v>
      </c>
      <c r="AH723" s="2" t="str">
        <f ca="1"/>
        <v>OK</v>
      </c>
    </row>
    <row r="724" spans="2:34" x14ac:dyDescent="0.2">
      <c r="B724" s="2">
        <f ca="1"/>
        <v>0.31673327476253066</v>
      </c>
      <c r="O724" s="2">
        <f ca="1"/>
        <v>-0.71143163480699301</v>
      </c>
      <c r="X724" s="2">
        <f ca="1"/>
        <v>45.621481505834531</v>
      </c>
      <c r="AG724" s="2">
        <f ca="1"/>
        <v>0.51282032125988031</v>
      </c>
      <c r="AH724" s="2" t="str">
        <f ca="1"/>
        <v>Bad</v>
      </c>
    </row>
    <row r="725" spans="2:34" x14ac:dyDescent="0.2">
      <c r="B725" s="2">
        <f ca="1"/>
        <v>0.71010998184145335</v>
      </c>
      <c r="O725" s="2">
        <f ca="1"/>
        <v>-0.81896381392056838</v>
      </c>
      <c r="X725" s="2">
        <f ca="1"/>
        <v>45.536469379405425</v>
      </c>
      <c r="AG725" s="2">
        <f ca="1"/>
        <v>3.4354286990239569E-2</v>
      </c>
      <c r="AH725" s="2" t="str">
        <f ca="1"/>
        <v>Good</v>
      </c>
    </row>
    <row r="726" spans="2:34" x14ac:dyDescent="0.2">
      <c r="B726" s="2">
        <f ca="1"/>
        <v>0.59710738871135804</v>
      </c>
      <c r="O726" s="2">
        <f ca="1"/>
        <v>2.8583348648810047</v>
      </c>
      <c r="X726" s="2">
        <f ca="1"/>
        <v>36.667989176236226</v>
      </c>
      <c r="AG726" s="2">
        <f ca="1"/>
        <v>0.80804833311846935</v>
      </c>
      <c r="AH726" s="2" t="str">
        <f ca="1"/>
        <v>Bad</v>
      </c>
    </row>
    <row r="727" spans="2:34" x14ac:dyDescent="0.2">
      <c r="B727" s="2">
        <f ca="1"/>
        <v>0.5840862381060099</v>
      </c>
      <c r="O727" s="2">
        <f ca="1"/>
        <v>-1.6358300957350083</v>
      </c>
      <c r="X727" s="2">
        <f ca="1"/>
        <v>13.850532127417249</v>
      </c>
      <c r="AG727" s="2">
        <f ca="1"/>
        <v>0.61223027015366349</v>
      </c>
      <c r="AH727" s="2" t="str">
        <f ca="1"/>
        <v>Bad</v>
      </c>
    </row>
    <row r="728" spans="2:34" x14ac:dyDescent="0.2">
      <c r="B728" s="2">
        <f ca="1"/>
        <v>0.40321282976327311</v>
      </c>
      <c r="O728" s="2">
        <f ca="1"/>
        <v>0.26895352944865736</v>
      </c>
      <c r="X728" s="2">
        <f ca="1"/>
        <v>77.740772714024573</v>
      </c>
      <c r="AG728" s="2">
        <f ca="1"/>
        <v>0.5935682131533655</v>
      </c>
      <c r="AH728" s="2" t="str">
        <f ca="1"/>
        <v>Bad</v>
      </c>
    </row>
    <row r="729" spans="2:34" x14ac:dyDescent="0.2">
      <c r="B729" s="2">
        <f ca="1"/>
        <v>0.63185072834951073</v>
      </c>
      <c r="O729" s="2">
        <f ca="1"/>
        <v>2.2850682438173728</v>
      </c>
      <c r="X729" s="2">
        <f ca="1"/>
        <v>53.497996874014326</v>
      </c>
      <c r="AG729" s="2">
        <f ca="1"/>
        <v>0.6277326074199292</v>
      </c>
      <c r="AH729" s="2" t="str">
        <f ca="1"/>
        <v>Bad</v>
      </c>
    </row>
    <row r="730" spans="2:34" x14ac:dyDescent="0.2">
      <c r="B730" s="2">
        <f ca="1"/>
        <v>0.92829500418278266</v>
      </c>
      <c r="O730" s="2">
        <f ca="1"/>
        <v>-9.8893720839743265E-2</v>
      </c>
      <c r="X730" s="2">
        <f ca="1"/>
        <v>33.027507192271514</v>
      </c>
      <c r="AG730" s="2">
        <f ca="1"/>
        <v>0.73580594661356202</v>
      </c>
      <c r="AH730" s="2" t="str">
        <f ca="1"/>
        <v>Bad</v>
      </c>
    </row>
    <row r="731" spans="2:34" x14ac:dyDescent="0.2">
      <c r="B731" s="2">
        <f ca="1"/>
        <v>0.68099726268806804</v>
      </c>
      <c r="O731" s="2">
        <f ca="1"/>
        <v>-0.60040501632466825</v>
      </c>
      <c r="X731" s="2">
        <f ca="1"/>
        <v>32.550305565457933</v>
      </c>
      <c r="AG731" s="2">
        <f ca="1"/>
        <v>0.127954308388885</v>
      </c>
      <c r="AH731" s="2" t="str">
        <f ca="1"/>
        <v>OK</v>
      </c>
    </row>
    <row r="732" spans="2:34" x14ac:dyDescent="0.2">
      <c r="B732" s="2">
        <f ca="1"/>
        <v>0.95311499392386856</v>
      </c>
      <c r="O732" s="2">
        <f ca="1"/>
        <v>0.45521394683308131</v>
      </c>
      <c r="X732" s="2">
        <f ca="1"/>
        <v>46.087960243059399</v>
      </c>
      <c r="AG732" s="2">
        <f ca="1"/>
        <v>0.16306333423388719</v>
      </c>
      <c r="AH732" s="2" t="str">
        <f ca="1"/>
        <v>OK</v>
      </c>
    </row>
    <row r="733" spans="2:34" x14ac:dyDescent="0.2">
      <c r="B733" s="2">
        <f ca="1"/>
        <v>6.0632266573075855E-2</v>
      </c>
      <c r="O733" s="2">
        <f ca="1"/>
        <v>-1.4493703283841677</v>
      </c>
      <c r="X733" s="2">
        <f ca="1"/>
        <v>41.654455786310535</v>
      </c>
      <c r="AG733" s="2">
        <f ca="1"/>
        <v>9.7876558654158341E-2</v>
      </c>
      <c r="AH733" s="2" t="str">
        <f ca="1"/>
        <v>OK</v>
      </c>
    </row>
    <row r="734" spans="2:34" x14ac:dyDescent="0.2">
      <c r="B734" s="2">
        <f ca="1"/>
        <v>0.36592271073861515</v>
      </c>
      <c r="O734" s="2">
        <f ca="1"/>
        <v>0.74377578807574041</v>
      </c>
      <c r="X734" s="2">
        <f ca="1"/>
        <v>35.466724129923833</v>
      </c>
      <c r="AG734" s="2">
        <f ca="1"/>
        <v>0.73984977620113468</v>
      </c>
      <c r="AH734" s="2" t="str">
        <f ca="1"/>
        <v>Bad</v>
      </c>
    </row>
    <row r="735" spans="2:34" x14ac:dyDescent="0.2">
      <c r="B735" s="2">
        <f ca="1"/>
        <v>0.56871175012239195</v>
      </c>
      <c r="O735" s="2">
        <f ca="1"/>
        <v>-0.45988326104762783</v>
      </c>
      <c r="X735" s="2">
        <f ca="1"/>
        <v>67.874591198967352</v>
      </c>
      <c r="AG735" s="2">
        <f ca="1"/>
        <v>0.31476722193839635</v>
      </c>
      <c r="AH735" s="2" t="str">
        <f ca="1"/>
        <v>OK</v>
      </c>
    </row>
    <row r="736" spans="2:34" x14ac:dyDescent="0.2">
      <c r="B736" s="2">
        <f ca="1"/>
        <v>0.6168556927143507</v>
      </c>
      <c r="O736" s="2">
        <f ca="1"/>
        <v>-0.53343737485861176</v>
      </c>
      <c r="X736" s="2">
        <f ca="1"/>
        <v>43.733469588096028</v>
      </c>
      <c r="AG736" s="2">
        <f ca="1"/>
        <v>0.54256833317516429</v>
      </c>
      <c r="AH736" s="2" t="str">
        <f ca="1"/>
        <v>Bad</v>
      </c>
    </row>
    <row r="737" spans="2:34" x14ac:dyDescent="0.2">
      <c r="B737" s="2">
        <f ca="1"/>
        <v>0.71090699042937122</v>
      </c>
      <c r="O737" s="2">
        <f ca="1"/>
        <v>-2.0085090377414336E-2</v>
      </c>
      <c r="X737" s="2">
        <f ca="1"/>
        <v>55.602216302405751</v>
      </c>
      <c r="AG737" s="2">
        <f ca="1"/>
        <v>0.66643815773398596</v>
      </c>
      <c r="AH737" s="2" t="str">
        <f ca="1"/>
        <v>Bad</v>
      </c>
    </row>
    <row r="738" spans="2:34" x14ac:dyDescent="0.2">
      <c r="B738" s="2">
        <f ca="1"/>
        <v>0.32487935145937596</v>
      </c>
      <c r="O738" s="2">
        <f ca="1"/>
        <v>-9.330150226357628E-2</v>
      </c>
      <c r="X738" s="2">
        <f ca="1"/>
        <v>33.934661851858266</v>
      </c>
      <c r="AG738" s="2">
        <f ca="1"/>
        <v>0.19636075552625853</v>
      </c>
      <c r="AH738" s="2" t="str">
        <f ca="1"/>
        <v>OK</v>
      </c>
    </row>
    <row r="739" spans="2:34" x14ac:dyDescent="0.2">
      <c r="B739" s="2">
        <f ca="1"/>
        <v>0.44850873464182683</v>
      </c>
      <c r="O739" s="2">
        <f ca="1"/>
        <v>-0.96199805754963774</v>
      </c>
      <c r="X739" s="2">
        <f ca="1"/>
        <v>65.914266089231376</v>
      </c>
      <c r="AG739" s="2">
        <f ca="1"/>
        <v>0.32376264554414713</v>
      </c>
      <c r="AH739" s="2" t="str">
        <f ca="1"/>
        <v>OK</v>
      </c>
    </row>
    <row r="740" spans="2:34" x14ac:dyDescent="0.2">
      <c r="B740" s="2">
        <f ca="1"/>
        <v>0.57247896861640357</v>
      </c>
      <c r="O740" s="2">
        <f ca="1"/>
        <v>0.22312676926193353</v>
      </c>
      <c r="X740" s="2">
        <f ca="1"/>
        <v>21.066532676529587</v>
      </c>
      <c r="AG740" s="2">
        <f ca="1"/>
        <v>0.14128622327080231</v>
      </c>
      <c r="AH740" s="2" t="str">
        <f ca="1"/>
        <v>OK</v>
      </c>
    </row>
    <row r="741" spans="2:34" x14ac:dyDescent="0.2">
      <c r="B741" s="2">
        <f ca="1"/>
        <v>7.9231308256161315E-2</v>
      </c>
      <c r="O741" s="2">
        <f ca="1"/>
        <v>0.15048020323386038</v>
      </c>
      <c r="X741" s="2">
        <f ca="1"/>
        <v>67.045358084642842</v>
      </c>
      <c r="AG741" s="2">
        <f ca="1"/>
        <v>0.25881952839628375</v>
      </c>
      <c r="AH741" s="2" t="str">
        <f ca="1"/>
        <v>OK</v>
      </c>
    </row>
    <row r="742" spans="2:34" x14ac:dyDescent="0.2">
      <c r="B742" s="2">
        <f ca="1"/>
        <v>0.2472272706082419</v>
      </c>
      <c r="O742" s="2">
        <f ca="1"/>
        <v>-0.38669647743968966</v>
      </c>
      <c r="X742" s="2">
        <f ca="1"/>
        <v>60.027525233997288</v>
      </c>
      <c r="AG742" s="2">
        <f ca="1"/>
        <v>0.2052918216647357</v>
      </c>
      <c r="AH742" s="2" t="str">
        <f ca="1"/>
        <v>OK</v>
      </c>
    </row>
    <row r="743" spans="2:34" x14ac:dyDescent="0.2">
      <c r="B743" s="2">
        <f ca="1"/>
        <v>0.59265203498052044</v>
      </c>
      <c r="O743" s="2">
        <f ca="1"/>
        <v>1.4818143171500231</v>
      </c>
      <c r="X743" s="2">
        <f ca="1"/>
        <v>24.214955361903499</v>
      </c>
      <c r="AG743" s="2">
        <f ca="1"/>
        <v>0.45362371452953942</v>
      </c>
      <c r="AH743" s="2" t="str">
        <f ca="1"/>
        <v>Bad</v>
      </c>
    </row>
    <row r="744" spans="2:34" x14ac:dyDescent="0.2">
      <c r="B744" s="2">
        <f ca="1"/>
        <v>0.42655003695146454</v>
      </c>
      <c r="O744" s="2">
        <f ca="1"/>
        <v>1.1410306528720582</v>
      </c>
      <c r="X744" s="2">
        <f ca="1"/>
        <v>62.748554246373736</v>
      </c>
      <c r="AG744" s="2">
        <f ca="1"/>
        <v>0.88061902052864394</v>
      </c>
      <c r="AH744" s="2" t="str">
        <f ca="1"/>
        <v>Bad</v>
      </c>
    </row>
    <row r="745" spans="2:34" x14ac:dyDescent="0.2">
      <c r="B745" s="2">
        <f ca="1"/>
        <v>3.8561281668560543E-2</v>
      </c>
      <c r="O745" s="2">
        <f ca="1"/>
        <v>0.78972441196215337</v>
      </c>
      <c r="X745" s="2">
        <f ca="1"/>
        <v>42.805515354260223</v>
      </c>
      <c r="AG745" s="2">
        <f ca="1"/>
        <v>0.75593848881428505</v>
      </c>
      <c r="AH745" s="2" t="str">
        <f ca="1"/>
        <v>Bad</v>
      </c>
    </row>
    <row r="746" spans="2:34" x14ac:dyDescent="0.2">
      <c r="B746" s="2">
        <f ca="1"/>
        <v>0.52002019827596757</v>
      </c>
      <c r="O746" s="2">
        <f ca="1"/>
        <v>0.18346773846141595</v>
      </c>
      <c r="X746" s="2">
        <f ca="1"/>
        <v>53.934827777939304</v>
      </c>
      <c r="AG746" s="2">
        <f ca="1"/>
        <v>0.58384705421645555</v>
      </c>
      <c r="AH746" s="2" t="str">
        <f ca="1"/>
        <v>Bad</v>
      </c>
    </row>
    <row r="747" spans="2:34" x14ac:dyDescent="0.2">
      <c r="B747" s="2">
        <f ca="1"/>
        <v>0.37563840474791355</v>
      </c>
      <c r="O747" s="2">
        <f ca="1"/>
        <v>0.3388301775813618</v>
      </c>
      <c r="X747" s="2">
        <f ca="1"/>
        <v>87.370193624107472</v>
      </c>
      <c r="AG747" s="2">
        <f ca="1"/>
        <v>0.28991202982934117</v>
      </c>
      <c r="AH747" s="2" t="str">
        <f ca="1"/>
        <v>OK</v>
      </c>
    </row>
    <row r="748" spans="2:34" x14ac:dyDescent="0.2">
      <c r="B748" s="2">
        <f ca="1"/>
        <v>0.63644555915326695</v>
      </c>
      <c r="O748" s="2">
        <f ca="1"/>
        <v>0.81246837746953671</v>
      </c>
      <c r="X748" s="2">
        <f ca="1"/>
        <v>26.588359853140933</v>
      </c>
      <c r="AG748" s="2">
        <f ca="1"/>
        <v>0.26586473445033021</v>
      </c>
      <c r="AH748" s="2" t="str">
        <f ca="1"/>
        <v>OK</v>
      </c>
    </row>
    <row r="749" spans="2:34" x14ac:dyDescent="0.2">
      <c r="B749" s="2">
        <f ca="1"/>
        <v>0.49676950604239711</v>
      </c>
      <c r="O749" s="2">
        <f ca="1"/>
        <v>1.0906410660875032</v>
      </c>
      <c r="X749" s="2">
        <f ca="1"/>
        <v>42.916857059306793</v>
      </c>
      <c r="AG749" s="2">
        <f ca="1"/>
        <v>2.3140812095682195E-2</v>
      </c>
      <c r="AH749" s="2" t="str">
        <f ca="1"/>
        <v>Good</v>
      </c>
    </row>
    <row r="750" spans="2:34" x14ac:dyDescent="0.2">
      <c r="B750" s="2">
        <f ca="1"/>
        <v>0.51570916927517496</v>
      </c>
      <c r="O750" s="2">
        <f ca="1"/>
        <v>-3.4351231018224047</v>
      </c>
      <c r="X750" s="2">
        <f ca="1"/>
        <v>44.909033901349758</v>
      </c>
      <c r="AG750" s="2">
        <f ca="1"/>
        <v>0.15427001828428666</v>
      </c>
      <c r="AH750" s="2" t="str">
        <f ca="1"/>
        <v>OK</v>
      </c>
    </row>
    <row r="751" spans="2:34" x14ac:dyDescent="0.2">
      <c r="B751" s="2">
        <f ca="1"/>
        <v>0.12070332757613045</v>
      </c>
      <c r="O751" s="2">
        <f ca="1"/>
        <v>-0.37706858420612221</v>
      </c>
      <c r="X751" s="2">
        <f ca="1"/>
        <v>42.116553303564324</v>
      </c>
      <c r="AG751" s="2">
        <f ca="1"/>
        <v>0.14313278163707177</v>
      </c>
      <c r="AH751" s="2" t="str">
        <f ca="1"/>
        <v>OK</v>
      </c>
    </row>
    <row r="752" spans="2:34" x14ac:dyDescent="0.2">
      <c r="B752" s="2">
        <f ca="1"/>
        <v>0.59144328199959673</v>
      </c>
      <c r="O752" s="2">
        <f ca="1"/>
        <v>-1.0109059053524274</v>
      </c>
      <c r="X752" s="2">
        <f ca="1"/>
        <v>31.152697899237797</v>
      </c>
      <c r="AG752" s="2">
        <f ca="1"/>
        <v>0.48786656673188911</v>
      </c>
      <c r="AH752" s="2" t="str">
        <f ca="1"/>
        <v>Bad</v>
      </c>
    </row>
    <row r="753" spans="2:34" x14ac:dyDescent="0.2">
      <c r="B753" s="2">
        <f ca="1"/>
        <v>5.7366431847674093E-2</v>
      </c>
      <c r="O753" s="2">
        <f ca="1"/>
        <v>0.66615471992345565</v>
      </c>
      <c r="X753" s="2">
        <f ca="1"/>
        <v>95.27513768389727</v>
      </c>
      <c r="AG753" s="2">
        <f ca="1"/>
        <v>0.37488852918287718</v>
      </c>
      <c r="AH753" s="2" t="str">
        <f ca="1"/>
        <v>OK</v>
      </c>
    </row>
    <row r="754" spans="2:34" x14ac:dyDescent="0.2">
      <c r="B754" s="2">
        <f ca="1"/>
        <v>1.7376822929666913E-2</v>
      </c>
      <c r="O754" s="2">
        <f ca="1"/>
        <v>0.61606072064932405</v>
      </c>
      <c r="X754" s="2">
        <f ca="1"/>
        <v>44.253701103519134</v>
      </c>
      <c r="AG754" s="2">
        <f ca="1"/>
        <v>0.92667873624524044</v>
      </c>
      <c r="AH754" s="2" t="str">
        <f ca="1"/>
        <v>Bad</v>
      </c>
    </row>
    <row r="755" spans="2:34" x14ac:dyDescent="0.2">
      <c r="B755" s="2">
        <f ca="1"/>
        <v>0.31599311170598576</v>
      </c>
      <c r="O755" s="2">
        <f ca="1"/>
        <v>-0.19281468563989732</v>
      </c>
      <c r="X755" s="2">
        <f ca="1"/>
        <v>75.77176585971587</v>
      </c>
      <c r="AG755" s="2">
        <f ca="1"/>
        <v>0.64265351995361808</v>
      </c>
      <c r="AH755" s="2" t="str">
        <f ca="1"/>
        <v>Bad</v>
      </c>
    </row>
    <row r="756" spans="2:34" x14ac:dyDescent="0.2">
      <c r="B756" s="2">
        <f ca="1"/>
        <v>0.10225617556785149</v>
      </c>
      <c r="O756" s="2">
        <f ca="1"/>
        <v>0.81859401278453059</v>
      </c>
      <c r="X756" s="2">
        <f ca="1"/>
        <v>48.5203425106384</v>
      </c>
      <c r="AG756" s="2">
        <f ca="1"/>
        <v>0.97127283247267715</v>
      </c>
      <c r="AH756" s="2" t="str">
        <f ca="1"/>
        <v>Bad</v>
      </c>
    </row>
    <row r="757" spans="2:34" x14ac:dyDescent="0.2">
      <c r="B757" s="2">
        <f ca="1"/>
        <v>0.98355007397495542</v>
      </c>
      <c r="O757" s="2">
        <f ca="1"/>
        <v>0.77257886555446387</v>
      </c>
      <c r="X757" s="2">
        <f ca="1"/>
        <v>52.51292478920999</v>
      </c>
      <c r="AG757" s="2">
        <f ca="1"/>
        <v>0.5894278990438675</v>
      </c>
      <c r="AH757" s="2" t="str">
        <f ca="1"/>
        <v>Bad</v>
      </c>
    </row>
    <row r="758" spans="2:34" x14ac:dyDescent="0.2">
      <c r="B758" s="2">
        <f ca="1"/>
        <v>0.85154632849954326</v>
      </c>
      <c r="O758" s="2">
        <f ca="1"/>
        <v>-0.22851863623550667</v>
      </c>
      <c r="X758" s="2">
        <f ca="1"/>
        <v>47.470182408563069</v>
      </c>
      <c r="AG758" s="2">
        <f ca="1"/>
        <v>0.65857927853167153</v>
      </c>
      <c r="AH758" s="2" t="str">
        <f ca="1"/>
        <v>Bad</v>
      </c>
    </row>
    <row r="759" spans="2:34" x14ac:dyDescent="0.2">
      <c r="B759" s="2">
        <f ca="1"/>
        <v>0.84323775533396761</v>
      </c>
      <c r="O759" s="2">
        <f ca="1"/>
        <v>0.28563242086632995</v>
      </c>
      <c r="X759" s="2">
        <f ca="1"/>
        <v>26.381995838434964</v>
      </c>
      <c r="AG759" s="2">
        <f ca="1"/>
        <v>0.50410636908854034</v>
      </c>
      <c r="AH759" s="2" t="str">
        <f ca="1"/>
        <v>Bad</v>
      </c>
    </row>
    <row r="760" spans="2:34" x14ac:dyDescent="0.2">
      <c r="B760" s="2">
        <f ca="1"/>
        <v>0.40483900259818095</v>
      </c>
      <c r="O760" s="2">
        <f ca="1"/>
        <v>0.22093894397369013</v>
      </c>
      <c r="X760" s="2">
        <f ca="1"/>
        <v>54.910249825968279</v>
      </c>
      <c r="AG760" s="2">
        <f ca="1"/>
        <v>0.45513948208888078</v>
      </c>
      <c r="AH760" s="2" t="str">
        <f ca="1"/>
        <v>Bad</v>
      </c>
    </row>
    <row r="761" spans="2:34" x14ac:dyDescent="0.2">
      <c r="B761" s="2">
        <f ca="1"/>
        <v>0.91207359095642926</v>
      </c>
      <c r="O761" s="2">
        <f ca="1"/>
        <v>-1.8125074160761119</v>
      </c>
      <c r="X761" s="2">
        <f ca="1"/>
        <v>21.938549774940647</v>
      </c>
      <c r="AG761" s="2">
        <f ca="1"/>
        <v>0.40812617141483698</v>
      </c>
      <c r="AH761" s="2" t="str">
        <f ca="1"/>
        <v>Bad</v>
      </c>
    </row>
    <row r="762" spans="2:34" x14ac:dyDescent="0.2">
      <c r="B762" s="2">
        <f ca="1"/>
        <v>1.7651420208297797E-3</v>
      </c>
      <c r="O762" s="2">
        <f ca="1"/>
        <v>0.16390706556080742</v>
      </c>
      <c r="X762" s="2">
        <f ca="1"/>
        <v>69.642111758916187</v>
      </c>
      <c r="AG762" s="2">
        <f ca="1"/>
        <v>0.9530862547063228</v>
      </c>
      <c r="AH762" s="2" t="str">
        <f ca="1"/>
        <v>Bad</v>
      </c>
    </row>
    <row r="763" spans="2:34" x14ac:dyDescent="0.2">
      <c r="B763" s="2">
        <f ca="1"/>
        <v>0.9307562826251965</v>
      </c>
      <c r="O763" s="2">
        <f ca="1"/>
        <v>0.62922297536854765</v>
      </c>
      <c r="X763" s="2">
        <f ca="1"/>
        <v>40.417503309758409</v>
      </c>
      <c r="AG763" s="2">
        <f ca="1"/>
        <v>0.84889055717403328</v>
      </c>
      <c r="AH763" s="2" t="str">
        <f ca="1"/>
        <v>Bad</v>
      </c>
    </row>
    <row r="764" spans="2:34" x14ac:dyDescent="0.2">
      <c r="B764" s="2">
        <f ca="1"/>
        <v>0.6665079462437602</v>
      </c>
      <c r="O764" s="2">
        <f ca="1"/>
        <v>-0.41730993558818025</v>
      </c>
      <c r="X764" s="2">
        <f ca="1"/>
        <v>32.840417053809105</v>
      </c>
      <c r="AG764" s="2">
        <f ca="1"/>
        <v>0.50684922157405587</v>
      </c>
      <c r="AH764" s="2" t="str">
        <f ca="1"/>
        <v>Bad</v>
      </c>
    </row>
    <row r="765" spans="2:34" x14ac:dyDescent="0.2">
      <c r="B765" s="2">
        <f ca="1"/>
        <v>0.35411709860024532</v>
      </c>
      <c r="O765" s="2">
        <f ca="1"/>
        <v>1.1790141396443552</v>
      </c>
      <c r="X765" s="2">
        <f ca="1"/>
        <v>40.519688701263931</v>
      </c>
      <c r="AG765" s="2">
        <f ca="1"/>
        <v>4.585434814196776E-2</v>
      </c>
      <c r="AH765" s="2" t="str">
        <f ca="1"/>
        <v>Good</v>
      </c>
    </row>
    <row r="766" spans="2:34" x14ac:dyDescent="0.2">
      <c r="B766" s="2">
        <f ca="1"/>
        <v>0.22265760334811491</v>
      </c>
      <c r="O766" s="2">
        <f ca="1"/>
        <v>0.55048857287641673</v>
      </c>
      <c r="X766" s="2">
        <f ca="1"/>
        <v>55.979127205682282</v>
      </c>
      <c r="AG766" s="2">
        <f ca="1"/>
        <v>0.8616155464977604</v>
      </c>
      <c r="AH766" s="2" t="str">
        <f ca="1"/>
        <v>Bad</v>
      </c>
    </row>
    <row r="767" spans="2:34" x14ac:dyDescent="0.2">
      <c r="B767" s="2">
        <f ca="1"/>
        <v>0.65516114752316157</v>
      </c>
      <c r="O767" s="2">
        <f ca="1"/>
        <v>8.0047979357982774E-2</v>
      </c>
      <c r="X767" s="2">
        <f ca="1"/>
        <v>62.148967205602865</v>
      </c>
      <c r="AG767" s="2">
        <f ca="1"/>
        <v>0.83912579455050551</v>
      </c>
      <c r="AH767" s="2" t="str">
        <f ca="1"/>
        <v>Bad</v>
      </c>
    </row>
    <row r="768" spans="2:34" x14ac:dyDescent="0.2">
      <c r="B768" s="2">
        <f ca="1"/>
        <v>0.10851626346035004</v>
      </c>
      <c r="O768" s="2">
        <f ca="1"/>
        <v>0.26439847411338946</v>
      </c>
      <c r="X768" s="2">
        <f ca="1"/>
        <v>78.461455893557215</v>
      </c>
      <c r="AG768" s="2">
        <f ca="1"/>
        <v>0.38722262721352307</v>
      </c>
      <c r="AH768" s="2" t="str">
        <f ca="1"/>
        <v>OK</v>
      </c>
    </row>
    <row r="769" spans="2:34" x14ac:dyDescent="0.2">
      <c r="B769" s="2">
        <f ca="1"/>
        <v>0.79350498546115333</v>
      </c>
      <c r="O769" s="2">
        <f ca="1"/>
        <v>-0.15288547635874558</v>
      </c>
      <c r="X769" s="2">
        <f ca="1"/>
        <v>49.224305616673362</v>
      </c>
      <c r="AG769" s="2">
        <f ca="1"/>
        <v>0.9698331250970873</v>
      </c>
      <c r="AH769" s="2" t="str">
        <f ca="1"/>
        <v>Bad</v>
      </c>
    </row>
    <row r="770" spans="2:34" x14ac:dyDescent="0.2">
      <c r="B770" s="2">
        <f ca="1"/>
        <v>0.38951387376011626</v>
      </c>
      <c r="O770" s="2">
        <f ca="1"/>
        <v>0.23995717705753303</v>
      </c>
      <c r="X770" s="2">
        <f ca="1"/>
        <v>56.870682064627772</v>
      </c>
      <c r="AG770" s="2">
        <f ca="1"/>
        <v>6.826049399313594E-2</v>
      </c>
      <c r="AH770" s="2" t="str">
        <f ca="1"/>
        <v>OK</v>
      </c>
    </row>
    <row r="771" spans="2:34" x14ac:dyDescent="0.2">
      <c r="B771" s="2">
        <f ca="1"/>
        <v>0.56456119325832144</v>
      </c>
      <c r="O771" s="2">
        <f ca="1"/>
        <v>-0.84609015292593637</v>
      </c>
      <c r="X771" s="2">
        <f ca="1"/>
        <v>25.119329833701812</v>
      </c>
      <c r="AG771" s="2">
        <f ca="1"/>
        <v>0.40009318678669281</v>
      </c>
      <c r="AH771" s="2" t="str">
        <f ca="1"/>
        <v>Bad</v>
      </c>
    </row>
    <row r="772" spans="2:34" x14ac:dyDescent="0.2">
      <c r="B772" s="2">
        <f ca="1"/>
        <v>0.43568280613531352</v>
      </c>
      <c r="O772" s="2">
        <f ca="1"/>
        <v>7.7931608411658332E-2</v>
      </c>
      <c r="X772" s="2">
        <f ca="1"/>
        <v>52.391473873566284</v>
      </c>
      <c r="AG772" s="2">
        <f ca="1"/>
        <v>0.47408893172358857</v>
      </c>
      <c r="AH772" s="2" t="str">
        <f ca="1"/>
        <v>Bad</v>
      </c>
    </row>
    <row r="773" spans="2:34" x14ac:dyDescent="0.2">
      <c r="B773" s="2">
        <f ca="1"/>
        <v>0.69065063535571958</v>
      </c>
      <c r="O773" s="2">
        <f ca="1"/>
        <v>-0.65080601690283446</v>
      </c>
      <c r="X773" s="2">
        <f ca="1"/>
        <v>66.190782141267889</v>
      </c>
      <c r="AG773" s="2">
        <f ca="1"/>
        <v>0.15825447178772434</v>
      </c>
      <c r="AH773" s="2" t="str">
        <f ca="1"/>
        <v>OK</v>
      </c>
    </row>
    <row r="774" spans="2:34" x14ac:dyDescent="0.2">
      <c r="B774" s="2">
        <f ca="1"/>
        <v>0.57987933770904099</v>
      </c>
      <c r="O774" s="2">
        <f ca="1"/>
        <v>-0.65717031394178282</v>
      </c>
      <c r="X774" s="2">
        <f ca="1"/>
        <v>29.82545495721827</v>
      </c>
      <c r="AG774" s="2">
        <f ca="1"/>
        <v>0.10120977530904618</v>
      </c>
      <c r="AH774" s="2" t="str">
        <f ca="1"/>
        <v>OK</v>
      </c>
    </row>
    <row r="775" spans="2:34" x14ac:dyDescent="0.2">
      <c r="B775" s="2">
        <f ca="1"/>
        <v>0.48823370250456422</v>
      </c>
      <c r="O775" s="2">
        <f ca="1"/>
        <v>-0.7381324899163566</v>
      </c>
      <c r="X775" s="2">
        <f ca="1"/>
        <v>55.830755162514485</v>
      </c>
      <c r="AG775" s="2">
        <f ca="1"/>
        <v>0.15002421452772596</v>
      </c>
      <c r="AH775" s="2" t="str">
        <f ca="1"/>
        <v>OK</v>
      </c>
    </row>
    <row r="776" spans="2:34" x14ac:dyDescent="0.2">
      <c r="B776" s="2">
        <f ca="1"/>
        <v>0.94426984381293488</v>
      </c>
      <c r="O776" s="2">
        <f ca="1"/>
        <v>9.0238252712019643E-2</v>
      </c>
      <c r="X776" s="2">
        <f ca="1"/>
        <v>69.376957852616044</v>
      </c>
      <c r="AG776" s="2">
        <f ca="1"/>
        <v>0.1820927408318993</v>
      </c>
      <c r="AH776" s="2" t="str">
        <f ca="1"/>
        <v>OK</v>
      </c>
    </row>
    <row r="777" spans="2:34" x14ac:dyDescent="0.2">
      <c r="B777" s="2">
        <f ca="1"/>
        <v>0.65341438650822714</v>
      </c>
      <c r="O777" s="2">
        <f ca="1"/>
        <v>0.95986996639252753</v>
      </c>
      <c r="X777" s="2">
        <f ca="1"/>
        <v>40.387900445150549</v>
      </c>
      <c r="AG777" s="2">
        <f ca="1"/>
        <v>0.7216654526773818</v>
      </c>
      <c r="AH777" s="2" t="str">
        <f ca="1"/>
        <v>Bad</v>
      </c>
    </row>
    <row r="778" spans="2:34" x14ac:dyDescent="0.2">
      <c r="B778" s="2">
        <f ca="1"/>
        <v>0.81283222609159655</v>
      </c>
      <c r="O778" s="2">
        <f ca="1"/>
        <v>7.6030938911245335E-2</v>
      </c>
      <c r="X778" s="2">
        <f ca="1"/>
        <v>81.609258691721394</v>
      </c>
      <c r="AG778" s="2">
        <f ca="1"/>
        <v>0.57231836086349386</v>
      </c>
      <c r="AH778" s="2" t="str">
        <f ca="1"/>
        <v>Bad</v>
      </c>
    </row>
    <row r="779" spans="2:34" x14ac:dyDescent="0.2">
      <c r="B779" s="2">
        <f ca="1"/>
        <v>0.72014481153908871</v>
      </c>
      <c r="O779" s="2">
        <f ca="1"/>
        <v>0.41271902294874296</v>
      </c>
      <c r="X779" s="2">
        <f ca="1"/>
        <v>81.246082015885406</v>
      </c>
      <c r="AG779" s="2">
        <f ca="1"/>
        <v>0.67496496287855967</v>
      </c>
      <c r="AH779" s="2" t="str">
        <f ca="1"/>
        <v>Bad</v>
      </c>
    </row>
    <row r="780" spans="2:34" x14ac:dyDescent="0.2">
      <c r="B780" s="2">
        <f ca="1"/>
        <v>0.27876280831950129</v>
      </c>
      <c r="O780" s="2">
        <f ca="1"/>
        <v>-0.50789654239209459</v>
      </c>
      <c r="X780" s="2">
        <f ca="1"/>
        <v>45.411925538589969</v>
      </c>
      <c r="AG780" s="2">
        <f ca="1"/>
        <v>0.41099380899718674</v>
      </c>
      <c r="AH780" s="2" t="str">
        <f ca="1"/>
        <v>Bad</v>
      </c>
    </row>
    <row r="781" spans="2:34" x14ac:dyDescent="0.2">
      <c r="B781" s="2">
        <f ca="1"/>
        <v>6.7132863003039001E-2</v>
      </c>
      <c r="O781" s="2">
        <f ca="1"/>
        <v>-0.53296787040547355</v>
      </c>
      <c r="X781" s="2">
        <f ca="1"/>
        <v>18.023654087246303</v>
      </c>
      <c r="AG781" s="2">
        <f ca="1"/>
        <v>0.56874688938864093</v>
      </c>
      <c r="AH781" s="2" t="str">
        <f ca="1"/>
        <v>Bad</v>
      </c>
    </row>
    <row r="782" spans="2:34" x14ac:dyDescent="0.2">
      <c r="B782" s="2">
        <f ca="1"/>
        <v>0.99093852888792022</v>
      </c>
      <c r="O782" s="2">
        <f ca="1"/>
        <v>-0.7695283794744926</v>
      </c>
      <c r="X782" s="2">
        <f ca="1"/>
        <v>29.311629906934726</v>
      </c>
      <c r="AG782" s="2">
        <f ca="1"/>
        <v>0.95072137387860489</v>
      </c>
      <c r="AH782" s="2" t="str">
        <f ca="1"/>
        <v>Bad</v>
      </c>
    </row>
    <row r="783" spans="2:34" x14ac:dyDescent="0.2">
      <c r="B783" s="2">
        <f ca="1"/>
        <v>0.65434238200893113</v>
      </c>
      <c r="O783" s="2">
        <f ca="1"/>
        <v>-1.224643618929002</v>
      </c>
      <c r="X783" s="2">
        <f ca="1"/>
        <v>45.482683796001481</v>
      </c>
      <c r="AG783" s="2">
        <f ca="1"/>
        <v>0.46445812908647333</v>
      </c>
      <c r="AH783" s="2" t="str">
        <f ca="1"/>
        <v>Bad</v>
      </c>
    </row>
    <row r="784" spans="2:34" x14ac:dyDescent="0.2">
      <c r="B784" s="2">
        <f ca="1"/>
        <v>0.57894620606158953</v>
      </c>
      <c r="O784" s="2">
        <f ca="1"/>
        <v>-0.14118456388749187</v>
      </c>
      <c r="X784" s="2">
        <f ca="1"/>
        <v>57.598691352067391</v>
      </c>
      <c r="AG784" s="2">
        <f ca="1"/>
        <v>0.38585195297235209</v>
      </c>
      <c r="AH784" s="2" t="str">
        <f ca="1"/>
        <v>OK</v>
      </c>
    </row>
    <row r="785" spans="2:34" x14ac:dyDescent="0.2">
      <c r="B785" s="2">
        <f ca="1"/>
        <v>0.81002585708389652</v>
      </c>
      <c r="O785" s="2">
        <f ca="1"/>
        <v>0.93647236251080568</v>
      </c>
      <c r="X785" s="2">
        <f ca="1"/>
        <v>47.919219865522209</v>
      </c>
      <c r="AG785" s="2">
        <f ca="1"/>
        <v>0.16239099943229607</v>
      </c>
      <c r="AH785" s="2" t="str">
        <f ca="1"/>
        <v>OK</v>
      </c>
    </row>
    <row r="786" spans="2:34" x14ac:dyDescent="0.2">
      <c r="B786" s="2">
        <f ca="1"/>
        <v>0.57334156199594188</v>
      </c>
      <c r="O786" s="2">
        <f ca="1"/>
        <v>0.55514278006588491</v>
      </c>
      <c r="X786" s="2">
        <f ca="1"/>
        <v>55.13642469831079</v>
      </c>
      <c r="AG786" s="2">
        <f ca="1"/>
        <v>0.27921062086119131</v>
      </c>
      <c r="AH786" s="2" t="str">
        <f ca="1"/>
        <v>OK</v>
      </c>
    </row>
    <row r="787" spans="2:34" x14ac:dyDescent="0.2">
      <c r="B787" s="2">
        <f ca="1"/>
        <v>0.72590877854951374</v>
      </c>
      <c r="O787" s="2">
        <f ca="1"/>
        <v>-0.75001834965439296</v>
      </c>
      <c r="X787" s="2">
        <f ca="1"/>
        <v>46.48241570573412</v>
      </c>
      <c r="AG787" s="2">
        <f ca="1"/>
        <v>0.17111566816089208</v>
      </c>
      <c r="AH787" s="2" t="str">
        <f ca="1"/>
        <v>OK</v>
      </c>
    </row>
    <row r="788" spans="2:34" x14ac:dyDescent="0.2">
      <c r="B788" s="2">
        <f ca="1"/>
        <v>0.793164952436062</v>
      </c>
      <c r="O788" s="2">
        <f ca="1"/>
        <v>-9.5947557277529585E-2</v>
      </c>
      <c r="X788" s="2">
        <f ca="1"/>
        <v>41.146081697626549</v>
      </c>
      <c r="AG788" s="2">
        <f ca="1"/>
        <v>4.8119029860866913E-3</v>
      </c>
      <c r="AH788" s="2" t="str">
        <f ca="1"/>
        <v>Good</v>
      </c>
    </row>
    <row r="789" spans="2:34" x14ac:dyDescent="0.2">
      <c r="B789" s="2">
        <f ca="1"/>
        <v>2.1465034198247857E-2</v>
      </c>
      <c r="O789" s="2">
        <f ca="1"/>
        <v>-0.58507677112542911</v>
      </c>
      <c r="X789" s="2">
        <f ca="1"/>
        <v>71.168277540562315</v>
      </c>
      <c r="AG789" s="2">
        <f ca="1"/>
        <v>8.8987319490704042E-2</v>
      </c>
      <c r="AH789" s="2" t="str">
        <f ca="1"/>
        <v>OK</v>
      </c>
    </row>
    <row r="790" spans="2:34" x14ac:dyDescent="0.2">
      <c r="B790" s="2">
        <f ca="1"/>
        <v>0.95459163451533802</v>
      </c>
      <c r="O790" s="2">
        <f ca="1"/>
        <v>1.0236025163221572</v>
      </c>
      <c r="X790" s="2">
        <f ca="1"/>
        <v>32.190653470879283</v>
      </c>
      <c r="AG790" s="2">
        <f ca="1"/>
        <v>0.8002460526677373</v>
      </c>
      <c r="AH790" s="2" t="str">
        <f ca="1"/>
        <v>Bad</v>
      </c>
    </row>
    <row r="791" spans="2:34" x14ac:dyDescent="0.2">
      <c r="B791" s="2">
        <f ca="1"/>
        <v>0.16266683172018737</v>
      </c>
      <c r="O791" s="2">
        <f ca="1"/>
        <v>3.5355928184721858E-2</v>
      </c>
      <c r="X791" s="2">
        <f ca="1"/>
        <v>56.076834072550533</v>
      </c>
      <c r="AG791" s="2">
        <f ca="1"/>
        <v>0.13023398210705261</v>
      </c>
      <c r="AH791" s="2" t="str">
        <f ca="1"/>
        <v>OK</v>
      </c>
    </row>
    <row r="792" spans="2:34" x14ac:dyDescent="0.2">
      <c r="B792" s="2">
        <f ca="1"/>
        <v>0.14657701304773396</v>
      </c>
      <c r="O792" s="2">
        <f ca="1"/>
        <v>1.6683305841799445</v>
      </c>
      <c r="X792" s="2">
        <f ca="1"/>
        <v>37.924664635522646</v>
      </c>
      <c r="AG792" s="2">
        <f ca="1"/>
        <v>0.5307390206785636</v>
      </c>
      <c r="AH792" s="2" t="str">
        <f ca="1"/>
        <v>Bad</v>
      </c>
    </row>
    <row r="793" spans="2:34" x14ac:dyDescent="0.2">
      <c r="B793" s="2">
        <f ca="1"/>
        <v>0.41180528331927246</v>
      </c>
      <c r="O793" s="2">
        <f ca="1"/>
        <v>-1.4978259652588974</v>
      </c>
      <c r="X793" s="2">
        <f ca="1"/>
        <v>45.394625490528625</v>
      </c>
      <c r="AG793" s="2">
        <f ca="1"/>
        <v>0.46058205928933416</v>
      </c>
      <c r="AH793" s="2" t="str">
        <f ca="1"/>
        <v>Bad</v>
      </c>
    </row>
    <row r="794" spans="2:34" x14ac:dyDescent="0.2">
      <c r="B794" s="2">
        <f ca="1"/>
        <v>0.5315501737134487</v>
      </c>
      <c r="O794" s="2">
        <f ca="1"/>
        <v>0.66866109784770544</v>
      </c>
      <c r="X794" s="2">
        <f ca="1"/>
        <v>50.840591706037983</v>
      </c>
      <c r="AG794" s="2">
        <f ca="1"/>
        <v>0.73298269154935558</v>
      </c>
      <c r="AH794" s="2" t="str">
        <f ca="1"/>
        <v>Bad</v>
      </c>
    </row>
    <row r="795" spans="2:34" x14ac:dyDescent="0.2">
      <c r="B795" s="2">
        <f ca="1"/>
        <v>0.85052856807035315</v>
      </c>
      <c r="O795" s="2">
        <f ca="1"/>
        <v>0.8119821292576308</v>
      </c>
      <c r="X795" s="2">
        <f ca="1"/>
        <v>34.551448722665931</v>
      </c>
      <c r="AG795" s="2">
        <f ca="1"/>
        <v>0.2411914089270788</v>
      </c>
      <c r="AH795" s="2" t="str">
        <f ca="1"/>
        <v>OK</v>
      </c>
    </row>
    <row r="796" spans="2:34" x14ac:dyDescent="0.2">
      <c r="B796" s="2">
        <f ca="1"/>
        <v>9.7834999962814972E-2</v>
      </c>
      <c r="O796" s="2">
        <f ca="1"/>
        <v>1.711386482074986</v>
      </c>
      <c r="X796" s="2">
        <f ca="1"/>
        <v>30.744394301446157</v>
      </c>
      <c r="AG796" s="2">
        <f ca="1"/>
        <v>0.92616136436394969</v>
      </c>
      <c r="AH796" s="2" t="str">
        <f ca="1"/>
        <v>Bad</v>
      </c>
    </row>
    <row r="797" spans="2:34" x14ac:dyDescent="0.2">
      <c r="B797" s="2">
        <f ca="1"/>
        <v>0.18879809671049719</v>
      </c>
      <c r="O797" s="2">
        <f ca="1"/>
        <v>0.35943727284603388</v>
      </c>
      <c r="X797" s="2">
        <f ca="1"/>
        <v>69.970412489998907</v>
      </c>
      <c r="AG797" s="2">
        <f ca="1"/>
        <v>5.0586330669831758E-2</v>
      </c>
      <c r="AH797" s="2" t="str">
        <f ca="1"/>
        <v>OK</v>
      </c>
    </row>
    <row r="798" spans="2:34" x14ac:dyDescent="0.2">
      <c r="B798" s="2">
        <f ca="1"/>
        <v>0.5220539975081071</v>
      </c>
      <c r="O798" s="2">
        <f ca="1"/>
        <v>-0.15228621368561493</v>
      </c>
      <c r="X798" s="2">
        <f ca="1"/>
        <v>43.65650008574238</v>
      </c>
      <c r="AG798" s="2">
        <f ca="1"/>
        <v>0.3857992281611542</v>
      </c>
      <c r="AH798" s="2" t="str">
        <f ca="1"/>
        <v>OK</v>
      </c>
    </row>
    <row r="799" spans="2:34" x14ac:dyDescent="0.2">
      <c r="B799" s="2">
        <f ca="1"/>
        <v>0.96303682189818707</v>
      </c>
      <c r="O799" s="2">
        <f ca="1"/>
        <v>-0.27562313646136055</v>
      </c>
      <c r="X799" s="2">
        <f ca="1"/>
        <v>40.291163298977992</v>
      </c>
      <c r="AG799" s="2">
        <f ca="1"/>
        <v>0.65426538709385662</v>
      </c>
      <c r="AH799" s="2" t="str">
        <f ca="1"/>
        <v>Bad</v>
      </c>
    </row>
    <row r="800" spans="2:34" x14ac:dyDescent="0.2">
      <c r="B800" s="2">
        <f ca="1"/>
        <v>0.79543147797851499</v>
      </c>
      <c r="O800" s="2">
        <f ca="1"/>
        <v>0.53432813773262844</v>
      </c>
      <c r="X800" s="2">
        <f ca="1"/>
        <v>51.08694268726893</v>
      </c>
      <c r="AG800" s="2">
        <f ca="1"/>
        <v>0.22229373717904899</v>
      </c>
      <c r="AH800" s="2" t="str">
        <f ca="1"/>
        <v>OK</v>
      </c>
    </row>
    <row r="801" spans="2:34" x14ac:dyDescent="0.2">
      <c r="B801" s="2">
        <f ca="1"/>
        <v>0.64548776948913944</v>
      </c>
      <c r="O801" s="2">
        <f ca="1"/>
        <v>-0.12638209033256048</v>
      </c>
      <c r="X801" s="2">
        <f ca="1"/>
        <v>70.559389448654755</v>
      </c>
      <c r="AG801" s="2">
        <f ca="1"/>
        <v>0.34326740825389113</v>
      </c>
      <c r="AH801" s="2" t="str">
        <f ca="1"/>
        <v>OK</v>
      </c>
    </row>
    <row r="802" spans="2:34" x14ac:dyDescent="0.2">
      <c r="B802" s="2">
        <f ca="1"/>
        <v>0.49116462518884973</v>
      </c>
      <c r="O802" s="2">
        <f ca="1"/>
        <v>0.34670940146137369</v>
      </c>
      <c r="X802" s="2">
        <f ca="1"/>
        <v>45.725664395434904</v>
      </c>
      <c r="AG802" s="2">
        <f ca="1"/>
        <v>0.78969692589030016</v>
      </c>
      <c r="AH802" s="2" t="str">
        <f ca="1"/>
        <v>Bad</v>
      </c>
    </row>
    <row r="803" spans="2:34" x14ac:dyDescent="0.2">
      <c r="B803" s="2">
        <f ca="1"/>
        <v>0.97160142469765032</v>
      </c>
      <c r="O803" s="2">
        <f ca="1"/>
        <v>-1.6560400901698134</v>
      </c>
      <c r="X803" s="2">
        <f ca="1"/>
        <v>51.063739290455352</v>
      </c>
      <c r="AG803" s="2">
        <f ca="1"/>
        <v>0.62064260804042615</v>
      </c>
      <c r="AH803" s="2" t="str">
        <f ca="1"/>
        <v>Bad</v>
      </c>
    </row>
    <row r="804" spans="2:34" x14ac:dyDescent="0.2">
      <c r="B804" s="2">
        <f ca="1"/>
        <v>0.59748383218855716</v>
      </c>
      <c r="O804" s="2">
        <f ca="1"/>
        <v>1.3452953331441964</v>
      </c>
      <c r="X804" s="2">
        <f ca="1"/>
        <v>26.63934447744878</v>
      </c>
      <c r="AG804" s="2">
        <f ca="1"/>
        <v>0.20225544509755844</v>
      </c>
      <c r="AH804" s="2" t="str">
        <f ca="1"/>
        <v>OK</v>
      </c>
    </row>
    <row r="805" spans="2:34" x14ac:dyDescent="0.2">
      <c r="B805" s="2">
        <f ca="1"/>
        <v>0.8016526789417473</v>
      </c>
      <c r="O805" s="2">
        <f ca="1"/>
        <v>3.1577386846849991</v>
      </c>
      <c r="X805" s="2">
        <f ca="1"/>
        <v>35.669417987562582</v>
      </c>
      <c r="AG805" s="2">
        <f ca="1"/>
        <v>9.2430688611888634E-3</v>
      </c>
      <c r="AH805" s="2" t="str">
        <f ca="1"/>
        <v>Good</v>
      </c>
    </row>
    <row r="806" spans="2:34" x14ac:dyDescent="0.2">
      <c r="B806" s="2">
        <f ca="1"/>
        <v>0.72869913562882882</v>
      </c>
      <c r="O806" s="2">
        <f ca="1"/>
        <v>-1.7163295655489472</v>
      </c>
      <c r="X806" s="2">
        <f ca="1"/>
        <v>26.2973142964129</v>
      </c>
      <c r="AG806" s="2">
        <f ca="1"/>
        <v>0.60967116059681237</v>
      </c>
      <c r="AH806" s="2" t="str">
        <f ca="1"/>
        <v>Bad</v>
      </c>
    </row>
    <row r="807" spans="2:34" x14ac:dyDescent="0.2">
      <c r="B807" s="2">
        <f ca="1"/>
        <v>0.16499165352324296</v>
      </c>
      <c r="O807" s="2">
        <f ca="1"/>
        <v>-0.92711990861428428</v>
      </c>
      <c r="X807" s="2">
        <f ca="1"/>
        <v>38.65145431414205</v>
      </c>
      <c r="AG807" s="2">
        <f ca="1"/>
        <v>3.2860847711361441E-2</v>
      </c>
      <c r="AH807" s="2" t="str">
        <f ca="1"/>
        <v>Good</v>
      </c>
    </row>
    <row r="808" spans="2:34" x14ac:dyDescent="0.2">
      <c r="B808" s="2">
        <f ca="1"/>
        <v>0.38888009887294617</v>
      </c>
      <c r="O808" s="2">
        <f ca="1"/>
        <v>0.87190002661008592</v>
      </c>
      <c r="X808" s="2">
        <f ca="1"/>
        <v>24.221279740987192</v>
      </c>
      <c r="AG808" s="2">
        <f ca="1"/>
        <v>0.90585795209349307</v>
      </c>
      <c r="AH808" s="2" t="str">
        <f ca="1"/>
        <v>Bad</v>
      </c>
    </row>
    <row r="809" spans="2:34" x14ac:dyDescent="0.2">
      <c r="B809" s="2">
        <f ca="1"/>
        <v>7.5579243532749585E-2</v>
      </c>
      <c r="O809" s="2">
        <f ca="1"/>
        <v>1.328455741779079</v>
      </c>
      <c r="X809" s="2">
        <f ca="1"/>
        <v>45.315591038072611</v>
      </c>
      <c r="AG809" s="2">
        <f ca="1"/>
        <v>6.1651987034756717E-2</v>
      </c>
      <c r="AH809" s="2" t="str">
        <f ca="1"/>
        <v>OK</v>
      </c>
    </row>
    <row r="810" spans="2:34" x14ac:dyDescent="0.2">
      <c r="B810" s="2">
        <f ca="1"/>
        <v>5.8388793344081868E-2</v>
      </c>
      <c r="O810" s="2">
        <f ca="1"/>
        <v>0.3216582652254879</v>
      </c>
      <c r="X810" s="2">
        <f ca="1"/>
        <v>66.313874108053128</v>
      </c>
      <c r="AG810" s="2">
        <f ca="1"/>
        <v>0.84654134580731588</v>
      </c>
      <c r="AH810" s="2" t="str">
        <f ca="1"/>
        <v>Bad</v>
      </c>
    </row>
    <row r="811" spans="2:34" x14ac:dyDescent="0.2">
      <c r="B811" s="2">
        <f ca="1"/>
        <v>0.67124357043042426</v>
      </c>
      <c r="O811" s="2">
        <f ca="1"/>
        <v>0.3596541705571123</v>
      </c>
      <c r="X811" s="2">
        <f ca="1"/>
        <v>65.617197444230214</v>
      </c>
      <c r="AG811" s="2">
        <f ca="1"/>
        <v>0.33466381247322441</v>
      </c>
      <c r="AH811" s="2" t="str">
        <f ca="1"/>
        <v>OK</v>
      </c>
    </row>
    <row r="812" spans="2:34" x14ac:dyDescent="0.2">
      <c r="B812" s="2">
        <f ca="1"/>
        <v>0.75687025696291954</v>
      </c>
      <c r="O812" s="2">
        <f ca="1"/>
        <v>-1.4000049756958255</v>
      </c>
      <c r="X812" s="2">
        <f ca="1"/>
        <v>24.538041227396224</v>
      </c>
      <c r="AG812" s="2">
        <f ca="1"/>
        <v>0.45444994557173368</v>
      </c>
      <c r="AH812" s="2" t="str">
        <f ca="1"/>
        <v>Bad</v>
      </c>
    </row>
    <row r="813" spans="2:34" x14ac:dyDescent="0.2">
      <c r="B813" s="2">
        <f ca="1"/>
        <v>0.41007764580650141</v>
      </c>
      <c r="O813" s="2">
        <f ca="1"/>
        <v>-0.63071860619843423</v>
      </c>
      <c r="X813" s="2">
        <f ca="1"/>
        <v>58.329484737032445</v>
      </c>
      <c r="AG813" s="2">
        <f ca="1"/>
        <v>0.76345621167789424</v>
      </c>
      <c r="AH813" s="2" t="str">
        <f ca="1"/>
        <v>Bad</v>
      </c>
    </row>
    <row r="814" spans="2:34" x14ac:dyDescent="0.2">
      <c r="B814" s="2">
        <f ca="1"/>
        <v>0.88420080539660129</v>
      </c>
      <c r="O814" s="2">
        <f ca="1"/>
        <v>-0.43189000767436853</v>
      </c>
      <c r="X814" s="2">
        <f ca="1"/>
        <v>46.423514075892498</v>
      </c>
      <c r="AG814" s="2">
        <f ca="1"/>
        <v>0.63304838487569337</v>
      </c>
      <c r="AH814" s="2" t="str">
        <f ca="1"/>
        <v>Bad</v>
      </c>
    </row>
    <row r="815" spans="2:34" x14ac:dyDescent="0.2">
      <c r="B815" s="2">
        <f ca="1"/>
        <v>5.4048478475343664E-4</v>
      </c>
      <c r="O815" s="2">
        <f ca="1"/>
        <v>-0.22442123415381093</v>
      </c>
      <c r="X815" s="2">
        <f ca="1"/>
        <v>54.630783942345261</v>
      </c>
      <c r="AG815" s="2">
        <f ca="1"/>
        <v>0.39658167236033504</v>
      </c>
      <c r="AH815" s="2" t="str">
        <f ca="1"/>
        <v>OK</v>
      </c>
    </row>
    <row r="816" spans="2:34" x14ac:dyDescent="0.2">
      <c r="B816" s="2">
        <f ca="1"/>
        <v>0.87034334321517814</v>
      </c>
      <c r="O816" s="2">
        <f ca="1"/>
        <v>-2.9809888191118943E-2</v>
      </c>
      <c r="X816" s="2">
        <f ca="1"/>
        <v>45.508836587227435</v>
      </c>
      <c r="AG816" s="2">
        <f ca="1"/>
        <v>0.85970215642906478</v>
      </c>
      <c r="AH816" s="2" t="str">
        <f ca="1"/>
        <v>Bad</v>
      </c>
    </row>
    <row r="817" spans="2:34" x14ac:dyDescent="0.2">
      <c r="B817" s="2">
        <f ca="1"/>
        <v>0.22376489879435346</v>
      </c>
      <c r="O817" s="2">
        <f ca="1"/>
        <v>1.0669005098893407</v>
      </c>
      <c r="X817" s="2">
        <f ca="1"/>
        <v>51.296210364017334</v>
      </c>
      <c r="AG817" s="2">
        <f ca="1"/>
        <v>0.39192832836358216</v>
      </c>
      <c r="AH817" s="2" t="str">
        <f ca="1"/>
        <v>OK</v>
      </c>
    </row>
    <row r="818" spans="2:34" x14ac:dyDescent="0.2">
      <c r="B818" s="2">
        <f ca="1"/>
        <v>0.11183305894099393</v>
      </c>
      <c r="O818" s="2">
        <f ca="1"/>
        <v>-0.46180622260965215</v>
      </c>
      <c r="X818" s="2">
        <f ca="1"/>
        <v>70.834703832851673</v>
      </c>
      <c r="AG818" s="2">
        <f ca="1"/>
        <v>0.92500908531879222</v>
      </c>
      <c r="AH818" s="2" t="str">
        <f ca="1"/>
        <v>Bad</v>
      </c>
    </row>
    <row r="819" spans="2:34" x14ac:dyDescent="0.2">
      <c r="B819" s="2">
        <f ca="1"/>
        <v>5.1336621623879974E-2</v>
      </c>
      <c r="O819" s="2">
        <f ca="1"/>
        <v>-0.58041098256690837</v>
      </c>
      <c r="X819" s="2">
        <f ca="1"/>
        <v>61.314163488178295</v>
      </c>
      <c r="AG819" s="2">
        <f ca="1"/>
        <v>0.50243203258521829</v>
      </c>
      <c r="AH819" s="2" t="str">
        <f ca="1"/>
        <v>Bad</v>
      </c>
    </row>
    <row r="820" spans="2:34" x14ac:dyDescent="0.2">
      <c r="B820" s="2">
        <f ca="1"/>
        <v>0.72542707250953331</v>
      </c>
      <c r="O820" s="2">
        <f ca="1"/>
        <v>3.3430505107391047E-2</v>
      </c>
      <c r="X820" s="2">
        <f ca="1"/>
        <v>41.767183056742539</v>
      </c>
      <c r="AG820" s="2">
        <f ca="1"/>
        <v>0.91128425086499609</v>
      </c>
      <c r="AH820" s="2" t="str">
        <f ca="1"/>
        <v>Bad</v>
      </c>
    </row>
    <row r="821" spans="2:34" x14ac:dyDescent="0.2">
      <c r="B821" s="2">
        <f ca="1"/>
        <v>0.38152370669474056</v>
      </c>
      <c r="O821" s="2">
        <f ca="1"/>
        <v>2.0571214285354831</v>
      </c>
      <c r="X821" s="2">
        <f ca="1"/>
        <v>55.580305144059174</v>
      </c>
      <c r="AG821" s="2">
        <f ca="1"/>
        <v>8.9973222095887762E-2</v>
      </c>
      <c r="AH821" s="2" t="str">
        <f ca="1"/>
        <v>OK</v>
      </c>
    </row>
    <row r="822" spans="2:34" x14ac:dyDescent="0.2">
      <c r="B822" s="2">
        <f ca="1"/>
        <v>0.78786491937770742</v>
      </c>
      <c r="O822" s="2">
        <f ca="1"/>
        <v>-7.7753324790855949E-2</v>
      </c>
      <c r="X822" s="2">
        <f ca="1"/>
        <v>29.727717909309913</v>
      </c>
      <c r="AG822" s="2">
        <f ca="1"/>
        <v>0.8137531698374465</v>
      </c>
      <c r="AH822" s="2" t="str">
        <f ca="1"/>
        <v>Bad</v>
      </c>
    </row>
    <row r="823" spans="2:34" x14ac:dyDescent="0.2">
      <c r="B823" s="2">
        <f ca="1"/>
        <v>0.39704415399344017</v>
      </c>
      <c r="O823" s="2">
        <f ca="1"/>
        <v>-0.22744197993486084</v>
      </c>
      <c r="X823" s="2">
        <f ca="1"/>
        <v>62.398990736637295</v>
      </c>
      <c r="AG823" s="2">
        <f ca="1"/>
        <v>0.13790653026958588</v>
      </c>
      <c r="AH823" s="2" t="str">
        <f ca="1"/>
        <v>OK</v>
      </c>
    </row>
    <row r="824" spans="2:34" x14ac:dyDescent="0.2">
      <c r="B824" s="2">
        <f ca="1"/>
        <v>0.79401015385367679</v>
      </c>
      <c r="O824" s="2">
        <f ca="1"/>
        <v>2.0578330524555493</v>
      </c>
      <c r="X824" s="2">
        <f ca="1"/>
        <v>85.098856148472194</v>
      </c>
      <c r="AG824" s="2">
        <f ca="1"/>
        <v>0.73722905279123885</v>
      </c>
      <c r="AH824" s="2" t="str">
        <f ca="1"/>
        <v>Bad</v>
      </c>
    </row>
    <row r="825" spans="2:34" x14ac:dyDescent="0.2">
      <c r="B825" s="2">
        <f ca="1"/>
        <v>0.66981030298135069</v>
      </c>
      <c r="O825" s="2">
        <f ca="1"/>
        <v>-0.2721754835828763</v>
      </c>
      <c r="X825" s="2">
        <f ca="1"/>
        <v>32.928620258542082</v>
      </c>
      <c r="AG825" s="2">
        <f ca="1"/>
        <v>9.5184215037292352E-2</v>
      </c>
      <c r="AH825" s="2" t="str">
        <f ca="1"/>
        <v>OK</v>
      </c>
    </row>
    <row r="826" spans="2:34" x14ac:dyDescent="0.2">
      <c r="B826" s="2">
        <f ca="1"/>
        <v>0.18237365149084717</v>
      </c>
      <c r="O826" s="2">
        <f ca="1"/>
        <v>4.7321270194274713E-2</v>
      </c>
      <c r="X826" s="2">
        <f ca="1"/>
        <v>41.345411799545275</v>
      </c>
      <c r="AG826" s="2">
        <f ca="1"/>
        <v>0.69156875057323486</v>
      </c>
      <c r="AH826" s="2" t="str">
        <f ca="1"/>
        <v>Bad</v>
      </c>
    </row>
    <row r="827" spans="2:34" x14ac:dyDescent="0.2">
      <c r="B827" s="2">
        <f ca="1"/>
        <v>0.52088573516622549</v>
      </c>
      <c r="O827" s="2">
        <f ca="1"/>
        <v>0.91545920497369249</v>
      </c>
      <c r="X827" s="2">
        <f ca="1"/>
        <v>38.438829360399666</v>
      </c>
      <c r="AG827" s="2">
        <f ca="1"/>
        <v>0.87217549113734383</v>
      </c>
      <c r="AH827" s="2" t="str">
        <f ca="1"/>
        <v>Bad</v>
      </c>
    </row>
    <row r="828" spans="2:34" x14ac:dyDescent="0.2">
      <c r="B828" s="2">
        <f ca="1"/>
        <v>0.35317693245148951</v>
      </c>
      <c r="O828" s="2">
        <f ca="1"/>
        <v>2.3936769682403227</v>
      </c>
      <c r="X828" s="2">
        <f ca="1"/>
        <v>22.810603208701341</v>
      </c>
      <c r="AG828" s="2">
        <f ca="1"/>
        <v>0.18489013263181198</v>
      </c>
      <c r="AH828" s="2" t="str">
        <f ca="1"/>
        <v>OK</v>
      </c>
    </row>
    <row r="829" spans="2:34" x14ac:dyDescent="0.2">
      <c r="B829" s="2">
        <f ca="1"/>
        <v>9.7626312297651507E-2</v>
      </c>
      <c r="O829" s="2">
        <f ca="1"/>
        <v>-0.10204793866085238</v>
      </c>
      <c r="X829" s="2">
        <f ca="1"/>
        <v>39.493064144613584</v>
      </c>
      <c r="AG829" s="2">
        <f ca="1"/>
        <v>0.88499009638961512</v>
      </c>
      <c r="AH829" s="2" t="str">
        <f ca="1"/>
        <v>Bad</v>
      </c>
    </row>
    <row r="830" spans="2:34" x14ac:dyDescent="0.2">
      <c r="B830" s="2">
        <f ca="1"/>
        <v>0.62211856804946497</v>
      </c>
      <c r="O830" s="2">
        <f ca="1"/>
        <v>1.2344068860091217</v>
      </c>
      <c r="X830" s="2">
        <f ca="1"/>
        <v>21.831446405580174</v>
      </c>
      <c r="AG830" s="2">
        <f ca="1"/>
        <v>0.64799938950871239</v>
      </c>
      <c r="AH830" s="2" t="str">
        <f ca="1"/>
        <v>Bad</v>
      </c>
    </row>
    <row r="831" spans="2:34" x14ac:dyDescent="0.2">
      <c r="B831" s="2">
        <f ca="1"/>
        <v>0.10474743790252883</v>
      </c>
      <c r="O831" s="2">
        <f ca="1"/>
        <v>-0.91030049586873307</v>
      </c>
      <c r="X831" s="2">
        <f ca="1"/>
        <v>39.782348557171503</v>
      </c>
      <c r="AG831" s="2">
        <f ca="1"/>
        <v>4.0693476283428787E-2</v>
      </c>
      <c r="AH831" s="2" t="str">
        <f ca="1"/>
        <v>Good</v>
      </c>
    </row>
    <row r="832" spans="2:34" x14ac:dyDescent="0.2">
      <c r="B832" s="2">
        <f ca="1"/>
        <v>0.21799048679120259</v>
      </c>
      <c r="O832" s="2">
        <f ca="1"/>
        <v>0.59747416226362349</v>
      </c>
      <c r="X832" s="2">
        <f ca="1"/>
        <v>30.031763322357573</v>
      </c>
      <c r="AG832" s="2">
        <f ca="1"/>
        <v>0.90746110703018368</v>
      </c>
      <c r="AH832" s="2" t="str">
        <f ca="1"/>
        <v>Bad</v>
      </c>
    </row>
    <row r="833" spans="2:34" x14ac:dyDescent="0.2">
      <c r="B833" s="2">
        <f ca="1"/>
        <v>0.28133706902099243</v>
      </c>
      <c r="O833" s="2">
        <f ca="1"/>
        <v>0.93737827112223526</v>
      </c>
      <c r="X833" s="2">
        <f ca="1"/>
        <v>59.890443645600016</v>
      </c>
      <c r="AG833" s="2">
        <f ca="1"/>
        <v>0.48200405215096631</v>
      </c>
      <c r="AH833" s="2" t="str">
        <f ca="1"/>
        <v>Bad</v>
      </c>
    </row>
    <row r="834" spans="2:34" x14ac:dyDescent="0.2">
      <c r="B834" s="2">
        <f ca="1"/>
        <v>0.6273036791927995</v>
      </c>
      <c r="O834" s="2">
        <f ca="1"/>
        <v>-0.38779139271745322</v>
      </c>
      <c r="X834" s="2">
        <f ca="1"/>
        <v>39.976546466199721</v>
      </c>
      <c r="AG834" s="2">
        <f ca="1"/>
        <v>4.4666602805143674E-2</v>
      </c>
      <c r="AH834" s="2" t="str">
        <f ca="1"/>
        <v>Good</v>
      </c>
    </row>
    <row r="835" spans="2:34" x14ac:dyDescent="0.2">
      <c r="B835" s="2">
        <f ca="1"/>
        <v>0.31509383335095231</v>
      </c>
      <c r="O835" s="2">
        <f ca="1"/>
        <v>-0.70124758116102459</v>
      </c>
      <c r="X835" s="2">
        <f ca="1"/>
        <v>62.464523293979894</v>
      </c>
      <c r="AG835" s="2">
        <f ca="1"/>
        <v>0.83630956003260248</v>
      </c>
      <c r="AH835" s="2" t="str">
        <f ca="1"/>
        <v>Bad</v>
      </c>
    </row>
    <row r="836" spans="2:34" x14ac:dyDescent="0.2">
      <c r="B836" s="2">
        <f ca="1"/>
        <v>0.18330332150769801</v>
      </c>
      <c r="O836" s="2">
        <f ca="1"/>
        <v>2.8692828210707289E-2</v>
      </c>
      <c r="X836" s="2">
        <f ca="1"/>
        <v>49.084334213210504</v>
      </c>
      <c r="AG836" s="2">
        <f ca="1"/>
        <v>0.98741459997061365</v>
      </c>
      <c r="AH836" s="2" t="str">
        <f ca="1"/>
        <v>Bad</v>
      </c>
    </row>
    <row r="837" spans="2:34" x14ac:dyDescent="0.2">
      <c r="B837" s="2">
        <f ca="1"/>
        <v>0.52323746509588598</v>
      </c>
      <c r="O837" s="2">
        <f ca="1"/>
        <v>0.34090103979398539</v>
      </c>
      <c r="X837" s="2">
        <f ca="1"/>
        <v>53.613564728349175</v>
      </c>
      <c r="AG837" s="2">
        <f ca="1"/>
        <v>0.69635227011541612</v>
      </c>
      <c r="AH837" s="2" t="str">
        <f ca="1"/>
        <v>Bad</v>
      </c>
    </row>
    <row r="838" spans="2:34" x14ac:dyDescent="0.2">
      <c r="B838" s="2">
        <f ca="1"/>
        <v>0.57016061939423057</v>
      </c>
      <c r="O838" s="2">
        <f ca="1"/>
        <v>0.82896994162417426</v>
      </c>
      <c r="X838" s="2">
        <f ca="1"/>
        <v>48.598565850588727</v>
      </c>
      <c r="AG838" s="2">
        <f ca="1"/>
        <v>0.82257397899652807</v>
      </c>
      <c r="AH838" s="2" t="str">
        <f ca="1"/>
        <v>Bad</v>
      </c>
    </row>
    <row r="839" spans="2:34" x14ac:dyDescent="0.2">
      <c r="B839" s="2">
        <f ca="1"/>
        <v>0.2413293783308843</v>
      </c>
      <c r="O839" s="2">
        <f ca="1"/>
        <v>0.69532094797010757</v>
      </c>
      <c r="X839" s="2">
        <f ca="1"/>
        <v>42.706638724575761</v>
      </c>
      <c r="AG839" s="2">
        <f ca="1"/>
        <v>0.23770288904001924</v>
      </c>
      <c r="AH839" s="2" t="str">
        <f ca="1"/>
        <v>OK</v>
      </c>
    </row>
    <row r="840" spans="2:34" x14ac:dyDescent="0.2">
      <c r="B840" s="2">
        <f ca="1"/>
        <v>0.21750936628823192</v>
      </c>
      <c r="O840" s="2">
        <f ca="1"/>
        <v>1.6348109104777856E-2</v>
      </c>
      <c r="X840" s="2">
        <f ca="1"/>
        <v>51.692463821214091</v>
      </c>
      <c r="AG840" s="2">
        <f ca="1"/>
        <v>0.37843282792211164</v>
      </c>
      <c r="AH840" s="2" t="str">
        <f ca="1"/>
        <v>OK</v>
      </c>
    </row>
    <row r="841" spans="2:34" x14ac:dyDescent="0.2">
      <c r="B841" s="2">
        <f ca="1"/>
        <v>0.15472829837169311</v>
      </c>
      <c r="O841" s="2">
        <f ca="1"/>
        <v>0.59092915159645554</v>
      </c>
      <c r="X841" s="2">
        <f ca="1"/>
        <v>54.976273001975017</v>
      </c>
      <c r="AG841" s="2">
        <f ca="1"/>
        <v>0.70736949348167988</v>
      </c>
      <c r="AH841" s="2" t="str">
        <f ca="1"/>
        <v>Bad</v>
      </c>
    </row>
    <row r="842" spans="2:34" x14ac:dyDescent="0.2">
      <c r="B842" s="2">
        <f ca="1"/>
        <v>0.31988721329358771</v>
      </c>
      <c r="O842" s="2">
        <f ca="1"/>
        <v>-0.64777577476182191</v>
      </c>
      <c r="X842" s="2">
        <f ca="1"/>
        <v>53.277088332375612</v>
      </c>
      <c r="AG842" s="2">
        <f ca="1"/>
        <v>0.26661465288814101</v>
      </c>
      <c r="AH842" s="2" t="str">
        <f ca="1"/>
        <v>OK</v>
      </c>
    </row>
    <row r="843" spans="2:34" x14ac:dyDescent="0.2">
      <c r="B843" s="2">
        <f ca="1"/>
        <v>0.60931771067929841</v>
      </c>
      <c r="O843" s="2">
        <f ca="1"/>
        <v>-3.8124381575529945E-3</v>
      </c>
      <c r="X843" s="2">
        <f ca="1"/>
        <v>46.672395307686486</v>
      </c>
      <c r="AG843" s="2">
        <f ca="1"/>
        <v>0.20716886441839333</v>
      </c>
      <c r="AH843" s="2" t="str">
        <f ca="1"/>
        <v>OK</v>
      </c>
    </row>
    <row r="844" spans="2:34" x14ac:dyDescent="0.2">
      <c r="B844" s="2">
        <f ca="1"/>
        <v>0.75954559502169294</v>
      </c>
      <c r="O844" s="2">
        <f ca="1"/>
        <v>-1.141431637422053</v>
      </c>
      <c r="X844" s="2">
        <f ca="1"/>
        <v>65.568149316668695</v>
      </c>
      <c r="AG844" s="2">
        <f ca="1"/>
        <v>0.78642329352651119</v>
      </c>
      <c r="AH844" s="2" t="str">
        <f ca="1"/>
        <v>Bad</v>
      </c>
    </row>
    <row r="845" spans="2:34" x14ac:dyDescent="0.2">
      <c r="B845" s="2">
        <f ca="1"/>
        <v>0.47194367685789596</v>
      </c>
      <c r="O845" s="2">
        <f ca="1"/>
        <v>-0.82950827324916354</v>
      </c>
      <c r="X845" s="2">
        <f ca="1"/>
        <v>60.357173465840447</v>
      </c>
      <c r="AG845" s="2">
        <f ca="1"/>
        <v>0.38704404715400864</v>
      </c>
      <c r="AH845" s="2" t="str">
        <f ca="1"/>
        <v>OK</v>
      </c>
    </row>
    <row r="846" spans="2:34" x14ac:dyDescent="0.2">
      <c r="B846" s="2">
        <f ca="1"/>
        <v>0.52137758818371549</v>
      </c>
      <c r="O846" s="2">
        <f ca="1"/>
        <v>-1.1742539290898959</v>
      </c>
      <c r="X846" s="2">
        <f ca="1"/>
        <v>16.556340928372652</v>
      </c>
      <c r="AG846" s="2">
        <f ca="1"/>
        <v>0.54593410504022999</v>
      </c>
      <c r="AH846" s="2" t="str">
        <f ca="1"/>
        <v>Bad</v>
      </c>
    </row>
    <row r="847" spans="2:34" x14ac:dyDescent="0.2">
      <c r="B847" s="2">
        <f ca="1"/>
        <v>0.64834253281958287</v>
      </c>
      <c r="O847" s="2">
        <f ca="1"/>
        <v>-0.77005915437525618</v>
      </c>
      <c r="X847" s="2">
        <f ca="1"/>
        <v>40.611852304195295</v>
      </c>
      <c r="AG847" s="2">
        <f ca="1"/>
        <v>7.4878518527574434E-2</v>
      </c>
      <c r="AH847" s="2" t="str">
        <f ca="1"/>
        <v>OK</v>
      </c>
    </row>
    <row r="848" spans="2:34" x14ac:dyDescent="0.2">
      <c r="B848" s="2">
        <f ca="1"/>
        <v>0.56931770275084315</v>
      </c>
      <c r="O848" s="2">
        <f ca="1"/>
        <v>0.30424519588456217</v>
      </c>
      <c r="X848" s="2">
        <f ca="1"/>
        <v>24.737059821087584</v>
      </c>
      <c r="AG848" s="2">
        <f ca="1"/>
        <v>0.1007995892878486</v>
      </c>
      <c r="AH848" s="2" t="str">
        <f ca="1"/>
        <v>OK</v>
      </c>
    </row>
    <row r="849" spans="2:34" x14ac:dyDescent="0.2">
      <c r="B849" s="2">
        <f ca="1"/>
        <v>0.17716957392196964</v>
      </c>
      <c r="O849" s="2">
        <f ca="1"/>
        <v>-0.10450166934495396</v>
      </c>
      <c r="X849" s="2">
        <f ca="1"/>
        <v>50.752546770161324</v>
      </c>
      <c r="AG849" s="2">
        <f ca="1"/>
        <v>0.9504488275261147</v>
      </c>
      <c r="AH849" s="2" t="str">
        <f ca="1"/>
        <v>Bad</v>
      </c>
    </row>
    <row r="850" spans="2:34" x14ac:dyDescent="0.2">
      <c r="B850" s="2">
        <f ca="1"/>
        <v>0.86660226805265261</v>
      </c>
      <c r="O850" s="2">
        <f ca="1"/>
        <v>-0.52496931189891649</v>
      </c>
      <c r="X850" s="2">
        <f ca="1"/>
        <v>31.050956590443572</v>
      </c>
      <c r="AG850" s="2">
        <f ca="1"/>
        <v>0.16991715465038926</v>
      </c>
      <c r="AH850" s="2" t="str">
        <f ca="1"/>
        <v>OK</v>
      </c>
    </row>
    <row r="851" spans="2:34" x14ac:dyDescent="0.2">
      <c r="B851" s="2">
        <f ca="1"/>
        <v>0.31639000747338675</v>
      </c>
      <c r="O851" s="2">
        <f ca="1"/>
        <v>1.3161927070743189</v>
      </c>
      <c r="X851" s="2">
        <f ca="1"/>
        <v>30.122845040488009</v>
      </c>
      <c r="AG851" s="2">
        <f ca="1"/>
        <v>3.6997776826253936E-2</v>
      </c>
      <c r="AH851" s="2" t="str">
        <f ca="1"/>
        <v>Good</v>
      </c>
    </row>
    <row r="852" spans="2:34" x14ac:dyDescent="0.2">
      <c r="B852" s="2">
        <f ca="1"/>
        <v>0.35324381046850051</v>
      </c>
      <c r="O852" s="2">
        <f ca="1"/>
        <v>0.77913693545874774</v>
      </c>
      <c r="X852" s="2">
        <f ca="1"/>
        <v>45.933963517641878</v>
      </c>
      <c r="AG852" s="2">
        <f ca="1"/>
        <v>0.90459437788790553</v>
      </c>
      <c r="AH852" s="2" t="str">
        <f ca="1"/>
        <v>Bad</v>
      </c>
    </row>
    <row r="853" spans="2:34" x14ac:dyDescent="0.2">
      <c r="B853" s="2">
        <f ca="1"/>
        <v>0.74777184354297432</v>
      </c>
      <c r="O853" s="2">
        <f ca="1"/>
        <v>0.40956963451266215</v>
      </c>
      <c r="X853" s="2">
        <f ca="1"/>
        <v>42.85979036523679</v>
      </c>
      <c r="AG853" s="2">
        <f ca="1"/>
        <v>0.47384573113796025</v>
      </c>
      <c r="AH853" s="2" t="str">
        <f ca="1"/>
        <v>Bad</v>
      </c>
    </row>
    <row r="854" spans="2:34" x14ac:dyDescent="0.2">
      <c r="B854" s="2">
        <f ca="1"/>
        <v>0.47026690571739649</v>
      </c>
      <c r="O854" s="2">
        <f ca="1"/>
        <v>-2.2139950123991397</v>
      </c>
      <c r="X854" s="2">
        <f ca="1"/>
        <v>70.831628467756659</v>
      </c>
      <c r="AG854" s="2">
        <f ca="1"/>
        <v>0.29375485381451893</v>
      </c>
      <c r="AH854" s="2" t="str">
        <f ca="1"/>
        <v>OK</v>
      </c>
    </row>
    <row r="855" spans="2:34" x14ac:dyDescent="0.2">
      <c r="B855" s="2">
        <f ca="1"/>
        <v>0.45839208490575256</v>
      </c>
      <c r="O855" s="2">
        <f ca="1"/>
        <v>0.88135595099543973</v>
      </c>
      <c r="X855" s="2">
        <f ca="1"/>
        <v>43.458822068132704</v>
      </c>
      <c r="AG855" s="2">
        <f ca="1"/>
        <v>0.86809939704556682</v>
      </c>
      <c r="AH855" s="2" t="str">
        <f ca="1"/>
        <v>Bad</v>
      </c>
    </row>
    <row r="856" spans="2:34" x14ac:dyDescent="0.2">
      <c r="B856" s="2">
        <f ca="1"/>
        <v>0.96822438666725552</v>
      </c>
      <c r="O856" s="2">
        <f ca="1"/>
        <v>-1.0793997535186743</v>
      </c>
      <c r="X856" s="2">
        <f ca="1"/>
        <v>54.671847813208664</v>
      </c>
      <c r="AG856" s="2">
        <f ca="1"/>
        <v>0.76601991579147044</v>
      </c>
      <c r="AH856" s="2" t="str">
        <f ca="1"/>
        <v>Bad</v>
      </c>
    </row>
    <row r="857" spans="2:34" x14ac:dyDescent="0.2">
      <c r="B857" s="2">
        <f ca="1"/>
        <v>0.12626699654809737</v>
      </c>
      <c r="O857" s="2">
        <f ca="1"/>
        <v>-0.13679882132890517</v>
      </c>
      <c r="X857" s="2">
        <f ca="1"/>
        <v>48.687267224358671</v>
      </c>
      <c r="AG857" s="2">
        <f ca="1"/>
        <v>4.5071874458787908E-2</v>
      </c>
      <c r="AH857" s="2" t="str">
        <f ca="1"/>
        <v>Good</v>
      </c>
    </row>
    <row r="858" spans="2:34" x14ac:dyDescent="0.2">
      <c r="B858" s="2">
        <f ca="1"/>
        <v>0.42977838822682957</v>
      </c>
      <c r="O858" s="2">
        <f ca="1"/>
        <v>0.20145501677928193</v>
      </c>
      <c r="X858" s="2">
        <f ca="1"/>
        <v>56.035660910332616</v>
      </c>
      <c r="AG858" s="2">
        <f ca="1"/>
        <v>0.33770170145568157</v>
      </c>
      <c r="AH858" s="2" t="str">
        <f ca="1"/>
        <v>OK</v>
      </c>
    </row>
    <row r="859" spans="2:34" x14ac:dyDescent="0.2">
      <c r="B859" s="2">
        <f ca="1"/>
        <v>0.4666797394169433</v>
      </c>
      <c r="O859" s="2">
        <f ca="1"/>
        <v>1.1997593058442348</v>
      </c>
      <c r="X859" s="2">
        <f ca="1"/>
        <v>68.228696979822161</v>
      </c>
      <c r="AG859" s="2">
        <f ca="1"/>
        <v>0.62291860556962275</v>
      </c>
      <c r="AH859" s="2" t="str">
        <f ca="1"/>
        <v>Bad</v>
      </c>
    </row>
    <row r="860" spans="2:34" x14ac:dyDescent="0.2">
      <c r="B860" s="2">
        <f ca="1"/>
        <v>0.83226051496770515</v>
      </c>
      <c r="O860" s="2">
        <f ca="1"/>
        <v>1.042032632166408</v>
      </c>
      <c r="X860" s="2">
        <f ca="1"/>
        <v>36.185469104120024</v>
      </c>
      <c r="AG860" s="2">
        <f ca="1"/>
        <v>0.26105687748247064</v>
      </c>
      <c r="AH860" s="2" t="str">
        <f ca="1"/>
        <v>OK</v>
      </c>
    </row>
    <row r="861" spans="2:34" x14ac:dyDescent="0.2">
      <c r="B861" s="2">
        <f ca="1"/>
        <v>0.34522057564043651</v>
      </c>
      <c r="O861" s="2">
        <f ca="1"/>
        <v>-0.8397279549200648</v>
      </c>
      <c r="X861" s="2">
        <f ca="1"/>
        <v>52.45390505151888</v>
      </c>
      <c r="AG861" s="2">
        <f ca="1"/>
        <v>0.37028267964435657</v>
      </c>
      <c r="AH861" s="2" t="str">
        <f ca="1"/>
        <v>OK</v>
      </c>
    </row>
    <row r="862" spans="2:34" x14ac:dyDescent="0.2">
      <c r="B862" s="2">
        <f ca="1"/>
        <v>0.67827642423970524</v>
      </c>
      <c r="O862" s="2">
        <f ca="1"/>
        <v>1.7769852011276834</v>
      </c>
      <c r="X862" s="2">
        <f ca="1"/>
        <v>38.651330635160292</v>
      </c>
      <c r="AG862" s="2">
        <f ca="1"/>
        <v>0.85095189763719126</v>
      </c>
      <c r="AH862" s="2" t="str">
        <f ca="1"/>
        <v>Bad</v>
      </c>
    </row>
    <row r="863" spans="2:34" x14ac:dyDescent="0.2">
      <c r="B863" s="2">
        <f ca="1"/>
        <v>0.48111650777912063</v>
      </c>
      <c r="O863" s="2">
        <f ca="1"/>
        <v>0.28526274283594982</v>
      </c>
      <c r="X863" s="2">
        <f ca="1"/>
        <v>26.00242284847209</v>
      </c>
      <c r="AG863" s="2">
        <f ca="1"/>
        <v>0.28357025446269479</v>
      </c>
      <c r="AH863" s="2" t="str">
        <f ca="1"/>
        <v>OK</v>
      </c>
    </row>
    <row r="864" spans="2:34" x14ac:dyDescent="0.2">
      <c r="B864" s="2">
        <f ca="1"/>
        <v>0.62889416267207343</v>
      </c>
      <c r="O864" s="2">
        <f ca="1"/>
        <v>-0.38607438595270205</v>
      </c>
      <c r="X864" s="2">
        <f ca="1"/>
        <v>70.993613317227641</v>
      </c>
      <c r="AG864" s="2">
        <f ca="1"/>
        <v>0.98853196060315796</v>
      </c>
      <c r="AH864" s="2" t="str">
        <f ca="1"/>
        <v>Bad</v>
      </c>
    </row>
    <row r="865" spans="2:34" x14ac:dyDescent="0.2">
      <c r="B865" s="2">
        <f ca="1"/>
        <v>0.73631175953713202</v>
      </c>
      <c r="O865" s="2">
        <f ca="1"/>
        <v>-1.0760761622870529</v>
      </c>
      <c r="X865" s="2">
        <f ca="1"/>
        <v>67.110299375078426</v>
      </c>
      <c r="AG865" s="2">
        <f ca="1"/>
        <v>0.40294383058008032</v>
      </c>
      <c r="AH865" s="2" t="str">
        <f ca="1"/>
        <v>Bad</v>
      </c>
    </row>
    <row r="866" spans="2:34" x14ac:dyDescent="0.2">
      <c r="B866" s="2">
        <f ca="1"/>
        <v>0.31678982834159441</v>
      </c>
      <c r="O866" s="2">
        <f ca="1"/>
        <v>-0.87524866529529499</v>
      </c>
      <c r="X866" s="2">
        <f ca="1"/>
        <v>56.928981819711197</v>
      </c>
      <c r="AG866" s="2">
        <f ca="1"/>
        <v>1.6585152092213562E-2</v>
      </c>
      <c r="AH866" s="2" t="str">
        <f ca="1"/>
        <v>Good</v>
      </c>
    </row>
    <row r="867" spans="2:34" x14ac:dyDescent="0.2">
      <c r="B867" s="2">
        <f ca="1"/>
        <v>0.26573645070320606</v>
      </c>
      <c r="O867" s="2">
        <f ca="1"/>
        <v>-0.96074436330327928</v>
      </c>
      <c r="X867" s="2">
        <f ca="1"/>
        <v>35.108046569022456</v>
      </c>
      <c r="AG867" s="2">
        <f ca="1"/>
        <v>0.35315863290425331</v>
      </c>
      <c r="AH867" s="2" t="str">
        <f ca="1"/>
        <v>OK</v>
      </c>
    </row>
    <row r="868" spans="2:34" x14ac:dyDescent="0.2">
      <c r="B868" s="2">
        <f ca="1"/>
        <v>0.79103034953262452</v>
      </c>
      <c r="O868" s="2">
        <f ca="1"/>
        <v>1.05991003858416</v>
      </c>
      <c r="X868" s="2">
        <f ca="1"/>
        <v>49.055413439887644</v>
      </c>
      <c r="AG868" s="2">
        <f ca="1"/>
        <v>0.35061653172899199</v>
      </c>
      <c r="AH868" s="2" t="str">
        <f ca="1"/>
        <v>OK</v>
      </c>
    </row>
    <row r="869" spans="2:34" x14ac:dyDescent="0.2">
      <c r="B869" s="2">
        <f ca="1"/>
        <v>0.43828616565990663</v>
      </c>
      <c r="O869" s="2">
        <f ca="1"/>
        <v>-0.97159489204275973</v>
      </c>
      <c r="X869" s="2">
        <f ca="1"/>
        <v>43.353768518364568</v>
      </c>
      <c r="AG869" s="2">
        <f ca="1"/>
        <v>7.0744426065165955E-2</v>
      </c>
      <c r="AH869" s="2" t="str">
        <f ca="1"/>
        <v>OK</v>
      </c>
    </row>
    <row r="870" spans="2:34" x14ac:dyDescent="0.2">
      <c r="B870" s="2">
        <f ca="1"/>
        <v>0.69946170620952519</v>
      </c>
      <c r="O870" s="2">
        <f ca="1"/>
        <v>-0.1748419766322688</v>
      </c>
      <c r="X870" s="2">
        <f ca="1"/>
        <v>62.533518288551377</v>
      </c>
      <c r="AG870" s="2">
        <f ca="1"/>
        <v>0.68103119564027881</v>
      </c>
      <c r="AH870" s="2" t="str">
        <f ca="1"/>
        <v>Bad</v>
      </c>
    </row>
    <row r="871" spans="2:34" x14ac:dyDescent="0.2">
      <c r="B871" s="2">
        <f ca="1"/>
        <v>0.4935636475705385</v>
      </c>
      <c r="O871" s="2">
        <f ca="1"/>
        <v>-4.7740078652806104E-3</v>
      </c>
      <c r="X871" s="2">
        <f ca="1"/>
        <v>15.563531264561099</v>
      </c>
      <c r="AG871" s="2">
        <f ca="1"/>
        <v>0.81373709078701739</v>
      </c>
      <c r="AH871" s="2" t="str">
        <f ca="1"/>
        <v>Bad</v>
      </c>
    </row>
    <row r="872" spans="2:34" x14ac:dyDescent="0.2">
      <c r="B872" s="2">
        <f ca="1"/>
        <v>0.28329078101155303</v>
      </c>
      <c r="O872" s="2">
        <f ca="1"/>
        <v>0.40190805714987565</v>
      </c>
      <c r="X872" s="2">
        <f ca="1"/>
        <v>40.78123413720909</v>
      </c>
      <c r="AG872" s="2">
        <f ca="1"/>
        <v>0.31789891966385908</v>
      </c>
      <c r="AH872" s="2" t="str">
        <f ca="1"/>
        <v>OK</v>
      </c>
    </row>
    <row r="873" spans="2:34" x14ac:dyDescent="0.2">
      <c r="B873" s="2">
        <f ca="1"/>
        <v>0.92645269545090914</v>
      </c>
      <c r="O873" s="2">
        <f ca="1"/>
        <v>-0.49546866021256591</v>
      </c>
      <c r="X873" s="2">
        <f ca="1"/>
        <v>59.654056983133046</v>
      </c>
      <c r="AG873" s="2">
        <f ca="1"/>
        <v>0.32924740038558142</v>
      </c>
      <c r="AH873" s="2" t="str">
        <f ca="1"/>
        <v>OK</v>
      </c>
    </row>
    <row r="874" spans="2:34" x14ac:dyDescent="0.2">
      <c r="B874" s="2">
        <f ca="1"/>
        <v>0.50108265579581679</v>
      </c>
      <c r="O874" s="2">
        <f ca="1"/>
        <v>-0.69397804106159233</v>
      </c>
      <c r="X874" s="2">
        <f ca="1"/>
        <v>47.131562855758595</v>
      </c>
      <c r="AG874" s="2">
        <f ca="1"/>
        <v>0.80554208482537448</v>
      </c>
      <c r="AH874" s="2" t="str">
        <f ca="1"/>
        <v>Bad</v>
      </c>
    </row>
    <row r="875" spans="2:34" x14ac:dyDescent="0.2">
      <c r="B875" s="2">
        <f ca="1"/>
        <v>0.89646430974100522</v>
      </c>
      <c r="O875" s="2">
        <f ca="1"/>
        <v>1.3064081507766787</v>
      </c>
      <c r="X875" s="2">
        <f ca="1"/>
        <v>37.176379186462498</v>
      </c>
      <c r="AG875" s="2">
        <f ca="1"/>
        <v>0.48301295656181442</v>
      </c>
      <c r="AH875" s="2" t="str">
        <f ca="1"/>
        <v>Bad</v>
      </c>
    </row>
    <row r="876" spans="2:34" x14ac:dyDescent="0.2">
      <c r="B876" s="2">
        <f ca="1"/>
        <v>0.95967459068777461</v>
      </c>
      <c r="O876" s="2">
        <f ca="1"/>
        <v>-1.1089464742624191</v>
      </c>
      <c r="X876" s="2">
        <f ca="1"/>
        <v>50.737394147326697</v>
      </c>
      <c r="AG876" s="2">
        <f ca="1"/>
        <v>0.85930697619760754</v>
      </c>
      <c r="AH876" s="2" t="str">
        <f ca="1"/>
        <v>Bad</v>
      </c>
    </row>
    <row r="877" spans="2:34" x14ac:dyDescent="0.2">
      <c r="B877" s="2">
        <f ca="1"/>
        <v>0.38304676911228319</v>
      </c>
      <c r="O877" s="2">
        <f ca="1"/>
        <v>-0.6180500751799004</v>
      </c>
      <c r="X877" s="2">
        <f ca="1"/>
        <v>48.128355364546266</v>
      </c>
      <c r="AG877" s="2">
        <f ca="1"/>
        <v>0.10560546399476323</v>
      </c>
      <c r="AH877" s="2" t="str">
        <f ca="1"/>
        <v>OK</v>
      </c>
    </row>
    <row r="878" spans="2:34" x14ac:dyDescent="0.2">
      <c r="B878" s="2">
        <f ca="1"/>
        <v>0.12865724529606148</v>
      </c>
      <c r="O878" s="2">
        <f ca="1"/>
        <v>7.1120293325184311E-2</v>
      </c>
      <c r="X878" s="2">
        <f ca="1"/>
        <v>46.579149074813664</v>
      </c>
      <c r="AG878" s="2">
        <f ca="1"/>
        <v>0.65943920680858703</v>
      </c>
      <c r="AH878" s="2" t="str">
        <f ca="1"/>
        <v>Bad</v>
      </c>
    </row>
    <row r="879" spans="2:34" x14ac:dyDescent="0.2">
      <c r="B879" s="2">
        <f ca="1"/>
        <v>0.63508269646712723</v>
      </c>
      <c r="O879" s="2">
        <f ca="1"/>
        <v>0.85241512292338206</v>
      </c>
      <c r="X879" s="2">
        <f ca="1"/>
        <v>29.774153015145146</v>
      </c>
      <c r="AG879" s="2">
        <f ca="1"/>
        <v>0.70804747519473255</v>
      </c>
      <c r="AH879" s="2" t="str">
        <f ca="1"/>
        <v>Bad</v>
      </c>
    </row>
    <row r="880" spans="2:34" x14ac:dyDescent="0.2">
      <c r="B880" s="2">
        <f ca="1"/>
        <v>0.85562049630545478</v>
      </c>
      <c r="O880" s="2">
        <f ca="1"/>
        <v>0.16567562090516497</v>
      </c>
      <c r="X880" s="2">
        <f ca="1"/>
        <v>58.547058984983124</v>
      </c>
      <c r="AG880" s="2">
        <f ca="1"/>
        <v>0.58871728928991751</v>
      </c>
      <c r="AH880" s="2" t="str">
        <f ca="1"/>
        <v>Bad</v>
      </c>
    </row>
    <row r="881" spans="2:34" x14ac:dyDescent="0.2">
      <c r="B881" s="2">
        <f ca="1"/>
        <v>0.88968504006472604</v>
      </c>
      <c r="O881" s="2">
        <f ca="1"/>
        <v>0.44116544528040091</v>
      </c>
      <c r="X881" s="2">
        <f ca="1"/>
        <v>58.299032996041817</v>
      </c>
      <c r="AG881" s="2">
        <f ca="1"/>
        <v>0.1191951736402308</v>
      </c>
      <c r="AH881" s="2" t="str">
        <f ca="1"/>
        <v>OK</v>
      </c>
    </row>
    <row r="882" spans="2:34" x14ac:dyDescent="0.2">
      <c r="B882" s="2">
        <f ca="1"/>
        <v>0.30839369894472535</v>
      </c>
      <c r="O882" s="2">
        <f ca="1"/>
        <v>-1.6544497879103757</v>
      </c>
      <c r="X882" s="2">
        <f ca="1"/>
        <v>50.442129254112523</v>
      </c>
      <c r="AG882" s="2">
        <f ca="1"/>
        <v>6.3563516882224169E-2</v>
      </c>
      <c r="AH882" s="2" t="str">
        <f ca="1"/>
        <v>OK</v>
      </c>
    </row>
    <row r="883" spans="2:34" x14ac:dyDescent="0.2">
      <c r="B883" s="2">
        <f ca="1"/>
        <v>0.43427095542651939</v>
      </c>
      <c r="O883" s="2">
        <f ca="1"/>
        <v>0.42221805515559396</v>
      </c>
      <c r="X883" s="2">
        <f ca="1"/>
        <v>76.542325291133025</v>
      </c>
      <c r="AG883" s="2">
        <f ca="1"/>
        <v>0.72911897387921987</v>
      </c>
      <c r="AH883" s="2" t="str">
        <f ca="1"/>
        <v>Bad</v>
      </c>
    </row>
    <row r="884" spans="2:34" x14ac:dyDescent="0.2">
      <c r="B884" s="2">
        <f ca="1"/>
        <v>0.71152756797695593</v>
      </c>
      <c r="O884" s="2">
        <f ca="1"/>
        <v>0.59525294241681004</v>
      </c>
      <c r="X884" s="2">
        <f ca="1"/>
        <v>50.603562492695701</v>
      </c>
      <c r="AG884" s="2">
        <f ca="1"/>
        <v>0.92425461601756509</v>
      </c>
      <c r="AH884" s="2" t="str">
        <f ca="1"/>
        <v>Bad</v>
      </c>
    </row>
    <row r="885" spans="2:34" x14ac:dyDescent="0.2">
      <c r="B885" s="2">
        <f ca="1"/>
        <v>0.81115067816489628</v>
      </c>
      <c r="O885" s="2">
        <f ca="1"/>
        <v>-0.14283157917780939</v>
      </c>
      <c r="X885" s="2">
        <f ca="1"/>
        <v>57.540882573528805</v>
      </c>
      <c r="AG885" s="2">
        <f ca="1"/>
        <v>0.35601528913939817</v>
      </c>
      <c r="AH885" s="2" t="str">
        <f ca="1"/>
        <v>OK</v>
      </c>
    </row>
    <row r="886" spans="2:34" x14ac:dyDescent="0.2">
      <c r="B886" s="2">
        <f ca="1"/>
        <v>2.6195764464538307E-2</v>
      </c>
      <c r="O886" s="2">
        <f ca="1"/>
        <v>0.25018045108380238</v>
      </c>
      <c r="X886" s="2">
        <f ca="1"/>
        <v>31.985737852793736</v>
      </c>
      <c r="AG886" s="2">
        <f ca="1"/>
        <v>0.45326150960606348</v>
      </c>
      <c r="AH886" s="2" t="str">
        <f ca="1"/>
        <v>Bad</v>
      </c>
    </row>
    <row r="887" spans="2:34" x14ac:dyDescent="0.2">
      <c r="B887" s="2">
        <f ca="1"/>
        <v>0.25017412607921874</v>
      </c>
      <c r="O887" s="2">
        <f ca="1"/>
        <v>-0.37003572348226649</v>
      </c>
      <c r="X887" s="2">
        <f ca="1"/>
        <v>37.93611453935312</v>
      </c>
      <c r="AG887" s="2">
        <f ca="1"/>
        <v>3.7541574419269752E-2</v>
      </c>
      <c r="AH887" s="2" t="str">
        <f ca="1"/>
        <v>Good</v>
      </c>
    </row>
    <row r="888" spans="2:34" x14ac:dyDescent="0.2">
      <c r="B888" s="2">
        <f ca="1"/>
        <v>0.78002663786311133</v>
      </c>
      <c r="O888" s="2">
        <f ca="1"/>
        <v>-0.65584365199329597</v>
      </c>
      <c r="X888" s="2">
        <f ca="1"/>
        <v>36.248765318921123</v>
      </c>
      <c r="AG888" s="2">
        <f ca="1"/>
        <v>0.90286159427495449</v>
      </c>
      <c r="AH888" s="2" t="str">
        <f ca="1"/>
        <v>Bad</v>
      </c>
    </row>
    <row r="889" spans="2:34" x14ac:dyDescent="0.2">
      <c r="B889" s="2">
        <f ca="1"/>
        <v>0.65288459699469925</v>
      </c>
      <c r="O889" s="2">
        <f ca="1"/>
        <v>-0.35946003561546963</v>
      </c>
      <c r="X889" s="2">
        <f ca="1"/>
        <v>66.647338639739331</v>
      </c>
      <c r="AG889" s="2">
        <f ca="1"/>
        <v>0.33664547247260601</v>
      </c>
      <c r="AH889" s="2" t="str">
        <f ca="1"/>
        <v>OK</v>
      </c>
    </row>
    <row r="890" spans="2:34" x14ac:dyDescent="0.2">
      <c r="B890" s="2">
        <f ca="1"/>
        <v>0.91635495242887965</v>
      </c>
      <c r="O890" s="2">
        <f ca="1"/>
        <v>-1.2422694276604762</v>
      </c>
      <c r="X890" s="2">
        <f ca="1"/>
        <v>37.887131434764385</v>
      </c>
      <c r="AG890" s="2">
        <f ca="1"/>
        <v>0.56024830795672687</v>
      </c>
      <c r="AH890" s="2" t="str">
        <f ca="1"/>
        <v>Bad</v>
      </c>
    </row>
    <row r="891" spans="2:34" x14ac:dyDescent="0.2">
      <c r="B891" s="2">
        <f ca="1"/>
        <v>7.7995418779438941E-2</v>
      </c>
      <c r="O891" s="2">
        <f ca="1"/>
        <v>0.35065511556971368</v>
      </c>
      <c r="X891" s="2">
        <f ca="1"/>
        <v>54.179218688011289</v>
      </c>
      <c r="AG891" s="2">
        <f ca="1"/>
        <v>0.13771625406322108</v>
      </c>
      <c r="AH891" s="2" t="str">
        <f ca="1"/>
        <v>OK</v>
      </c>
    </row>
    <row r="892" spans="2:34" x14ac:dyDescent="0.2">
      <c r="B892" s="2">
        <f ca="1"/>
        <v>0.50998946915857024</v>
      </c>
      <c r="O892" s="2">
        <f ca="1"/>
        <v>0.44717212100379733</v>
      </c>
      <c r="X892" s="2">
        <f ca="1"/>
        <v>72.667819024497661</v>
      </c>
      <c r="AG892" s="2">
        <f ca="1"/>
        <v>0.37424526798830327</v>
      </c>
      <c r="AH892" s="2" t="str">
        <f ca="1"/>
        <v>OK</v>
      </c>
    </row>
    <row r="893" spans="2:34" x14ac:dyDescent="0.2">
      <c r="B893" s="2">
        <f ca="1"/>
        <v>0.79805008958735169</v>
      </c>
      <c r="O893" s="2">
        <f ca="1"/>
        <v>-0.75895645931619626</v>
      </c>
      <c r="X893" s="2">
        <f ca="1"/>
        <v>42.810624168112071</v>
      </c>
      <c r="AG893" s="2">
        <f ca="1"/>
        <v>0.85419086591642723</v>
      </c>
      <c r="AH893" s="2" t="str">
        <f ca="1"/>
        <v>Bad</v>
      </c>
    </row>
    <row r="894" spans="2:34" x14ac:dyDescent="0.2">
      <c r="B894" s="2">
        <f ca="1"/>
        <v>0.7517312677406256</v>
      </c>
      <c r="O894" s="2">
        <f ca="1"/>
        <v>9.6385456694094054E-2</v>
      </c>
      <c r="X894" s="2">
        <f ca="1"/>
        <v>39.672049969531137</v>
      </c>
      <c r="AG894" s="2">
        <f ca="1"/>
        <v>0.75675223064365738</v>
      </c>
      <c r="AH894" s="2" t="str">
        <f ca="1"/>
        <v>Bad</v>
      </c>
    </row>
    <row r="895" spans="2:34" x14ac:dyDescent="0.2">
      <c r="B895" s="2">
        <f ca="1"/>
        <v>0.46694486256247414</v>
      </c>
      <c r="O895" s="2">
        <f ca="1"/>
        <v>-1.3781193427961604</v>
      </c>
      <c r="X895" s="2">
        <f ca="1"/>
        <v>61.828332468499887</v>
      </c>
      <c r="AG895" s="2">
        <f ca="1"/>
        <v>0.52931893462730284</v>
      </c>
      <c r="AH895" s="2" t="str">
        <f ca="1"/>
        <v>Bad</v>
      </c>
    </row>
    <row r="896" spans="2:34" x14ac:dyDescent="0.2">
      <c r="B896" s="2">
        <f ca="1"/>
        <v>0.74237490498480341</v>
      </c>
      <c r="O896" s="2">
        <f ca="1"/>
        <v>-0.68136679448561754</v>
      </c>
      <c r="X896" s="2">
        <f ca="1"/>
        <v>62.149546401507536</v>
      </c>
      <c r="AG896" s="2">
        <f ca="1"/>
        <v>0.73297022595002437</v>
      </c>
      <c r="AH896" s="2" t="str">
        <f ca="1"/>
        <v>Bad</v>
      </c>
    </row>
    <row r="897" spans="2:34" x14ac:dyDescent="0.2">
      <c r="B897" s="2">
        <f ca="1"/>
        <v>0.28305499960285418</v>
      </c>
      <c r="O897" s="2">
        <f ca="1"/>
        <v>-1.868006537842358</v>
      </c>
      <c r="X897" s="2">
        <f ca="1"/>
        <v>42.18670405186397</v>
      </c>
      <c r="AG897" s="2">
        <f ca="1"/>
        <v>0.77358203063944875</v>
      </c>
      <c r="AH897" s="2" t="str">
        <f ca="1"/>
        <v>Bad</v>
      </c>
    </row>
    <row r="898" spans="2:34" x14ac:dyDescent="0.2">
      <c r="B898" s="2">
        <f ca="1"/>
        <v>0.41931533006709976</v>
      </c>
      <c r="O898" s="2">
        <f ca="1"/>
        <v>-1.2816934448647455</v>
      </c>
      <c r="X898" s="2">
        <f ca="1"/>
        <v>33.472419569126394</v>
      </c>
      <c r="AG898" s="2">
        <f ca="1"/>
        <v>0.62100868114710761</v>
      </c>
      <c r="AH898" s="2" t="str">
        <f ca="1"/>
        <v>Bad</v>
      </c>
    </row>
    <row r="899" spans="2:34" x14ac:dyDescent="0.2">
      <c r="B899" s="2">
        <f ca="1"/>
        <v>0.94678120123623577</v>
      </c>
      <c r="O899" s="2">
        <f ca="1"/>
        <v>-0.28324945475110619</v>
      </c>
      <c r="X899" s="2">
        <f ca="1"/>
        <v>55.019210967625995</v>
      </c>
      <c r="AG899" s="2">
        <f ca="1"/>
        <v>0.79855168225521389</v>
      </c>
      <c r="AH899" s="2" t="str">
        <f ca="1"/>
        <v>Bad</v>
      </c>
    </row>
    <row r="900" spans="2:34" x14ac:dyDescent="0.2">
      <c r="B900" s="2">
        <f ca="1"/>
        <v>0.66478379344449068</v>
      </c>
      <c r="O900" s="2">
        <f ca="1"/>
        <v>-0.81769407690336648</v>
      </c>
      <c r="X900" s="2">
        <f ca="1"/>
        <v>29.078946063609592</v>
      </c>
      <c r="AG900" s="2">
        <f ca="1"/>
        <v>0.12929347530443014</v>
      </c>
      <c r="AH900" s="2" t="str">
        <f ca="1"/>
        <v>OK</v>
      </c>
    </row>
    <row r="901" spans="2:34" x14ac:dyDescent="0.2">
      <c r="B901" s="2">
        <f ca="1"/>
        <v>0.87207424576689663</v>
      </c>
      <c r="O901" s="2">
        <f ca="1"/>
        <v>0.4910444161762697</v>
      </c>
      <c r="X901" s="2">
        <f ca="1"/>
        <v>46.598958110622817</v>
      </c>
      <c r="AG901" s="2">
        <f ca="1"/>
        <v>0.18474501382748754</v>
      </c>
      <c r="AH901" s="2" t="str">
        <f ca="1"/>
        <v>OK</v>
      </c>
    </row>
    <row r="902" spans="2:34" x14ac:dyDescent="0.2">
      <c r="B902" s="2">
        <f ca="1"/>
        <v>0.76856513704110019</v>
      </c>
      <c r="O902" s="2">
        <f ca="1"/>
        <v>1.1235427670841065</v>
      </c>
      <c r="X902" s="2">
        <f ca="1"/>
        <v>72.639251182106776</v>
      </c>
      <c r="AG902" s="2">
        <f ca="1"/>
        <v>0.71685518381457536</v>
      </c>
      <c r="AH902" s="2" t="str">
        <f ca="1"/>
        <v>Bad</v>
      </c>
    </row>
    <row r="903" spans="2:34" x14ac:dyDescent="0.2">
      <c r="B903" s="2">
        <f ca="1"/>
        <v>0.88442169055923525</v>
      </c>
      <c r="O903" s="2">
        <f ca="1"/>
        <v>1.3148350559174626</v>
      </c>
      <c r="X903" s="2">
        <f ca="1"/>
        <v>48.137423774768934</v>
      </c>
      <c r="AG903" s="2">
        <f ca="1"/>
        <v>0.6963876850199906</v>
      </c>
      <c r="AH903" s="2" t="str">
        <f ca="1"/>
        <v>Bad</v>
      </c>
    </row>
    <row r="904" spans="2:34" x14ac:dyDescent="0.2">
      <c r="B904" s="2">
        <f ca="1"/>
        <v>0.46256676685727194</v>
      </c>
      <c r="O904" s="2">
        <f ca="1"/>
        <v>-8.5478900214378872E-2</v>
      </c>
      <c r="X904" s="2">
        <f ca="1"/>
        <v>57.623562696931842</v>
      </c>
      <c r="AG904" s="2">
        <f ca="1"/>
        <v>8.8588850351065673E-3</v>
      </c>
      <c r="AH904" s="2" t="str">
        <f ca="1"/>
        <v>Good</v>
      </c>
    </row>
    <row r="905" spans="2:34" x14ac:dyDescent="0.2">
      <c r="B905" s="2">
        <f ca="1"/>
        <v>0.15081733360295346</v>
      </c>
      <c r="O905" s="2">
        <f ca="1"/>
        <v>-1.0561735821752607</v>
      </c>
      <c r="X905" s="2">
        <f ca="1"/>
        <v>37.745653976240959</v>
      </c>
      <c r="AG905" s="2">
        <f ca="1"/>
        <v>0.51090068735866945</v>
      </c>
      <c r="AH905" s="2" t="str">
        <f ca="1"/>
        <v>Bad</v>
      </c>
    </row>
    <row r="906" spans="2:34" x14ac:dyDescent="0.2">
      <c r="B906" s="2">
        <f ca="1"/>
        <v>0.64647323157632686</v>
      </c>
      <c r="O906" s="2">
        <f ca="1"/>
        <v>1.6149722373977002</v>
      </c>
      <c r="X906" s="2">
        <f ca="1"/>
        <v>65.391963082424823</v>
      </c>
      <c r="AG906" s="2">
        <f ca="1"/>
        <v>0.49719576174355451</v>
      </c>
      <c r="AH906" s="2" t="str">
        <f ca="1"/>
        <v>Bad</v>
      </c>
    </row>
    <row r="907" spans="2:34" x14ac:dyDescent="0.2">
      <c r="B907" s="2">
        <f ca="1"/>
        <v>0.65970865781110022</v>
      </c>
      <c r="O907" s="2">
        <f ca="1"/>
        <v>0.26232271613178382</v>
      </c>
      <c r="X907" s="2">
        <f ca="1"/>
        <v>37.435731540946861</v>
      </c>
      <c r="AG907" s="2">
        <f ca="1"/>
        <v>0.80608651739632076</v>
      </c>
      <c r="AH907" s="2" t="str">
        <f ca="1"/>
        <v>Bad</v>
      </c>
    </row>
    <row r="908" spans="2:34" x14ac:dyDescent="0.2">
      <c r="B908" s="2">
        <f ca="1"/>
        <v>0.81144600857264693</v>
      </c>
      <c r="O908" s="2">
        <f ca="1"/>
        <v>1.1211889650496636</v>
      </c>
      <c r="X908" s="2">
        <f ca="1"/>
        <v>37.8333344311988</v>
      </c>
      <c r="AG908" s="2">
        <f ca="1"/>
        <v>0.23373524446228888</v>
      </c>
      <c r="AH908" s="2" t="str">
        <f ca="1"/>
        <v>OK</v>
      </c>
    </row>
    <row r="909" spans="2:34" x14ac:dyDescent="0.2">
      <c r="B909" s="2">
        <f ca="1"/>
        <v>0.25952425878988605</v>
      </c>
      <c r="O909" s="2">
        <f ca="1"/>
        <v>-2.3985346375550578E-2</v>
      </c>
      <c r="X909" s="2">
        <f ca="1"/>
        <v>42.190219427316684</v>
      </c>
      <c r="AG909" s="2">
        <f ca="1"/>
        <v>0.44504922513429479</v>
      </c>
      <c r="AH909" s="2" t="str">
        <f ca="1"/>
        <v>Bad</v>
      </c>
    </row>
    <row r="910" spans="2:34" x14ac:dyDescent="0.2">
      <c r="B910" s="2">
        <f ca="1"/>
        <v>0.6337733236847094</v>
      </c>
      <c r="O910" s="2">
        <f ca="1"/>
        <v>-1.1183142235692738</v>
      </c>
      <c r="X910" s="2">
        <f ca="1"/>
        <v>93.26141486420731</v>
      </c>
      <c r="AG910" s="2">
        <f ca="1"/>
        <v>0.1750479758937793</v>
      </c>
      <c r="AH910" s="2" t="str">
        <f ca="1"/>
        <v>OK</v>
      </c>
    </row>
    <row r="911" spans="2:34" x14ac:dyDescent="0.2">
      <c r="B911" s="2">
        <f ca="1"/>
        <v>0.99957936009497783</v>
      </c>
      <c r="O911" s="2">
        <f ca="1"/>
        <v>-0.61589623038907537</v>
      </c>
      <c r="X911" s="2">
        <f ca="1"/>
        <v>51.679797874370408</v>
      </c>
      <c r="AG911" s="2">
        <f ca="1"/>
        <v>0.15567331701850318</v>
      </c>
      <c r="AH911" s="2" t="str">
        <f ca="1"/>
        <v>OK</v>
      </c>
    </row>
    <row r="912" spans="2:34" x14ac:dyDescent="0.2">
      <c r="B912" s="2">
        <f ca="1"/>
        <v>9.2790005543558207E-2</v>
      </c>
      <c r="O912" s="2">
        <f ca="1"/>
        <v>-1.538299053123666</v>
      </c>
      <c r="X912" s="2">
        <f ca="1"/>
        <v>71.853071540860185</v>
      </c>
      <c r="AG912" s="2">
        <f ca="1"/>
        <v>0.81000636330087827</v>
      </c>
      <c r="AH912" s="2" t="str">
        <f ca="1"/>
        <v>Bad</v>
      </c>
    </row>
    <row r="913" spans="2:34" x14ac:dyDescent="0.2">
      <c r="B913" s="2">
        <f ca="1"/>
        <v>0.76562269484881651</v>
      </c>
      <c r="O913" s="2">
        <f ca="1"/>
        <v>2.5718291232950343</v>
      </c>
      <c r="X913" s="2">
        <f ca="1"/>
        <v>16.457717862932768</v>
      </c>
      <c r="AG913" s="2">
        <f ca="1"/>
        <v>0.66449194300082159</v>
      </c>
      <c r="AH913" s="2" t="str">
        <f ca="1"/>
        <v>Bad</v>
      </c>
    </row>
    <row r="914" spans="2:34" x14ac:dyDescent="0.2">
      <c r="B914" s="2">
        <f ca="1"/>
        <v>0.14507960724897573</v>
      </c>
      <c r="O914" s="2">
        <f ca="1"/>
        <v>-1.1225041090099972</v>
      </c>
      <c r="X914" s="2">
        <f ca="1"/>
        <v>31.647039296193725</v>
      </c>
      <c r="AG914" s="2">
        <f ca="1"/>
        <v>0.99736803363675719</v>
      </c>
      <c r="AH914" s="2" t="str">
        <f ca="1"/>
        <v>Bad</v>
      </c>
    </row>
    <row r="915" spans="2:34" x14ac:dyDescent="0.2">
      <c r="B915" s="2">
        <f ca="1"/>
        <v>0.66115028066955439</v>
      </c>
      <c r="O915" s="2">
        <f ca="1"/>
        <v>-1.2183038366587418</v>
      </c>
      <c r="X915" s="2">
        <f ca="1"/>
        <v>22.070994381547404</v>
      </c>
      <c r="AG915" s="2">
        <f ca="1"/>
        <v>0.81919454162189731</v>
      </c>
      <c r="AH915" s="2" t="str">
        <f ca="1"/>
        <v>Bad</v>
      </c>
    </row>
    <row r="916" spans="2:34" x14ac:dyDescent="0.2">
      <c r="B916" s="2">
        <f ca="1"/>
        <v>0.59546772843742413</v>
      </c>
      <c r="O916" s="2">
        <f ca="1"/>
        <v>0.36460131313815158</v>
      </c>
      <c r="X916" s="2">
        <f ca="1"/>
        <v>30.381920650271649</v>
      </c>
      <c r="AG916" s="2">
        <f ca="1"/>
        <v>0.61936877134327206</v>
      </c>
      <c r="AH916" s="2" t="str">
        <f ca="1"/>
        <v>Bad</v>
      </c>
    </row>
    <row r="917" spans="2:34" x14ac:dyDescent="0.2">
      <c r="B917" s="2">
        <f ca="1"/>
        <v>0.64903424415740063</v>
      </c>
      <c r="O917" s="2">
        <f ca="1"/>
        <v>0.69659486116830516</v>
      </c>
      <c r="X917" s="2">
        <f ca="1"/>
        <v>73.996535327665654</v>
      </c>
      <c r="AG917" s="2">
        <f ca="1"/>
        <v>0.45107806110946247</v>
      </c>
      <c r="AH917" s="2" t="str">
        <f ca="1"/>
        <v>Bad</v>
      </c>
    </row>
    <row r="918" spans="2:34" x14ac:dyDescent="0.2">
      <c r="B918" s="2">
        <f ca="1"/>
        <v>0.32502382349210679</v>
      </c>
      <c r="O918" s="2">
        <f ca="1"/>
        <v>1.8806159240930285</v>
      </c>
      <c r="X918" s="2">
        <f ca="1"/>
        <v>19.324251379146865</v>
      </c>
      <c r="AG918" s="2">
        <f ca="1"/>
        <v>0.25445097865024491</v>
      </c>
      <c r="AH918" s="2" t="str">
        <f ca="1"/>
        <v>OK</v>
      </c>
    </row>
    <row r="919" spans="2:34" x14ac:dyDescent="0.2">
      <c r="B919" s="2">
        <f ca="1"/>
        <v>0.59652946781213601</v>
      </c>
      <c r="O919" s="2">
        <f ca="1"/>
        <v>0.1788882023053574</v>
      </c>
      <c r="X919" s="2">
        <f ca="1"/>
        <v>80.363203069860702</v>
      </c>
      <c r="AG919" s="2">
        <f ca="1"/>
        <v>0.80254985764805475</v>
      </c>
      <c r="AH919" s="2" t="str">
        <f ca="1"/>
        <v>Bad</v>
      </c>
    </row>
    <row r="920" spans="2:34" x14ac:dyDescent="0.2">
      <c r="B920" s="2">
        <f ca="1"/>
        <v>0.80649690906883009</v>
      </c>
      <c r="O920" s="2">
        <f ca="1"/>
        <v>-2.3934775142817601</v>
      </c>
      <c r="X920" s="2">
        <f ca="1"/>
        <v>60.343644612809356</v>
      </c>
      <c r="AG920" s="2">
        <f ca="1"/>
        <v>0.40631005607608039</v>
      </c>
      <c r="AH920" s="2" t="str">
        <f ca="1"/>
        <v>Bad</v>
      </c>
    </row>
    <row r="921" spans="2:34" x14ac:dyDescent="0.2">
      <c r="B921" s="2">
        <f ca="1"/>
        <v>0.49514697282540365</v>
      </c>
      <c r="O921" s="2">
        <f ca="1"/>
        <v>1.4916464371982441</v>
      </c>
      <c r="X921" s="2">
        <f ca="1"/>
        <v>49.91167090588236</v>
      </c>
      <c r="AG921" s="2">
        <f ca="1"/>
        <v>0.28311405873221918</v>
      </c>
      <c r="AH921" s="2" t="str">
        <f ca="1"/>
        <v>OK</v>
      </c>
    </row>
    <row r="922" spans="2:34" x14ac:dyDescent="0.2">
      <c r="B922" s="2">
        <f ca="1"/>
        <v>0.66693851128948944</v>
      </c>
      <c r="O922" s="2">
        <f ca="1"/>
        <v>0.13738170679517558</v>
      </c>
      <c r="X922" s="2">
        <f ca="1"/>
        <v>53.250295138616877</v>
      </c>
      <c r="AG922" s="2">
        <f ca="1"/>
        <v>0.89890581951591364</v>
      </c>
      <c r="AH922" s="2" t="str">
        <f ca="1"/>
        <v>Bad</v>
      </c>
    </row>
    <row r="923" spans="2:34" x14ac:dyDescent="0.2">
      <c r="B923" s="2">
        <f ca="1"/>
        <v>0.85377990458576258</v>
      </c>
      <c r="O923" s="2">
        <f ca="1"/>
        <v>-0.922133959567634</v>
      </c>
      <c r="X923" s="2">
        <f ca="1"/>
        <v>57.689614936091729</v>
      </c>
      <c r="AG923" s="2">
        <f ca="1"/>
        <v>0.1531741494727652</v>
      </c>
      <c r="AH923" s="2" t="str">
        <f ca="1"/>
        <v>OK</v>
      </c>
    </row>
    <row r="924" spans="2:34" x14ac:dyDescent="0.2">
      <c r="B924" s="2">
        <f ca="1"/>
        <v>0.28176488004436062</v>
      </c>
      <c r="O924" s="2">
        <f ca="1"/>
        <v>0.24280789470726996</v>
      </c>
      <c r="X924" s="2">
        <f ca="1"/>
        <v>57.354282641643252</v>
      </c>
      <c r="AG924" s="2">
        <f ca="1"/>
        <v>0.75735267584662358</v>
      </c>
      <c r="AH924" s="2" t="str">
        <f ca="1"/>
        <v>Bad</v>
      </c>
    </row>
    <row r="925" spans="2:34" x14ac:dyDescent="0.2">
      <c r="B925" s="2">
        <f ca="1"/>
        <v>0.92866344931083566</v>
      </c>
      <c r="O925" s="2">
        <f ca="1"/>
        <v>1.1122513370610296</v>
      </c>
      <c r="X925" s="2">
        <f ca="1"/>
        <v>46.650478537665435</v>
      </c>
      <c r="AG925" s="2">
        <f ca="1"/>
        <v>0.74009263257626801</v>
      </c>
      <c r="AH925" s="2" t="str">
        <f ca="1"/>
        <v>Bad</v>
      </c>
    </row>
    <row r="926" spans="2:34" x14ac:dyDescent="0.2">
      <c r="B926" s="2">
        <f ca="1"/>
        <v>0.63239041286355224</v>
      </c>
      <c r="O926" s="2">
        <f ca="1"/>
        <v>0.61066860576571103</v>
      </c>
      <c r="X926" s="2">
        <f ca="1"/>
        <v>73.496229360197333</v>
      </c>
      <c r="AG926" s="2">
        <f ca="1"/>
        <v>0.93520081371502028</v>
      </c>
      <c r="AH926" s="2" t="str">
        <f ca="1"/>
        <v>Bad</v>
      </c>
    </row>
    <row r="927" spans="2:34" x14ac:dyDescent="0.2">
      <c r="B927" s="2">
        <f ca="1"/>
        <v>0.9058371867598467</v>
      </c>
      <c r="O927" s="2">
        <f ca="1"/>
        <v>-0.97339642551726391</v>
      </c>
      <c r="X927" s="2">
        <f ca="1"/>
        <v>66.509193522279304</v>
      </c>
      <c r="AG927" s="2">
        <f ca="1"/>
        <v>0.60350522148743857</v>
      </c>
      <c r="AH927" s="2" t="str">
        <f ca="1"/>
        <v>Bad</v>
      </c>
    </row>
    <row r="928" spans="2:34" x14ac:dyDescent="0.2">
      <c r="B928" s="2">
        <f ca="1"/>
        <v>0.16782077296763309</v>
      </c>
      <c r="O928" s="2">
        <f ca="1"/>
        <v>-0.18368330994366122</v>
      </c>
      <c r="X928" s="2">
        <f ca="1"/>
        <v>37.189496432305468</v>
      </c>
      <c r="AG928" s="2">
        <f ca="1"/>
        <v>0.6761431095610726</v>
      </c>
      <c r="AH928" s="2" t="str">
        <f ca="1"/>
        <v>Bad</v>
      </c>
    </row>
    <row r="929" spans="2:34" x14ac:dyDescent="0.2">
      <c r="B929" s="2">
        <f ca="1"/>
        <v>0.31140965408022314</v>
      </c>
      <c r="O929" s="2">
        <f ca="1"/>
        <v>4.1025635866223292E-2</v>
      </c>
      <c r="X929" s="2">
        <f ca="1"/>
        <v>27.987227742590473</v>
      </c>
      <c r="AG929" s="2">
        <f ca="1"/>
        <v>0.23776705900504291</v>
      </c>
      <c r="AH929" s="2" t="str">
        <f ca="1"/>
        <v>OK</v>
      </c>
    </row>
    <row r="930" spans="2:34" x14ac:dyDescent="0.2">
      <c r="B930" s="2">
        <f ca="1"/>
        <v>0.16582462388042574</v>
      </c>
      <c r="O930" s="2">
        <f ca="1"/>
        <v>0.22771146488264338</v>
      </c>
      <c r="X930" s="2">
        <f ca="1"/>
        <v>46.220749777276218</v>
      </c>
      <c r="AG930" s="2">
        <f ca="1"/>
        <v>0.85770262831887889</v>
      </c>
      <c r="AH930" s="2" t="str">
        <f ca="1"/>
        <v>Bad</v>
      </c>
    </row>
    <row r="931" spans="2:34" x14ac:dyDescent="0.2">
      <c r="B931" s="2">
        <f ca="1"/>
        <v>0.40674999811134671</v>
      </c>
      <c r="O931" s="2">
        <f ca="1"/>
        <v>1.6391617598997814</v>
      </c>
      <c r="X931" s="2">
        <f ca="1"/>
        <v>42.488828677620923</v>
      </c>
      <c r="AG931" s="2">
        <f ca="1"/>
        <v>0.32503074116143593</v>
      </c>
      <c r="AH931" s="2" t="str">
        <f ca="1"/>
        <v>OK</v>
      </c>
    </row>
    <row r="932" spans="2:34" x14ac:dyDescent="0.2">
      <c r="B932" s="2">
        <f ca="1"/>
        <v>0.73738061513937869</v>
      </c>
      <c r="O932" s="2">
        <f ca="1"/>
        <v>-4.419426786445875E-2</v>
      </c>
      <c r="X932" s="2">
        <f ca="1"/>
        <v>33.09154188830307</v>
      </c>
      <c r="AG932" s="2">
        <f ca="1"/>
        <v>0.14271190371203812</v>
      </c>
      <c r="AH932" s="2" t="str">
        <f ca="1"/>
        <v>OK</v>
      </c>
    </row>
    <row r="933" spans="2:34" x14ac:dyDescent="0.2">
      <c r="B933" s="2">
        <f ca="1"/>
        <v>0.83927902137085453</v>
      </c>
      <c r="O933" s="2">
        <f ca="1"/>
        <v>-1.4942004822653525</v>
      </c>
      <c r="X933" s="2">
        <f ca="1"/>
        <v>63.902933983557737</v>
      </c>
      <c r="AG933" s="2">
        <f ca="1"/>
        <v>0.77564252012214663</v>
      </c>
      <c r="AH933" s="2" t="str">
        <f ca="1"/>
        <v>Bad</v>
      </c>
    </row>
    <row r="934" spans="2:34" x14ac:dyDescent="0.2">
      <c r="B934" s="2">
        <f ca="1"/>
        <v>0.33852855763605416</v>
      </c>
      <c r="O934" s="2">
        <f ca="1"/>
        <v>2.0210523549416197</v>
      </c>
      <c r="X934" s="2">
        <f ca="1"/>
        <v>73.701631298843338</v>
      </c>
      <c r="AG934" s="2">
        <f ca="1"/>
        <v>0.77350542589583182</v>
      </c>
      <c r="AH934" s="2" t="str">
        <f ca="1"/>
        <v>Bad</v>
      </c>
    </row>
    <row r="935" spans="2:34" x14ac:dyDescent="0.2">
      <c r="B935" s="2">
        <f ca="1"/>
        <v>0.38898938005948636</v>
      </c>
      <c r="O935" s="2">
        <f ca="1"/>
        <v>1.5577612421531897</v>
      </c>
      <c r="X935" s="2">
        <f ca="1"/>
        <v>45.485838858895022</v>
      </c>
      <c r="AG935" s="2">
        <f ca="1"/>
        <v>8.163847741080188E-2</v>
      </c>
      <c r="AH935" s="2" t="str">
        <f ca="1"/>
        <v>OK</v>
      </c>
    </row>
    <row r="936" spans="2:34" x14ac:dyDescent="0.2">
      <c r="B936" s="2">
        <f ca="1"/>
        <v>0.77600372822211949</v>
      </c>
      <c r="O936" s="2">
        <f ca="1"/>
        <v>-1.5372645469981097</v>
      </c>
      <c r="X936" s="2">
        <f ca="1"/>
        <v>36.303121035145992</v>
      </c>
      <c r="AG936" s="2">
        <f ca="1"/>
        <v>3.0217207585142791E-2</v>
      </c>
      <c r="AH936" s="2" t="str">
        <f ca="1"/>
        <v>Good</v>
      </c>
    </row>
    <row r="937" spans="2:34" x14ac:dyDescent="0.2">
      <c r="B937" s="2">
        <f ca="1"/>
        <v>0.77511598312801055</v>
      </c>
      <c r="O937" s="2">
        <f ca="1"/>
        <v>3.5614219314549711</v>
      </c>
      <c r="X937" s="2">
        <f ca="1"/>
        <v>44.289498500662305</v>
      </c>
      <c r="AG937" s="2">
        <f ca="1"/>
        <v>0.31847777441003644</v>
      </c>
      <c r="AH937" s="2" t="str">
        <f ca="1"/>
        <v>OK</v>
      </c>
    </row>
    <row r="938" spans="2:34" x14ac:dyDescent="0.2">
      <c r="B938" s="2">
        <f ca="1"/>
        <v>0.73812547984887256</v>
      </c>
      <c r="O938" s="2">
        <f ca="1"/>
        <v>-2.0500240239127194</v>
      </c>
      <c r="X938" s="2">
        <f ca="1"/>
        <v>66.180142919581115</v>
      </c>
      <c r="AG938" s="2">
        <f ca="1"/>
        <v>0.89789188766666861</v>
      </c>
      <c r="AH938" s="2" t="str">
        <f ca="1"/>
        <v>Bad</v>
      </c>
    </row>
    <row r="939" spans="2:34" x14ac:dyDescent="0.2">
      <c r="B939" s="2">
        <f ca="1"/>
        <v>0.77171074050184751</v>
      </c>
      <c r="O939" s="2">
        <f ca="1"/>
        <v>-0.3545182861143909</v>
      </c>
      <c r="X939" s="2">
        <f ca="1"/>
        <v>59.394622438629952</v>
      </c>
      <c r="AG939" s="2">
        <f ca="1"/>
        <v>4.6130666225757455E-2</v>
      </c>
      <c r="AH939" s="2" t="str">
        <f ca="1"/>
        <v>Good</v>
      </c>
    </row>
    <row r="940" spans="2:34" x14ac:dyDescent="0.2">
      <c r="B940" s="2">
        <f ca="1"/>
        <v>0.18075250660491626</v>
      </c>
      <c r="O940" s="2">
        <f ca="1"/>
        <v>1.0671681222241953</v>
      </c>
      <c r="X940" s="2">
        <f ca="1"/>
        <v>59.327129836789567</v>
      </c>
      <c r="AG940" s="2">
        <f ca="1"/>
        <v>0.99246207213260518</v>
      </c>
      <c r="AH940" s="2" t="str">
        <f ca="1"/>
        <v>Bad</v>
      </c>
    </row>
    <row r="941" spans="2:34" x14ac:dyDescent="0.2">
      <c r="B941" s="2">
        <f ca="1"/>
        <v>5.9899124061113085E-2</v>
      </c>
      <c r="O941" s="2">
        <f ca="1"/>
        <v>-0.55306588086730679</v>
      </c>
      <c r="X941" s="2">
        <f ca="1"/>
        <v>22.80651455282856</v>
      </c>
      <c r="AG941" s="2">
        <f ca="1"/>
        <v>0.27645667096534199</v>
      </c>
      <c r="AH941" s="2" t="str">
        <f ca="1"/>
        <v>OK</v>
      </c>
    </row>
    <row r="942" spans="2:34" x14ac:dyDescent="0.2">
      <c r="B942" s="2">
        <f ca="1"/>
        <v>0.40241849095768933</v>
      </c>
      <c r="O942" s="2">
        <f ca="1"/>
        <v>-0.32354787691020132</v>
      </c>
      <c r="X942" s="2">
        <f ca="1"/>
        <v>82.893938373601102</v>
      </c>
      <c r="AG942" s="2">
        <f ca="1"/>
        <v>0.76225130517360196</v>
      </c>
      <c r="AH942" s="2" t="str">
        <f ca="1"/>
        <v>Bad</v>
      </c>
    </row>
    <row r="943" spans="2:34" x14ac:dyDescent="0.2">
      <c r="B943" s="2">
        <f ca="1"/>
        <v>0.3487737923202634</v>
      </c>
      <c r="O943" s="2">
        <f ca="1"/>
        <v>0.65607296670979875</v>
      </c>
      <c r="X943" s="2">
        <f ca="1"/>
        <v>64.689528762508516</v>
      </c>
      <c r="AG943" s="2">
        <f ca="1"/>
        <v>0.7326761430946378</v>
      </c>
      <c r="AH943" s="2" t="str">
        <f ca="1"/>
        <v>Bad</v>
      </c>
    </row>
    <row r="944" spans="2:34" x14ac:dyDescent="0.2">
      <c r="B944" s="2">
        <f ca="1"/>
        <v>0.69911509580181752</v>
      </c>
      <c r="O944" s="2">
        <f ca="1"/>
        <v>-1.908477183034256</v>
      </c>
      <c r="X944" s="2">
        <f ca="1"/>
        <v>57.903670453877609</v>
      </c>
      <c r="AG944" s="2">
        <f ca="1"/>
        <v>0.91772474326166886</v>
      </c>
      <c r="AH944" s="2" t="str">
        <f ca="1"/>
        <v>Bad</v>
      </c>
    </row>
    <row r="945" spans="2:34" x14ac:dyDescent="0.2">
      <c r="B945" s="2">
        <f ca="1"/>
        <v>0.81845766867367065</v>
      </c>
      <c r="O945" s="2">
        <f ca="1"/>
        <v>1.9823730963910802</v>
      </c>
      <c r="X945" s="2">
        <f ca="1"/>
        <v>56.613393051349604</v>
      </c>
      <c r="AG945" s="2">
        <f ca="1"/>
        <v>0.41180585192798946</v>
      </c>
      <c r="AH945" s="2" t="str">
        <f ca="1"/>
        <v>Bad</v>
      </c>
    </row>
    <row r="946" spans="2:34" x14ac:dyDescent="0.2">
      <c r="B946" s="2">
        <f ca="1"/>
        <v>0.97529794429610606</v>
      </c>
      <c r="O946" s="2">
        <f ca="1"/>
        <v>-2.6146499373567032E-2</v>
      </c>
      <c r="X946" s="2">
        <f ca="1"/>
        <v>47.439433340502731</v>
      </c>
      <c r="AG946" s="2">
        <f ca="1"/>
        <v>0.53057316840328683</v>
      </c>
      <c r="AH946" s="2" t="str">
        <f ca="1"/>
        <v>Bad</v>
      </c>
    </row>
    <row r="947" spans="2:34" x14ac:dyDescent="0.2">
      <c r="B947" s="2">
        <f ca="1"/>
        <v>0.6598145919189371</v>
      </c>
      <c r="O947" s="2">
        <f ca="1"/>
        <v>1.047335971866437</v>
      </c>
      <c r="X947" s="2">
        <f ca="1"/>
        <v>47.204981465570569</v>
      </c>
      <c r="AG947" s="2">
        <f ca="1"/>
        <v>0.12658749497486133</v>
      </c>
      <c r="AH947" s="2" t="str">
        <f ca="1"/>
        <v>OK</v>
      </c>
    </row>
    <row r="948" spans="2:34" x14ac:dyDescent="0.2">
      <c r="B948" s="2">
        <f ca="1"/>
        <v>0.72192606540546511</v>
      </c>
      <c r="O948" s="2">
        <f ca="1"/>
        <v>5.5679952764317885E-2</v>
      </c>
      <c r="X948" s="2">
        <f ca="1"/>
        <v>58.467513420913626</v>
      </c>
      <c r="AG948" s="2">
        <f ca="1"/>
        <v>0.13684024637490833</v>
      </c>
      <c r="AH948" s="2" t="str">
        <f ca="1"/>
        <v>OK</v>
      </c>
    </row>
    <row r="949" spans="2:34" x14ac:dyDescent="0.2">
      <c r="B949" s="2">
        <f ca="1"/>
        <v>6.8034905513779886E-2</v>
      </c>
      <c r="O949" s="2">
        <f ca="1"/>
        <v>0.94306548854314676</v>
      </c>
      <c r="X949" s="2">
        <f ca="1"/>
        <v>50.669682810229929</v>
      </c>
      <c r="AG949" s="2">
        <f ca="1"/>
        <v>0.45990293412064953</v>
      </c>
      <c r="AH949" s="2" t="str">
        <f ca="1"/>
        <v>Bad</v>
      </c>
    </row>
    <row r="950" spans="2:34" x14ac:dyDescent="0.2">
      <c r="B950" s="2">
        <f ca="1"/>
        <v>0.64290237222576696</v>
      </c>
      <c r="O950" s="2">
        <f ca="1"/>
        <v>1.0145614402071983</v>
      </c>
      <c r="X950" s="2">
        <f ca="1"/>
        <v>34.17123354439272</v>
      </c>
      <c r="AG950" s="2">
        <f ca="1"/>
        <v>0.13897590367865753</v>
      </c>
      <c r="AH950" s="2" t="str">
        <f ca="1"/>
        <v>OK</v>
      </c>
    </row>
    <row r="951" spans="2:34" x14ac:dyDescent="0.2">
      <c r="B951" s="2">
        <f ca="1"/>
        <v>0.5955580676940937</v>
      </c>
      <c r="O951" s="2">
        <f ca="1"/>
        <v>0.36549311473877905</v>
      </c>
      <c r="X951" s="2">
        <f ca="1"/>
        <v>44.155238147539791</v>
      </c>
      <c r="AG951" s="2">
        <f ca="1"/>
        <v>0.37035597666000264</v>
      </c>
      <c r="AH951" s="2" t="str">
        <f ca="1"/>
        <v>OK</v>
      </c>
    </row>
    <row r="952" spans="2:34" x14ac:dyDescent="0.2">
      <c r="B952" s="2">
        <f ca="1"/>
        <v>0.84872608630521307</v>
      </c>
      <c r="O952" s="2">
        <f ca="1"/>
        <v>-0.69654550447229013</v>
      </c>
      <c r="X952" s="2">
        <f ca="1"/>
        <v>41.330352300016663</v>
      </c>
      <c r="AG952" s="2">
        <f ca="1"/>
        <v>0.92590919184452991</v>
      </c>
      <c r="AH952" s="2" t="str">
        <f ca="1"/>
        <v>Bad</v>
      </c>
    </row>
    <row r="953" spans="2:34" x14ac:dyDescent="0.2">
      <c r="B953" s="2">
        <f ca="1"/>
        <v>0.95385934295619301</v>
      </c>
      <c r="O953" s="2">
        <f ca="1"/>
        <v>-1.520581048641658</v>
      </c>
      <c r="X953" s="2">
        <f ca="1"/>
        <v>52.508518185218158</v>
      </c>
      <c r="AG953" s="2">
        <f ca="1"/>
        <v>0.84793584381812392</v>
      </c>
      <c r="AH953" s="2" t="str">
        <f ca="1"/>
        <v>Bad</v>
      </c>
    </row>
    <row r="954" spans="2:34" x14ac:dyDescent="0.2">
      <c r="B954" s="2">
        <f ca="1"/>
        <v>0.43151997640617146</v>
      </c>
      <c r="O954" s="2">
        <f ca="1"/>
        <v>-1.1531154044589762</v>
      </c>
      <c r="X954" s="2">
        <f ca="1"/>
        <v>71.757263188473274</v>
      </c>
      <c r="AG954" s="2">
        <f ca="1"/>
        <v>0.33660170073185247</v>
      </c>
      <c r="AH954" s="2" t="str">
        <f ca="1"/>
        <v>OK</v>
      </c>
    </row>
    <row r="955" spans="2:34" x14ac:dyDescent="0.2">
      <c r="B955" s="2">
        <f ca="1"/>
        <v>0.15802211166686275</v>
      </c>
      <c r="O955" s="2">
        <f ca="1"/>
        <v>-1.7253700133123302</v>
      </c>
      <c r="X955" s="2">
        <f ca="1"/>
        <v>59.172033690043229</v>
      </c>
      <c r="AG955" s="2">
        <f ca="1"/>
        <v>0.28270064448706922</v>
      </c>
      <c r="AH955" s="2" t="str">
        <f ca="1"/>
        <v>OK</v>
      </c>
    </row>
    <row r="956" spans="2:34" x14ac:dyDescent="0.2">
      <c r="B956" s="2">
        <f ca="1"/>
        <v>0.10144394390694611</v>
      </c>
      <c r="O956" s="2">
        <f ca="1"/>
        <v>0.41989139460731428</v>
      </c>
      <c r="X956" s="2">
        <f ca="1"/>
        <v>38.962042745107034</v>
      </c>
      <c r="AG956" s="2">
        <f ca="1"/>
        <v>0.97026401658820771</v>
      </c>
      <c r="AH956" s="2" t="str">
        <f ca="1"/>
        <v>Bad</v>
      </c>
    </row>
    <row r="957" spans="2:34" x14ac:dyDescent="0.2">
      <c r="B957" s="2">
        <f ca="1"/>
        <v>0.41680152665678261</v>
      </c>
      <c r="O957" s="2">
        <f ca="1"/>
        <v>-9.6258826112200213E-2</v>
      </c>
      <c r="X957" s="2">
        <f ca="1"/>
        <v>38.180919671428619</v>
      </c>
      <c r="AG957" s="2">
        <f ca="1"/>
        <v>0.89845807883020146</v>
      </c>
      <c r="AH957" s="2" t="str">
        <f ca="1"/>
        <v>Bad</v>
      </c>
    </row>
    <row r="958" spans="2:34" x14ac:dyDescent="0.2">
      <c r="B958" s="2">
        <f ca="1"/>
        <v>0.73573711049929735</v>
      </c>
      <c r="O958" s="2">
        <f ca="1"/>
        <v>1.6426774055943654</v>
      </c>
      <c r="X958" s="2">
        <f ca="1"/>
        <v>43.153635636820738</v>
      </c>
      <c r="AG958" s="2">
        <f ca="1"/>
        <v>0.62981399232954871</v>
      </c>
      <c r="AH958" s="2" t="str">
        <f ca="1"/>
        <v>Bad</v>
      </c>
    </row>
    <row r="959" spans="2:34" x14ac:dyDescent="0.2">
      <c r="B959" s="2">
        <f ca="1"/>
        <v>0.11499129627080484</v>
      </c>
      <c r="O959" s="2">
        <f ca="1"/>
        <v>-1.2428684561342715</v>
      </c>
      <c r="X959" s="2">
        <f ca="1"/>
        <v>39.236768124180522</v>
      </c>
      <c r="AG959" s="2">
        <f ca="1"/>
        <v>0.32913429138005301</v>
      </c>
      <c r="AH959" s="2" t="str">
        <f ca="1"/>
        <v>OK</v>
      </c>
    </row>
    <row r="960" spans="2:34" x14ac:dyDescent="0.2">
      <c r="B960" s="2">
        <f ca="1"/>
        <v>0.38767949045313466</v>
      </c>
      <c r="O960" s="2">
        <f ca="1"/>
        <v>1.5063429694153263</v>
      </c>
      <c r="X960" s="2">
        <f ca="1"/>
        <v>52.149657763340684</v>
      </c>
      <c r="AG960" s="2">
        <f ca="1"/>
        <v>0.67234352721658319</v>
      </c>
      <c r="AH960" s="2" t="str">
        <f ca="1"/>
        <v>Bad</v>
      </c>
    </row>
    <row r="961" spans="2:34" x14ac:dyDescent="0.2">
      <c r="B961" s="2">
        <f ca="1"/>
        <v>8.482615196901655E-2</v>
      </c>
      <c r="O961" s="2">
        <f ca="1"/>
        <v>1.5448978223609232E-2</v>
      </c>
      <c r="X961" s="2">
        <f ca="1"/>
        <v>40.650461635380324</v>
      </c>
      <c r="AG961" s="2">
        <f ca="1"/>
        <v>3.2748754113818945E-2</v>
      </c>
      <c r="AH961" s="2" t="str">
        <f ca="1"/>
        <v>Good</v>
      </c>
    </row>
    <row r="962" spans="2:34" x14ac:dyDescent="0.2">
      <c r="B962" s="2">
        <f ca="1"/>
        <v>7.4000721808187953E-2</v>
      </c>
      <c r="O962" s="2">
        <f ca="1"/>
        <v>0.38048477109045892</v>
      </c>
      <c r="X962" s="2">
        <f ca="1"/>
        <v>49.659032336177667</v>
      </c>
      <c r="AG962" s="2">
        <f ca="1"/>
        <v>0.25046538455426304</v>
      </c>
      <c r="AH962" s="2" t="str">
        <f ca="1"/>
        <v>OK</v>
      </c>
    </row>
    <row r="963" spans="2:34" x14ac:dyDescent="0.2">
      <c r="B963" s="2">
        <f ca="1"/>
        <v>0.9174757618774092</v>
      </c>
      <c r="O963" s="2">
        <f ca="1"/>
        <v>2.1470846671531107E-2</v>
      </c>
      <c r="X963" s="2">
        <f ca="1"/>
        <v>43.881253377707317</v>
      </c>
      <c r="AG963" s="2">
        <f ca="1"/>
        <v>0.47495123278733575</v>
      </c>
      <c r="AH963" s="2" t="str">
        <f ca="1"/>
        <v>Bad</v>
      </c>
    </row>
    <row r="964" spans="2:34" x14ac:dyDescent="0.2">
      <c r="B964" s="2">
        <f ca="1"/>
        <v>0.36169051979218714</v>
      </c>
      <c r="O964" s="2">
        <f ca="1"/>
        <v>-2.6052699650070865</v>
      </c>
      <c r="X964" s="2">
        <f ca="1"/>
        <v>38.139019329602</v>
      </c>
      <c r="AG964" s="2">
        <f ca="1"/>
        <v>0.66382976057012422</v>
      </c>
      <c r="AH964" s="2" t="str">
        <f ca="1"/>
        <v>Bad</v>
      </c>
    </row>
    <row r="965" spans="2:34" x14ac:dyDescent="0.2">
      <c r="B965" s="2">
        <f ca="1"/>
        <v>0.58164661908769855</v>
      </c>
      <c r="O965" s="2">
        <f ca="1"/>
        <v>0.2456395441460999</v>
      </c>
      <c r="X965" s="2">
        <f ca="1"/>
        <v>45.916350802347125</v>
      </c>
      <c r="AG965" s="2">
        <f ca="1"/>
        <v>0.8875316869408465</v>
      </c>
      <c r="AH965" s="2" t="str">
        <f ca="1"/>
        <v>Bad</v>
      </c>
    </row>
    <row r="966" spans="2:34" x14ac:dyDescent="0.2">
      <c r="B966" s="2">
        <f ca="1"/>
        <v>0.59581062899989989</v>
      </c>
      <c r="O966" s="2">
        <f ca="1"/>
        <v>-0.39496689788712047</v>
      </c>
      <c r="X966" s="2">
        <f ca="1"/>
        <v>42.18399256866909</v>
      </c>
      <c r="AG966" s="2">
        <f ca="1"/>
        <v>5.8702940790598568E-2</v>
      </c>
      <c r="AH966" s="2" t="str">
        <f ca="1"/>
        <v>OK</v>
      </c>
    </row>
    <row r="967" spans="2:34" x14ac:dyDescent="0.2">
      <c r="B967" s="2">
        <f ca="1"/>
        <v>0.97339782946820774</v>
      </c>
      <c r="O967" s="2">
        <f ca="1"/>
        <v>-0.45571955750049531</v>
      </c>
      <c r="X967" s="2">
        <f ca="1"/>
        <v>35.044576964494475</v>
      </c>
      <c r="AG967" s="2">
        <f ca="1"/>
        <v>0.96040853108828927</v>
      </c>
      <c r="AH967" s="2" t="str">
        <f ca="1"/>
        <v>Bad</v>
      </c>
    </row>
    <row r="968" spans="2:34" x14ac:dyDescent="0.2">
      <c r="B968" s="2">
        <f ca="1"/>
        <v>0.26669691171692333</v>
      </c>
      <c r="O968" s="2">
        <f ca="1"/>
        <v>1.2206946655521744</v>
      </c>
      <c r="X968" s="2">
        <f ca="1"/>
        <v>72.245298745972008</v>
      </c>
      <c r="AG968" s="2">
        <f ca="1"/>
        <v>0.56932676592016618</v>
      </c>
      <c r="AH968" s="2" t="str">
        <f ca="1"/>
        <v>Bad</v>
      </c>
    </row>
    <row r="969" spans="2:34" x14ac:dyDescent="0.2">
      <c r="B969" s="2">
        <f ca="1"/>
        <v>0.10682229556974265</v>
      </c>
      <c r="O969" s="2">
        <f ca="1"/>
        <v>-1.569360337977139</v>
      </c>
      <c r="X969" s="2">
        <f ca="1"/>
        <v>52.929216509486913</v>
      </c>
      <c r="AG969" s="2">
        <f ca="1"/>
        <v>0.71841531659269453</v>
      </c>
      <c r="AH969" s="2" t="str">
        <f ca="1"/>
        <v>Bad</v>
      </c>
    </row>
    <row r="970" spans="2:34" x14ac:dyDescent="0.2">
      <c r="B970" s="2">
        <f ca="1"/>
        <v>0.5891261596942694</v>
      </c>
      <c r="O970" s="2">
        <f ca="1"/>
        <v>-1.0092452998728132</v>
      </c>
      <c r="X970" s="2">
        <f ca="1"/>
        <v>57.431507064746903</v>
      </c>
      <c r="AG970" s="2">
        <f ca="1"/>
        <v>3.2587612273362598E-2</v>
      </c>
      <c r="AH970" s="2" t="str">
        <f ca="1"/>
        <v>Good</v>
      </c>
    </row>
    <row r="971" spans="2:34" x14ac:dyDescent="0.2">
      <c r="B971" s="2">
        <f ca="1"/>
        <v>0.48801861701567306</v>
      </c>
      <c r="O971" s="2">
        <f ca="1"/>
        <v>-3.2400683779587956E-2</v>
      </c>
      <c r="X971" s="2">
        <f ca="1"/>
        <v>37.621115414476364</v>
      </c>
      <c r="AG971" s="2">
        <f ca="1"/>
        <v>2.295150338220564E-2</v>
      </c>
      <c r="AH971" s="2" t="str">
        <f ca="1"/>
        <v>Good</v>
      </c>
    </row>
    <row r="972" spans="2:34" x14ac:dyDescent="0.2">
      <c r="B972" s="2">
        <f ca="1"/>
        <v>0.46715047465851356</v>
      </c>
      <c r="O972" s="2">
        <f ca="1"/>
        <v>0.72522928605332948</v>
      </c>
      <c r="X972" s="2">
        <f ca="1"/>
        <v>44.704432289111338</v>
      </c>
      <c r="AG972" s="2">
        <f ca="1"/>
        <v>0.91409356755235471</v>
      </c>
      <c r="AH972" s="2" t="str">
        <f ca="1"/>
        <v>Bad</v>
      </c>
    </row>
    <row r="973" spans="2:34" x14ac:dyDescent="0.2">
      <c r="B973" s="2">
        <f ca="1"/>
        <v>0.94377582848247621</v>
      </c>
      <c r="O973" s="2">
        <f ca="1"/>
        <v>0.13989831728201782</v>
      </c>
      <c r="X973" s="2">
        <f ca="1"/>
        <v>30.038139923435455</v>
      </c>
      <c r="AG973" s="2">
        <f ca="1"/>
        <v>0.10634307859348757</v>
      </c>
      <c r="AH973" s="2" t="str">
        <f ca="1"/>
        <v>OK</v>
      </c>
    </row>
    <row r="974" spans="2:34" x14ac:dyDescent="0.2">
      <c r="B974" s="2">
        <f ca="1"/>
        <v>0.9261562445461895</v>
      </c>
      <c r="O974" s="2">
        <f ca="1"/>
        <v>-0.49125312481746447</v>
      </c>
      <c r="X974" s="2">
        <f ca="1"/>
        <v>45.876537806052028</v>
      </c>
      <c r="AG974" s="2">
        <f ca="1"/>
        <v>0.54809018448820113</v>
      </c>
      <c r="AH974" s="2" t="str">
        <f ca="1"/>
        <v>Bad</v>
      </c>
    </row>
    <row r="975" spans="2:34" x14ac:dyDescent="0.2">
      <c r="B975" s="2">
        <f ca="1"/>
        <v>0.98060773542412005</v>
      </c>
      <c r="O975" s="2">
        <f ca="1"/>
        <v>0.67344125606317495</v>
      </c>
      <c r="X975" s="2">
        <f ca="1"/>
        <v>62.474290411295598</v>
      </c>
      <c r="AG975" s="2">
        <f ca="1"/>
        <v>6.8339990050334753E-2</v>
      </c>
      <c r="AH975" s="2" t="str">
        <f ca="1"/>
        <v>OK</v>
      </c>
    </row>
    <row r="976" spans="2:34" x14ac:dyDescent="0.2">
      <c r="B976" s="2">
        <f ca="1"/>
        <v>0.92775437169857811</v>
      </c>
      <c r="O976" s="2">
        <f ca="1"/>
        <v>1.974544400710291</v>
      </c>
      <c r="X976" s="2">
        <f ca="1"/>
        <v>53.301162427856717</v>
      </c>
      <c r="AG976" s="2">
        <f ca="1"/>
        <v>0.42961097760666878</v>
      </c>
      <c r="AH976" s="2" t="str">
        <f ca="1"/>
        <v>Bad</v>
      </c>
    </row>
    <row r="977" spans="2:34" x14ac:dyDescent="0.2">
      <c r="B977" s="2">
        <f ca="1"/>
        <v>0.50677458751232174</v>
      </c>
      <c r="O977" s="2">
        <f ca="1"/>
        <v>-0.47075975976477813</v>
      </c>
      <c r="X977" s="2">
        <f ca="1"/>
        <v>50.704971785732496</v>
      </c>
      <c r="AG977" s="2">
        <f ca="1"/>
        <v>0.44794095523476019</v>
      </c>
      <c r="AH977" s="2" t="str">
        <f ca="1"/>
        <v>Bad</v>
      </c>
    </row>
    <row r="978" spans="2:34" x14ac:dyDescent="0.2">
      <c r="B978" s="2">
        <f ca="1"/>
        <v>0.92437364074491013</v>
      </c>
      <c r="O978" s="2">
        <f ca="1"/>
        <v>3.6292120817320646E-2</v>
      </c>
      <c r="X978" s="2">
        <f ca="1"/>
        <v>34.932612296148321</v>
      </c>
      <c r="AG978" s="2">
        <f ca="1"/>
        <v>0.70511700403299504</v>
      </c>
      <c r="AH978" s="2" t="str">
        <f ca="1"/>
        <v>Bad</v>
      </c>
    </row>
    <row r="979" spans="2:34" x14ac:dyDescent="0.2">
      <c r="B979" s="2">
        <f ca="1"/>
        <v>0.5122121906633228</v>
      </c>
      <c r="O979" s="2">
        <f ca="1"/>
        <v>-1.541471660926844</v>
      </c>
      <c r="X979" s="2">
        <f ca="1"/>
        <v>83.516630154889242</v>
      </c>
      <c r="AG979" s="2">
        <f ca="1"/>
        <v>0.69986032888465477</v>
      </c>
      <c r="AH979" s="2" t="str">
        <f ca="1"/>
        <v>Bad</v>
      </c>
    </row>
    <row r="980" spans="2:34" x14ac:dyDescent="0.2">
      <c r="B980" s="2">
        <f ca="1"/>
        <v>0.55899104820470646</v>
      </c>
      <c r="O980" s="2">
        <f ca="1"/>
        <v>-2.3189915685997531</v>
      </c>
      <c r="X980" s="2">
        <f ca="1"/>
        <v>88.257030728857146</v>
      </c>
      <c r="AG980" s="2">
        <f ca="1"/>
        <v>0.44412317205621621</v>
      </c>
      <c r="AH980" s="2" t="str">
        <f ca="1"/>
        <v>Bad</v>
      </c>
    </row>
    <row r="981" spans="2:34" x14ac:dyDescent="0.2">
      <c r="B981" s="2">
        <f ca="1"/>
        <v>0.49294526146901596</v>
      </c>
      <c r="O981" s="2">
        <f ca="1"/>
        <v>1.0545542622729165</v>
      </c>
      <c r="X981" s="2">
        <f ca="1"/>
        <v>25.448840158252153</v>
      </c>
      <c r="AG981" s="2">
        <f ca="1"/>
        <v>5.2419202673245957E-2</v>
      </c>
      <c r="AH981" s="2" t="str">
        <f ca="1"/>
        <v>OK</v>
      </c>
    </row>
    <row r="982" spans="2:34" x14ac:dyDescent="0.2">
      <c r="B982" s="2">
        <f ca="1"/>
        <v>0.25072603777006131</v>
      </c>
      <c r="O982" s="2">
        <f ca="1"/>
        <v>0.73281967676469306</v>
      </c>
      <c r="X982" s="2">
        <f ca="1"/>
        <v>75.804621794214682</v>
      </c>
      <c r="AG982" s="2">
        <f ca="1"/>
        <v>0.7356350677756498</v>
      </c>
      <c r="AH982" s="2" t="str">
        <f ca="1"/>
        <v>Bad</v>
      </c>
    </row>
    <row r="983" spans="2:34" x14ac:dyDescent="0.2">
      <c r="B983" s="2">
        <f ca="1"/>
        <v>0.69545741075963807</v>
      </c>
      <c r="O983" s="2">
        <f ca="1"/>
        <v>3.9980551550759955E-2</v>
      </c>
      <c r="X983" s="2">
        <f ca="1"/>
        <v>48.846595624208604</v>
      </c>
      <c r="AG983" s="2">
        <f ca="1"/>
        <v>0.96770476549264006</v>
      </c>
      <c r="AH983" s="2" t="str">
        <f ca="1"/>
        <v>Bad</v>
      </c>
    </row>
    <row r="984" spans="2:34" x14ac:dyDescent="0.2">
      <c r="B984" s="2">
        <f ca="1"/>
        <v>0.76567497422745068</v>
      </c>
      <c r="O984" s="2">
        <f ca="1"/>
        <v>-1.06463268814317</v>
      </c>
      <c r="X984" s="2">
        <f ca="1"/>
        <v>38.760576275896113</v>
      </c>
      <c r="AG984" s="2">
        <f ca="1"/>
        <v>0.86704134149479151</v>
      </c>
      <c r="AH984" s="2" t="str">
        <f ca="1"/>
        <v>Bad</v>
      </c>
    </row>
    <row r="985" spans="2:34" x14ac:dyDescent="0.2">
      <c r="B985" s="2">
        <f ca="1"/>
        <v>0.84066797601411802</v>
      </c>
      <c r="O985" s="2">
        <f ca="1"/>
        <v>-0.19008051987425817</v>
      </c>
      <c r="X985" s="2">
        <f ca="1"/>
        <v>26.470918751410061</v>
      </c>
      <c r="AG985" s="2">
        <f ca="1"/>
        <v>0.95262076249845351</v>
      </c>
      <c r="AH985" s="2" t="str">
        <f ca="1"/>
        <v>Bad</v>
      </c>
    </row>
    <row r="986" spans="2:34" x14ac:dyDescent="0.2">
      <c r="B986" s="2">
        <f ca="1"/>
        <v>0.60402342435602141</v>
      </c>
      <c r="O986" s="2">
        <f ca="1"/>
        <v>-0.80890563134811022</v>
      </c>
      <c r="X986" s="2">
        <f ca="1"/>
        <v>53.320151755200335</v>
      </c>
      <c r="AG986" s="2">
        <f ca="1"/>
        <v>5.2425134359510128E-2</v>
      </c>
      <c r="AH986" s="2" t="str">
        <f ca="1"/>
        <v>OK</v>
      </c>
    </row>
    <row r="987" spans="2:34" x14ac:dyDescent="0.2">
      <c r="B987" s="2">
        <f ca="1"/>
        <v>0.23577235514028172</v>
      </c>
      <c r="O987" s="2">
        <f ca="1"/>
        <v>-0.20852751251113055</v>
      </c>
      <c r="X987" s="2">
        <f ca="1"/>
        <v>58.410369444536258</v>
      </c>
      <c r="AG987" s="2">
        <f ca="1"/>
        <v>0.36117714824256919</v>
      </c>
      <c r="AH987" s="2" t="str">
        <f ca="1"/>
        <v>OK</v>
      </c>
    </row>
    <row r="988" spans="2:34" x14ac:dyDescent="0.2">
      <c r="B988" s="2">
        <f ca="1"/>
        <v>0.80178161277520599</v>
      </c>
      <c r="O988" s="2">
        <f ca="1"/>
        <v>0.19915071404440352</v>
      </c>
      <c r="X988" s="2">
        <f ca="1"/>
        <v>40.032337435899549</v>
      </c>
      <c r="AG988" s="2">
        <f ca="1"/>
        <v>0.50619913106818215</v>
      </c>
      <c r="AH988" s="2" t="str">
        <f ca="1"/>
        <v>Bad</v>
      </c>
    </row>
    <row r="989" spans="2:34" x14ac:dyDescent="0.2">
      <c r="B989" s="2">
        <f ca="1"/>
        <v>0.41059242335953439</v>
      </c>
      <c r="O989" s="2">
        <f ca="1"/>
        <v>-2.2439624976376251</v>
      </c>
      <c r="X989" s="2">
        <f ca="1"/>
        <v>36.476880407266883</v>
      </c>
      <c r="AG989" s="2">
        <f ca="1"/>
        <v>0.87122990094473485</v>
      </c>
      <c r="AH989" s="2" t="str">
        <f ca="1"/>
        <v>Bad</v>
      </c>
    </row>
    <row r="990" spans="2:34" x14ac:dyDescent="0.2">
      <c r="B990" s="2">
        <f ca="1"/>
        <v>0.89499214855638276</v>
      </c>
      <c r="O990" s="2">
        <f ca="1"/>
        <v>-0.54612759179047898</v>
      </c>
      <c r="X990" s="2">
        <f ca="1"/>
        <v>81.338594687379555</v>
      </c>
      <c r="AG990" s="2">
        <f ca="1"/>
        <v>0.54926108006613927</v>
      </c>
      <c r="AH990" s="2" t="str">
        <f ca="1"/>
        <v>Bad</v>
      </c>
    </row>
    <row r="991" spans="2:34" x14ac:dyDescent="0.2">
      <c r="B991" s="2">
        <f ca="1"/>
        <v>0.17042585387676179</v>
      </c>
      <c r="O991" s="2">
        <f ca="1"/>
        <v>-1.2492117353569943</v>
      </c>
      <c r="X991" s="2">
        <f ca="1"/>
        <v>49.364031278347049</v>
      </c>
      <c r="AG991" s="2">
        <f ca="1"/>
        <v>0.83851730599954233</v>
      </c>
      <c r="AH991" s="2" t="str">
        <f ca="1"/>
        <v>Bad</v>
      </c>
    </row>
    <row r="992" spans="2:34" x14ac:dyDescent="0.2">
      <c r="B992" s="2">
        <f ca="1"/>
        <v>0.32162220776323713</v>
      </c>
      <c r="O992" s="2">
        <f ca="1"/>
        <v>-0.73853026835088065</v>
      </c>
      <c r="X992" s="2">
        <f ca="1"/>
        <v>69.996609603038692</v>
      </c>
      <c r="AG992" s="2">
        <f ca="1"/>
        <v>0.94720869311723277</v>
      </c>
      <c r="AH992" s="2" t="str">
        <f ca="1"/>
        <v>Bad</v>
      </c>
    </row>
    <row r="993" spans="2:34" x14ac:dyDescent="0.2">
      <c r="B993" s="2">
        <f ca="1"/>
        <v>4.2299771736454828E-2</v>
      </c>
      <c r="O993" s="2">
        <f ca="1"/>
        <v>3.1291021464144211E-2</v>
      </c>
      <c r="X993" s="2">
        <f ca="1"/>
        <v>59.575603461817536</v>
      </c>
      <c r="AG993" s="2">
        <f ca="1"/>
        <v>9.6804654779643506E-2</v>
      </c>
      <c r="AH993" s="2" t="str">
        <f ca="1"/>
        <v>OK</v>
      </c>
    </row>
    <row r="994" spans="2:34" x14ac:dyDescent="0.2">
      <c r="B994" s="2">
        <f ca="1"/>
        <v>0.84630422682572681</v>
      </c>
      <c r="O994" s="2">
        <f ca="1"/>
        <v>1.7353139024682704</v>
      </c>
      <c r="X994" s="2">
        <f ca="1"/>
        <v>59.41018981491677</v>
      </c>
      <c r="AG994" s="2">
        <f ca="1"/>
        <v>0.85060125514127738</v>
      </c>
      <c r="AH994" s="2" t="str">
        <f ca="1"/>
        <v>Bad</v>
      </c>
    </row>
    <row r="995" spans="2:34" x14ac:dyDescent="0.2">
      <c r="B995" s="2">
        <f ca="1"/>
        <v>0.32330631715822333</v>
      </c>
      <c r="O995" s="2">
        <f ca="1"/>
        <v>1.2515915844379384</v>
      </c>
      <c r="X995" s="2">
        <f ca="1"/>
        <v>36.785397434259295</v>
      </c>
      <c r="AG995" s="2">
        <f ca="1"/>
        <v>0.48700878729975594</v>
      </c>
      <c r="AH995" s="2" t="str">
        <f ca="1"/>
        <v>Bad</v>
      </c>
    </row>
    <row r="996" spans="2:34" x14ac:dyDescent="0.2">
      <c r="B996" s="2">
        <f ca="1"/>
        <v>0.60280345472131058</v>
      </c>
      <c r="O996" s="2">
        <f ca="1"/>
        <v>-0.17842876384271214</v>
      </c>
      <c r="X996" s="2">
        <f ca="1"/>
        <v>57.500690757668579</v>
      </c>
      <c r="AG996" s="2">
        <f ca="1"/>
        <v>0.90792066232247559</v>
      </c>
      <c r="AH996" s="2" t="str">
        <f ca="1"/>
        <v>Bad</v>
      </c>
    </row>
    <row r="997" spans="2:34" x14ac:dyDescent="0.2">
      <c r="B997" s="2">
        <f ca="1"/>
        <v>8.7066944587904871E-2</v>
      </c>
      <c r="O997" s="2">
        <f ca="1"/>
        <v>-0.30947050252751335</v>
      </c>
      <c r="X997" s="2">
        <f ca="1"/>
        <v>61.590721867610213</v>
      </c>
      <c r="AG997" s="2">
        <f ca="1"/>
        <v>0.90234081113342479</v>
      </c>
      <c r="AH997" s="2" t="str">
        <f ca="1"/>
        <v>Bad</v>
      </c>
    </row>
    <row r="998" spans="2:34" x14ac:dyDescent="0.2">
      <c r="B998" s="2">
        <f ca="1"/>
        <v>0.32595990176973944</v>
      </c>
      <c r="O998" s="2">
        <f ca="1"/>
        <v>-1.3534286795948702</v>
      </c>
      <c r="X998" s="2">
        <f ca="1"/>
        <v>70.535939537455207</v>
      </c>
      <c r="AG998" s="2">
        <f ca="1"/>
        <v>0.71320974943867865</v>
      </c>
      <c r="AH998" s="2" t="str">
        <f ca="1"/>
        <v>Bad</v>
      </c>
    </row>
    <row r="999" spans="2:34" x14ac:dyDescent="0.2">
      <c r="B999" s="2">
        <f ca="1"/>
        <v>0.95308305030703888</v>
      </c>
      <c r="O999" s="2">
        <f ca="1"/>
        <v>-0.99288014019244064</v>
      </c>
      <c r="X999" s="2">
        <f ca="1"/>
        <v>56.47008901005325</v>
      </c>
      <c r="AG999" s="2">
        <f ca="1"/>
        <v>0.42292522221048134</v>
      </c>
      <c r="AH999" s="2" t="str">
        <f ca="1"/>
        <v>Bad</v>
      </c>
    </row>
    <row r="1000" spans="2:34" x14ac:dyDescent="0.2">
      <c r="B1000" s="2">
        <f ca="1"/>
        <v>0.54622673142941558</v>
      </c>
      <c r="O1000" s="2">
        <f ca="1"/>
        <v>-2.403890339331983</v>
      </c>
      <c r="X1000" s="2">
        <f ca="1"/>
        <v>31.22860038088065</v>
      </c>
      <c r="AG1000" s="2">
        <f ca="1"/>
        <v>0.35322114322669695</v>
      </c>
      <c r="AH1000" s="2" t="str">
        <f ca="1"/>
        <v>OK</v>
      </c>
    </row>
    <row r="1001" spans="2:34" x14ac:dyDescent="0.2">
      <c r="B1001" s="2">
        <f ca="1"/>
        <v>1.7457858233254075E-3</v>
      </c>
      <c r="O1001" s="2">
        <f ca="1"/>
        <v>8.0298987851349785E-2</v>
      </c>
      <c r="X1001" s="2">
        <f ca="1"/>
        <v>30.366575776735822</v>
      </c>
      <c r="AG1001" s="2">
        <f ca="1"/>
        <v>7.7895985400906476E-2</v>
      </c>
      <c r="AH1001" s="2" t="str">
        <f ca="1"/>
        <v>OK</v>
      </c>
    </row>
    <row r="1002" spans="2:34" x14ac:dyDescent="0.2">
      <c r="B1002" s="2">
        <f ca="1"/>
        <v>0.26979051953295863</v>
      </c>
      <c r="O1002" s="2">
        <f ca="1"/>
        <v>-1.8394034080705615</v>
      </c>
      <c r="X1002" s="2">
        <f ca="1"/>
        <v>61.375060140464598</v>
      </c>
      <c r="AG1002" s="2">
        <f ca="1"/>
        <v>0.81095813559915975</v>
      </c>
      <c r="AH1002" s="2" t="str">
        <f ca="1"/>
        <v>Bad</v>
      </c>
    </row>
    <row r="1003" spans="2:34" x14ac:dyDescent="0.2">
      <c r="B1003" s="2">
        <f ca="1"/>
        <v>0.56680932724928956</v>
      </c>
      <c r="O1003" s="2">
        <f ca="1"/>
        <v>1.2378368667504323</v>
      </c>
      <c r="X1003" s="2">
        <f ca="1"/>
        <v>52.372201930770039</v>
      </c>
      <c r="AG1003" s="2">
        <f ca="1"/>
        <v>0.90595695879191207</v>
      </c>
      <c r="AH1003" s="2" t="str">
        <f ca="1"/>
        <v>Bad</v>
      </c>
    </row>
    <row r="1004" spans="2:34" x14ac:dyDescent="0.2">
      <c r="B1004" s="2">
        <f ca="1"/>
        <v>0.17896491022983341</v>
      </c>
      <c r="O1004" s="2">
        <f ca="1"/>
        <v>0.46206233083461312</v>
      </c>
      <c r="X1004" s="2">
        <f ca="1"/>
        <v>51.43994597273042</v>
      </c>
      <c r="AG1004" s="2">
        <f ca="1"/>
        <v>0.56610992067302779</v>
      </c>
      <c r="AH1004" s="2" t="str">
        <f ca="1"/>
        <v>Bad</v>
      </c>
    </row>
    <row r="1005" spans="2:34" x14ac:dyDescent="0.2">
      <c r="B1005" s="2">
        <f ca="1"/>
        <v>0.98510200323629848</v>
      </c>
      <c r="O1005" s="2">
        <f ca="1"/>
        <v>0.49756310387096686</v>
      </c>
      <c r="X1005" s="2">
        <f ca="1"/>
        <v>71.007639050666114</v>
      </c>
      <c r="AG1005" s="2">
        <f ca="1"/>
        <v>1.6442981931924949E-2</v>
      </c>
      <c r="AH1005" s="2" t="str">
        <f ca="1"/>
        <v>Good</v>
      </c>
    </row>
    <row r="1006" spans="2:34" x14ac:dyDescent="0.2">
      <c r="B1006" s="2">
        <f ca="1"/>
        <v>0.65263833022217255</v>
      </c>
      <c r="O1006" s="2">
        <f ca="1"/>
        <v>-0.18499053538867991</v>
      </c>
      <c r="X1006" s="2">
        <f ca="1"/>
        <v>30.724740649195933</v>
      </c>
      <c r="AG1006" s="2">
        <f ca="1"/>
        <v>0.64260446944167415</v>
      </c>
      <c r="AH1006" s="2" t="str">
        <f ca="1"/>
        <v>Bad</v>
      </c>
    </row>
    <row r="1007" spans="2:34" x14ac:dyDescent="0.2">
      <c r="B1007" s="2">
        <f ca="1"/>
        <v>0.15800633707510858</v>
      </c>
      <c r="O1007" s="2">
        <f ca="1"/>
        <v>-0.83274499757166154</v>
      </c>
      <c r="X1007" s="2">
        <f ca="1"/>
        <v>36.683208963264072</v>
      </c>
      <c r="AG1007" s="2">
        <f ca="1"/>
        <v>9.2820790774720496E-2</v>
      </c>
      <c r="AH1007" s="2" t="str">
        <f ca="1"/>
        <v>OK</v>
      </c>
    </row>
    <row r="1008" spans="2:34" x14ac:dyDescent="0.2">
      <c r="B1008" s="2">
        <f ca="1"/>
        <v>0.46781134644353894</v>
      </c>
      <c r="O1008" s="2">
        <f ca="1"/>
        <v>0.75652726563819483</v>
      </c>
      <c r="X1008" s="2">
        <f ca="1"/>
        <v>54.923902308514386</v>
      </c>
      <c r="AG1008" s="2">
        <f ca="1"/>
        <v>0.91123572933578956</v>
      </c>
      <c r="AH1008" s="2" t="str">
        <f ca="1"/>
        <v>Bad</v>
      </c>
    </row>
    <row r="1009" spans="2:34" x14ac:dyDescent="0.2">
      <c r="B1009" s="2">
        <f ca="1"/>
        <v>0.69682259336579366</v>
      </c>
      <c r="O1009" s="2">
        <f ca="1"/>
        <v>-1.6906427176810563</v>
      </c>
      <c r="X1009" s="2">
        <f ca="1"/>
        <v>46.005911786792325</v>
      </c>
      <c r="AG1009" s="2">
        <f ca="1"/>
        <v>0.98778832212877465</v>
      </c>
      <c r="AH1009" s="2" t="str">
        <f ca="1"/>
        <v>Bad</v>
      </c>
    </row>
    <row r="1010" spans="2:34" x14ac:dyDescent="0.2">
      <c r="B1010" s="2">
        <f ca="1"/>
        <v>0.41193299407554584</v>
      </c>
      <c r="O1010" s="2">
        <f ca="1"/>
        <v>0.79011826224142534</v>
      </c>
      <c r="X1010" s="2">
        <f ca="1"/>
        <v>48.50570540710553</v>
      </c>
      <c r="AG1010" s="2">
        <f ca="1"/>
        <v>0.87545512700594941</v>
      </c>
      <c r="AH1010" s="2" t="str">
        <f ca="1"/>
        <v>Bad</v>
      </c>
    </row>
    <row r="1011" spans="2:34" x14ac:dyDescent="0.2">
      <c r="B1011" s="2">
        <f ca="1"/>
        <v>2.5743290920623219E-2</v>
      </c>
      <c r="O1011" s="2">
        <f ca="1"/>
        <v>0.52216299672321609</v>
      </c>
      <c r="X1011" s="2">
        <f ca="1"/>
        <v>49.351773907586079</v>
      </c>
      <c r="AG1011" s="2">
        <f ca="1"/>
        <v>0.71267435013472635</v>
      </c>
      <c r="AH1011" s="2" t="str">
        <f ca="1"/>
        <v>Bad</v>
      </c>
    </row>
    <row r="1012" spans="2:34" x14ac:dyDescent="0.2">
      <c r="B1012" s="2">
        <f ca="1"/>
        <v>0.45633488287984836</v>
      </c>
      <c r="O1012" s="2">
        <f ca="1"/>
        <v>-1.6556007472591674</v>
      </c>
      <c r="X1012" s="2">
        <f ca="1"/>
        <v>57.976106780675423</v>
      </c>
      <c r="AG1012" s="2">
        <f ca="1"/>
        <v>0.41846881903473832</v>
      </c>
      <c r="AH1012" s="2" t="str">
        <f ca="1"/>
        <v>Bad</v>
      </c>
    </row>
    <row r="1013" spans="2:34" x14ac:dyDescent="0.2">
      <c r="B1013" s="2">
        <f ca="1"/>
        <v>0.96503552253897751</v>
      </c>
      <c r="O1013" s="2">
        <f ca="1"/>
        <v>1.4465946344541742</v>
      </c>
      <c r="X1013" s="2">
        <f ca="1"/>
        <v>73.24518988190863</v>
      </c>
      <c r="AG1013" s="2">
        <f ca="1"/>
        <v>0.78745584023477777</v>
      </c>
      <c r="AH1013" s="2" t="str">
        <f ca="1"/>
        <v>Bad</v>
      </c>
    </row>
    <row r="1014" spans="2:34" x14ac:dyDescent="0.2">
      <c r="B1014" s="2">
        <f ca="1"/>
        <v>0.15825269052405666</v>
      </c>
      <c r="O1014" s="2">
        <f ca="1"/>
        <v>0.50360028473859841</v>
      </c>
      <c r="X1014" s="2">
        <f ca="1"/>
        <v>35.716250143797616</v>
      </c>
      <c r="AG1014" s="2">
        <f ca="1"/>
        <v>0.34851540520605906</v>
      </c>
      <c r="AH1014" s="2" t="str">
        <f ca="1"/>
        <v>OK</v>
      </c>
    </row>
    <row r="1015" spans="2:34" x14ac:dyDescent="0.2">
      <c r="B1015" s="2">
        <f ca="1"/>
        <v>0.80387328216645337</v>
      </c>
      <c r="O1015" s="2">
        <f ca="1"/>
        <v>-1.4130086006107521</v>
      </c>
      <c r="X1015" s="2">
        <f ca="1"/>
        <v>44.294300835146309</v>
      </c>
      <c r="AG1015" s="2">
        <f ca="1"/>
        <v>0.56686548074270471</v>
      </c>
      <c r="AH1015" s="2" t="str">
        <f ca="1"/>
        <v>Bad</v>
      </c>
    </row>
    <row r="1016" spans="2:34" x14ac:dyDescent="0.2">
      <c r="B1016" s="2">
        <f ca="1"/>
        <v>0.84042217101217243</v>
      </c>
      <c r="O1016" s="2">
        <f ca="1"/>
        <v>-0.52374355169033104</v>
      </c>
      <c r="X1016" s="2">
        <f ca="1"/>
        <v>41.139386820286468</v>
      </c>
      <c r="AG1016" s="2">
        <f ca="1"/>
        <v>7.3506843690766432E-2</v>
      </c>
      <c r="AH1016" s="2" t="str">
        <f ca="1"/>
        <v>OK</v>
      </c>
    </row>
    <row r="1017" spans="2:34" x14ac:dyDescent="0.2">
      <c r="B1017" s="2">
        <f ca="1"/>
        <v>0.24541791910818156</v>
      </c>
      <c r="O1017" s="2">
        <f ca="1"/>
        <v>0.15047092259700265</v>
      </c>
      <c r="X1017" s="2">
        <f ca="1"/>
        <v>59.654864855369397</v>
      </c>
      <c r="AG1017" s="2">
        <f ca="1"/>
        <v>0.63197910687901238</v>
      </c>
      <c r="AH1017" s="2" t="str">
        <f ca="1"/>
        <v>Bad</v>
      </c>
    </row>
    <row r="1018" spans="2:34" x14ac:dyDescent="0.2">
      <c r="B1018" s="2">
        <f ca="1"/>
        <v>0.45373646045257199</v>
      </c>
      <c r="O1018" s="2">
        <f ca="1"/>
        <v>9.3010469838804927E-2</v>
      </c>
      <c r="X1018" s="2">
        <f ca="1"/>
        <v>51.028559797651674</v>
      </c>
      <c r="AG1018" s="2">
        <f ca="1"/>
        <v>0.29981027849627551</v>
      </c>
      <c r="AH1018" s="2" t="str">
        <f ca="1"/>
        <v>OK</v>
      </c>
    </row>
    <row r="1019" spans="2:34" x14ac:dyDescent="0.2">
      <c r="B1019" s="2">
        <f ca="1"/>
        <v>0.20112697491386267</v>
      </c>
      <c r="O1019" s="2">
        <f ca="1"/>
        <v>-2.756010441193632E-2</v>
      </c>
      <c r="X1019" s="2">
        <f ca="1"/>
        <v>67.455138020488789</v>
      </c>
      <c r="AG1019" s="2">
        <f ca="1"/>
        <v>0.63775595420133047</v>
      </c>
      <c r="AH1019" s="2" t="str">
        <f ca="1"/>
        <v>Bad</v>
      </c>
    </row>
    <row r="1020" spans="2:34" x14ac:dyDescent="0.2">
      <c r="B1020" s="2">
        <f ca="1"/>
        <v>0.7329764273386643</v>
      </c>
      <c r="O1020" s="2">
        <f ca="1"/>
        <v>-1.354648460283822</v>
      </c>
      <c r="X1020" s="2">
        <f ca="1"/>
        <v>56.659262372680544</v>
      </c>
      <c r="AG1020" s="2">
        <f ca="1"/>
        <v>0.88426400314137288</v>
      </c>
      <c r="AH1020" s="2" t="str">
        <f ca="1"/>
        <v>Bad</v>
      </c>
    </row>
    <row r="1021" spans="2:34" x14ac:dyDescent="0.2">
      <c r="B1021" s="2">
        <f ca="1"/>
        <v>0.10410182587489247</v>
      </c>
      <c r="O1021" s="2">
        <f ca="1"/>
        <v>-1.5028685318966328</v>
      </c>
      <c r="X1021" s="2">
        <f ca="1"/>
        <v>27.558465298325551</v>
      </c>
      <c r="AG1021" s="2">
        <f ca="1"/>
        <v>0.7800074002840236</v>
      </c>
      <c r="AH1021" s="2" t="str">
        <f ca="1"/>
        <v>Bad</v>
      </c>
    </row>
    <row r="1022" spans="2:34" x14ac:dyDescent="0.2">
      <c r="B1022" s="2">
        <f ca="1"/>
        <v>0.27749743628360868</v>
      </c>
      <c r="O1022" s="2">
        <f ca="1"/>
        <v>-9.5696340704561789E-2</v>
      </c>
      <c r="X1022" s="2">
        <f ca="1"/>
        <v>29.114472971338969</v>
      </c>
      <c r="AG1022" s="2">
        <f ca="1"/>
        <v>5.0477114080142771E-2</v>
      </c>
      <c r="AH1022" s="2" t="str">
        <f ca="1"/>
        <v>OK</v>
      </c>
    </row>
    <row r="1023" spans="2:34" x14ac:dyDescent="0.2">
      <c r="B1023" s="2">
        <f ca="1"/>
        <v>0.82844485980676819</v>
      </c>
      <c r="O1023" s="2">
        <f ca="1"/>
        <v>-0.33026164387777407</v>
      </c>
      <c r="X1023" s="2">
        <f ca="1"/>
        <v>40.935970027277577</v>
      </c>
      <c r="AG1023" s="2">
        <f ca="1"/>
        <v>0.68162385090065158</v>
      </c>
      <c r="AH1023" s="2" t="str">
        <f ca="1"/>
        <v>Bad</v>
      </c>
    </row>
    <row r="1024" spans="2:34" x14ac:dyDescent="0.2">
      <c r="B1024" s="2">
        <f ca="1"/>
        <v>0.56568631242051448</v>
      </c>
      <c r="O1024" s="2">
        <f ca="1"/>
        <v>-1.0757810334550844</v>
      </c>
      <c r="X1024" s="2">
        <f ca="1"/>
        <v>98.639151769088897</v>
      </c>
      <c r="AG1024" s="2">
        <f ca="1"/>
        <v>0.88547152677024688</v>
      </c>
      <c r="AH1024" s="2" t="str">
        <f ca="1"/>
        <v>Bad</v>
      </c>
    </row>
    <row r="1025" spans="2:34" x14ac:dyDescent="0.2">
      <c r="B1025" s="2">
        <f ca="1"/>
        <v>0.39455032641598931</v>
      </c>
      <c r="O1025" s="2">
        <f ca="1"/>
        <v>-1.7358716673877921</v>
      </c>
      <c r="X1025" s="2">
        <f ca="1"/>
        <v>46.811725150786849</v>
      </c>
      <c r="AG1025" s="2">
        <f ca="1"/>
        <v>0.60879701569247802</v>
      </c>
      <c r="AH1025" s="2" t="str">
        <f ca="1"/>
        <v>Bad</v>
      </c>
    </row>
    <row r="1026" spans="2:34" x14ac:dyDescent="0.2">
      <c r="B1026" s="2">
        <f ca="1"/>
        <v>0.75121863247289267</v>
      </c>
      <c r="O1026" s="2">
        <f ca="1"/>
        <v>0.23981389165570599</v>
      </c>
      <c r="X1026" s="2">
        <f ca="1"/>
        <v>56.210404803746819</v>
      </c>
      <c r="AG1026" s="2">
        <f ca="1"/>
        <v>2.4837175653755317E-2</v>
      </c>
      <c r="AH1026" s="2" t="str">
        <f ca="1"/>
        <v>Good</v>
      </c>
    </row>
    <row r="1027" spans="2:34" x14ac:dyDescent="0.2">
      <c r="B1027" s="2">
        <f ca="1"/>
        <v>0.70563341841423832</v>
      </c>
      <c r="O1027" s="2">
        <f ca="1"/>
        <v>0.98408114339891661</v>
      </c>
      <c r="X1027" s="2">
        <f ca="1"/>
        <v>53.496828334166217</v>
      </c>
      <c r="AG1027" s="2">
        <f ca="1"/>
        <v>0.82987193968631878</v>
      </c>
      <c r="AH1027" s="2" t="str">
        <f ca="1"/>
        <v>Bad</v>
      </c>
    </row>
    <row r="1028" spans="2:34" x14ac:dyDescent="0.2">
      <c r="B1028" s="2">
        <f ca="1"/>
        <v>9.1244011592689356E-2</v>
      </c>
      <c r="O1028" s="2">
        <f ca="1"/>
        <v>0.57955811859237549</v>
      </c>
      <c r="X1028" s="2">
        <f ca="1"/>
        <v>58.747676696942989</v>
      </c>
      <c r="AG1028" s="2">
        <f ca="1"/>
        <v>0.21155551910607007</v>
      </c>
      <c r="AH1028" s="2" t="str">
        <f ca="1"/>
        <v>OK</v>
      </c>
    </row>
    <row r="1029" spans="2:34" x14ac:dyDescent="0.2">
      <c r="B1029" s="2">
        <f ca="1"/>
        <v>0.67833309416896692</v>
      </c>
      <c r="O1029" s="2">
        <f ca="1"/>
        <v>-0.66861407796593197</v>
      </c>
      <c r="X1029" s="2">
        <f ca="1"/>
        <v>44.087284231059428</v>
      </c>
      <c r="AG1029" s="2">
        <f ca="1"/>
        <v>0.8048180191560963</v>
      </c>
      <c r="AH1029" s="2" t="str">
        <f ca="1"/>
        <v>Bad</v>
      </c>
    </row>
    <row r="1030" spans="2:34" x14ac:dyDescent="0.2">
      <c r="B1030" s="2">
        <f ca="1"/>
        <v>0.79326972399899032</v>
      </c>
      <c r="O1030" s="2">
        <f ca="1"/>
        <v>-0.21603933924705396</v>
      </c>
      <c r="X1030" s="2">
        <f ca="1"/>
        <v>66.84492639462897</v>
      </c>
      <c r="AG1030" s="2">
        <f ca="1"/>
        <v>1.9820156331935124E-2</v>
      </c>
      <c r="AH1030" s="2" t="str">
        <f ca="1"/>
        <v>Good</v>
      </c>
    </row>
    <row r="1031" spans="2:34" x14ac:dyDescent="0.2">
      <c r="B1031" s="2">
        <f ca="1"/>
        <v>0.87623515067638635</v>
      </c>
      <c r="O1031" s="2">
        <f ca="1"/>
        <v>-1.0038682198146283</v>
      </c>
      <c r="X1031" s="2">
        <f ca="1"/>
        <v>53.337173454047225</v>
      </c>
      <c r="AG1031" s="2">
        <f ca="1"/>
        <v>0.29676541044756299</v>
      </c>
      <c r="AH1031" s="2" t="str">
        <f ca="1"/>
        <v>OK</v>
      </c>
    </row>
    <row r="1032" spans="2:34" x14ac:dyDescent="0.2">
      <c r="B1032" s="2">
        <f ca="1"/>
        <v>0.80845153408336889</v>
      </c>
      <c r="O1032" s="2">
        <f ca="1"/>
        <v>-6.0813763183504607E-2</v>
      </c>
      <c r="X1032" s="2">
        <f ca="1"/>
        <v>33.378269019225549</v>
      </c>
      <c r="AG1032" s="2">
        <f ca="1"/>
        <v>8.9036334840431053E-2</v>
      </c>
      <c r="AH1032" s="2" t="str">
        <f ca="1"/>
        <v>OK</v>
      </c>
    </row>
    <row r="1033" spans="2:34" x14ac:dyDescent="0.2">
      <c r="B1033" s="2">
        <f ca="1"/>
        <v>0.89056789815215986</v>
      </c>
      <c r="O1033" s="2">
        <f ca="1"/>
        <v>0.93546290960944234</v>
      </c>
      <c r="X1033" s="2">
        <f ca="1"/>
        <v>37.544506886764943</v>
      </c>
      <c r="AG1033" s="2">
        <f ca="1"/>
        <v>0.30295822647667503</v>
      </c>
      <c r="AH1033" s="2" t="str">
        <f ca="1"/>
        <v>OK</v>
      </c>
    </row>
    <row r="1034" spans="2:34" x14ac:dyDescent="0.2">
      <c r="B1034" s="2">
        <f ca="1"/>
        <v>0.12042585235031544</v>
      </c>
      <c r="O1034" s="2">
        <f ca="1"/>
        <v>0.24226219753747127</v>
      </c>
      <c r="X1034" s="2">
        <f ca="1"/>
        <v>34.377446133941831</v>
      </c>
      <c r="AG1034" s="2">
        <f ca="1"/>
        <v>0.72743048580935521</v>
      </c>
      <c r="AH1034" s="2" t="str">
        <f ca="1"/>
        <v>Bad</v>
      </c>
    </row>
    <row r="1035" spans="2:34" x14ac:dyDescent="0.2">
      <c r="B1035" s="2">
        <f ca="1"/>
        <v>0.51245958722190288</v>
      </c>
      <c r="O1035" s="2">
        <f ca="1"/>
        <v>1.7459856258526922</v>
      </c>
      <c r="X1035" s="2">
        <f ca="1"/>
        <v>87.107237052935119</v>
      </c>
      <c r="AG1035" s="2">
        <f ca="1"/>
        <v>0.68279857056508475</v>
      </c>
      <c r="AH1035" s="2" t="str">
        <f ca="1"/>
        <v>Bad</v>
      </c>
    </row>
    <row r="1036" spans="2:34" x14ac:dyDescent="0.2">
      <c r="B1036" s="2">
        <f ca="1"/>
        <v>5.7377982993846999E-2</v>
      </c>
      <c r="O1036" s="2">
        <f ca="1"/>
        <v>-2.8761400208646867E-2</v>
      </c>
      <c r="X1036" s="2">
        <f ca="1"/>
        <v>55.893242138764172</v>
      </c>
      <c r="AG1036" s="2">
        <f ca="1"/>
        <v>0.22265780853091877</v>
      </c>
      <c r="AH1036" s="2" t="str">
        <f ca="1"/>
        <v>OK</v>
      </c>
    </row>
    <row r="1037" spans="2:34" x14ac:dyDescent="0.2">
      <c r="B1037" s="2">
        <f ca="1"/>
        <v>0.44138407498041299</v>
      </c>
      <c r="O1037" s="2">
        <f ca="1"/>
        <v>-0.84787028690959731</v>
      </c>
      <c r="X1037" s="2">
        <f ca="1"/>
        <v>29.754785608917118</v>
      </c>
      <c r="AG1037" s="2">
        <f ca="1"/>
        <v>0.2385544862944573</v>
      </c>
      <c r="AH1037" s="2" t="str">
        <f ca="1"/>
        <v>OK</v>
      </c>
    </row>
    <row r="1038" spans="2:34" x14ac:dyDescent="0.2">
      <c r="B1038" s="2">
        <f ca="1"/>
        <v>0.69498910860699015</v>
      </c>
      <c r="O1038" s="2">
        <f ca="1"/>
        <v>-1.1145737633585193</v>
      </c>
      <c r="X1038" s="2">
        <f ca="1"/>
        <v>67.493229217051322</v>
      </c>
      <c r="AG1038" s="2">
        <f ca="1"/>
        <v>0.4356801630748508</v>
      </c>
      <c r="AH1038" s="2" t="str">
        <f ca="1"/>
        <v>Bad</v>
      </c>
    </row>
    <row r="1039" spans="2:34" x14ac:dyDescent="0.2">
      <c r="B1039" s="2">
        <f ca="1"/>
        <v>0.96071449453592006</v>
      </c>
      <c r="O1039" s="2">
        <f ca="1"/>
        <v>0.33032471077363562</v>
      </c>
      <c r="X1039" s="2">
        <f ca="1"/>
        <v>39.229706557132531</v>
      </c>
      <c r="AG1039" s="2">
        <f ca="1"/>
        <v>2.0323022130152024E-2</v>
      </c>
      <c r="AH1039" s="2" t="str">
        <f ca="1"/>
        <v>Good</v>
      </c>
    </row>
    <row r="1040" spans="2:34" x14ac:dyDescent="0.2">
      <c r="B1040" s="2">
        <f ca="1"/>
        <v>0.77772186278733613</v>
      </c>
      <c r="O1040" s="2">
        <f ca="1"/>
        <v>-1.0685614383939219</v>
      </c>
      <c r="X1040" s="2">
        <f ca="1"/>
        <v>60.677706788942196</v>
      </c>
      <c r="AG1040" s="2">
        <f ca="1"/>
        <v>0.77089682576720486</v>
      </c>
      <c r="AH1040" s="2" t="str">
        <f ca="1"/>
        <v>Bad</v>
      </c>
    </row>
    <row r="1041" spans="2:34" x14ac:dyDescent="0.2">
      <c r="B1041" s="2">
        <f ca="1"/>
        <v>0.4989483796731049</v>
      </c>
      <c r="O1041" s="2">
        <f ca="1"/>
        <v>1.3231560740580299</v>
      </c>
      <c r="X1041" s="2">
        <f ca="1"/>
        <v>73.100700506991686</v>
      </c>
      <c r="AG1041" s="2">
        <f ca="1"/>
        <v>0.92592887627266163</v>
      </c>
      <c r="AH1041" s="2" t="str">
        <f ca="1"/>
        <v>Bad</v>
      </c>
    </row>
    <row r="1042" spans="2:34" x14ac:dyDescent="0.2">
      <c r="B1042" s="2">
        <f ca="1"/>
        <v>0.77081402989469727</v>
      </c>
      <c r="O1042" s="2">
        <f ca="1"/>
        <v>0.55565554184941524</v>
      </c>
      <c r="X1042" s="2">
        <f ca="1"/>
        <v>31.271191422106249</v>
      </c>
      <c r="AG1042" s="2">
        <f ca="1"/>
        <v>1.5603655460688204E-2</v>
      </c>
      <c r="AH1042" s="2" t="str">
        <f ca="1"/>
        <v>Good</v>
      </c>
    </row>
    <row r="1043" spans="2:34" x14ac:dyDescent="0.2">
      <c r="B1043" s="2">
        <f ca="1"/>
        <v>0.90352088619322002</v>
      </c>
      <c r="O1043" s="2">
        <f ca="1"/>
        <v>0.63099762270512771</v>
      </c>
      <c r="X1043" s="2">
        <f ca="1"/>
        <v>51.850134059861254</v>
      </c>
      <c r="AG1043" s="2">
        <f ca="1"/>
        <v>0.53792247487381295</v>
      </c>
      <c r="AH1043" s="2" t="str">
        <f ca="1"/>
        <v>Bad</v>
      </c>
    </row>
    <row r="1044" spans="2:34" x14ac:dyDescent="0.2">
      <c r="B1044" s="2">
        <f ca="1"/>
        <v>0.28109353521707137</v>
      </c>
      <c r="O1044" s="2">
        <f ca="1"/>
        <v>0.38979151015148517</v>
      </c>
      <c r="X1044" s="2">
        <f ca="1"/>
        <v>47.777124055545819</v>
      </c>
      <c r="AG1044" s="2">
        <f ca="1"/>
        <v>4.2392762455213395E-2</v>
      </c>
      <c r="AH1044" s="2" t="str">
        <f ca="1"/>
        <v>Good</v>
      </c>
    </row>
    <row r="1045" spans="2:34" x14ac:dyDescent="0.2">
      <c r="B1045" s="2">
        <f ca="1"/>
        <v>0.23853947644328022</v>
      </c>
      <c r="O1045" s="2">
        <f ca="1"/>
        <v>0.49076648394887434</v>
      </c>
      <c r="X1045" s="2">
        <f ca="1"/>
        <v>30.261729422803846</v>
      </c>
      <c r="AG1045" s="2">
        <f ca="1"/>
        <v>0.46957675255341891</v>
      </c>
      <c r="AH1045" s="2" t="str">
        <f ca="1"/>
        <v>Bad</v>
      </c>
    </row>
    <row r="1046" spans="2:34" x14ac:dyDescent="0.2">
      <c r="B1046" s="2">
        <f ca="1"/>
        <v>0.14431183150411364</v>
      </c>
      <c r="O1046" s="2">
        <f ca="1"/>
        <v>-1.0030655653085088</v>
      </c>
      <c r="X1046" s="2">
        <f ca="1"/>
        <v>38.211572266744206</v>
      </c>
      <c r="AG1046" s="2">
        <f ca="1"/>
        <v>0.52510831604227293</v>
      </c>
      <c r="AH1046" s="2" t="str">
        <f ca="1"/>
        <v>Bad</v>
      </c>
    </row>
    <row r="1047" spans="2:34" x14ac:dyDescent="0.2">
      <c r="B1047" s="2">
        <f ca="1"/>
        <v>0.13680394815500874</v>
      </c>
      <c r="O1047" s="2">
        <f ca="1"/>
        <v>-7.3994297877943635E-2</v>
      </c>
      <c r="X1047" s="2">
        <f ca="1"/>
        <v>58.823661505986195</v>
      </c>
      <c r="AG1047" s="2">
        <f ca="1"/>
        <v>0.1005138810619457</v>
      </c>
      <c r="AH1047" s="2" t="str">
        <f ca="1"/>
        <v>OK</v>
      </c>
    </row>
    <row r="1048" spans="2:34" x14ac:dyDescent="0.2">
      <c r="B1048" s="2">
        <f ca="1"/>
        <v>0.76444718041545556</v>
      </c>
      <c r="O1048" s="2">
        <f ca="1"/>
        <v>0.21898840698709901</v>
      </c>
      <c r="X1048" s="2">
        <f ca="1"/>
        <v>49.465123785916845</v>
      </c>
      <c r="AG1048" s="2">
        <f ca="1"/>
        <v>0.95993708268242672</v>
      </c>
      <c r="AH1048" s="2" t="str">
        <f ca="1"/>
        <v>Bad</v>
      </c>
    </row>
    <row r="1049" spans="2:34" x14ac:dyDescent="0.2">
      <c r="B1049" s="2">
        <f ca="1"/>
        <v>0.36616994663753499</v>
      </c>
      <c r="O1049" s="2">
        <f ca="1"/>
        <v>-0.92242129221394464</v>
      </c>
      <c r="X1049" s="2">
        <f ca="1"/>
        <v>41.44982679648794</v>
      </c>
      <c r="AG1049" s="2">
        <f ca="1"/>
        <v>0.35609302376456342</v>
      </c>
      <c r="AH1049" s="2" t="str">
        <f ca="1"/>
        <v>OK</v>
      </c>
    </row>
    <row r="1050" spans="2:34" x14ac:dyDescent="0.2">
      <c r="B1050" s="2">
        <f ca="1"/>
        <v>0.92421728116696</v>
      </c>
      <c r="O1050" s="2">
        <f ca="1"/>
        <v>-0.55521075135489206</v>
      </c>
      <c r="X1050" s="2">
        <f ca="1"/>
        <v>49.166040536396672</v>
      </c>
      <c r="AG1050" s="2">
        <f ca="1"/>
        <v>0.88809607659667944</v>
      </c>
      <c r="AH1050" s="2" t="str">
        <f ca="1"/>
        <v>Bad</v>
      </c>
    </row>
    <row r="1051" spans="2:34" x14ac:dyDescent="0.2">
      <c r="B1051" s="2">
        <f ca="1"/>
        <v>0.54042252010867475</v>
      </c>
      <c r="O1051" s="2">
        <f ca="1"/>
        <v>-2.0988879678261074E-2</v>
      </c>
      <c r="X1051" s="2">
        <f ca="1"/>
        <v>40.41241758808188</v>
      </c>
      <c r="AG1051" s="2">
        <f ca="1"/>
        <v>0.17797802986618927</v>
      </c>
      <c r="AH1051" s="2" t="str">
        <f ca="1"/>
        <v>OK</v>
      </c>
    </row>
    <row r="1052" spans="2:34" x14ac:dyDescent="0.2">
      <c r="B1052" s="2">
        <f ca="1"/>
        <v>0.84321685644399347</v>
      </c>
      <c r="O1052" s="2">
        <f ca="1"/>
        <v>-2.038399709782015</v>
      </c>
      <c r="X1052" s="2">
        <f ca="1"/>
        <v>35.950564101950803</v>
      </c>
      <c r="AG1052" s="2">
        <f ca="1"/>
        <v>0.50906868392015259</v>
      </c>
      <c r="AH1052" s="2" t="str">
        <f ca="1"/>
        <v>Bad</v>
      </c>
    </row>
    <row r="1053" spans="2:34" x14ac:dyDescent="0.2">
      <c r="B1053" s="2">
        <f ca="1"/>
        <v>0.18828437464780778</v>
      </c>
      <c r="O1053" s="2">
        <f ca="1"/>
        <v>-0.29214547281717751</v>
      </c>
      <c r="X1053" s="2">
        <f ca="1"/>
        <v>33.739165441348803</v>
      </c>
      <c r="AG1053" s="2">
        <f ca="1"/>
        <v>0.59904924664396053</v>
      </c>
      <c r="AH1053" s="2" t="str">
        <f ca="1"/>
        <v>Bad</v>
      </c>
    </row>
    <row r="1054" spans="2:34" x14ac:dyDescent="0.2">
      <c r="B1054" s="2">
        <f ca="1"/>
        <v>0.98754355054084519</v>
      </c>
      <c r="O1054" s="2">
        <f ca="1"/>
        <v>-8.5216591146348761E-2</v>
      </c>
      <c r="X1054" s="2">
        <f ca="1"/>
        <v>31.931536621980868</v>
      </c>
      <c r="AG1054" s="2">
        <f ca="1"/>
        <v>0.6938289849159045</v>
      </c>
      <c r="AH1054" s="2" t="str">
        <f ca="1"/>
        <v>Bad</v>
      </c>
    </row>
    <row r="1055" spans="2:34" x14ac:dyDescent="0.2">
      <c r="B1055" s="2">
        <f ca="1"/>
        <v>0.13796137633202976</v>
      </c>
      <c r="O1055" s="2">
        <f ca="1"/>
        <v>-0.76631959017323503</v>
      </c>
      <c r="X1055" s="2">
        <f ca="1"/>
        <v>21.903214625570165</v>
      </c>
      <c r="AG1055" s="2">
        <f ca="1"/>
        <v>0.48356042567365254</v>
      </c>
      <c r="AH1055" s="2" t="str">
        <f ca="1"/>
        <v>Bad</v>
      </c>
    </row>
    <row r="1056" spans="2:34" x14ac:dyDescent="0.2">
      <c r="B1056" s="2">
        <f ca="1"/>
        <v>0.78250857956271758</v>
      </c>
      <c r="O1056" s="2">
        <f ca="1"/>
        <v>-0.77241017856215977</v>
      </c>
      <c r="X1056" s="2">
        <f ca="1"/>
        <v>34.975386390277158</v>
      </c>
      <c r="AG1056" s="2">
        <f ca="1"/>
        <v>0.7310152005655326</v>
      </c>
      <c r="AH1056" s="2" t="str">
        <f ca="1"/>
        <v>Bad</v>
      </c>
    </row>
    <row r="1057" spans="2:34" x14ac:dyDescent="0.2">
      <c r="B1057" s="2">
        <f ca="1"/>
        <v>0.45390799826475781</v>
      </c>
      <c r="O1057" s="2">
        <f ca="1"/>
        <v>1.3344243831761766</v>
      </c>
      <c r="X1057" s="2">
        <f ca="1"/>
        <v>68.195883030873475</v>
      </c>
      <c r="AG1057" s="2">
        <f ca="1"/>
        <v>0.78404514202209641</v>
      </c>
      <c r="AH1057" s="2" t="str">
        <f ca="1"/>
        <v>Bad</v>
      </c>
    </row>
    <row r="1058" spans="2:34" x14ac:dyDescent="0.2">
      <c r="B1058" s="2">
        <f ca="1"/>
        <v>0.11121046969091175</v>
      </c>
      <c r="O1058" s="2">
        <f ca="1"/>
        <v>0.67611535305238124</v>
      </c>
      <c r="X1058" s="2">
        <f ca="1"/>
        <v>37.732351598529718</v>
      </c>
      <c r="AG1058" s="2">
        <f ca="1"/>
        <v>0.70278379454203632</v>
      </c>
      <c r="AH1058" s="2" t="str">
        <f ca="1"/>
        <v>Bad</v>
      </c>
    </row>
    <row r="1059" spans="2:34" x14ac:dyDescent="0.2">
      <c r="B1059" s="2">
        <f ca="1"/>
        <v>0.33218679169948606</v>
      </c>
      <c r="O1059" s="2">
        <f ca="1"/>
        <v>-1.5502552294170797</v>
      </c>
      <c r="X1059" s="2">
        <f ca="1"/>
        <v>36.04906286456503</v>
      </c>
      <c r="AG1059" s="2">
        <f ca="1"/>
        <v>0.60552630293792742</v>
      </c>
      <c r="AH1059" s="2" t="str">
        <f ca="1"/>
        <v>Bad</v>
      </c>
    </row>
    <row r="1060" spans="2:34" x14ac:dyDescent="0.2">
      <c r="B1060" s="2">
        <f ca="1"/>
        <v>0.17509261089243955</v>
      </c>
      <c r="O1060" s="2">
        <f ca="1"/>
        <v>-0.81333205706770728</v>
      </c>
      <c r="X1060" s="2">
        <f ca="1"/>
        <v>40.072128865810626</v>
      </c>
      <c r="AG1060" s="2">
        <f ca="1"/>
        <v>0.29137086406379309</v>
      </c>
      <c r="AH1060" s="2" t="str">
        <f ca="1"/>
        <v>OK</v>
      </c>
    </row>
    <row r="1061" spans="2:34" x14ac:dyDescent="0.2">
      <c r="B1061" s="2">
        <f ca="1"/>
        <v>0.19198407814569385</v>
      </c>
      <c r="O1061" s="2">
        <f ca="1"/>
        <v>-1.9498059088275683</v>
      </c>
      <c r="X1061" s="2">
        <f ca="1"/>
        <v>68.209727617200031</v>
      </c>
      <c r="AG1061" s="2">
        <f ca="1"/>
        <v>0.60752351778884495</v>
      </c>
      <c r="AH1061" s="2" t="str">
        <f ca="1"/>
        <v>Bad</v>
      </c>
    </row>
    <row r="1062" spans="2:34" x14ac:dyDescent="0.2">
      <c r="B1062" s="2">
        <f ca="1"/>
        <v>0.32330268249832073</v>
      </c>
      <c r="O1062" s="2">
        <f ca="1"/>
        <v>-1.1584182626554878</v>
      </c>
      <c r="X1062" s="2">
        <f ca="1"/>
        <v>46.139186288411125</v>
      </c>
      <c r="AG1062" s="2">
        <f ca="1"/>
        <v>0.80182718856220614</v>
      </c>
      <c r="AH1062" s="2" t="str">
        <f ca="1"/>
        <v>Bad</v>
      </c>
    </row>
    <row r="1063" spans="2:34" x14ac:dyDescent="0.2">
      <c r="B1063" s="2">
        <f ca="1"/>
        <v>8.3722532989066734E-2</v>
      </c>
      <c r="O1063" s="2">
        <f ca="1"/>
        <v>-0.50284795470777832</v>
      </c>
      <c r="X1063" s="2">
        <f ca="1"/>
        <v>43.560398579851636</v>
      </c>
      <c r="AG1063" s="2">
        <f ca="1"/>
        <v>5.6846815471246481E-2</v>
      </c>
      <c r="AH1063" s="2" t="str">
        <f ca="1"/>
        <v>OK</v>
      </c>
    </row>
    <row r="1064" spans="2:34" x14ac:dyDescent="0.2">
      <c r="B1064" s="2">
        <f ca="1"/>
        <v>0.58934528010708442</v>
      </c>
      <c r="O1064" s="2">
        <f ca="1"/>
        <v>-0.83076179025760644</v>
      </c>
      <c r="X1064" s="2">
        <f ca="1"/>
        <v>48.717589983215426</v>
      </c>
      <c r="AG1064" s="2">
        <f ca="1"/>
        <v>0.29309857347286594</v>
      </c>
      <c r="AH1064" s="2" t="str">
        <f ca="1"/>
        <v>OK</v>
      </c>
    </row>
    <row r="1065" spans="2:34" x14ac:dyDescent="0.2">
      <c r="B1065" s="2">
        <f ca="1"/>
        <v>0.92886021748155612</v>
      </c>
      <c r="O1065" s="2">
        <f ca="1"/>
        <v>-4.3681720989982697E-3</v>
      </c>
      <c r="X1065" s="2">
        <f ca="1"/>
        <v>75.207360191003801</v>
      </c>
      <c r="AG1065" s="2">
        <f ca="1"/>
        <v>0.76965721171654233</v>
      </c>
      <c r="AH1065" s="2" t="str">
        <f ca="1"/>
        <v>Bad</v>
      </c>
    </row>
    <row r="1066" spans="2:34" x14ac:dyDescent="0.2">
      <c r="B1066" s="2">
        <f ca="1"/>
        <v>0.60145299834945765</v>
      </c>
      <c r="O1066" s="2">
        <f ca="1"/>
        <v>-1.8928143618592839</v>
      </c>
      <c r="X1066" s="2">
        <f ca="1"/>
        <v>37.706982886767769</v>
      </c>
      <c r="AG1066" s="2">
        <f ca="1"/>
        <v>0.5375594803304935</v>
      </c>
      <c r="AH1066" s="2" t="str">
        <f ca="1"/>
        <v>Bad</v>
      </c>
    </row>
    <row r="1067" spans="2:34" x14ac:dyDescent="0.2">
      <c r="B1067" s="2">
        <f ca="1"/>
        <v>0.34094867709116228</v>
      </c>
      <c r="O1067" s="2">
        <f ca="1"/>
        <v>-0.42785748112350513</v>
      </c>
      <c r="X1067" s="2">
        <f ca="1"/>
        <v>34.731157325735907</v>
      </c>
      <c r="AG1067" s="2">
        <f ca="1"/>
        <v>0.32652158699568479</v>
      </c>
      <c r="AH1067" s="2" t="str">
        <f ca="1"/>
        <v>OK</v>
      </c>
    </row>
    <row r="1068" spans="2:34" x14ac:dyDescent="0.2">
      <c r="B1068" s="2">
        <f ca="1"/>
        <v>0.9266513521706996</v>
      </c>
      <c r="O1068" s="2">
        <f ca="1"/>
        <v>-1.2294878361388746</v>
      </c>
      <c r="X1068" s="2">
        <f ca="1"/>
        <v>74.079140701587576</v>
      </c>
      <c r="AG1068" s="2">
        <f ca="1"/>
        <v>0.7978730524080806</v>
      </c>
      <c r="AH1068" s="2" t="str">
        <f ca="1"/>
        <v>Bad</v>
      </c>
    </row>
    <row r="1069" spans="2:34" x14ac:dyDescent="0.2">
      <c r="B1069" s="2">
        <f ca="1"/>
        <v>0.58949330192270244</v>
      </c>
      <c r="O1069" s="2">
        <f ca="1"/>
        <v>-0.53876036644464098</v>
      </c>
      <c r="X1069" s="2">
        <f ca="1"/>
        <v>52.195691122862968</v>
      </c>
      <c r="AG1069" s="2">
        <f ca="1"/>
        <v>0.55391057067179461</v>
      </c>
      <c r="AH1069" s="2" t="str">
        <f ca="1"/>
        <v>Bad</v>
      </c>
    </row>
    <row r="1070" spans="2:34" x14ac:dyDescent="0.2">
      <c r="B1070" s="2">
        <f ca="1"/>
        <v>0.85702568567345261</v>
      </c>
      <c r="O1070" s="2">
        <f ca="1"/>
        <v>0.48954363384584587</v>
      </c>
      <c r="X1070" s="2">
        <f ca="1"/>
        <v>52.052449691529866</v>
      </c>
      <c r="AG1070" s="2">
        <f ca="1"/>
        <v>0.66976896932766272</v>
      </c>
      <c r="AH1070" s="2" t="str">
        <f ca="1"/>
        <v>Bad</v>
      </c>
    </row>
    <row r="1071" spans="2:34" x14ac:dyDescent="0.2">
      <c r="B1071" s="2">
        <f ca="1"/>
        <v>0.91659861695944844</v>
      </c>
      <c r="O1071" s="2">
        <f ca="1"/>
        <v>2.0968047611521463</v>
      </c>
      <c r="X1071" s="2">
        <f ca="1"/>
        <v>50.374934342833448</v>
      </c>
      <c r="AG1071" s="2">
        <f ca="1"/>
        <v>0.95043830739347035</v>
      </c>
      <c r="AH1071" s="2" t="str">
        <f ca="1"/>
        <v>Bad</v>
      </c>
    </row>
    <row r="1072" spans="2:34" x14ac:dyDescent="0.2">
      <c r="B1072" s="2">
        <f ca="1"/>
        <v>0.14263532195942008</v>
      </c>
      <c r="O1072" s="2">
        <f ca="1"/>
        <v>0.3503958155948016</v>
      </c>
      <c r="X1072" s="2">
        <f ca="1"/>
        <v>44.658245170504209</v>
      </c>
      <c r="AG1072" s="2">
        <f ca="1"/>
        <v>0.7798873227456562</v>
      </c>
      <c r="AH1072" s="2" t="str">
        <f ca="1"/>
        <v>Bad</v>
      </c>
    </row>
    <row r="1073" spans="2:34" x14ac:dyDescent="0.2">
      <c r="B1073" s="2">
        <f ca="1"/>
        <v>0.60881400823128784</v>
      </c>
      <c r="O1073" s="2">
        <f ca="1"/>
        <v>1.9211345653389431</v>
      </c>
      <c r="X1073" s="2">
        <f ca="1"/>
        <v>37.004041458472827</v>
      </c>
      <c r="AG1073" s="2">
        <f ca="1"/>
        <v>0.20230904959076024</v>
      </c>
      <c r="AH1073" s="2" t="str">
        <f ca="1"/>
        <v>OK</v>
      </c>
    </row>
    <row r="1074" spans="2:34" x14ac:dyDescent="0.2">
      <c r="B1074" s="2">
        <f ca="1"/>
        <v>7.4948299583357247E-2</v>
      </c>
      <c r="O1074" s="2">
        <f ca="1"/>
        <v>0.2175381200194571</v>
      </c>
      <c r="X1074" s="2">
        <f ca="1"/>
        <v>73.899028438005757</v>
      </c>
      <c r="AG1074" s="2">
        <f ca="1"/>
        <v>0.2147771883236187</v>
      </c>
      <c r="AH1074" s="2" t="str">
        <f ca="1"/>
        <v>OK</v>
      </c>
    </row>
    <row r="1075" spans="2:34" x14ac:dyDescent="0.2">
      <c r="B1075" s="2">
        <f ca="1"/>
        <v>0.92026445186309513</v>
      </c>
      <c r="O1075" s="2">
        <f ca="1"/>
        <v>1.0198181521886365</v>
      </c>
      <c r="X1075" s="2">
        <f ca="1"/>
        <v>53.940889592812589</v>
      </c>
      <c r="AG1075" s="2">
        <f ca="1"/>
        <v>0.36816729180554297</v>
      </c>
      <c r="AH1075" s="2" t="str">
        <f ca="1"/>
        <v>OK</v>
      </c>
    </row>
    <row r="1076" spans="2:34" x14ac:dyDescent="0.2">
      <c r="B1076" s="2">
        <f ca="1"/>
        <v>0.83606291604629557</v>
      </c>
      <c r="O1076" s="2">
        <f ca="1"/>
        <v>-1.8957257958195404</v>
      </c>
      <c r="X1076" s="2">
        <f ca="1"/>
        <v>66.485052863319339</v>
      </c>
      <c r="AG1076" s="2">
        <f ca="1"/>
        <v>0.98919627107362262</v>
      </c>
      <c r="AH1076" s="2" t="str">
        <f ca="1"/>
        <v>Bad</v>
      </c>
    </row>
    <row r="1077" spans="2:34" x14ac:dyDescent="0.2">
      <c r="B1077" s="2">
        <f ca="1"/>
        <v>0.96098179458317579</v>
      </c>
      <c r="O1077" s="2">
        <f ca="1"/>
        <v>0.71259747648296878</v>
      </c>
      <c r="X1077" s="2">
        <f ca="1"/>
        <v>61.237586387314551</v>
      </c>
      <c r="AG1077" s="2">
        <f ca="1"/>
        <v>0.81090281543534815</v>
      </c>
      <c r="AH1077" s="2" t="str">
        <f ca="1"/>
        <v>Bad</v>
      </c>
    </row>
    <row r="1078" spans="2:34" x14ac:dyDescent="0.2">
      <c r="B1078" s="2">
        <f ca="1"/>
        <v>0.69732052986676973</v>
      </c>
      <c r="O1078" s="2">
        <f ca="1"/>
        <v>0.65623577877131356</v>
      </c>
      <c r="X1078" s="2">
        <f ca="1"/>
        <v>72.450807655281466</v>
      </c>
      <c r="AG1078" s="2">
        <f ca="1"/>
        <v>0.96302349119917663</v>
      </c>
      <c r="AH1078" s="2" t="str">
        <f ca="1"/>
        <v>Bad</v>
      </c>
    </row>
    <row r="1079" spans="2:34" x14ac:dyDescent="0.2">
      <c r="B1079" s="2">
        <f ca="1"/>
        <v>0.82999314987252881</v>
      </c>
      <c r="O1079" s="2">
        <f ca="1"/>
        <v>-1.1567991510710294</v>
      </c>
      <c r="X1079" s="2">
        <f ca="1"/>
        <v>31.906299722319066</v>
      </c>
      <c r="AG1079" s="2">
        <f ca="1"/>
        <v>0.39782008759688825</v>
      </c>
      <c r="AH1079" s="2" t="str">
        <f ca="1"/>
        <v>OK</v>
      </c>
    </row>
    <row r="1080" spans="2:34" x14ac:dyDescent="0.2">
      <c r="B1080" s="2">
        <f ca="1"/>
        <v>0.99213583654314808</v>
      </c>
      <c r="O1080" s="2">
        <f ca="1"/>
        <v>0.21355435849849211</v>
      </c>
      <c r="X1080" s="2">
        <f ca="1"/>
        <v>77.485055301560706</v>
      </c>
      <c r="AG1080" s="2">
        <f ca="1"/>
        <v>0.56310254121475345</v>
      </c>
      <c r="AH1080" s="2" t="str">
        <f ca="1"/>
        <v>Bad</v>
      </c>
    </row>
    <row r="1081" spans="2:34" x14ac:dyDescent="0.2">
      <c r="B1081" s="2">
        <f ca="1"/>
        <v>0.34956255925150881</v>
      </c>
      <c r="O1081" s="2">
        <f ca="1"/>
        <v>-0.33878281191759513</v>
      </c>
      <c r="X1081" s="2">
        <f ca="1"/>
        <v>42.054263865917662</v>
      </c>
      <c r="AG1081" s="2">
        <f ca="1"/>
        <v>0.98272724399101552</v>
      </c>
      <c r="AH1081" s="2" t="str">
        <f ca="1"/>
        <v>Bad</v>
      </c>
    </row>
    <row r="1082" spans="2:34" x14ac:dyDescent="0.2">
      <c r="B1082" s="2">
        <f ca="1"/>
        <v>0.82235007978169583</v>
      </c>
      <c r="O1082" s="2">
        <f ca="1"/>
        <v>1.132334679606924</v>
      </c>
      <c r="X1082" s="2">
        <f ca="1"/>
        <v>42.734104646776188</v>
      </c>
      <c r="AG1082" s="2">
        <f ca="1"/>
        <v>0.35993014738401885</v>
      </c>
      <c r="AH1082" s="2" t="str">
        <f ca="1"/>
        <v>OK</v>
      </c>
    </row>
    <row r="1083" spans="2:34" x14ac:dyDescent="0.2">
      <c r="B1083" s="2">
        <f ca="1"/>
        <v>0.19570548620020634</v>
      </c>
      <c r="O1083" s="2">
        <f ca="1"/>
        <v>-0.45862741285210779</v>
      </c>
      <c r="X1083" s="2">
        <f ca="1"/>
        <v>56.690944894703314</v>
      </c>
      <c r="AG1083" s="2">
        <f ca="1"/>
        <v>0.71373748034169382</v>
      </c>
      <c r="AH1083" s="2" t="str">
        <f ca="1"/>
        <v>Bad</v>
      </c>
    </row>
    <row r="1084" spans="2:34" x14ac:dyDescent="0.2">
      <c r="B1084" s="2">
        <f ca="1"/>
        <v>0.36701363613370241</v>
      </c>
      <c r="O1084" s="2">
        <f ca="1"/>
        <v>1.6033183868821372</v>
      </c>
      <c r="X1084" s="2">
        <f ca="1"/>
        <v>39.443878458580578</v>
      </c>
      <c r="AG1084" s="2">
        <f ca="1"/>
        <v>0.62508600427162353</v>
      </c>
      <c r="AH1084" s="2" t="str">
        <f ca="1"/>
        <v>Bad</v>
      </c>
    </row>
    <row r="1085" spans="2:34" x14ac:dyDescent="0.2">
      <c r="B1085" s="2">
        <f ca="1"/>
        <v>0.29588908921214485</v>
      </c>
      <c r="O1085" s="2">
        <f ca="1"/>
        <v>-1.003789570568896</v>
      </c>
      <c r="X1085" s="2">
        <f ca="1"/>
        <v>40.984300327939877</v>
      </c>
      <c r="AG1085" s="2">
        <f ca="1"/>
        <v>0.59815458603301619</v>
      </c>
      <c r="AH1085" s="2" t="str">
        <f ca="1"/>
        <v>Bad</v>
      </c>
    </row>
    <row r="1086" spans="2:34" x14ac:dyDescent="0.2">
      <c r="B1086" s="2">
        <f ca="1"/>
        <v>0.21969063398207034</v>
      </c>
      <c r="O1086" s="2">
        <f ca="1"/>
        <v>0.6311269022383359</v>
      </c>
      <c r="X1086" s="2">
        <f ca="1"/>
        <v>36.291194406473892</v>
      </c>
      <c r="AG1086" s="2">
        <f ca="1"/>
        <v>0.38253273758512263</v>
      </c>
      <c r="AH1086" s="2" t="str">
        <f ca="1"/>
        <v>OK</v>
      </c>
    </row>
    <row r="1087" spans="2:34" x14ac:dyDescent="0.2">
      <c r="B1087" s="2">
        <f ca="1"/>
        <v>0.75963975287203445</v>
      </c>
      <c r="O1087" s="2">
        <f ca="1"/>
        <v>-7.921548747330847E-3</v>
      </c>
      <c r="X1087" s="2">
        <f ca="1"/>
        <v>57.410717640781513</v>
      </c>
      <c r="AG1087" s="2">
        <f ca="1"/>
        <v>0.1591505888870639</v>
      </c>
      <c r="AH1087" s="2" t="str">
        <f ca="1"/>
        <v>OK</v>
      </c>
    </row>
    <row r="1088" spans="2:34" x14ac:dyDescent="0.2">
      <c r="B1088" s="2">
        <f ca="1"/>
        <v>0.4215890911659308</v>
      </c>
      <c r="O1088" s="2">
        <f ca="1"/>
        <v>0.95318953578403331</v>
      </c>
      <c r="X1088" s="2">
        <f ca="1"/>
        <v>22.551875682498881</v>
      </c>
      <c r="AG1088" s="2">
        <f ca="1"/>
        <v>0.15451608985758236</v>
      </c>
      <c r="AH1088" s="2" t="str">
        <f ca="1"/>
        <v>OK</v>
      </c>
    </row>
    <row r="1089" spans="2:34" x14ac:dyDescent="0.2">
      <c r="B1089" s="2">
        <f ca="1"/>
        <v>0.72795536930010019</v>
      </c>
      <c r="O1089" s="2">
        <f ca="1"/>
        <v>-1.2733371149405552</v>
      </c>
      <c r="X1089" s="2">
        <f ca="1"/>
        <v>32.675363855021175</v>
      </c>
      <c r="AG1089" s="2">
        <f ca="1"/>
        <v>0.14893040194777596</v>
      </c>
      <c r="AH1089" s="2" t="str">
        <f ca="1"/>
        <v>OK</v>
      </c>
    </row>
    <row r="1090" spans="2:34" x14ac:dyDescent="0.2">
      <c r="B1090" s="2">
        <f ca="1"/>
        <v>0.82886909290711985</v>
      </c>
      <c r="O1090" s="2">
        <f ca="1"/>
        <v>0.62155094103489816</v>
      </c>
      <c r="X1090" s="2">
        <f ca="1"/>
        <v>53.893685753473918</v>
      </c>
      <c r="AG1090" s="2">
        <f ca="1"/>
        <v>0.7731103049858985</v>
      </c>
      <c r="AH1090" s="2" t="str">
        <f ca="1"/>
        <v>Bad</v>
      </c>
    </row>
    <row r="1091" spans="2:34" x14ac:dyDescent="0.2">
      <c r="B1091" s="2">
        <f ca="1"/>
        <v>0.84234941222224835</v>
      </c>
      <c r="O1091" s="2">
        <f ca="1"/>
        <v>1.5900106180098785</v>
      </c>
      <c r="X1091" s="2">
        <f ca="1"/>
        <v>41.352699059666193</v>
      </c>
      <c r="AG1091" s="2">
        <f ca="1"/>
        <v>0.37078709687861844</v>
      </c>
      <c r="AH1091" s="2" t="str">
        <f ca="1"/>
        <v>OK</v>
      </c>
    </row>
    <row r="1092" spans="2:34" x14ac:dyDescent="0.2">
      <c r="B1092" s="2">
        <f ca="1"/>
        <v>0.12191983655842931</v>
      </c>
      <c r="O1092" s="2">
        <f ca="1"/>
        <v>0.56291952964978875</v>
      </c>
      <c r="X1092" s="2">
        <f ca="1"/>
        <v>57.003466528258649</v>
      </c>
      <c r="AG1092" s="2">
        <f ca="1"/>
        <v>0.75075887432929567</v>
      </c>
      <c r="AH1092" s="2" t="str">
        <f ca="1"/>
        <v>Bad</v>
      </c>
    </row>
    <row r="1093" spans="2:34" x14ac:dyDescent="0.2">
      <c r="B1093" s="2">
        <f ca="1"/>
        <v>0.95203884548720175</v>
      </c>
      <c r="O1093" s="2">
        <f ca="1"/>
        <v>1.8647031067131998</v>
      </c>
      <c r="X1093" s="2">
        <f ca="1"/>
        <v>44.862363947171374</v>
      </c>
      <c r="AG1093" s="2">
        <f ca="1"/>
        <v>0.28916767900703766</v>
      </c>
      <c r="AH1093" s="2" t="str">
        <f ca="1"/>
        <v>OK</v>
      </c>
    </row>
    <row r="1094" spans="2:34" x14ac:dyDescent="0.2">
      <c r="B1094" s="2">
        <f ca="1"/>
        <v>0.22733432558017208</v>
      </c>
      <c r="O1094" s="2">
        <f ca="1"/>
        <v>-3.5306348443857286E-2</v>
      </c>
      <c r="X1094" s="2">
        <f ca="1"/>
        <v>62.50677038387164</v>
      </c>
      <c r="AG1094" s="2">
        <f ca="1"/>
        <v>0.40071835119710553</v>
      </c>
      <c r="AH1094" s="2" t="str">
        <f ca="1"/>
        <v>Bad</v>
      </c>
    </row>
    <row r="1095" spans="2:34" x14ac:dyDescent="0.2">
      <c r="B1095" s="2">
        <f ca="1"/>
        <v>0.39039879418058665</v>
      </c>
      <c r="O1095" s="2">
        <f ca="1"/>
        <v>-0.11719597178020928</v>
      </c>
      <c r="X1095" s="2">
        <f ca="1"/>
        <v>24.778156632898209</v>
      </c>
      <c r="AG1095" s="2">
        <f ca="1"/>
        <v>6.5820362742427418E-2</v>
      </c>
      <c r="AH1095" s="2" t="str">
        <f ca="1"/>
        <v>OK</v>
      </c>
    </row>
    <row r="1096" spans="2:34" x14ac:dyDescent="0.2">
      <c r="B1096" s="2">
        <f ca="1"/>
        <v>0.69781578431372782</v>
      </c>
      <c r="O1096" s="2">
        <f ca="1"/>
        <v>-0.35458547445210942</v>
      </c>
      <c r="X1096" s="2">
        <f ca="1"/>
        <v>77.385503416003502</v>
      </c>
      <c r="AG1096" s="2">
        <f ca="1"/>
        <v>9.0719638238355049E-2</v>
      </c>
      <c r="AH1096" s="2" t="str">
        <f ca="1"/>
        <v>OK</v>
      </c>
    </row>
    <row r="1097" spans="2:34" x14ac:dyDescent="0.2">
      <c r="B1097" s="2">
        <f ca="1"/>
        <v>0.64352238799890893</v>
      </c>
      <c r="O1097" s="2">
        <f ca="1"/>
        <v>0.35664008364430289</v>
      </c>
      <c r="X1097" s="2">
        <f ca="1"/>
        <v>53.885804612583961</v>
      </c>
      <c r="AG1097" s="2">
        <f ca="1"/>
        <v>0.69477016797775648</v>
      </c>
      <c r="AH1097" s="2" t="str">
        <f ca="1"/>
        <v>Bad</v>
      </c>
    </row>
    <row r="1098" spans="2:34" x14ac:dyDescent="0.2">
      <c r="B1098" s="2">
        <f ca="1"/>
        <v>0.33975834930906412</v>
      </c>
      <c r="O1098" s="2">
        <f ca="1"/>
        <v>-0.99570667318837058</v>
      </c>
      <c r="X1098" s="2">
        <f ca="1"/>
        <v>55.015122304067141</v>
      </c>
      <c r="AG1098" s="2">
        <f ca="1"/>
        <v>7.7894429805507537E-2</v>
      </c>
      <c r="AH1098" s="2" t="str">
        <f ca="1"/>
        <v>OK</v>
      </c>
    </row>
    <row r="1099" spans="2:34" x14ac:dyDescent="0.2">
      <c r="B1099" s="2">
        <f ca="1"/>
        <v>0.93794194459891478</v>
      </c>
      <c r="O1099" s="2">
        <f ca="1"/>
        <v>-0.48630158058172851</v>
      </c>
      <c r="X1099" s="2">
        <f ca="1"/>
        <v>38.561086472873242</v>
      </c>
      <c r="AG1099" s="2">
        <f ca="1"/>
        <v>0.74361810186599087</v>
      </c>
      <c r="AH1099" s="2" t="str">
        <f ca="1"/>
        <v>Bad</v>
      </c>
    </row>
    <row r="1100" spans="2:34" x14ac:dyDescent="0.2">
      <c r="B1100" s="2">
        <f ca="1"/>
        <v>0.40765999650672513</v>
      </c>
      <c r="O1100" s="2">
        <f ca="1"/>
        <v>-0.16380247024463709</v>
      </c>
      <c r="X1100" s="2">
        <f ca="1"/>
        <v>123.10548695637337</v>
      </c>
      <c r="AG1100" s="2">
        <f ca="1"/>
        <v>0.47190412406517801</v>
      </c>
      <c r="AH1100" s="2" t="str">
        <f ca="1"/>
        <v>Bad</v>
      </c>
    </row>
    <row r="1101" spans="2:34" x14ac:dyDescent="0.2">
      <c r="B1101" s="2">
        <f ca="1"/>
        <v>0.1427310611513346</v>
      </c>
      <c r="O1101" s="2">
        <f ca="1"/>
        <v>-0.11575981704474851</v>
      </c>
      <c r="X1101" s="2">
        <f ca="1"/>
        <v>52.093329515623267</v>
      </c>
      <c r="AG1101" s="2">
        <f ca="1"/>
        <v>0.11877209418756873</v>
      </c>
      <c r="AH1101" s="2" t="str">
        <f ca="1"/>
        <v>OK</v>
      </c>
    </row>
    <row r="1102" spans="2:34" x14ac:dyDescent="0.2">
      <c r="B1102" s="2">
        <f ca="1"/>
        <v>0.91230402644286102</v>
      </c>
      <c r="O1102" s="2">
        <f ca="1"/>
        <v>3.610720756167804E-2</v>
      </c>
      <c r="X1102" s="2">
        <f ca="1"/>
        <v>56.698386261902122</v>
      </c>
      <c r="AG1102" s="2">
        <f ca="1"/>
        <v>0.8328710529453025</v>
      </c>
      <c r="AH1102" s="2" t="str">
        <f ca="1"/>
        <v>Bad</v>
      </c>
    </row>
    <row r="1103" spans="2:34" x14ac:dyDescent="0.2">
      <c r="B1103" s="2">
        <f ca="1"/>
        <v>0.21109141450007707</v>
      </c>
      <c r="O1103" s="2">
        <f ca="1"/>
        <v>-2.2984386933230865</v>
      </c>
      <c r="X1103" s="2">
        <f ca="1"/>
        <v>43.593424086018324</v>
      </c>
      <c r="AG1103" s="2">
        <f ca="1"/>
        <v>0.3562034447887017</v>
      </c>
      <c r="AH1103" s="2" t="str">
        <f ca="1"/>
        <v>OK</v>
      </c>
    </row>
    <row r="1104" spans="2:34" x14ac:dyDescent="0.2">
      <c r="B1104" s="2">
        <f ca="1"/>
        <v>0.81413357670443443</v>
      </c>
      <c r="O1104" s="2">
        <f ca="1"/>
        <v>-1.4078320244272058</v>
      </c>
      <c r="X1104" s="2">
        <f ca="1"/>
        <v>46.869028064495481</v>
      </c>
      <c r="AG1104" s="2">
        <f ca="1"/>
        <v>0.401720986836269</v>
      </c>
      <c r="AH1104" s="2" t="str">
        <f ca="1"/>
        <v>Bad</v>
      </c>
    </row>
    <row r="1105" spans="2:34" x14ac:dyDescent="0.2">
      <c r="B1105" s="2">
        <f ca="1"/>
        <v>0.10888989090747492</v>
      </c>
      <c r="O1105" s="2">
        <f ca="1"/>
        <v>0.95075454491033073</v>
      </c>
      <c r="X1105" s="2">
        <f ca="1"/>
        <v>63.157955269745457</v>
      </c>
      <c r="AG1105" s="2">
        <f ca="1"/>
        <v>0.13029739774764026</v>
      </c>
      <c r="AH1105" s="2" t="str">
        <f ca="1"/>
        <v>OK</v>
      </c>
    </row>
    <row r="1106" spans="2:34" x14ac:dyDescent="0.2">
      <c r="B1106" s="2">
        <f ca="1"/>
        <v>0.72182452448353174</v>
      </c>
      <c r="O1106" s="2">
        <f ca="1"/>
        <v>-2.893021954046858E-2</v>
      </c>
      <c r="X1106" s="2">
        <f ca="1"/>
        <v>41.078123165547005</v>
      </c>
      <c r="AG1106" s="2">
        <f ca="1"/>
        <v>0.53845405852687955</v>
      </c>
      <c r="AH1106" s="2" t="str">
        <f ca="1"/>
        <v>Bad</v>
      </c>
    </row>
    <row r="1107" spans="2:34" x14ac:dyDescent="0.2">
      <c r="B1107" s="2">
        <f ca="1"/>
        <v>0.44952577381752135</v>
      </c>
      <c r="O1107" s="2">
        <f ca="1"/>
        <v>0.10904275073414868</v>
      </c>
      <c r="X1107" s="2">
        <f ca="1"/>
        <v>29.37909048440882</v>
      </c>
      <c r="AG1107" s="2">
        <f ca="1"/>
        <v>0.63603679994023876</v>
      </c>
      <c r="AH1107" s="2" t="str">
        <f ca="1"/>
        <v>Bad</v>
      </c>
    </row>
    <row r="1108" spans="2:34" x14ac:dyDescent="0.2">
      <c r="B1108" s="2">
        <f ca="1"/>
        <v>0.28200782193223084</v>
      </c>
      <c r="O1108" s="2">
        <f ca="1"/>
        <v>-0.32813750178772472</v>
      </c>
      <c r="X1108" s="2">
        <f ca="1"/>
        <v>77.217449993686373</v>
      </c>
      <c r="AG1108" s="2">
        <f ca="1"/>
        <v>0.7313702309397776</v>
      </c>
      <c r="AH1108" s="2" t="str">
        <f ca="1"/>
        <v>Bad</v>
      </c>
    </row>
    <row r="1109" spans="2:34" x14ac:dyDescent="0.2">
      <c r="B1109" s="2">
        <f ca="1"/>
        <v>0.89041931261046869</v>
      </c>
      <c r="O1109" s="2">
        <f ca="1"/>
        <v>0.8906253165350726</v>
      </c>
      <c r="X1109" s="2">
        <f ca="1"/>
        <v>40.701408576939272</v>
      </c>
      <c r="AG1109" s="2">
        <f ca="1"/>
        <v>0.83161283294410504</v>
      </c>
      <c r="AH1109" s="2" t="str">
        <f ca="1"/>
        <v>Bad</v>
      </c>
    </row>
    <row r="1110" spans="2:34" x14ac:dyDescent="0.2">
      <c r="B1110" s="2">
        <f ca="1"/>
        <v>0.9176087617088271</v>
      </c>
      <c r="O1110" s="2">
        <f ca="1"/>
        <v>0.66760165906558633</v>
      </c>
      <c r="X1110" s="2">
        <f ca="1"/>
        <v>43.849330472916364</v>
      </c>
      <c r="AG1110" s="2">
        <f ca="1"/>
        <v>0.46830902810630892</v>
      </c>
      <c r="AH1110" s="2" t="str">
        <f ca="1"/>
        <v>Bad</v>
      </c>
    </row>
    <row r="1111" spans="2:34" x14ac:dyDescent="0.2">
      <c r="B1111" s="2">
        <f ca="1"/>
        <v>0.76858738817028005</v>
      </c>
      <c r="O1111" s="2">
        <f ca="1"/>
        <v>-0.12324545312150419</v>
      </c>
      <c r="X1111" s="2">
        <f ca="1"/>
        <v>58.603420318163629</v>
      </c>
      <c r="AG1111" s="2">
        <f ca="1"/>
        <v>0.32383446902183133</v>
      </c>
      <c r="AH1111" s="2" t="str">
        <f ca="1"/>
        <v>OK</v>
      </c>
    </row>
    <row r="1112" spans="2:34" x14ac:dyDescent="0.2">
      <c r="B1112" s="2">
        <f ca="1"/>
        <v>0.97521107451833555</v>
      </c>
      <c r="O1112" s="2">
        <f ca="1"/>
        <v>-1.7403389899325508</v>
      </c>
      <c r="X1112" s="2">
        <f ca="1"/>
        <v>26.563956920046369</v>
      </c>
      <c r="AG1112" s="2">
        <f ca="1"/>
        <v>0.48095170626730477</v>
      </c>
      <c r="AH1112" s="2" t="str">
        <f ca="1"/>
        <v>Bad</v>
      </c>
    </row>
    <row r="1113" spans="2:34" x14ac:dyDescent="0.2">
      <c r="B1113" s="2">
        <f ca="1"/>
        <v>0.2554045160400602</v>
      </c>
      <c r="O1113" s="2">
        <f ca="1"/>
        <v>2.0672545504849942</v>
      </c>
      <c r="X1113" s="2">
        <f ca="1"/>
        <v>32.327591598688201</v>
      </c>
      <c r="AG1113" s="2">
        <f ca="1"/>
        <v>0.85998705704744882</v>
      </c>
      <c r="AH1113" s="2" t="str">
        <f ca="1"/>
        <v>Bad</v>
      </c>
    </row>
    <row r="1114" spans="2:34" x14ac:dyDescent="0.2">
      <c r="B1114" s="2">
        <f ca="1"/>
        <v>0.58935918342589466</v>
      </c>
      <c r="O1114" s="2">
        <f ca="1"/>
        <v>0.25790826420528185</v>
      </c>
      <c r="X1114" s="2">
        <f ca="1"/>
        <v>46.067802701965576</v>
      </c>
      <c r="AG1114" s="2">
        <f ca="1"/>
        <v>0.37980010429494349</v>
      </c>
      <c r="AH1114" s="2" t="str">
        <f ca="1"/>
        <v>OK</v>
      </c>
    </row>
    <row r="1115" spans="2:34" x14ac:dyDescent="0.2">
      <c r="B1115" s="2">
        <f ca="1"/>
        <v>0.46123705906200163</v>
      </c>
      <c r="O1115" s="2">
        <f ca="1"/>
        <v>-0.6030212822325921</v>
      </c>
      <c r="X1115" s="2">
        <f ca="1"/>
        <v>52.147905142941767</v>
      </c>
      <c r="AG1115" s="2">
        <f ca="1"/>
        <v>0.27152944730666118</v>
      </c>
      <c r="AH1115" s="2" t="str">
        <f ca="1"/>
        <v>OK</v>
      </c>
    </row>
    <row r="1116" spans="2:34" x14ac:dyDescent="0.2">
      <c r="B1116" s="2">
        <f ca="1"/>
        <v>0.59299918659345496</v>
      </c>
      <c r="O1116" s="2">
        <f ca="1"/>
        <v>0.95731857736498283</v>
      </c>
      <c r="X1116" s="2">
        <f ca="1"/>
        <v>68.670490120097696</v>
      </c>
      <c r="AG1116" s="2">
        <f ca="1"/>
        <v>0.60414120770607727</v>
      </c>
      <c r="AH1116" s="2" t="str">
        <f ca="1"/>
        <v>Bad</v>
      </c>
    </row>
    <row r="1117" spans="2:34" x14ac:dyDescent="0.2">
      <c r="B1117" s="2">
        <f ca="1"/>
        <v>0.69736754622139685</v>
      </c>
      <c r="O1117" s="2">
        <f ca="1"/>
        <v>1.1462290844707441</v>
      </c>
      <c r="X1117" s="2">
        <f ca="1"/>
        <v>57.630387085320493</v>
      </c>
      <c r="AG1117" s="2">
        <f ca="1"/>
        <v>0.47273539512832485</v>
      </c>
      <c r="AH1117" s="2" t="str">
        <f ca="1"/>
        <v>Bad</v>
      </c>
    </row>
    <row r="1118" spans="2:34" x14ac:dyDescent="0.2">
      <c r="B1118" s="2">
        <f ca="1"/>
        <v>1.0104301762976053E-2</v>
      </c>
      <c r="O1118" s="2">
        <f ca="1"/>
        <v>-0.631290441796866</v>
      </c>
      <c r="X1118" s="2">
        <f ca="1"/>
        <v>61.020961862080398</v>
      </c>
      <c r="AG1118" s="2">
        <f ca="1"/>
        <v>0.92319414770299058</v>
      </c>
      <c r="AH1118" s="2" t="str">
        <f ca="1"/>
        <v>Bad</v>
      </c>
    </row>
    <row r="1119" spans="2:34" x14ac:dyDescent="0.2">
      <c r="B1119" s="2">
        <f ca="1"/>
        <v>0.71703806588073027</v>
      </c>
      <c r="O1119" s="2">
        <f ca="1"/>
        <v>1.4005464589953016</v>
      </c>
      <c r="X1119" s="2">
        <f ca="1"/>
        <v>40.219750178379826</v>
      </c>
      <c r="AG1119" s="2">
        <f ca="1"/>
        <v>0.47067077014776793</v>
      </c>
      <c r="AH1119" s="2" t="str">
        <f ca="1"/>
        <v>Bad</v>
      </c>
    </row>
    <row r="1120" spans="2:34" x14ac:dyDescent="0.2">
      <c r="B1120" s="2">
        <f ca="1"/>
        <v>0.15419619489429692</v>
      </c>
      <c r="O1120" s="2">
        <f ca="1"/>
        <v>-0.16405984242545074</v>
      </c>
      <c r="X1120" s="2">
        <f ca="1"/>
        <v>33.729330760350372</v>
      </c>
      <c r="AG1120" s="2">
        <f ca="1"/>
        <v>0.15782751610753643</v>
      </c>
      <c r="AH1120" s="2" t="str">
        <f ca="1"/>
        <v>OK</v>
      </c>
    </row>
    <row r="1121" spans="2:34" x14ac:dyDescent="0.2">
      <c r="B1121" s="2">
        <f ca="1"/>
        <v>0.1539149749711739</v>
      </c>
      <c r="O1121" s="2">
        <f ca="1"/>
        <v>0.38759976625814702</v>
      </c>
      <c r="X1121" s="2">
        <f ca="1"/>
        <v>44.633663384563498</v>
      </c>
      <c r="AG1121" s="2">
        <f ca="1"/>
        <v>0.58694281437306062</v>
      </c>
      <c r="AH1121" s="2" t="str">
        <f ca="1"/>
        <v>Bad</v>
      </c>
    </row>
    <row r="1122" spans="2:34" x14ac:dyDescent="0.2">
      <c r="B1122" s="2">
        <f ca="1"/>
        <v>0.47492126617468711</v>
      </c>
      <c r="O1122" s="2">
        <f ca="1"/>
        <v>0.27966630910780793</v>
      </c>
      <c r="X1122" s="2">
        <f ca="1"/>
        <v>73.193553926464546</v>
      </c>
      <c r="AG1122" s="2">
        <f ca="1"/>
        <v>0.9727502709798157</v>
      </c>
      <c r="AH1122" s="2" t="str">
        <f ca="1"/>
        <v>Bad</v>
      </c>
    </row>
    <row r="1123" spans="2:34" x14ac:dyDescent="0.2">
      <c r="B1123" s="2">
        <f ca="1"/>
        <v>0.79338232406169107</v>
      </c>
      <c r="O1123" s="2">
        <f ca="1"/>
        <v>1.1759975605836843</v>
      </c>
      <c r="X1123" s="2">
        <f ca="1"/>
        <v>53.606570972930932</v>
      </c>
      <c r="AG1123" s="2">
        <f ca="1"/>
        <v>0.24406832987788074</v>
      </c>
      <c r="AH1123" s="2" t="str">
        <f ca="1"/>
        <v>OK</v>
      </c>
    </row>
    <row r="1124" spans="2:34" x14ac:dyDescent="0.2">
      <c r="B1124" s="2">
        <f ca="1"/>
        <v>0.80149655104176287</v>
      </c>
      <c r="O1124" s="2">
        <f ca="1"/>
        <v>-1.5891596138507245</v>
      </c>
      <c r="X1124" s="2">
        <f ca="1"/>
        <v>37.254933397713572</v>
      </c>
      <c r="AG1124" s="2">
        <f ca="1"/>
        <v>0.42077157548600375</v>
      </c>
      <c r="AH1124" s="2" t="str">
        <f ca="1"/>
        <v>Bad</v>
      </c>
    </row>
    <row r="1125" spans="2:34" x14ac:dyDescent="0.2">
      <c r="B1125" s="2">
        <f ca="1"/>
        <v>0.49974801498662913</v>
      </c>
      <c r="O1125" s="2">
        <f ca="1"/>
        <v>-0.4611484596914015</v>
      </c>
      <c r="X1125" s="2">
        <f ca="1"/>
        <v>33.657174915492583</v>
      </c>
      <c r="AG1125" s="2">
        <f ca="1"/>
        <v>0.77109832923387311</v>
      </c>
      <c r="AH1125" s="2" t="str">
        <f ca="1"/>
        <v>Bad</v>
      </c>
    </row>
    <row r="1126" spans="2:34" x14ac:dyDescent="0.2">
      <c r="B1126" s="2">
        <f ca="1"/>
        <v>0.4695388742730624</v>
      </c>
      <c r="O1126" s="2">
        <f ca="1"/>
        <v>-1.6921657354225283</v>
      </c>
      <c r="X1126" s="2">
        <f ca="1"/>
        <v>65.872361214964513</v>
      </c>
      <c r="AG1126" s="2">
        <f ca="1"/>
        <v>0.69117032669527778</v>
      </c>
      <c r="AH1126" s="2" t="str">
        <f ca="1"/>
        <v>Bad</v>
      </c>
    </row>
    <row r="1127" spans="2:34" x14ac:dyDescent="0.2">
      <c r="B1127" s="2">
        <f ca="1"/>
        <v>3.0242921080368523E-2</v>
      </c>
      <c r="O1127" s="2">
        <f ca="1"/>
        <v>5.2232112282715928E-3</v>
      </c>
      <c r="X1127" s="2">
        <f ca="1"/>
        <v>37.401360574175975</v>
      </c>
      <c r="AG1127" s="2">
        <f ca="1"/>
        <v>0.35139590839952595</v>
      </c>
      <c r="AH1127" s="2" t="str">
        <f ca="1"/>
        <v>OK</v>
      </c>
    </row>
    <row r="1128" spans="2:34" x14ac:dyDescent="0.2">
      <c r="B1128" s="2">
        <f ca="1"/>
        <v>0.92845939558684742</v>
      </c>
      <c r="O1128" s="2">
        <f ca="1"/>
        <v>-0.44102178851674095</v>
      </c>
      <c r="X1128" s="2">
        <f ca="1"/>
        <v>40.516311544682054</v>
      </c>
      <c r="AG1128" s="2">
        <f ca="1"/>
        <v>0.3973298169077315</v>
      </c>
      <c r="AH1128" s="2" t="str">
        <f ca="1"/>
        <v>OK</v>
      </c>
    </row>
    <row r="1129" spans="2:34" x14ac:dyDescent="0.2">
      <c r="B1129" s="2">
        <f ca="1"/>
        <v>0.31888115356662738</v>
      </c>
      <c r="O1129" s="2">
        <f ca="1"/>
        <v>-0.33820479581057966</v>
      </c>
      <c r="X1129" s="2">
        <f ca="1"/>
        <v>46.033270323245318</v>
      </c>
      <c r="AG1129" s="2">
        <f ca="1"/>
        <v>0.82552835916442802</v>
      </c>
      <c r="AH1129" s="2" t="str">
        <f ca="1"/>
        <v>Bad</v>
      </c>
    </row>
    <row r="1130" spans="2:34" x14ac:dyDescent="0.2">
      <c r="B1130" s="2">
        <f ca="1"/>
        <v>0.513786473731634</v>
      </c>
      <c r="O1130" s="2">
        <f ca="1"/>
        <v>0.72122523428203456</v>
      </c>
      <c r="X1130" s="2">
        <f ca="1"/>
        <v>45.647785578711229</v>
      </c>
      <c r="AG1130" s="2">
        <f ca="1"/>
        <v>6.4684403779877053E-2</v>
      </c>
      <c r="AH1130" s="2" t="str">
        <f ca="1"/>
        <v>OK</v>
      </c>
    </row>
    <row r="1131" spans="2:34" x14ac:dyDescent="0.2">
      <c r="B1131" s="2">
        <f ca="1"/>
        <v>0.21353066785045138</v>
      </c>
      <c r="O1131" s="2">
        <f ca="1"/>
        <v>-0.2315050969506815</v>
      </c>
      <c r="X1131" s="2">
        <f ca="1"/>
        <v>35.383124782316095</v>
      </c>
      <c r="AG1131" s="2">
        <f ca="1"/>
        <v>0.90469676812126276</v>
      </c>
      <c r="AH1131" s="2" t="str">
        <f ca="1"/>
        <v>Bad</v>
      </c>
    </row>
    <row r="1132" spans="2:34" x14ac:dyDescent="0.2">
      <c r="B1132" s="2">
        <f ca="1"/>
        <v>0.24407029056560181</v>
      </c>
      <c r="O1132" s="2">
        <f ca="1"/>
        <v>-1.1297010916351358</v>
      </c>
      <c r="X1132" s="2">
        <f ca="1"/>
        <v>32.505134699187593</v>
      </c>
      <c r="AG1132" s="2">
        <f ca="1"/>
        <v>0.70354192501242507</v>
      </c>
      <c r="AH1132" s="2" t="str">
        <f ca="1"/>
        <v>Bad</v>
      </c>
    </row>
    <row r="1133" spans="2:34" x14ac:dyDescent="0.2">
      <c r="B1133" s="2">
        <f ca="1"/>
        <v>0.60417616077588066</v>
      </c>
      <c r="O1133" s="2">
        <f ca="1"/>
        <v>0.56825039340689365</v>
      </c>
      <c r="X1133" s="2">
        <f ca="1"/>
        <v>41.727808147222831</v>
      </c>
      <c r="AG1133" s="2">
        <f ca="1"/>
        <v>0.35857546709954136</v>
      </c>
      <c r="AH1133" s="2" t="str">
        <f ca="1"/>
        <v>OK</v>
      </c>
    </row>
    <row r="1134" spans="2:34" x14ac:dyDescent="0.2">
      <c r="B1134" s="2">
        <f ca="1"/>
        <v>0.71245800232072032</v>
      </c>
      <c r="O1134" s="2">
        <f ca="1"/>
        <v>-0.37057206557174555</v>
      </c>
      <c r="X1134" s="2">
        <f ca="1"/>
        <v>39.529188785881125</v>
      </c>
      <c r="AG1134" s="2">
        <f ca="1"/>
        <v>0.99195862727097039</v>
      </c>
      <c r="AH1134" s="2" t="str">
        <f ca="1"/>
        <v>Bad</v>
      </c>
    </row>
    <row r="1135" spans="2:34" x14ac:dyDescent="0.2">
      <c r="B1135" s="2">
        <f ca="1"/>
        <v>0.99819381126761608</v>
      </c>
      <c r="O1135" s="2">
        <f ca="1"/>
        <v>-0.16884382093294575</v>
      </c>
      <c r="X1135" s="2">
        <f ca="1"/>
        <v>58.157951139423041</v>
      </c>
      <c r="AG1135" s="2">
        <f ca="1"/>
        <v>0.98160465843794054</v>
      </c>
      <c r="AH1135" s="2" t="str">
        <f ca="1"/>
        <v>Bad</v>
      </c>
    </row>
    <row r="1136" spans="2:34" x14ac:dyDescent="0.2">
      <c r="B1136" s="2">
        <f ca="1"/>
        <v>0.18540426110630781</v>
      </c>
      <c r="O1136" s="2">
        <f ca="1"/>
        <v>-0.3460325227615702</v>
      </c>
      <c r="X1136" s="2">
        <f ca="1"/>
        <v>79.028082196437225</v>
      </c>
      <c r="AG1136" s="2">
        <f ca="1"/>
        <v>0.90881298981526104</v>
      </c>
      <c r="AH1136" s="2" t="str">
        <f ca="1"/>
        <v>Bad</v>
      </c>
    </row>
    <row r="1137" spans="2:34" x14ac:dyDescent="0.2">
      <c r="B1137" s="2">
        <f ca="1"/>
        <v>0.88280838080759727</v>
      </c>
      <c r="O1137" s="2">
        <f ca="1"/>
        <v>-0.72661615461833884</v>
      </c>
      <c r="X1137" s="2">
        <f ca="1"/>
        <v>61.76858375388278</v>
      </c>
      <c r="AG1137" s="2">
        <f ca="1"/>
        <v>7.9757448781634377E-3</v>
      </c>
      <c r="AH1137" s="2" t="str">
        <f ca="1"/>
        <v>Good</v>
      </c>
    </row>
    <row r="1138" spans="2:34" x14ac:dyDescent="0.2">
      <c r="B1138" s="2">
        <f ca="1"/>
        <v>0.19346825274559243</v>
      </c>
      <c r="O1138" s="2">
        <f ca="1"/>
        <v>7.8109469905893625E-2</v>
      </c>
      <c r="X1138" s="2">
        <f ca="1"/>
        <v>57.728666609848524</v>
      </c>
      <c r="AG1138" s="2">
        <f ca="1"/>
        <v>0.3951761152891573</v>
      </c>
      <c r="AH1138" s="2" t="str">
        <f ca="1"/>
        <v>OK</v>
      </c>
    </row>
    <row r="1139" spans="2:34" x14ac:dyDescent="0.2">
      <c r="B1139" s="2">
        <f ca="1"/>
        <v>9.4319124536356158E-2</v>
      </c>
      <c r="O1139" s="2">
        <f ca="1"/>
        <v>0.49255728151911859</v>
      </c>
      <c r="X1139" s="2">
        <f ca="1"/>
        <v>57.251795880284568</v>
      </c>
      <c r="AG1139" s="2">
        <f ca="1"/>
        <v>0.20282063472301526</v>
      </c>
      <c r="AH1139" s="2" t="str">
        <f ca="1"/>
        <v>OK</v>
      </c>
    </row>
    <row r="1140" spans="2:34" x14ac:dyDescent="0.2">
      <c r="B1140" s="2">
        <f ca="1"/>
        <v>0.21371902158724154</v>
      </c>
      <c r="O1140" s="2">
        <f ca="1"/>
        <v>-0.44230089049215487</v>
      </c>
      <c r="X1140" s="2">
        <f ca="1"/>
        <v>56.205521122096499</v>
      </c>
      <c r="AG1140" s="2">
        <f ca="1"/>
        <v>0.89377593727621929</v>
      </c>
      <c r="AH1140" s="2" t="str">
        <f ca="1"/>
        <v>Bad</v>
      </c>
    </row>
    <row r="1141" spans="2:34" x14ac:dyDescent="0.2">
      <c r="B1141" s="2">
        <f ca="1"/>
        <v>0.70452335404376187</v>
      </c>
      <c r="O1141" s="2">
        <f ca="1"/>
        <v>1.0476280199299468</v>
      </c>
      <c r="X1141" s="2">
        <f ca="1"/>
        <v>64.246191115536703</v>
      </c>
      <c r="AG1141" s="2">
        <f ca="1"/>
        <v>0.94750806277765487</v>
      </c>
      <c r="AH1141" s="2" t="str">
        <f ca="1"/>
        <v>Bad</v>
      </c>
    </row>
    <row r="1142" spans="2:34" x14ac:dyDescent="0.2">
      <c r="B1142" s="2">
        <f ca="1"/>
        <v>0.68685563028279373</v>
      </c>
      <c r="O1142" s="2">
        <f ca="1"/>
        <v>0.68500282902708964</v>
      </c>
      <c r="X1142" s="2">
        <f ca="1"/>
        <v>33.048957412502176</v>
      </c>
      <c r="AG1142" s="2">
        <f ca="1"/>
        <v>0.27000648241396252</v>
      </c>
      <c r="AH1142" s="2" t="str">
        <f ca="1"/>
        <v>OK</v>
      </c>
    </row>
    <row r="1143" spans="2:34" x14ac:dyDescent="0.2">
      <c r="B1143" s="2">
        <f ca="1"/>
        <v>0.28378793884493247</v>
      </c>
      <c r="O1143" s="2">
        <f ca="1"/>
        <v>0.55102361914895537</v>
      </c>
      <c r="X1143" s="2">
        <f ca="1"/>
        <v>56.653688132871466</v>
      </c>
      <c r="AG1143" s="2">
        <f ca="1"/>
        <v>0.72751755933345175</v>
      </c>
      <c r="AH1143" s="2" t="str">
        <f ca="1"/>
        <v>Bad</v>
      </c>
    </row>
    <row r="1144" spans="2:34" x14ac:dyDescent="0.2">
      <c r="B1144" s="2">
        <f ca="1"/>
        <v>0.28381336310205341</v>
      </c>
      <c r="O1144" s="2">
        <f ca="1"/>
        <v>0.32448667177155038</v>
      </c>
      <c r="X1144" s="2">
        <f ca="1"/>
        <v>71.333447406791748</v>
      </c>
      <c r="AG1144" s="2">
        <f ca="1"/>
        <v>0.32972011573957638</v>
      </c>
      <c r="AH1144" s="2" t="str">
        <f ca="1"/>
        <v>OK</v>
      </c>
    </row>
    <row r="1145" spans="2:34" x14ac:dyDescent="0.2">
      <c r="B1145" s="2">
        <f ca="1"/>
        <v>0.16212363584074807</v>
      </c>
      <c r="O1145" s="2">
        <f ca="1"/>
        <v>0.900822656411705</v>
      </c>
      <c r="X1145" s="2">
        <f ca="1"/>
        <v>28.712904488879708</v>
      </c>
      <c r="AG1145" s="2">
        <f ca="1"/>
        <v>0.14873096575333355</v>
      </c>
      <c r="AH1145" s="2" t="str">
        <f ca="1"/>
        <v>OK</v>
      </c>
    </row>
    <row r="1146" spans="2:34" x14ac:dyDescent="0.2">
      <c r="B1146" s="2">
        <f ca="1"/>
        <v>0.32704886712614245</v>
      </c>
      <c r="O1146" s="2">
        <f ca="1"/>
        <v>0.24763020992842483</v>
      </c>
      <c r="X1146" s="2">
        <f ca="1"/>
        <v>41.732585469846725</v>
      </c>
      <c r="AG1146" s="2">
        <f ca="1"/>
        <v>0.45369294924821002</v>
      </c>
      <c r="AH1146" s="2" t="str">
        <f ca="1"/>
        <v>Bad</v>
      </c>
    </row>
    <row r="1147" spans="2:34" x14ac:dyDescent="0.2">
      <c r="B1147" s="2">
        <f ca="1"/>
        <v>0.32983581192534661</v>
      </c>
      <c r="O1147" s="2">
        <f ca="1"/>
        <v>5.4781801442525417E-2</v>
      </c>
      <c r="X1147" s="2">
        <f ca="1"/>
        <v>70.386368805413426</v>
      </c>
      <c r="AG1147" s="2">
        <f ca="1"/>
        <v>0.83874460123785854</v>
      </c>
      <c r="AH1147" s="2" t="str">
        <f ca="1"/>
        <v>Bad</v>
      </c>
    </row>
    <row r="1148" spans="2:34" x14ac:dyDescent="0.2">
      <c r="B1148" s="2">
        <f ca="1"/>
        <v>0.70203486141250404</v>
      </c>
      <c r="O1148" s="2">
        <f ca="1"/>
        <v>0.70306671616625271</v>
      </c>
      <c r="X1148" s="2">
        <f ca="1"/>
        <v>20.332017137164442</v>
      </c>
      <c r="AG1148" s="2">
        <f ca="1"/>
        <v>0.72897472321638657</v>
      </c>
      <c r="AH1148" s="2" t="str">
        <f ca="1"/>
        <v>Bad</v>
      </c>
    </row>
    <row r="1149" spans="2:34" x14ac:dyDescent="0.2">
      <c r="B1149" s="2">
        <f ca="1"/>
        <v>0.13673166387081004</v>
      </c>
      <c r="O1149" s="2">
        <f ca="1"/>
        <v>-1.5942080011644565E-2</v>
      </c>
      <c r="X1149" s="2">
        <f ca="1"/>
        <v>56.675620596385841</v>
      </c>
      <c r="AG1149" s="2">
        <f ca="1"/>
        <v>0.54511635544921355</v>
      </c>
      <c r="AH1149" s="2" t="str">
        <f ca="1"/>
        <v>Bad</v>
      </c>
    </row>
    <row r="1150" spans="2:34" x14ac:dyDescent="0.2">
      <c r="B1150" s="2">
        <f ca="1"/>
        <v>0.77153155764321646</v>
      </c>
      <c r="O1150" s="2">
        <f ca="1"/>
        <v>-4.1395030835596598E-2</v>
      </c>
      <c r="X1150" s="2">
        <f ca="1"/>
        <v>75.543825364382954</v>
      </c>
      <c r="AG1150" s="2">
        <f ca="1"/>
        <v>0.76373955838284124</v>
      </c>
      <c r="AH1150" s="2" t="str">
        <f ca="1"/>
        <v>Bad</v>
      </c>
    </row>
    <row r="1151" spans="2:34" x14ac:dyDescent="0.2">
      <c r="B1151" s="2">
        <f ca="1"/>
        <v>9.2072674488532957E-2</v>
      </c>
      <c r="O1151" s="2">
        <f ca="1"/>
        <v>-1.4794437195113224</v>
      </c>
      <c r="X1151" s="2">
        <f ca="1"/>
        <v>42.760506318253434</v>
      </c>
      <c r="AG1151" s="2">
        <f ca="1"/>
        <v>0.55239238389950263</v>
      </c>
      <c r="AH1151" s="2" t="str">
        <f ca="1"/>
        <v>Bad</v>
      </c>
    </row>
    <row r="1152" spans="2:34" x14ac:dyDescent="0.2">
      <c r="B1152" s="2">
        <f ca="1"/>
        <v>0.56140221857239081</v>
      </c>
      <c r="O1152" s="2">
        <f ca="1"/>
        <v>0.6561504105622582</v>
      </c>
      <c r="X1152" s="2">
        <f ca="1"/>
        <v>87.132919793592833</v>
      </c>
      <c r="AG1152" s="2">
        <f ca="1"/>
        <v>0.95981464213921353</v>
      </c>
      <c r="AH1152" s="2" t="str">
        <f ca="1"/>
        <v>Bad</v>
      </c>
    </row>
    <row r="1153" spans="2:34" x14ac:dyDescent="0.2">
      <c r="B1153" s="2">
        <f ca="1"/>
        <v>0.7847918636766158</v>
      </c>
      <c r="O1153" s="2">
        <f ca="1"/>
        <v>-0.46123931323348127</v>
      </c>
      <c r="X1153" s="2">
        <f ca="1"/>
        <v>46.734488775058992</v>
      </c>
      <c r="AG1153" s="2">
        <f ca="1"/>
        <v>0.36707975401866966</v>
      </c>
      <c r="AH1153" s="2" t="str">
        <f ca="1"/>
        <v>OK</v>
      </c>
    </row>
    <row r="1154" spans="2:34" x14ac:dyDescent="0.2">
      <c r="B1154" s="2">
        <f ca="1"/>
        <v>0.14094476547277957</v>
      </c>
      <c r="O1154" s="2">
        <f ca="1"/>
        <v>0.36980136568865041</v>
      </c>
      <c r="X1154" s="2">
        <f ca="1"/>
        <v>32.957381349108921</v>
      </c>
      <c r="AG1154" s="2">
        <f ca="1"/>
        <v>0.30587131114297073</v>
      </c>
      <c r="AH1154" s="2" t="str">
        <f ca="1"/>
        <v>OK</v>
      </c>
    </row>
    <row r="1155" spans="2:34" x14ac:dyDescent="0.2">
      <c r="B1155" s="2">
        <f ca="1"/>
        <v>0.89726844649971516</v>
      </c>
      <c r="O1155" s="2">
        <f ca="1"/>
        <v>-1.6684756881717959</v>
      </c>
      <c r="X1155" s="2">
        <f ca="1"/>
        <v>41.270986198043424</v>
      </c>
      <c r="AG1155" s="2">
        <f ca="1"/>
        <v>0.62052282996380947</v>
      </c>
      <c r="AH1155" s="2" t="str">
        <f ca="1"/>
        <v>Bad</v>
      </c>
    </row>
    <row r="1156" spans="2:34" x14ac:dyDescent="0.2">
      <c r="B1156" s="2">
        <f ca="1"/>
        <v>0.32127803941593336</v>
      </c>
      <c r="O1156" s="2">
        <f ca="1"/>
        <v>0.25592153910463311</v>
      </c>
      <c r="X1156" s="2">
        <f ca="1"/>
        <v>55.943966160636421</v>
      </c>
      <c r="AG1156" s="2">
        <f ca="1"/>
        <v>0.70416801994870593</v>
      </c>
      <c r="AH1156" s="2" t="str">
        <f ca="1"/>
        <v>Bad</v>
      </c>
    </row>
    <row r="1157" spans="2:34" x14ac:dyDescent="0.2">
      <c r="B1157" s="2">
        <f ca="1"/>
        <v>0.14085708851172818</v>
      </c>
      <c r="O1157" s="2">
        <f ca="1"/>
        <v>7.174659210591125E-2</v>
      </c>
      <c r="X1157" s="2">
        <f ca="1"/>
        <v>68.082879938186991</v>
      </c>
      <c r="AG1157" s="2">
        <f ca="1"/>
        <v>0.99078277399889814</v>
      </c>
      <c r="AH1157" s="2" t="str">
        <f ca="1"/>
        <v>Bad</v>
      </c>
    </row>
    <row r="1158" spans="2:34" x14ac:dyDescent="0.2">
      <c r="B1158" s="2">
        <f ca="1"/>
        <v>0.68273553194154801</v>
      </c>
      <c r="O1158" s="2">
        <f ca="1"/>
        <v>7.0728875754587861E-2</v>
      </c>
      <c r="X1158" s="2">
        <f ca="1"/>
        <v>45.882279849854783</v>
      </c>
      <c r="AG1158" s="2">
        <f ca="1"/>
        <v>0.97352313864756712</v>
      </c>
      <c r="AH1158" s="2" t="str">
        <f ca="1"/>
        <v>Bad</v>
      </c>
    </row>
    <row r="1159" spans="2:34" x14ac:dyDescent="0.2">
      <c r="B1159" s="2">
        <f ca="1"/>
        <v>0.88920120256337576</v>
      </c>
      <c r="O1159" s="2">
        <f ca="1"/>
        <v>0.22746291817995648</v>
      </c>
      <c r="X1159" s="2">
        <f ca="1"/>
        <v>77.87609470935638</v>
      </c>
      <c r="AG1159" s="2">
        <f ca="1"/>
        <v>9.2051180266812249E-3</v>
      </c>
      <c r="AH1159" s="2" t="str">
        <f ca="1"/>
        <v>Good</v>
      </c>
    </row>
    <row r="1160" spans="2:34" x14ac:dyDescent="0.2">
      <c r="B1160" s="2">
        <f ca="1"/>
        <v>0.35336921347290629</v>
      </c>
      <c r="O1160" s="2">
        <f ca="1"/>
        <v>0.9895186661208204</v>
      </c>
      <c r="X1160" s="2">
        <f ca="1"/>
        <v>43.388732867085842</v>
      </c>
      <c r="AG1160" s="2">
        <f ca="1"/>
        <v>0.74270464545654202</v>
      </c>
      <c r="AH1160" s="2" t="str">
        <f ca="1"/>
        <v>Bad</v>
      </c>
    </row>
    <row r="1161" spans="2:34" x14ac:dyDescent="0.2">
      <c r="B1161" s="2">
        <f ca="1"/>
        <v>0.61962679547547417</v>
      </c>
      <c r="O1161" s="2">
        <f ca="1"/>
        <v>0.30623476134318278</v>
      </c>
      <c r="X1161" s="2">
        <f ca="1"/>
        <v>39.395795451593749</v>
      </c>
      <c r="AG1161" s="2">
        <f ca="1"/>
        <v>0.72323887549285404</v>
      </c>
      <c r="AH1161" s="2" t="str">
        <f ca="1"/>
        <v>Bad</v>
      </c>
    </row>
    <row r="1162" spans="2:34" x14ac:dyDescent="0.2">
      <c r="B1162" s="2">
        <f ca="1"/>
        <v>0.83976308931809829</v>
      </c>
      <c r="O1162" s="2">
        <f ca="1"/>
        <v>-0.23003917978178928</v>
      </c>
      <c r="X1162" s="2">
        <f ca="1"/>
        <v>56.764473040541091</v>
      </c>
      <c r="AG1162" s="2">
        <f ca="1"/>
        <v>0.76162686105036781</v>
      </c>
      <c r="AH1162" s="2" t="str">
        <f ca="1"/>
        <v>Bad</v>
      </c>
    </row>
    <row r="1163" spans="2:34" x14ac:dyDescent="0.2">
      <c r="B1163" s="2">
        <f ca="1"/>
        <v>0.70088561933229476</v>
      </c>
      <c r="O1163" s="2">
        <f ca="1"/>
        <v>-2.5790951851424051</v>
      </c>
      <c r="X1163" s="2">
        <f ca="1"/>
        <v>39.67231238505844</v>
      </c>
      <c r="AG1163" s="2">
        <f ca="1"/>
        <v>0.55935112333265802</v>
      </c>
      <c r="AH1163" s="2" t="str">
        <f ca="1"/>
        <v>Bad</v>
      </c>
    </row>
    <row r="1164" spans="2:34" x14ac:dyDescent="0.2">
      <c r="B1164" s="2">
        <f ca="1"/>
        <v>0.79066931335140689</v>
      </c>
      <c r="O1164" s="2">
        <f ca="1"/>
        <v>1.2608980353220978</v>
      </c>
      <c r="X1164" s="2">
        <f ca="1"/>
        <v>54.377295022446717</v>
      </c>
      <c r="AG1164" s="2">
        <f ca="1"/>
        <v>0.87835783705099013</v>
      </c>
      <c r="AH1164" s="2" t="str">
        <f ca="1"/>
        <v>Bad</v>
      </c>
    </row>
    <row r="1165" spans="2:34" x14ac:dyDescent="0.2">
      <c r="B1165" s="2">
        <f ca="1"/>
        <v>0.92520948692810823</v>
      </c>
      <c r="O1165" s="2">
        <f ca="1"/>
        <v>-1.757413586110383</v>
      </c>
      <c r="X1165" s="2">
        <f ca="1"/>
        <v>40.576569729711679</v>
      </c>
      <c r="AG1165" s="2">
        <f ca="1"/>
        <v>0.72185712426026205</v>
      </c>
      <c r="AH1165" s="2" t="str">
        <f ca="1"/>
        <v>Bad</v>
      </c>
    </row>
    <row r="1166" spans="2:34" x14ac:dyDescent="0.2">
      <c r="B1166" s="2">
        <f ca="1"/>
        <v>0.40191474114473436</v>
      </c>
      <c r="O1166" s="2">
        <f ca="1"/>
        <v>1.6389753790262642</v>
      </c>
      <c r="X1166" s="2">
        <f ca="1"/>
        <v>64.171487709573796</v>
      </c>
      <c r="AG1166" s="2">
        <f ca="1"/>
        <v>0.9720669506534978</v>
      </c>
      <c r="AH1166" s="2" t="str">
        <f ca="1"/>
        <v>Bad</v>
      </c>
    </row>
    <row r="1167" spans="2:34" x14ac:dyDescent="0.2">
      <c r="B1167" s="2">
        <f ca="1"/>
        <v>0.85256418777258625</v>
      </c>
      <c r="O1167" s="2">
        <f ca="1"/>
        <v>1.7949787282537359</v>
      </c>
      <c r="X1167" s="2">
        <f ca="1"/>
        <v>43.092450604190759</v>
      </c>
      <c r="AG1167" s="2">
        <f ca="1"/>
        <v>0.9737474923885181</v>
      </c>
      <c r="AH1167" s="2" t="str">
        <f ca="1"/>
        <v>Bad</v>
      </c>
    </row>
    <row r="1168" spans="2:34" x14ac:dyDescent="0.2">
      <c r="B1168" s="2">
        <f ca="1"/>
        <v>0.18979457051995996</v>
      </c>
      <c r="O1168" s="2">
        <f ca="1"/>
        <v>-0.15958604570186186</v>
      </c>
      <c r="X1168" s="2">
        <f ca="1"/>
        <v>31.872779621617777</v>
      </c>
      <c r="AG1168" s="2">
        <f ca="1"/>
        <v>0.38257319025199954</v>
      </c>
      <c r="AH1168" s="2" t="str">
        <f ca="1"/>
        <v>OK</v>
      </c>
    </row>
    <row r="1169" spans="2:34" x14ac:dyDescent="0.2">
      <c r="B1169" s="2">
        <f ca="1"/>
        <v>0.39354737661438177</v>
      </c>
      <c r="O1169" s="2">
        <f ca="1"/>
        <v>-0.35096808705034477</v>
      </c>
      <c r="X1169" s="2">
        <f ca="1"/>
        <v>77.083111552107923</v>
      </c>
      <c r="AG1169" s="2">
        <f ca="1"/>
        <v>0.68731149374546274</v>
      </c>
      <c r="AH1169" s="2" t="str">
        <f ca="1"/>
        <v>Bad</v>
      </c>
    </row>
    <row r="1170" spans="2:34" x14ac:dyDescent="0.2">
      <c r="B1170" s="2">
        <f ca="1"/>
        <v>0.66351994236864176</v>
      </c>
      <c r="O1170" s="2">
        <f ca="1"/>
        <v>1.5433663023456814</v>
      </c>
      <c r="X1170" s="2">
        <f ca="1"/>
        <v>53.284817040691422</v>
      </c>
      <c r="AG1170" s="2">
        <f ca="1"/>
        <v>0.47646753381395412</v>
      </c>
      <c r="AH1170" s="2" t="str">
        <f ca="1"/>
        <v>Bad</v>
      </c>
    </row>
    <row r="1171" spans="2:34" x14ac:dyDescent="0.2">
      <c r="B1171" s="2">
        <f ca="1"/>
        <v>0.54999462779202801</v>
      </c>
      <c r="O1171" s="2">
        <f ca="1"/>
        <v>-0.63099427008133624</v>
      </c>
      <c r="X1171" s="2">
        <f ca="1"/>
        <v>19.505058029600665</v>
      </c>
      <c r="AG1171" s="2">
        <f ca="1"/>
        <v>0.71538617228769175</v>
      </c>
      <c r="AH1171" s="2" t="str">
        <f ca="1"/>
        <v>Bad</v>
      </c>
    </row>
    <row r="1172" spans="2:34" x14ac:dyDescent="0.2">
      <c r="B1172" s="2">
        <f ca="1"/>
        <v>0.60127149813253644</v>
      </c>
      <c r="O1172" s="2">
        <f ca="1"/>
        <v>1.3659342011841276</v>
      </c>
      <c r="X1172" s="2">
        <f ca="1"/>
        <v>52.594795930972367</v>
      </c>
      <c r="AG1172" s="2">
        <f ca="1"/>
        <v>0.52346783527109775</v>
      </c>
      <c r="AH1172" s="2" t="str">
        <f ca="1"/>
        <v>Bad</v>
      </c>
    </row>
    <row r="1173" spans="2:34" x14ac:dyDescent="0.2">
      <c r="B1173" s="2">
        <f ca="1"/>
        <v>0.98701921604797271</v>
      </c>
      <c r="O1173" s="2">
        <f ca="1"/>
        <v>0.20716467690329723</v>
      </c>
      <c r="X1173" s="2">
        <f ca="1"/>
        <v>43.777395674193002</v>
      </c>
      <c r="AG1173" s="2">
        <f ca="1"/>
        <v>0.54607389564374609</v>
      </c>
      <c r="AH1173" s="2" t="str">
        <f ca="1"/>
        <v>Bad</v>
      </c>
    </row>
    <row r="1174" spans="2:34" x14ac:dyDescent="0.2">
      <c r="B1174" s="2">
        <f ca="1"/>
        <v>0.38696349711006928</v>
      </c>
      <c r="O1174" s="2">
        <f ca="1"/>
        <v>3.4208619217461429</v>
      </c>
      <c r="X1174" s="2">
        <f ca="1"/>
        <v>35.23041084823879</v>
      </c>
      <c r="AG1174" s="2">
        <f ca="1"/>
        <v>0.91474580998681931</v>
      </c>
      <c r="AH1174" s="2" t="str">
        <f ca="1"/>
        <v>Bad</v>
      </c>
    </row>
    <row r="1175" spans="2:34" x14ac:dyDescent="0.2">
      <c r="B1175" s="2">
        <f ca="1"/>
        <v>0.37375909899194504</v>
      </c>
      <c r="O1175" s="2">
        <f ca="1"/>
        <v>-1.6536119772055418</v>
      </c>
      <c r="X1175" s="2">
        <f ca="1"/>
        <v>40.419835367993571</v>
      </c>
      <c r="AG1175" s="2">
        <f ca="1"/>
        <v>0.5546645671568935</v>
      </c>
      <c r="AH1175" s="2" t="str">
        <f ca="1"/>
        <v>Bad</v>
      </c>
    </row>
    <row r="1176" spans="2:34" x14ac:dyDescent="0.2">
      <c r="B1176" s="2">
        <f ca="1"/>
        <v>0.60031416126828674</v>
      </c>
      <c r="O1176" s="2">
        <f ca="1"/>
        <v>1.026057883796526</v>
      </c>
      <c r="X1176" s="2">
        <f ca="1"/>
        <v>38.288656954347985</v>
      </c>
      <c r="AG1176" s="2">
        <f ca="1"/>
        <v>5.4696536819907271E-2</v>
      </c>
      <c r="AH1176" s="2" t="str">
        <f ca="1"/>
        <v>OK</v>
      </c>
    </row>
    <row r="1177" spans="2:34" x14ac:dyDescent="0.2">
      <c r="B1177" s="2">
        <f ca="1"/>
        <v>8.5319443040239751E-2</v>
      </c>
      <c r="O1177" s="2">
        <f ca="1"/>
        <v>-0.16712411314423256</v>
      </c>
      <c r="X1177" s="2">
        <f ca="1"/>
        <v>34.607991007890917</v>
      </c>
      <c r="AG1177" s="2">
        <f ca="1"/>
        <v>0.55337221163539252</v>
      </c>
      <c r="AH1177" s="2" t="str">
        <f ca="1"/>
        <v>Bad</v>
      </c>
    </row>
    <row r="1178" spans="2:34" x14ac:dyDescent="0.2">
      <c r="B1178" s="2">
        <f ca="1"/>
        <v>0.80150122827467629</v>
      </c>
      <c r="O1178" s="2">
        <f ca="1"/>
        <v>-0.15238728233742008</v>
      </c>
      <c r="X1178" s="2">
        <f ca="1"/>
        <v>63.273425452042602</v>
      </c>
      <c r="AG1178" s="2">
        <f ca="1"/>
        <v>0.90970865151033098</v>
      </c>
      <c r="AH1178" s="2" t="str">
        <f ca="1"/>
        <v>Bad</v>
      </c>
    </row>
    <row r="1179" spans="2:34" x14ac:dyDescent="0.2">
      <c r="B1179" s="2">
        <f ca="1"/>
        <v>0.60093896715817263</v>
      </c>
      <c r="O1179" s="2">
        <f ca="1"/>
        <v>0.93032942799869334</v>
      </c>
      <c r="X1179" s="2">
        <f ca="1"/>
        <v>46.618464966045565</v>
      </c>
      <c r="AG1179" s="2">
        <f ca="1"/>
        <v>0.24756014042549346</v>
      </c>
      <c r="AH1179" s="2" t="str">
        <f ca="1"/>
        <v>OK</v>
      </c>
    </row>
    <row r="1180" spans="2:34" x14ac:dyDescent="0.2">
      <c r="B1180" s="2">
        <f ca="1"/>
        <v>0.36464496204841179</v>
      </c>
      <c r="O1180" s="2">
        <f ca="1"/>
        <v>-0.15802098339320833</v>
      </c>
      <c r="X1180" s="2">
        <f ca="1"/>
        <v>38.656011064638349</v>
      </c>
      <c r="AG1180" s="2">
        <f ca="1"/>
        <v>0.16971686164553401</v>
      </c>
      <c r="AH1180" s="2" t="str">
        <f ca="1"/>
        <v>OK</v>
      </c>
    </row>
    <row r="1181" spans="2:34" x14ac:dyDescent="0.2">
      <c r="B1181" s="2">
        <f ca="1"/>
        <v>0.95225143803811041</v>
      </c>
      <c r="O1181" s="2">
        <f ca="1"/>
        <v>0.56046010195740048</v>
      </c>
      <c r="X1181" s="2">
        <f ca="1"/>
        <v>29.11835976106066</v>
      </c>
      <c r="AG1181" s="2">
        <f ca="1"/>
        <v>0.86606056467184112</v>
      </c>
      <c r="AH1181" s="2" t="str">
        <f ca="1"/>
        <v>Bad</v>
      </c>
    </row>
    <row r="1182" spans="2:34" x14ac:dyDescent="0.2">
      <c r="B1182" s="2">
        <f ca="1"/>
        <v>0.18699491446173533</v>
      </c>
      <c r="O1182" s="2">
        <f ca="1"/>
        <v>0.31806203060999294</v>
      </c>
      <c r="X1182" s="2">
        <f ca="1"/>
        <v>41.936457355268423</v>
      </c>
      <c r="AG1182" s="2">
        <f ca="1"/>
        <v>0.69556091743706494</v>
      </c>
      <c r="AH1182" s="2" t="str">
        <f ca="1"/>
        <v>Bad</v>
      </c>
    </row>
    <row r="1183" spans="2:34" x14ac:dyDescent="0.2">
      <c r="B1183" s="2">
        <f ca="1"/>
        <v>0.32401260491366091</v>
      </c>
      <c r="O1183" s="2">
        <f ca="1"/>
        <v>1.0167819294313296</v>
      </c>
      <c r="X1183" s="2">
        <f ca="1"/>
        <v>48.186880729118585</v>
      </c>
      <c r="AG1183" s="2">
        <f ca="1"/>
        <v>0.42946868950343831</v>
      </c>
      <c r="AH1183" s="2" t="str">
        <f ca="1"/>
        <v>Bad</v>
      </c>
    </row>
    <row r="1184" spans="2:34" x14ac:dyDescent="0.2">
      <c r="B1184" s="2">
        <f ca="1"/>
        <v>0.393513872899516</v>
      </c>
      <c r="O1184" s="2">
        <f ca="1"/>
        <v>-0.22879688085296931</v>
      </c>
      <c r="X1184" s="2">
        <f ca="1"/>
        <v>54.967672391271819</v>
      </c>
      <c r="AG1184" s="2">
        <f ca="1"/>
        <v>0.64960581214591384</v>
      </c>
      <c r="AH1184" s="2" t="str">
        <f ca="1"/>
        <v>Bad</v>
      </c>
    </row>
    <row r="1185" spans="2:34" x14ac:dyDescent="0.2">
      <c r="B1185" s="2">
        <f ca="1"/>
        <v>0.52975071249253469</v>
      </c>
      <c r="O1185" s="2">
        <f ca="1"/>
        <v>-0.5276005121316758</v>
      </c>
      <c r="X1185" s="2">
        <f ca="1"/>
        <v>45.222910191599659</v>
      </c>
      <c r="AG1185" s="2">
        <f ca="1"/>
        <v>0.14000671969401113</v>
      </c>
      <c r="AH1185" s="2" t="str">
        <f ca="1"/>
        <v>OK</v>
      </c>
    </row>
    <row r="1186" spans="2:34" x14ac:dyDescent="0.2">
      <c r="B1186" s="2">
        <f ca="1"/>
        <v>0.17156101585706085</v>
      </c>
      <c r="O1186" s="2">
        <f ca="1"/>
        <v>1.8113572742200394</v>
      </c>
      <c r="X1186" s="2">
        <f ca="1"/>
        <v>54.772774792451379</v>
      </c>
      <c r="AG1186" s="2">
        <f ca="1"/>
        <v>0.56682423745617116</v>
      </c>
      <c r="AH1186" s="2" t="str">
        <f ca="1"/>
        <v>Bad</v>
      </c>
    </row>
    <row r="1187" spans="2:34" x14ac:dyDescent="0.2">
      <c r="B1187" s="2">
        <f ca="1"/>
        <v>0.71342403672667354</v>
      </c>
      <c r="O1187" s="2">
        <f ca="1"/>
        <v>0.73208791167887854</v>
      </c>
      <c r="X1187" s="2">
        <f ca="1"/>
        <v>55.799677163365125</v>
      </c>
      <c r="AG1187" s="2">
        <f ca="1"/>
        <v>0.10314755713749113</v>
      </c>
      <c r="AH1187" s="2" t="str">
        <f ca="1"/>
        <v>OK</v>
      </c>
    </row>
    <row r="1188" spans="2:34" x14ac:dyDescent="0.2">
      <c r="B1188" s="2">
        <f ca="1"/>
        <v>0.33615108031279473</v>
      </c>
      <c r="O1188" s="2">
        <f ca="1"/>
        <v>0.53848096414386382</v>
      </c>
      <c r="X1188" s="2">
        <f ca="1"/>
        <v>45.03747445439673</v>
      </c>
      <c r="AG1188" s="2">
        <f ca="1"/>
        <v>0.19950463212849967</v>
      </c>
      <c r="AH1188" s="2" t="str">
        <f ca="1"/>
        <v>OK</v>
      </c>
    </row>
    <row r="1189" spans="2:34" x14ac:dyDescent="0.2">
      <c r="B1189" s="2">
        <f ca="1"/>
        <v>0.9342485966308629</v>
      </c>
      <c r="O1189" s="2">
        <f ca="1"/>
        <v>0.17118960495882868</v>
      </c>
      <c r="X1189" s="2">
        <f ca="1"/>
        <v>52.554330751384455</v>
      </c>
      <c r="AG1189" s="2">
        <f ca="1"/>
        <v>0.18940098878860301</v>
      </c>
      <c r="AH1189" s="2" t="str">
        <f ca="1"/>
        <v>OK</v>
      </c>
    </row>
    <row r="1190" spans="2:34" x14ac:dyDescent="0.2">
      <c r="B1190" s="2">
        <f ca="1"/>
        <v>0.28079445644331757</v>
      </c>
      <c r="O1190" s="2">
        <f ca="1"/>
        <v>-0.87750400099151382</v>
      </c>
      <c r="X1190" s="2">
        <f ca="1"/>
        <v>66.958853845945299</v>
      </c>
      <c r="AG1190" s="2">
        <f ca="1"/>
        <v>0.17716651199487976</v>
      </c>
      <c r="AH1190" s="2" t="str">
        <f ca="1"/>
        <v>OK</v>
      </c>
    </row>
    <row r="1191" spans="2:34" x14ac:dyDescent="0.2">
      <c r="B1191" s="2">
        <f ca="1"/>
        <v>0.57145739832372167</v>
      </c>
      <c r="O1191" s="2">
        <f ca="1"/>
        <v>-1.6620530019032642</v>
      </c>
      <c r="X1191" s="2">
        <f ca="1"/>
        <v>88.690739893830624</v>
      </c>
      <c r="AG1191" s="2">
        <f ca="1"/>
        <v>4.9072649819193792E-2</v>
      </c>
      <c r="AH1191" s="2" t="str">
        <f ca="1"/>
        <v>Good</v>
      </c>
    </row>
    <row r="1192" spans="2:34" x14ac:dyDescent="0.2">
      <c r="B1192" s="2">
        <f ca="1"/>
        <v>0.1188825433140146</v>
      </c>
      <c r="O1192" s="2">
        <f ca="1"/>
        <v>0.372306956745314</v>
      </c>
      <c r="X1192" s="2">
        <f ca="1"/>
        <v>39.236497215428663</v>
      </c>
      <c r="AG1192" s="2">
        <f ca="1"/>
        <v>0.36428389183005527</v>
      </c>
      <c r="AH1192" s="2" t="str">
        <f ca="1"/>
        <v>OK</v>
      </c>
    </row>
    <row r="1193" spans="2:34" x14ac:dyDescent="0.2">
      <c r="B1193" s="2">
        <f ca="1"/>
        <v>0.32503854910694874</v>
      </c>
      <c r="O1193" s="2">
        <f ca="1"/>
        <v>1.8339670885073462</v>
      </c>
      <c r="X1193" s="2">
        <f ca="1"/>
        <v>45.405873966723149</v>
      </c>
      <c r="AG1193" s="2">
        <f ca="1"/>
        <v>0.63906207966161399</v>
      </c>
      <c r="AH1193" s="2" t="str">
        <f ca="1"/>
        <v>Bad</v>
      </c>
    </row>
    <row r="1194" spans="2:34" x14ac:dyDescent="0.2">
      <c r="B1194" s="2">
        <f ca="1"/>
        <v>0.1674604448218926</v>
      </c>
      <c r="O1194" s="2">
        <f ca="1"/>
        <v>0.69953945234428982</v>
      </c>
      <c r="X1194" s="2">
        <f ca="1"/>
        <v>46.972938891242023</v>
      </c>
      <c r="AG1194" s="2">
        <f ca="1"/>
        <v>0.81811529432600882</v>
      </c>
      <c r="AH1194" s="2" t="str">
        <f ca="1"/>
        <v>Bad</v>
      </c>
    </row>
    <row r="1195" spans="2:34" x14ac:dyDescent="0.2">
      <c r="B1195" s="2">
        <f ca="1"/>
        <v>0.97286784502464951</v>
      </c>
      <c r="O1195" s="2">
        <f ca="1"/>
        <v>-0.1207746938986231</v>
      </c>
      <c r="X1195" s="2">
        <f ca="1"/>
        <v>76.229576727831358</v>
      </c>
      <c r="AG1195" s="2">
        <f ca="1"/>
        <v>3.1402382605600465E-2</v>
      </c>
      <c r="AH1195" s="2" t="str">
        <f ca="1"/>
        <v>Good</v>
      </c>
    </row>
    <row r="1196" spans="2:34" x14ac:dyDescent="0.2">
      <c r="B1196" s="2">
        <f ca="1"/>
        <v>0.29069525133927487</v>
      </c>
      <c r="O1196" s="2">
        <f ca="1"/>
        <v>1.0452825237461167</v>
      </c>
      <c r="X1196" s="2">
        <f ca="1"/>
        <v>41.863260983624983</v>
      </c>
      <c r="AG1196" s="2">
        <f ca="1"/>
        <v>0.91075891763803263</v>
      </c>
      <c r="AH1196" s="2" t="str">
        <f ca="1"/>
        <v>Bad</v>
      </c>
    </row>
    <row r="1197" spans="2:34" x14ac:dyDescent="0.2">
      <c r="B1197" s="2">
        <f ca="1"/>
        <v>0.59036932735234116</v>
      </c>
      <c r="O1197" s="2">
        <f ca="1"/>
        <v>-0.74985441089511695</v>
      </c>
      <c r="X1197" s="2">
        <f ca="1"/>
        <v>50.536324166669601</v>
      </c>
      <c r="AG1197" s="2">
        <f ca="1"/>
        <v>0.21367584780746562</v>
      </c>
      <c r="AH1197" s="2" t="str">
        <f ca="1"/>
        <v>OK</v>
      </c>
    </row>
    <row r="1198" spans="2:34" x14ac:dyDescent="0.2">
      <c r="B1198" s="2">
        <f ca="1"/>
        <v>0.65146026836576887</v>
      </c>
      <c r="O1198" s="2">
        <f ca="1"/>
        <v>0.30372220612911754</v>
      </c>
      <c r="X1198" s="2">
        <f ca="1"/>
        <v>72.010628068809723</v>
      </c>
      <c r="AG1198" s="2">
        <f ca="1"/>
        <v>0.84139881367488689</v>
      </c>
      <c r="AH1198" s="2" t="str">
        <f ca="1"/>
        <v>Bad</v>
      </c>
    </row>
    <row r="1199" spans="2:34" x14ac:dyDescent="0.2">
      <c r="B1199" s="2">
        <f ca="1"/>
        <v>0.95413644199608227</v>
      </c>
      <c r="O1199" s="2">
        <f ca="1"/>
        <v>-0.97187991093166004</v>
      </c>
      <c r="X1199" s="2">
        <f ca="1"/>
        <v>38.288248207339429</v>
      </c>
      <c r="AG1199" s="2">
        <f ca="1"/>
        <v>0.70079721135687345</v>
      </c>
      <c r="AH1199" s="2" t="str">
        <f ca="1"/>
        <v>Bad</v>
      </c>
    </row>
    <row r="1200" spans="2:34" x14ac:dyDescent="0.2">
      <c r="B1200" s="2">
        <f ca="1"/>
        <v>0.14154740075641215</v>
      </c>
      <c r="O1200" s="2">
        <f ca="1"/>
        <v>2.360784336986661</v>
      </c>
      <c r="X1200" s="2">
        <f ca="1"/>
        <v>36.301707771997961</v>
      </c>
      <c r="AG1200" s="2">
        <f ca="1"/>
        <v>0.24263895554743997</v>
      </c>
      <c r="AH1200" s="2" t="str">
        <f ca="1"/>
        <v>OK</v>
      </c>
    </row>
    <row r="1201" spans="2:34" x14ac:dyDescent="0.2">
      <c r="B1201" s="2">
        <f ca="1"/>
        <v>0.58411493961706862</v>
      </c>
      <c r="O1201" s="2">
        <f ca="1"/>
        <v>-0.32111285460766015</v>
      </c>
      <c r="X1201" s="2">
        <f ca="1"/>
        <v>58.492554174413051</v>
      </c>
      <c r="AG1201" s="2">
        <f ca="1"/>
        <v>0.34203831686105324</v>
      </c>
      <c r="AH1201" s="2" t="str">
        <f ca="1"/>
        <v>OK</v>
      </c>
    </row>
    <row r="1202" spans="2:34" x14ac:dyDescent="0.2">
      <c r="B1202" s="2">
        <f ca="1"/>
        <v>0.69519383187317652</v>
      </c>
      <c r="O1202" s="2">
        <f ca="1"/>
        <v>-6.5744015413138707E-2</v>
      </c>
      <c r="X1202" s="2">
        <f ca="1"/>
        <v>26.350649628860296</v>
      </c>
      <c r="AG1202" s="2">
        <f ca="1"/>
        <v>0.69077282910237336</v>
      </c>
      <c r="AH1202" s="2" t="str">
        <f ca="1"/>
        <v>Bad</v>
      </c>
    </row>
    <row r="1203" spans="2:34" x14ac:dyDescent="0.2">
      <c r="B1203" s="2">
        <f ca="1"/>
        <v>0.74406755560061</v>
      </c>
      <c r="O1203" s="2">
        <f ca="1"/>
        <v>2.4384440187370382</v>
      </c>
      <c r="X1203" s="2">
        <f ca="1"/>
        <v>46.825590422570968</v>
      </c>
      <c r="AG1203" s="2">
        <f ca="1"/>
        <v>0.83898421559068015</v>
      </c>
      <c r="AH1203" s="2" t="str">
        <f ca="1"/>
        <v>Bad</v>
      </c>
    </row>
    <row r="1204" spans="2:34" x14ac:dyDescent="0.2">
      <c r="B1204" s="2">
        <f ca="1"/>
        <v>0.59494422567033012</v>
      </c>
      <c r="O1204" s="2">
        <f ca="1"/>
        <v>0.53300809121992243</v>
      </c>
      <c r="X1204" s="2">
        <f ca="1"/>
        <v>55.089338334059896</v>
      </c>
      <c r="AG1204" s="2">
        <f ca="1"/>
        <v>0.1904989157269541</v>
      </c>
      <c r="AH1204" s="2" t="str">
        <f ca="1"/>
        <v>OK</v>
      </c>
    </row>
    <row r="1205" spans="2:34" x14ac:dyDescent="0.2">
      <c r="B1205" s="2">
        <f ca="1"/>
        <v>0.2073789211778454</v>
      </c>
      <c r="O1205" s="2">
        <f ca="1"/>
        <v>-0.6983214481245601</v>
      </c>
      <c r="X1205" s="2">
        <f ca="1"/>
        <v>64.912037178988228</v>
      </c>
      <c r="AG1205" s="2">
        <f ca="1"/>
        <v>0.16571866875157393</v>
      </c>
      <c r="AH1205" s="2" t="str">
        <f ca="1"/>
        <v>OK</v>
      </c>
    </row>
    <row r="1206" spans="2:34" x14ac:dyDescent="0.2">
      <c r="B1206" s="2">
        <f ca="1"/>
        <v>0.24611300294296434</v>
      </c>
      <c r="O1206" s="2">
        <f ca="1"/>
        <v>0.67669784823658907</v>
      </c>
      <c r="X1206" s="2">
        <f ca="1"/>
        <v>76.756930758755914</v>
      </c>
      <c r="AG1206" s="2">
        <f ca="1"/>
        <v>0.93739055655072967</v>
      </c>
      <c r="AH1206" s="2" t="str">
        <f ca="1"/>
        <v>Bad</v>
      </c>
    </row>
    <row r="1207" spans="2:34" x14ac:dyDescent="0.2">
      <c r="B1207" s="2">
        <f ca="1"/>
        <v>0.61424571183802157</v>
      </c>
      <c r="O1207" s="2">
        <f ca="1"/>
        <v>-0.45008705629841195</v>
      </c>
      <c r="X1207" s="2">
        <f ca="1"/>
        <v>58.05558134301414</v>
      </c>
      <c r="AG1207" s="2">
        <f ca="1"/>
        <v>0.97353356074312214</v>
      </c>
      <c r="AH1207" s="2" t="str">
        <f ca="1"/>
        <v>Bad</v>
      </c>
    </row>
    <row r="1208" spans="2:34" x14ac:dyDescent="0.2">
      <c r="B1208" s="2">
        <f ca="1"/>
        <v>0.14070655982768265</v>
      </c>
      <c r="O1208" s="2">
        <f ca="1"/>
        <v>0.33803832622003971</v>
      </c>
      <c r="X1208" s="2">
        <f ca="1"/>
        <v>71.496577733103308</v>
      </c>
      <c r="AG1208" s="2">
        <f ca="1"/>
        <v>0.52160624226882457</v>
      </c>
      <c r="AH1208" s="2" t="str">
        <f ca="1"/>
        <v>Bad</v>
      </c>
    </row>
    <row r="1209" spans="2:34" x14ac:dyDescent="0.2">
      <c r="B1209" s="2">
        <f ca="1"/>
        <v>9.2485712486496174E-2</v>
      </c>
      <c r="O1209" s="2">
        <f ca="1"/>
        <v>-0.69858270385510635</v>
      </c>
      <c r="X1209" s="2">
        <f ca="1"/>
        <v>38.022400516884076</v>
      </c>
      <c r="AG1209" s="2">
        <f ca="1"/>
        <v>0.49299357851118009</v>
      </c>
      <c r="AH1209" s="2" t="str">
        <f ca="1"/>
        <v>Bad</v>
      </c>
    </row>
    <row r="1210" spans="2:34" x14ac:dyDescent="0.2">
      <c r="B1210" s="2">
        <f ca="1"/>
        <v>0.28503813643810938</v>
      </c>
      <c r="O1210" s="2">
        <f ca="1"/>
        <v>-0.32465780926704607</v>
      </c>
      <c r="X1210" s="2">
        <f ca="1"/>
        <v>89.949496804914958</v>
      </c>
      <c r="AG1210" s="2">
        <f ca="1"/>
        <v>0.11241291999295711</v>
      </c>
      <c r="AH1210" s="2" t="str">
        <f ca="1"/>
        <v>OK</v>
      </c>
    </row>
    <row r="1211" spans="2:34" x14ac:dyDescent="0.2">
      <c r="B1211" s="2">
        <f ca="1"/>
        <v>0.89743351518449788</v>
      </c>
      <c r="O1211" s="2">
        <f ca="1"/>
        <v>-0.42154176942115534</v>
      </c>
      <c r="X1211" s="2">
        <f ca="1"/>
        <v>45.346187366742996</v>
      </c>
      <c r="AG1211" s="2">
        <f ca="1"/>
        <v>0.2499172074954954</v>
      </c>
      <c r="AH1211" s="2" t="str">
        <f ca="1"/>
        <v>OK</v>
      </c>
    </row>
    <row r="1212" spans="2:34" x14ac:dyDescent="0.2">
      <c r="B1212" s="2">
        <f ca="1"/>
        <v>0.79668227451222973</v>
      </c>
      <c r="O1212" s="2">
        <f ca="1"/>
        <v>1.4483053197422797</v>
      </c>
      <c r="X1212" s="2">
        <f ca="1"/>
        <v>32.491250583099855</v>
      </c>
      <c r="AG1212" s="2">
        <f ca="1"/>
        <v>0.17193066670259816</v>
      </c>
      <c r="AH1212" s="2" t="str">
        <f ca="1"/>
        <v>OK</v>
      </c>
    </row>
    <row r="1213" spans="2:34" x14ac:dyDescent="0.2">
      <c r="B1213" s="2">
        <f ca="1"/>
        <v>0.51767973497672282</v>
      </c>
      <c r="O1213" s="2">
        <f ca="1"/>
        <v>-5.766097441869264E-2</v>
      </c>
      <c r="X1213" s="2">
        <f ca="1"/>
        <v>25.941015417741283</v>
      </c>
      <c r="AG1213" s="2">
        <f ca="1"/>
        <v>0.46388995197527483</v>
      </c>
      <c r="AH1213" s="2" t="str">
        <f ca="1"/>
        <v>Bad</v>
      </c>
    </row>
    <row r="1214" spans="2:34" x14ac:dyDescent="0.2">
      <c r="B1214" s="2">
        <f ca="1"/>
        <v>0.73537498264621415</v>
      </c>
      <c r="O1214" s="2">
        <f ca="1"/>
        <v>-0.75897600671903731</v>
      </c>
      <c r="X1214" s="2">
        <f ca="1"/>
        <v>34.526355463129761</v>
      </c>
      <c r="AG1214" s="2">
        <f ca="1"/>
        <v>0.17329792415121559</v>
      </c>
      <c r="AH1214" s="2" t="str">
        <f ca="1"/>
        <v>OK</v>
      </c>
    </row>
    <row r="1215" spans="2:34" x14ac:dyDescent="0.2">
      <c r="B1215" s="2">
        <f ca="1"/>
        <v>0.55894399479320578</v>
      </c>
      <c r="O1215" s="2">
        <f ca="1"/>
        <v>7.032868616282538E-2</v>
      </c>
      <c r="X1215" s="2">
        <f ca="1"/>
        <v>53.365362573750382</v>
      </c>
      <c r="AG1215" s="2">
        <f ca="1"/>
        <v>0.86581574990940258</v>
      </c>
      <c r="AH1215" s="2" t="str">
        <f ca="1"/>
        <v>Bad</v>
      </c>
    </row>
    <row r="1216" spans="2:34" x14ac:dyDescent="0.2">
      <c r="B1216" s="2">
        <f ca="1"/>
        <v>0.57698123971630966</v>
      </c>
      <c r="O1216" s="2">
        <f ca="1"/>
        <v>1.8494332029892164</v>
      </c>
      <c r="X1216" s="2">
        <f ca="1"/>
        <v>52.781688787800441</v>
      </c>
      <c r="AG1216" s="2">
        <f ca="1"/>
        <v>0.15201164191134042</v>
      </c>
      <c r="AH1216" s="2" t="str">
        <f ca="1"/>
        <v>OK</v>
      </c>
    </row>
    <row r="1217" spans="2:34" x14ac:dyDescent="0.2">
      <c r="B1217" s="2">
        <f ca="1"/>
        <v>0.4928284912344767</v>
      </c>
      <c r="O1217" s="2">
        <f ca="1"/>
        <v>1.2265485427340019</v>
      </c>
      <c r="X1217" s="2">
        <f ca="1"/>
        <v>43.378548050276542</v>
      </c>
      <c r="AG1217" s="2">
        <f ca="1"/>
        <v>0.81955654663886812</v>
      </c>
      <c r="AH1217" s="2" t="str">
        <f ca="1"/>
        <v>Bad</v>
      </c>
    </row>
    <row r="1218" spans="2:34" x14ac:dyDescent="0.2">
      <c r="B1218" s="2">
        <f ca="1"/>
        <v>0.78074733304196453</v>
      </c>
      <c r="O1218" s="2">
        <f ca="1"/>
        <v>1.5915167710086629E-2</v>
      </c>
      <c r="X1218" s="2">
        <f ca="1"/>
        <v>56.8113689774069</v>
      </c>
      <c r="AG1218" s="2">
        <f ca="1"/>
        <v>2.7574438498732423E-2</v>
      </c>
      <c r="AH1218" s="2" t="str">
        <f ca="1"/>
        <v>Good</v>
      </c>
    </row>
    <row r="1219" spans="2:34" x14ac:dyDescent="0.2">
      <c r="B1219" s="2">
        <f ca="1"/>
        <v>8.0784425517674618E-2</v>
      </c>
      <c r="O1219" s="2">
        <f ca="1"/>
        <v>-0.85830548518873362</v>
      </c>
      <c r="X1219" s="2">
        <f ca="1"/>
        <v>115.29809660621311</v>
      </c>
      <c r="AG1219" s="2">
        <f ca="1"/>
        <v>0.24138179568743934</v>
      </c>
      <c r="AH1219" s="2" t="str">
        <f ca="1"/>
        <v>OK</v>
      </c>
    </row>
    <row r="1220" spans="2:34" x14ac:dyDescent="0.2">
      <c r="B1220" s="2">
        <f ca="1"/>
        <v>0.94984652835737871</v>
      </c>
      <c r="O1220" s="2">
        <f ca="1"/>
        <v>-0.18545914381185891</v>
      </c>
      <c r="X1220" s="2">
        <f ca="1"/>
        <v>38.474676295747841</v>
      </c>
      <c r="AG1220" s="2">
        <f ca="1"/>
        <v>0.11869261322879932</v>
      </c>
      <c r="AH1220" s="2" t="str">
        <f ca="1"/>
        <v>OK</v>
      </c>
    </row>
    <row r="1221" spans="2:34" x14ac:dyDescent="0.2">
      <c r="B1221" s="2">
        <f ca="1"/>
        <v>0.29892904192987912</v>
      </c>
      <c r="O1221" s="2">
        <f ca="1"/>
        <v>0.23096463769166198</v>
      </c>
      <c r="X1221" s="2">
        <f ca="1"/>
        <v>40.295809623272874</v>
      </c>
      <c r="AG1221" s="2">
        <f ca="1"/>
        <v>0.46097508888032168</v>
      </c>
      <c r="AH1221" s="2" t="str">
        <f ca="1"/>
        <v>Bad</v>
      </c>
    </row>
    <row r="1222" spans="2:34" x14ac:dyDescent="0.2">
      <c r="B1222" s="2">
        <f ca="1"/>
        <v>0.18359160302407185</v>
      </c>
      <c r="O1222" s="2">
        <f ca="1"/>
        <v>0.20139363342360972</v>
      </c>
      <c r="X1222" s="2">
        <f ca="1"/>
        <v>41.325345982579769</v>
      </c>
      <c r="AG1222" s="2">
        <f ca="1"/>
        <v>0.67221527405312842</v>
      </c>
      <c r="AH1222" s="2" t="str">
        <f ca="1"/>
        <v>Bad</v>
      </c>
    </row>
    <row r="1223" spans="2:34" x14ac:dyDescent="0.2">
      <c r="B1223" s="2">
        <f ca="1"/>
        <v>0.61118371843916086</v>
      </c>
      <c r="O1223" s="2">
        <f ca="1"/>
        <v>-1.3995134814160159</v>
      </c>
      <c r="X1223" s="2">
        <f ca="1"/>
        <v>79.538445489478121</v>
      </c>
      <c r="AG1223" s="2">
        <f ca="1"/>
        <v>0.8210636067432322</v>
      </c>
      <c r="AH1223" s="2" t="str">
        <f ca="1"/>
        <v>Bad</v>
      </c>
    </row>
    <row r="1224" spans="2:34" x14ac:dyDescent="0.2">
      <c r="B1224" s="2">
        <f ca="1"/>
        <v>0.53243458312956471</v>
      </c>
      <c r="O1224" s="2">
        <f ca="1"/>
        <v>7.8430981364773195E-2</v>
      </c>
      <c r="X1224" s="2">
        <f ca="1"/>
        <v>49.509033072906362</v>
      </c>
      <c r="AG1224" s="2">
        <f ca="1"/>
        <v>0.78494112014245698</v>
      </c>
      <c r="AH1224" s="2" t="str">
        <f ca="1"/>
        <v>Bad</v>
      </c>
    </row>
    <row r="1225" spans="2:34" x14ac:dyDescent="0.2">
      <c r="B1225" s="2">
        <f ca="1"/>
        <v>0.64039420994091523</v>
      </c>
      <c r="O1225" s="2">
        <f ca="1"/>
        <v>1.444337074937959E-2</v>
      </c>
      <c r="X1225" s="2">
        <f ca="1"/>
        <v>31.293865071864143</v>
      </c>
      <c r="AG1225" s="2">
        <f ca="1"/>
        <v>0.10740858937772857</v>
      </c>
      <c r="AH1225" s="2" t="str">
        <f ca="1"/>
        <v>OK</v>
      </c>
    </row>
    <row r="1226" spans="2:34" x14ac:dyDescent="0.2">
      <c r="B1226" s="2">
        <f ca="1"/>
        <v>0.56157978767207317</v>
      </c>
      <c r="O1226" s="2">
        <f ca="1"/>
        <v>-1.7574147264984323</v>
      </c>
      <c r="X1226" s="2">
        <f ca="1"/>
        <v>66.534782628045406</v>
      </c>
      <c r="AG1226" s="2">
        <f ca="1"/>
        <v>0.49109964610094092</v>
      </c>
      <c r="AH1226" s="2" t="str">
        <f ca="1"/>
        <v>Bad</v>
      </c>
    </row>
    <row r="1227" spans="2:34" x14ac:dyDescent="0.2">
      <c r="B1227" s="2">
        <f ca="1"/>
        <v>0.86476067796710576</v>
      </c>
      <c r="O1227" s="2">
        <f ca="1"/>
        <v>0.72452945421314718</v>
      </c>
      <c r="X1227" s="2">
        <f ca="1"/>
        <v>61.701476447048094</v>
      </c>
      <c r="AG1227" s="2">
        <f ca="1"/>
        <v>0.55956810733208218</v>
      </c>
      <c r="AH1227" s="2" t="str">
        <f ca="1"/>
        <v>Bad</v>
      </c>
    </row>
    <row r="1228" spans="2:34" x14ac:dyDescent="0.2">
      <c r="B1228" s="2">
        <f ca="1"/>
        <v>0.28546832988830873</v>
      </c>
      <c r="O1228" s="2">
        <f ca="1"/>
        <v>-1.1312842240827949</v>
      </c>
      <c r="X1228" s="2">
        <f ca="1"/>
        <v>59.306526772734365</v>
      </c>
      <c r="AG1228" s="2">
        <f ca="1"/>
        <v>0.43862449317437791</v>
      </c>
      <c r="AH1228" s="2" t="str">
        <f ca="1"/>
        <v>Bad</v>
      </c>
    </row>
    <row r="1229" spans="2:34" x14ac:dyDescent="0.2">
      <c r="B1229" s="2">
        <f ca="1"/>
        <v>0.33989393690492142</v>
      </c>
      <c r="O1229" s="2">
        <f ca="1"/>
        <v>-0.65498125464788737</v>
      </c>
      <c r="X1229" s="2">
        <f ca="1"/>
        <v>26.495147730154194</v>
      </c>
      <c r="AG1229" s="2">
        <f ca="1"/>
        <v>0.87812211164981879</v>
      </c>
      <c r="AH1229" s="2" t="str">
        <f ca="1"/>
        <v>Bad</v>
      </c>
    </row>
    <row r="1230" spans="2:34" x14ac:dyDescent="0.2">
      <c r="B1230" s="2">
        <f ca="1"/>
        <v>4.100706051878733E-2</v>
      </c>
      <c r="O1230" s="2">
        <f ca="1"/>
        <v>1.4284589279949371</v>
      </c>
      <c r="X1230" s="2">
        <f ca="1"/>
        <v>38.355832407188942</v>
      </c>
      <c r="AG1230" s="2">
        <f ca="1"/>
        <v>0.22188465892670473</v>
      </c>
      <c r="AH1230" s="2" t="str">
        <f ca="1"/>
        <v>OK</v>
      </c>
    </row>
    <row r="1231" spans="2:34" x14ac:dyDescent="0.2">
      <c r="B1231" s="2">
        <f ca="1"/>
        <v>0.61750377990724536</v>
      </c>
      <c r="O1231" s="2">
        <f ca="1"/>
        <v>-0.21661186389628698</v>
      </c>
      <c r="X1231" s="2">
        <f ca="1"/>
        <v>26.566527376382872</v>
      </c>
      <c r="AG1231" s="2">
        <f ca="1"/>
        <v>0.70947419706492298</v>
      </c>
      <c r="AH1231" s="2" t="str">
        <f ca="1"/>
        <v>Bad</v>
      </c>
    </row>
    <row r="1232" spans="2:34" x14ac:dyDescent="0.2">
      <c r="B1232" s="2">
        <f ca="1"/>
        <v>0.64835155816185819</v>
      </c>
      <c r="O1232" s="2">
        <f ca="1"/>
        <v>0.44538616284221594</v>
      </c>
      <c r="X1232" s="2">
        <f ca="1"/>
        <v>60.493549849044719</v>
      </c>
      <c r="AG1232" s="2">
        <f ca="1"/>
        <v>0.63744244679309037</v>
      </c>
      <c r="AH1232" s="2" t="str">
        <f ca="1"/>
        <v>Bad</v>
      </c>
    </row>
    <row r="1233" spans="2:34" x14ac:dyDescent="0.2">
      <c r="B1233" s="2">
        <f ca="1"/>
        <v>0.57600632761242587</v>
      </c>
      <c r="O1233" s="2">
        <f ca="1"/>
        <v>0.49172578116611099</v>
      </c>
      <c r="X1233" s="2">
        <f ca="1"/>
        <v>50.700308736943981</v>
      </c>
      <c r="AG1233" s="2">
        <f ca="1"/>
        <v>0.91826617856322601</v>
      </c>
      <c r="AH1233" s="2" t="str">
        <f ca="1"/>
        <v>Bad</v>
      </c>
    </row>
    <row r="1234" spans="2:34" x14ac:dyDescent="0.2">
      <c r="B1234" s="2">
        <f ca="1"/>
        <v>0.18372417251300766</v>
      </c>
      <c r="O1234" s="2">
        <f ca="1"/>
        <v>1.3146675263295804</v>
      </c>
      <c r="X1234" s="2">
        <f ca="1"/>
        <v>40.219415116025282</v>
      </c>
      <c r="AG1234" s="2">
        <f ca="1"/>
        <v>0.53646873691666253</v>
      </c>
      <c r="AH1234" s="2" t="str">
        <f ca="1"/>
        <v>Bad</v>
      </c>
    </row>
    <row r="1235" spans="2:34" x14ac:dyDescent="0.2">
      <c r="B1235" s="2">
        <f ca="1"/>
        <v>0.1540042698945896</v>
      </c>
      <c r="O1235" s="2">
        <f ca="1"/>
        <v>-1.1260282792429923</v>
      </c>
      <c r="X1235" s="2">
        <f ca="1"/>
        <v>42.885335888312788</v>
      </c>
      <c r="AG1235" s="2">
        <f ca="1"/>
        <v>0.59652959260820393</v>
      </c>
      <c r="AH1235" s="2" t="str">
        <f ca="1"/>
        <v>Bad</v>
      </c>
    </row>
    <row r="1236" spans="2:34" x14ac:dyDescent="0.2">
      <c r="B1236" s="2">
        <f ca="1"/>
        <v>0.30393076483082293</v>
      </c>
      <c r="O1236" s="2">
        <f ca="1"/>
        <v>-0.47614233883039225</v>
      </c>
      <c r="X1236" s="2">
        <f ca="1"/>
        <v>29.638294800406292</v>
      </c>
      <c r="AG1236" s="2">
        <f ca="1"/>
        <v>3.0117441935963329E-2</v>
      </c>
      <c r="AH1236" s="2" t="str">
        <f ca="1"/>
        <v>Good</v>
      </c>
    </row>
    <row r="1237" spans="2:34" x14ac:dyDescent="0.2">
      <c r="B1237" s="2">
        <f ca="1"/>
        <v>0.51195044178317439</v>
      </c>
      <c r="O1237" s="2">
        <f ca="1"/>
        <v>0.51107952963439396</v>
      </c>
      <c r="X1237" s="2">
        <f ca="1"/>
        <v>87.43968650257797</v>
      </c>
      <c r="AG1237" s="2">
        <f ca="1"/>
        <v>0.54445719548262361</v>
      </c>
      <c r="AH1237" s="2" t="str">
        <f ca="1"/>
        <v>Bad</v>
      </c>
    </row>
    <row r="1238" spans="2:34" x14ac:dyDescent="0.2">
      <c r="B1238" s="2">
        <f ca="1"/>
        <v>0.17914163463917121</v>
      </c>
      <c r="O1238" s="2">
        <f ca="1"/>
        <v>0.68755601167086033</v>
      </c>
      <c r="X1238" s="2">
        <f ca="1"/>
        <v>84.08002662976773</v>
      </c>
      <c r="AG1238" s="2">
        <f ca="1"/>
        <v>0.36764615860791405</v>
      </c>
      <c r="AH1238" s="2" t="str">
        <f ca="1"/>
        <v>OK</v>
      </c>
    </row>
    <row r="1239" spans="2:34" x14ac:dyDescent="0.2">
      <c r="B1239" s="2">
        <f ca="1"/>
        <v>0.55202176663818125</v>
      </c>
      <c r="O1239" s="2">
        <f ca="1"/>
        <v>1.6241706777637541</v>
      </c>
      <c r="X1239" s="2">
        <f ca="1"/>
        <v>22.171545993626545</v>
      </c>
      <c r="AG1239" s="2">
        <f ca="1"/>
        <v>0.16082595215665663</v>
      </c>
      <c r="AH1239" s="2" t="str">
        <f ca="1"/>
        <v>OK</v>
      </c>
    </row>
    <row r="1240" spans="2:34" x14ac:dyDescent="0.2">
      <c r="B1240" s="2">
        <f ca="1"/>
        <v>0.69927099594166764</v>
      </c>
      <c r="O1240" s="2">
        <f ca="1"/>
        <v>1.4697835017009317</v>
      </c>
      <c r="X1240" s="2">
        <f ca="1"/>
        <v>46.661448221753616</v>
      </c>
      <c r="AG1240" s="2">
        <f ca="1"/>
        <v>0.2462324067507673</v>
      </c>
      <c r="AH1240" s="2" t="str">
        <f ca="1"/>
        <v>OK</v>
      </c>
    </row>
    <row r="1241" spans="2:34" x14ac:dyDescent="0.2">
      <c r="B1241" s="2">
        <f ca="1"/>
        <v>0.84171984443946024</v>
      </c>
      <c r="O1241" s="2">
        <f ca="1"/>
        <v>0.10771559706754177</v>
      </c>
      <c r="X1241" s="2">
        <f ca="1"/>
        <v>55.190918517691699</v>
      </c>
      <c r="AG1241" s="2">
        <f ca="1"/>
        <v>0.60261756415101786</v>
      </c>
      <c r="AH1241" s="2" t="str">
        <f ca="1"/>
        <v>Bad</v>
      </c>
    </row>
    <row r="1242" spans="2:34" x14ac:dyDescent="0.2">
      <c r="B1242" s="2">
        <f ca="1"/>
        <v>0.2085078912881988</v>
      </c>
      <c r="O1242" s="2">
        <f ca="1"/>
        <v>-0.36354680644471177</v>
      </c>
      <c r="X1242" s="2">
        <f ca="1"/>
        <v>35.882398661580169</v>
      </c>
      <c r="AG1242" s="2">
        <f ca="1"/>
        <v>0.801512426534297</v>
      </c>
      <c r="AH1242" s="2" t="str">
        <f ca="1"/>
        <v>Bad</v>
      </c>
    </row>
    <row r="1243" spans="2:34" x14ac:dyDescent="0.2">
      <c r="B1243" s="2">
        <f ca="1"/>
        <v>0.75140708826556679</v>
      </c>
      <c r="O1243" s="2">
        <f ca="1"/>
        <v>-0.14056068869101757</v>
      </c>
      <c r="X1243" s="2">
        <f ca="1"/>
        <v>64.22938240042383</v>
      </c>
      <c r="AG1243" s="2">
        <f ca="1"/>
        <v>0.33957587584366578</v>
      </c>
      <c r="AH1243" s="2" t="str">
        <f ca="1"/>
        <v>OK</v>
      </c>
    </row>
    <row r="1244" spans="2:34" x14ac:dyDescent="0.2">
      <c r="B1244" s="2">
        <f ca="1"/>
        <v>0.23649195448979143</v>
      </c>
      <c r="O1244" s="2">
        <f ca="1"/>
        <v>1.2974670971626887</v>
      </c>
      <c r="X1244" s="2">
        <f ca="1"/>
        <v>42.813560053284093</v>
      </c>
      <c r="AG1244" s="2">
        <f ca="1"/>
        <v>0.9721017600837214</v>
      </c>
      <c r="AH1244" s="2" t="str">
        <f ca="1"/>
        <v>Bad</v>
      </c>
    </row>
    <row r="1245" spans="2:34" x14ac:dyDescent="0.2">
      <c r="B1245" s="2">
        <f ca="1"/>
        <v>0.64472726731634888</v>
      </c>
      <c r="O1245" s="2">
        <f ca="1"/>
        <v>2.567376751528498</v>
      </c>
      <c r="X1245" s="2">
        <f ca="1"/>
        <v>86.921448461771234</v>
      </c>
      <c r="AG1245" s="2">
        <f ca="1"/>
        <v>0.58087964389446123</v>
      </c>
      <c r="AH1245" s="2" t="str">
        <f ca="1"/>
        <v>Bad</v>
      </c>
    </row>
    <row r="1246" spans="2:34" x14ac:dyDescent="0.2">
      <c r="B1246" s="2">
        <f ca="1"/>
        <v>9.6224047202580154E-2</v>
      </c>
      <c r="O1246" s="2">
        <f ca="1"/>
        <v>-3.9275419976865143E-2</v>
      </c>
      <c r="X1246" s="2">
        <f ca="1"/>
        <v>55.070689419338585</v>
      </c>
      <c r="AG1246" s="2">
        <f ca="1"/>
        <v>6.3589397731239172E-2</v>
      </c>
      <c r="AH1246" s="2" t="str">
        <f ca="1"/>
        <v>OK</v>
      </c>
    </row>
    <row r="1247" spans="2:34" x14ac:dyDescent="0.2">
      <c r="B1247" s="2">
        <f ca="1"/>
        <v>0.80332146964633355</v>
      </c>
      <c r="O1247" s="2">
        <f ca="1"/>
        <v>0.45958778992998489</v>
      </c>
      <c r="X1247" s="2">
        <f ca="1"/>
        <v>43.913157587745573</v>
      </c>
      <c r="AG1247" s="2">
        <f ca="1"/>
        <v>0.57743893673425672</v>
      </c>
      <c r="AH1247" s="2" t="str">
        <f ca="1"/>
        <v>Bad</v>
      </c>
    </row>
    <row r="1248" spans="2:34" x14ac:dyDescent="0.2">
      <c r="B1248" s="2">
        <f ca="1"/>
        <v>0.3679603274500407</v>
      </c>
      <c r="O1248" s="2">
        <f ca="1"/>
        <v>-0.98473265781124908</v>
      </c>
      <c r="X1248" s="2">
        <f ca="1"/>
        <v>48.809936842151572</v>
      </c>
      <c r="AG1248" s="2">
        <f ca="1"/>
        <v>0.42639558086624074</v>
      </c>
      <c r="AH1248" s="2" t="str">
        <f ca="1"/>
        <v>Bad</v>
      </c>
    </row>
    <row r="1249" spans="2:34" x14ac:dyDescent="0.2">
      <c r="B1249" s="2">
        <f ca="1"/>
        <v>0.1329439653661999</v>
      </c>
      <c r="O1249" s="2">
        <f ca="1"/>
        <v>0.51850943840215014</v>
      </c>
      <c r="X1249" s="2">
        <f ca="1"/>
        <v>21.929122992573756</v>
      </c>
      <c r="AG1249" s="2">
        <f ca="1"/>
        <v>0.60767318238184131</v>
      </c>
      <c r="AH1249" s="2" t="str">
        <f ca="1"/>
        <v>Bad</v>
      </c>
    </row>
    <row r="1250" spans="2:34" x14ac:dyDescent="0.2">
      <c r="B1250" s="2">
        <f ca="1"/>
        <v>0.51851371144346681</v>
      </c>
      <c r="O1250" s="2">
        <f ca="1"/>
        <v>1.554353788289731E-2</v>
      </c>
      <c r="X1250" s="2">
        <f ca="1"/>
        <v>21.055093811926685</v>
      </c>
      <c r="AG1250" s="2">
        <f ca="1"/>
        <v>0.69883490434862794</v>
      </c>
      <c r="AH1250" s="2" t="str">
        <f ca="1"/>
        <v>Bad</v>
      </c>
    </row>
    <row r="1251" spans="2:34" x14ac:dyDescent="0.2">
      <c r="B1251" s="2">
        <f ca="1"/>
        <v>0.35737043960429293</v>
      </c>
      <c r="O1251" s="2">
        <f ca="1"/>
        <v>-0.74111718770352863</v>
      </c>
      <c r="X1251" s="2">
        <f ca="1"/>
        <v>76.067585218257577</v>
      </c>
      <c r="AG1251" s="2">
        <f ca="1"/>
        <v>0.55129037087320665</v>
      </c>
      <c r="AH1251" s="2" t="str">
        <f ca="1"/>
        <v>Bad</v>
      </c>
    </row>
    <row r="1252" spans="2:34" x14ac:dyDescent="0.2">
      <c r="B1252" s="2">
        <f ca="1"/>
        <v>0.9129064435706733</v>
      </c>
      <c r="O1252" s="2">
        <f ca="1"/>
        <v>0.29364470367150447</v>
      </c>
      <c r="X1252" s="2">
        <f ca="1"/>
        <v>54.504182198791284</v>
      </c>
      <c r="AG1252" s="2">
        <f ca="1"/>
        <v>0.78806461666684569</v>
      </c>
      <c r="AH1252" s="2" t="str">
        <f ca="1"/>
        <v>Bad</v>
      </c>
    </row>
    <row r="1253" spans="2:34" x14ac:dyDescent="0.2">
      <c r="B1253" s="2">
        <f ca="1"/>
        <v>0.22854372979486248</v>
      </c>
      <c r="O1253" s="2">
        <f ca="1"/>
        <v>0.82384242403541474</v>
      </c>
      <c r="X1253" s="2">
        <f ca="1"/>
        <v>47.822439790085241</v>
      </c>
      <c r="AG1253" s="2">
        <f ca="1"/>
        <v>0.44313380502493716</v>
      </c>
      <c r="AH1253" s="2" t="str">
        <f ca="1"/>
        <v>Bad</v>
      </c>
    </row>
    <row r="1254" spans="2:34" x14ac:dyDescent="0.2">
      <c r="B1254" s="2">
        <f ca="1"/>
        <v>0.40271462980653605</v>
      </c>
      <c r="O1254" s="2">
        <f ca="1"/>
        <v>2.4417242409150499</v>
      </c>
      <c r="X1254" s="2">
        <f ca="1"/>
        <v>66.742562738443553</v>
      </c>
      <c r="AG1254" s="2">
        <f ca="1"/>
        <v>9.5552940000983133E-2</v>
      </c>
      <c r="AH1254" s="2" t="str">
        <f ca="1"/>
        <v>OK</v>
      </c>
    </row>
    <row r="1255" spans="2:34" x14ac:dyDescent="0.2">
      <c r="B1255" s="2">
        <f ca="1"/>
        <v>0.30203714668769743</v>
      </c>
      <c r="O1255" s="2">
        <f ca="1"/>
        <v>-0.18430819391324471</v>
      </c>
      <c r="X1255" s="2">
        <f ca="1"/>
        <v>41.121505280332293</v>
      </c>
      <c r="AG1255" s="2">
        <f ca="1"/>
        <v>0.73574293499657895</v>
      </c>
      <c r="AH1255" s="2" t="str">
        <f ca="1"/>
        <v>Bad</v>
      </c>
    </row>
    <row r="1256" spans="2:34" x14ac:dyDescent="0.2">
      <c r="B1256" s="2">
        <f ca="1"/>
        <v>0.53575325083640424</v>
      </c>
      <c r="O1256" s="2">
        <f ca="1"/>
        <v>2.0681684675728658</v>
      </c>
      <c r="X1256" s="2">
        <f ca="1"/>
        <v>39.858842647398205</v>
      </c>
      <c r="AG1256" s="2">
        <f ca="1"/>
        <v>7.4132151140326341E-2</v>
      </c>
      <c r="AH1256" s="2" t="str">
        <f ca="1"/>
        <v>OK</v>
      </c>
    </row>
    <row r="1257" spans="2:34" x14ac:dyDescent="0.2">
      <c r="B1257" s="2">
        <f ca="1"/>
        <v>0.13148915393175109</v>
      </c>
      <c r="O1257" s="2">
        <f ca="1"/>
        <v>-2.0190250259011546</v>
      </c>
      <c r="X1257" s="2">
        <f ca="1"/>
        <v>50.05270432501986</v>
      </c>
      <c r="AG1257" s="2">
        <f ca="1"/>
        <v>0.11548978479755667</v>
      </c>
      <c r="AH1257" s="2" t="str">
        <f ca="1"/>
        <v>OK</v>
      </c>
    </row>
    <row r="1258" spans="2:34" x14ac:dyDescent="0.2">
      <c r="B1258" s="2">
        <f ca="1"/>
        <v>0.14789350441486593</v>
      </c>
      <c r="O1258" s="2">
        <f ca="1"/>
        <v>1.2100841430984703</v>
      </c>
      <c r="X1258" s="2">
        <f ca="1"/>
        <v>62.415196985620753</v>
      </c>
      <c r="AG1258" s="2">
        <f ca="1"/>
        <v>0.11346636873996352</v>
      </c>
      <c r="AH1258" s="2" t="str">
        <f ca="1"/>
        <v>OK</v>
      </c>
    </row>
    <row r="1259" spans="2:34" x14ac:dyDescent="0.2">
      <c r="B1259" s="2">
        <f ca="1"/>
        <v>0.65620279773439871</v>
      </c>
      <c r="O1259" s="2">
        <f ca="1"/>
        <v>-0.55194711408642805</v>
      </c>
      <c r="X1259" s="2">
        <f ca="1"/>
        <v>44.86045319752678</v>
      </c>
      <c r="AG1259" s="2">
        <f ca="1"/>
        <v>0.10057316076783374</v>
      </c>
      <c r="AH1259" s="2" t="str">
        <f ca="1"/>
        <v>OK</v>
      </c>
    </row>
    <row r="1260" spans="2:34" x14ac:dyDescent="0.2">
      <c r="B1260" s="2">
        <f ca="1"/>
        <v>2.9501092163627174E-2</v>
      </c>
      <c r="O1260" s="2">
        <f ca="1"/>
        <v>0.63515965559399767</v>
      </c>
      <c r="X1260" s="2">
        <f ca="1"/>
        <v>80.487700624573492</v>
      </c>
      <c r="AG1260" s="2">
        <f ca="1"/>
        <v>0.12349425271036307</v>
      </c>
      <c r="AH1260" s="2" t="str">
        <f ca="1"/>
        <v>OK</v>
      </c>
    </row>
    <row r="1261" spans="2:34" x14ac:dyDescent="0.2">
      <c r="B1261" s="2">
        <f ca="1"/>
        <v>0.67439425179429024</v>
      </c>
      <c r="O1261" s="2">
        <f ca="1"/>
        <v>0.60673109562564287</v>
      </c>
      <c r="X1261" s="2">
        <f ca="1"/>
        <v>47.642504915415614</v>
      </c>
      <c r="AG1261" s="2">
        <f ca="1"/>
        <v>0.12603139021211418</v>
      </c>
      <c r="AH1261" s="2" t="str">
        <f ca="1"/>
        <v>OK</v>
      </c>
    </row>
    <row r="1262" spans="2:34" x14ac:dyDescent="0.2">
      <c r="B1262" s="2">
        <f ca="1"/>
        <v>0.46456866308797684</v>
      </c>
      <c r="O1262" s="2">
        <f ca="1"/>
        <v>-1.6012404478213191</v>
      </c>
      <c r="X1262" s="2">
        <f ca="1"/>
        <v>41.476445959792024</v>
      </c>
      <c r="AG1262" s="2">
        <f ca="1"/>
        <v>0.95790545977139185</v>
      </c>
      <c r="AH1262" s="2" t="str">
        <f ca="1"/>
        <v>Bad</v>
      </c>
    </row>
    <row r="1263" spans="2:34" x14ac:dyDescent="0.2">
      <c r="B1263" s="2">
        <f ca="1"/>
        <v>0.72458612194171867</v>
      </c>
      <c r="O1263" s="2">
        <f ca="1"/>
        <v>-0.89014962362215633</v>
      </c>
      <c r="X1263" s="2">
        <f ca="1"/>
        <v>47.304211756546515</v>
      </c>
      <c r="AG1263" s="2">
        <f ca="1"/>
        <v>0.27218620102473357</v>
      </c>
      <c r="AH1263" s="2" t="str">
        <f ca="1"/>
        <v>OK</v>
      </c>
    </row>
    <row r="1264" spans="2:34" x14ac:dyDescent="0.2">
      <c r="B1264" s="2">
        <f ca="1"/>
        <v>0.19210868633924361</v>
      </c>
      <c r="O1264" s="2">
        <f ca="1"/>
        <v>-1.1101341795497575</v>
      </c>
      <c r="X1264" s="2">
        <f ca="1"/>
        <v>57.215430391806223</v>
      </c>
      <c r="AG1264" s="2">
        <f ca="1"/>
        <v>0.75001967496246635</v>
      </c>
      <c r="AH1264" s="2" t="str">
        <f ca="1"/>
        <v>Bad</v>
      </c>
    </row>
    <row r="1265" spans="2:34" x14ac:dyDescent="0.2">
      <c r="B1265" s="2">
        <f ca="1"/>
        <v>0.27000593985571775</v>
      </c>
      <c r="O1265" s="2">
        <f ca="1"/>
        <v>-0.29910807683677842</v>
      </c>
      <c r="X1265" s="2">
        <f ca="1"/>
        <v>42.343472410794334</v>
      </c>
      <c r="AG1265" s="2">
        <f ca="1"/>
        <v>0.68225507853153267</v>
      </c>
      <c r="AH1265" s="2" t="str">
        <f ca="1"/>
        <v>Bad</v>
      </c>
    </row>
    <row r="1266" spans="2:34" x14ac:dyDescent="0.2">
      <c r="B1266" s="2">
        <f ca="1"/>
        <v>0.85537898649967636</v>
      </c>
      <c r="O1266" s="2">
        <f ca="1"/>
        <v>0.54288956772233665</v>
      </c>
      <c r="X1266" s="2">
        <f ca="1"/>
        <v>32.434776835281944</v>
      </c>
      <c r="AG1266" s="2">
        <f ca="1"/>
        <v>0.80748007043258796</v>
      </c>
      <c r="AH1266" s="2" t="str">
        <f ca="1"/>
        <v>Bad</v>
      </c>
    </row>
    <row r="1267" spans="2:34" x14ac:dyDescent="0.2">
      <c r="B1267" s="2">
        <f ca="1"/>
        <v>0.38005228253469059</v>
      </c>
      <c r="O1267" s="2">
        <f ca="1"/>
        <v>1.5761430667713059</v>
      </c>
      <c r="X1267" s="2">
        <f ca="1"/>
        <v>52.414775439475804</v>
      </c>
      <c r="AG1267" s="2">
        <f ca="1"/>
        <v>0.74319817957155698</v>
      </c>
      <c r="AH1267" s="2" t="str">
        <f ca="1"/>
        <v>Bad</v>
      </c>
    </row>
    <row r="1268" spans="2:34" x14ac:dyDescent="0.2">
      <c r="B1268" s="2">
        <f ca="1"/>
        <v>0.35865931179062116</v>
      </c>
      <c r="O1268" s="2">
        <f ca="1"/>
        <v>1.1471327425873049E-2</v>
      </c>
      <c r="X1268" s="2">
        <f ca="1"/>
        <v>25.281128628484026</v>
      </c>
      <c r="AG1268" s="2">
        <f ca="1"/>
        <v>0.48664926243792328</v>
      </c>
      <c r="AH1268" s="2" t="str">
        <f ca="1"/>
        <v>Bad</v>
      </c>
    </row>
    <row r="1269" spans="2:34" x14ac:dyDescent="0.2">
      <c r="B1269" s="2">
        <f ca="1"/>
        <v>0.71625044166974461</v>
      </c>
      <c r="O1269" s="2">
        <f ca="1"/>
        <v>-0.69960708474074818</v>
      </c>
      <c r="X1269" s="2">
        <f ca="1"/>
        <v>56.365851051566445</v>
      </c>
      <c r="AG1269" s="2">
        <f ca="1"/>
        <v>0.56081765828207386</v>
      </c>
      <c r="AH1269" s="2" t="str">
        <f ca="1"/>
        <v>Bad</v>
      </c>
    </row>
    <row r="1270" spans="2:34" x14ac:dyDescent="0.2">
      <c r="B1270" s="2">
        <f ca="1"/>
        <v>0.26040433116217376</v>
      </c>
      <c r="O1270" s="2">
        <f ca="1"/>
        <v>0.43602564480796746</v>
      </c>
      <c r="X1270" s="2">
        <f ca="1"/>
        <v>48.987902868795231</v>
      </c>
      <c r="AG1270" s="2">
        <f ca="1"/>
        <v>6.6800140454537527E-2</v>
      </c>
      <c r="AH1270" s="2" t="str">
        <f ca="1"/>
        <v>OK</v>
      </c>
    </row>
    <row r="1271" spans="2:34" x14ac:dyDescent="0.2">
      <c r="B1271" s="2">
        <f ca="1"/>
        <v>0.19922231100439647</v>
      </c>
      <c r="O1271" s="2">
        <f ca="1"/>
        <v>-0.15319939517833728</v>
      </c>
      <c r="X1271" s="2">
        <f ca="1"/>
        <v>46.642048851062476</v>
      </c>
      <c r="AG1271" s="2">
        <f ca="1"/>
        <v>0.88125885170785478</v>
      </c>
      <c r="AH1271" s="2" t="str">
        <f ca="1"/>
        <v>Bad</v>
      </c>
    </row>
    <row r="1272" spans="2:34" x14ac:dyDescent="0.2">
      <c r="B1272" s="2">
        <f ca="1"/>
        <v>0.46073357402370463</v>
      </c>
      <c r="O1272" s="2">
        <f ca="1"/>
        <v>-0.4365470248474137</v>
      </c>
      <c r="X1272" s="2">
        <f ca="1"/>
        <v>48.705318872809272</v>
      </c>
      <c r="AG1272" s="2">
        <f ca="1"/>
        <v>0.49791955226478635</v>
      </c>
      <c r="AH1272" s="2" t="str">
        <f ca="1"/>
        <v>Bad</v>
      </c>
    </row>
    <row r="1273" spans="2:34" x14ac:dyDescent="0.2">
      <c r="B1273" s="2">
        <f ca="1"/>
        <v>0.57186350174957701</v>
      </c>
      <c r="O1273" s="2">
        <f ca="1"/>
        <v>2.2539903812403179</v>
      </c>
      <c r="X1273" s="2">
        <f ca="1"/>
        <v>47.872795679867686</v>
      </c>
      <c r="AG1273" s="2">
        <f ca="1"/>
        <v>0.5082900416568974</v>
      </c>
      <c r="AH1273" s="2" t="str">
        <f ca="1"/>
        <v>Bad</v>
      </c>
    </row>
    <row r="1274" spans="2:34" x14ac:dyDescent="0.2">
      <c r="B1274" s="2">
        <f ca="1"/>
        <v>0.24621268808433405</v>
      </c>
      <c r="O1274" s="2">
        <f ca="1"/>
        <v>-3.5905266458618357E-2</v>
      </c>
      <c r="X1274" s="2">
        <f ca="1"/>
        <v>41.467308300592627</v>
      </c>
      <c r="AG1274" s="2">
        <f ca="1"/>
        <v>0.43529736240807093</v>
      </c>
      <c r="AH1274" s="2" t="str">
        <f ca="1"/>
        <v>Bad</v>
      </c>
    </row>
    <row r="1275" spans="2:34" x14ac:dyDescent="0.2">
      <c r="B1275" s="2">
        <f ca="1"/>
        <v>0.38985229570366431</v>
      </c>
      <c r="O1275" s="2">
        <f ca="1"/>
        <v>-0.33412850217724277</v>
      </c>
      <c r="X1275" s="2">
        <f ca="1"/>
        <v>69.856111420283241</v>
      </c>
      <c r="AG1275" s="2">
        <f ca="1"/>
        <v>0.26692969577743075</v>
      </c>
      <c r="AH1275" s="2" t="str">
        <f ca="1"/>
        <v>OK</v>
      </c>
    </row>
    <row r="1276" spans="2:34" x14ac:dyDescent="0.2">
      <c r="B1276" s="2">
        <f ca="1"/>
        <v>0.78689849888213947</v>
      </c>
      <c r="O1276" s="2">
        <f ca="1"/>
        <v>1.2499944228565456</v>
      </c>
      <c r="X1276" s="2">
        <f ca="1"/>
        <v>31.47267361705503</v>
      </c>
      <c r="AG1276" s="2">
        <f ca="1"/>
        <v>0.28211924006349154</v>
      </c>
      <c r="AH1276" s="2" t="str">
        <f ca="1"/>
        <v>OK</v>
      </c>
    </row>
    <row r="1277" spans="2:34" x14ac:dyDescent="0.2">
      <c r="B1277" s="2">
        <f ca="1"/>
        <v>0.619520318769339</v>
      </c>
      <c r="O1277" s="2">
        <f ca="1"/>
        <v>-0.960899720489654</v>
      </c>
      <c r="X1277" s="2">
        <f ca="1"/>
        <v>42.070451060879691</v>
      </c>
      <c r="AG1277" s="2">
        <f ca="1"/>
        <v>0.84202010486656453</v>
      </c>
      <c r="AH1277" s="2" t="str">
        <f ca="1"/>
        <v>Bad</v>
      </c>
    </row>
    <row r="1278" spans="2:34" x14ac:dyDescent="0.2">
      <c r="B1278" s="2">
        <f ca="1"/>
        <v>0.49991028491050415</v>
      </c>
      <c r="O1278" s="2">
        <f ca="1"/>
        <v>-0.20989706811250647</v>
      </c>
      <c r="X1278" s="2">
        <f ca="1"/>
        <v>53.455120816733313</v>
      </c>
      <c r="AG1278" s="2">
        <f ca="1"/>
        <v>0.80897040557469313</v>
      </c>
      <c r="AH1278" s="2" t="str">
        <f ca="1"/>
        <v>Bad</v>
      </c>
    </row>
    <row r="1279" spans="2:34" x14ac:dyDescent="0.2">
      <c r="B1279" s="2">
        <f ca="1"/>
        <v>0.10097886720717342</v>
      </c>
      <c r="O1279" s="2">
        <f ca="1"/>
        <v>0.44214171137229985</v>
      </c>
      <c r="X1279" s="2">
        <f ca="1"/>
        <v>58.973040087151062</v>
      </c>
      <c r="AG1279" s="2">
        <f ca="1"/>
        <v>0.69936927500455837</v>
      </c>
      <c r="AH1279" s="2" t="str">
        <f ca="1"/>
        <v>Bad</v>
      </c>
    </row>
    <row r="1280" spans="2:34" x14ac:dyDescent="0.2">
      <c r="B1280" s="2">
        <f ca="1"/>
        <v>0.95272897754688746</v>
      </c>
      <c r="O1280" s="2">
        <f ca="1"/>
        <v>0.85013935171091837</v>
      </c>
      <c r="X1280" s="2">
        <f ca="1"/>
        <v>70.97639073401551</v>
      </c>
      <c r="AG1280" s="2">
        <f ca="1"/>
        <v>0.25761493702623617</v>
      </c>
      <c r="AH1280" s="2" t="str">
        <f ca="1"/>
        <v>OK</v>
      </c>
    </row>
    <row r="1281" spans="2:34" x14ac:dyDescent="0.2">
      <c r="B1281" s="2">
        <f ca="1"/>
        <v>0.67115749316790407</v>
      </c>
      <c r="O1281" s="2">
        <f ca="1"/>
        <v>-0.50025734737299343</v>
      </c>
      <c r="X1281" s="2">
        <f ca="1"/>
        <v>40.781047118857529</v>
      </c>
      <c r="AG1281" s="2">
        <f ca="1"/>
        <v>5.5338158936902637E-2</v>
      </c>
      <c r="AH1281" s="2" t="str">
        <f ca="1"/>
        <v>OK</v>
      </c>
    </row>
    <row r="1282" spans="2:34" x14ac:dyDescent="0.2">
      <c r="B1282" s="2">
        <f ca="1"/>
        <v>0.22742388283046755</v>
      </c>
      <c r="O1282" s="2">
        <f ca="1"/>
        <v>-0.55670179788258467</v>
      </c>
      <c r="X1282" s="2">
        <f ca="1"/>
        <v>50.511347453411688</v>
      </c>
      <c r="AG1282" s="2">
        <f ca="1"/>
        <v>0.82675114465309529</v>
      </c>
      <c r="AH1282" s="2" t="str">
        <f ca="1"/>
        <v>Bad</v>
      </c>
    </row>
    <row r="1283" spans="2:34" x14ac:dyDescent="0.2">
      <c r="B1283" s="2">
        <f ca="1"/>
        <v>0.46842933066513304</v>
      </c>
      <c r="O1283" s="2">
        <f ca="1"/>
        <v>2.3109648315572705E-3</v>
      </c>
      <c r="X1283" s="2">
        <f ca="1"/>
        <v>58.609727435819266</v>
      </c>
      <c r="AG1283" s="2">
        <f ca="1"/>
        <v>0.60017782220873106</v>
      </c>
      <c r="AH1283" s="2" t="str">
        <f ca="1"/>
        <v>Bad</v>
      </c>
    </row>
    <row r="1284" spans="2:34" x14ac:dyDescent="0.2">
      <c r="B1284" s="2">
        <f ca="1"/>
        <v>1.6316027523667787E-2</v>
      </c>
      <c r="O1284" s="2">
        <f ca="1"/>
        <v>0.65253190570950814</v>
      </c>
      <c r="X1284" s="2">
        <f ca="1"/>
        <v>64.691105694143744</v>
      </c>
      <c r="AG1284" s="2">
        <f ca="1"/>
        <v>0.69038894104214088</v>
      </c>
      <c r="AH1284" s="2" t="str">
        <f ca="1"/>
        <v>Bad</v>
      </c>
    </row>
    <row r="1285" spans="2:34" x14ac:dyDescent="0.2">
      <c r="B1285" s="2">
        <f ca="1"/>
        <v>0.14000686709894228</v>
      </c>
      <c r="O1285" s="2">
        <f ca="1"/>
        <v>-1.1118358117580851</v>
      </c>
      <c r="X1285" s="2">
        <f ca="1"/>
        <v>34.350738726926998</v>
      </c>
      <c r="AG1285" s="2">
        <f ca="1"/>
        <v>0.52852923364325366</v>
      </c>
      <c r="AH1285" s="2" t="str">
        <f ca="1"/>
        <v>Bad</v>
      </c>
    </row>
    <row r="1286" spans="2:34" x14ac:dyDescent="0.2">
      <c r="B1286" s="2">
        <f ca="1"/>
        <v>0.15426692747392545</v>
      </c>
      <c r="O1286" s="2">
        <f ca="1"/>
        <v>-0.83005362185460618</v>
      </c>
      <c r="X1286" s="2">
        <f ca="1"/>
        <v>42.22364464901495</v>
      </c>
      <c r="AG1286" s="2">
        <f ca="1"/>
        <v>0.68484141765552708</v>
      </c>
      <c r="AH1286" s="2" t="str">
        <f ca="1"/>
        <v>Bad</v>
      </c>
    </row>
    <row r="1287" spans="2:34" x14ac:dyDescent="0.2">
      <c r="B1287" s="2">
        <f ca="1"/>
        <v>0.57442402226293954</v>
      </c>
      <c r="O1287" s="2">
        <f ca="1"/>
        <v>-8.1295777833815364E-2</v>
      </c>
      <c r="X1287" s="2">
        <f ca="1"/>
        <v>60.13417887277928</v>
      </c>
      <c r="AG1287" s="2">
        <f ca="1"/>
        <v>0.57954361573984192</v>
      </c>
      <c r="AH1287" s="2" t="str">
        <f ca="1"/>
        <v>Bad</v>
      </c>
    </row>
    <row r="1288" spans="2:34" x14ac:dyDescent="0.2">
      <c r="B1288" s="2">
        <f ca="1"/>
        <v>9.2464935685164118E-2</v>
      </c>
      <c r="O1288" s="2">
        <f ca="1"/>
        <v>-1.2783786520336853</v>
      </c>
      <c r="X1288" s="2">
        <f ca="1"/>
        <v>47.941487703159012</v>
      </c>
      <c r="AG1288" s="2">
        <f ca="1"/>
        <v>0.27715817334296933</v>
      </c>
      <c r="AH1288" s="2" t="str">
        <f ca="1"/>
        <v>OK</v>
      </c>
    </row>
    <row r="1289" spans="2:34" x14ac:dyDescent="0.2">
      <c r="B1289" s="2">
        <f ca="1"/>
        <v>6.2986090389294036E-2</v>
      </c>
      <c r="O1289" s="2">
        <f ca="1"/>
        <v>-0.83349551630391194</v>
      </c>
      <c r="X1289" s="2">
        <f ca="1"/>
        <v>29.570941267030545</v>
      </c>
      <c r="AG1289" s="2">
        <f ca="1"/>
        <v>0.51362762152894326</v>
      </c>
      <c r="AH1289" s="2" t="str">
        <f ca="1"/>
        <v>Bad</v>
      </c>
    </row>
    <row r="1290" spans="2:34" x14ac:dyDescent="0.2">
      <c r="B1290" s="2">
        <f ca="1"/>
        <v>0.92180074783993282</v>
      </c>
      <c r="O1290" s="2">
        <f ca="1"/>
        <v>0.62239666336635213</v>
      </c>
      <c r="X1290" s="2">
        <f ca="1"/>
        <v>27.759993707753065</v>
      </c>
      <c r="AG1290" s="2">
        <f ca="1"/>
        <v>0.76960513268868369</v>
      </c>
      <c r="AH1290" s="2" t="str">
        <f ca="1"/>
        <v>Bad</v>
      </c>
    </row>
    <row r="1291" spans="2:34" x14ac:dyDescent="0.2">
      <c r="B1291" s="2">
        <f ca="1"/>
        <v>0.19730149996567814</v>
      </c>
      <c r="O1291" s="2">
        <f ca="1"/>
        <v>-0.39430862431297897</v>
      </c>
      <c r="X1291" s="2">
        <f ca="1"/>
        <v>46.213663259687358</v>
      </c>
      <c r="AG1291" s="2">
        <f ca="1"/>
        <v>0.51462004124311655</v>
      </c>
      <c r="AH1291" s="2" t="str">
        <f ca="1"/>
        <v>Bad</v>
      </c>
    </row>
    <row r="1292" spans="2:34" x14ac:dyDescent="0.2">
      <c r="B1292" s="2">
        <f ca="1"/>
        <v>0.7109991630826753</v>
      </c>
      <c r="O1292" s="2">
        <f ca="1"/>
        <v>0.97885277363770862</v>
      </c>
      <c r="X1292" s="2">
        <f ca="1"/>
        <v>46.979410070553349</v>
      </c>
      <c r="AG1292" s="2">
        <f ca="1"/>
        <v>0.45217681796105036</v>
      </c>
      <c r="AH1292" s="2" t="str">
        <f ca="1"/>
        <v>Bad</v>
      </c>
    </row>
    <row r="1293" spans="2:34" x14ac:dyDescent="0.2">
      <c r="B1293" s="2">
        <f ca="1"/>
        <v>0.11787615788404326</v>
      </c>
      <c r="O1293" s="2">
        <f ca="1"/>
        <v>-0.35974370503028397</v>
      </c>
      <c r="X1293" s="2">
        <f ca="1"/>
        <v>51.333374348058598</v>
      </c>
      <c r="AG1293" s="2">
        <f ca="1"/>
        <v>0.42178841121986377</v>
      </c>
      <c r="AH1293" s="2" t="str">
        <f ca="1"/>
        <v>Bad</v>
      </c>
    </row>
    <row r="1294" spans="2:34" x14ac:dyDescent="0.2">
      <c r="B1294" s="2">
        <f ca="1"/>
        <v>0.27757442699473445</v>
      </c>
      <c r="O1294" s="2">
        <f ca="1"/>
        <v>1.2467867587950161</v>
      </c>
      <c r="X1294" s="2">
        <f ca="1"/>
        <v>55.568339597614731</v>
      </c>
      <c r="AG1294" s="2">
        <f ca="1"/>
        <v>0.33852043663800901</v>
      </c>
      <c r="AH1294" s="2" t="str">
        <f ca="1"/>
        <v>OK</v>
      </c>
    </row>
    <row r="1295" spans="2:34" x14ac:dyDescent="0.2">
      <c r="B1295" s="2">
        <f ca="1"/>
        <v>0.68598511197879741</v>
      </c>
      <c r="O1295" s="2">
        <f ca="1"/>
        <v>-1.1462620236072347</v>
      </c>
      <c r="X1295" s="2">
        <f ca="1"/>
        <v>62.358105442958177</v>
      </c>
      <c r="AG1295" s="2">
        <f ca="1"/>
        <v>0.19205348715840365</v>
      </c>
      <c r="AH1295" s="2" t="str">
        <f ca="1"/>
        <v>OK</v>
      </c>
    </row>
    <row r="1296" spans="2:34" x14ac:dyDescent="0.2">
      <c r="B1296" s="2">
        <f ca="1"/>
        <v>0.1806519098522601</v>
      </c>
      <c r="O1296" s="2">
        <f ca="1"/>
        <v>-0.27733327107069317</v>
      </c>
      <c r="X1296" s="2">
        <f ca="1"/>
        <v>51.852454980321021</v>
      </c>
      <c r="AG1296" s="2">
        <f ca="1"/>
        <v>0.515002008534587</v>
      </c>
      <c r="AH1296" s="2" t="str">
        <f ca="1"/>
        <v>Bad</v>
      </c>
    </row>
    <row r="1297" spans="2:34" x14ac:dyDescent="0.2">
      <c r="B1297" s="2">
        <f ca="1"/>
        <v>0.53651210750339295</v>
      </c>
      <c r="O1297" s="2">
        <f ca="1"/>
        <v>2.5573268751203559</v>
      </c>
      <c r="X1297" s="2">
        <f ca="1"/>
        <v>48.887335719853709</v>
      </c>
      <c r="AG1297" s="2">
        <f ca="1"/>
        <v>0.78298783910833003</v>
      </c>
      <c r="AH1297" s="2" t="str">
        <f ca="1"/>
        <v>Bad</v>
      </c>
    </row>
    <row r="1298" spans="2:34" x14ac:dyDescent="0.2">
      <c r="B1298" s="2">
        <f ca="1"/>
        <v>0.28984974868713431</v>
      </c>
      <c r="O1298" s="2">
        <f ca="1"/>
        <v>-0.20769852634678584</v>
      </c>
      <c r="X1298" s="2">
        <f ca="1"/>
        <v>32.02293145818841</v>
      </c>
      <c r="AG1298" s="2">
        <f ca="1"/>
        <v>0.93545281018128512</v>
      </c>
      <c r="AH1298" s="2" t="str">
        <f ca="1"/>
        <v>Bad</v>
      </c>
    </row>
    <row r="1299" spans="2:34" x14ac:dyDescent="0.2">
      <c r="B1299" s="2">
        <f ca="1"/>
        <v>0.31211028486872316</v>
      </c>
      <c r="O1299" s="2">
        <f ca="1"/>
        <v>-1.4599667128845388</v>
      </c>
      <c r="X1299" s="2">
        <f ca="1"/>
        <v>78.533501816062156</v>
      </c>
      <c r="AG1299" s="2">
        <f ca="1"/>
        <v>0.79445798219308905</v>
      </c>
      <c r="AH1299" s="2" t="str">
        <f ca="1"/>
        <v>Bad</v>
      </c>
    </row>
    <row r="1300" spans="2:34" x14ac:dyDescent="0.2">
      <c r="B1300" s="2">
        <f ca="1"/>
        <v>0.21237891508074869</v>
      </c>
      <c r="O1300" s="2">
        <f ca="1"/>
        <v>0.77275512740337227</v>
      </c>
      <c r="X1300" s="2">
        <f ca="1"/>
        <v>39.546608841297669</v>
      </c>
      <c r="AG1300" s="2">
        <f ca="1"/>
        <v>0.35820907515028999</v>
      </c>
      <c r="AH1300" s="2" t="str">
        <f ca="1"/>
        <v>OK</v>
      </c>
    </row>
    <row r="1301" spans="2:34" x14ac:dyDescent="0.2">
      <c r="B1301" s="2">
        <f ca="1"/>
        <v>0.61457552087419098</v>
      </c>
      <c r="O1301" s="2">
        <f ca="1"/>
        <v>-0.75692069964832187</v>
      </c>
      <c r="X1301" s="2">
        <f ca="1"/>
        <v>55.539695151540158</v>
      </c>
      <c r="AG1301" s="2">
        <f ca="1"/>
        <v>0.18764000251463053</v>
      </c>
      <c r="AH1301" s="2" t="str">
        <f ca="1"/>
        <v>OK</v>
      </c>
    </row>
    <row r="1302" spans="2:34" x14ac:dyDescent="0.2">
      <c r="B1302" s="2">
        <f ca="1"/>
        <v>0.6225605608846243</v>
      </c>
      <c r="O1302" s="2">
        <f ca="1"/>
        <v>-0.37025565232107177</v>
      </c>
      <c r="X1302" s="2">
        <f ca="1"/>
        <v>45.777972036147794</v>
      </c>
      <c r="AG1302" s="2">
        <f ca="1"/>
        <v>0.27450113899587691</v>
      </c>
      <c r="AH1302" s="2" t="str">
        <f ca="1"/>
        <v>OK</v>
      </c>
    </row>
    <row r="1303" spans="2:34" x14ac:dyDescent="0.2">
      <c r="B1303" s="2">
        <f ca="1"/>
        <v>0.60129145244755078</v>
      </c>
      <c r="O1303" s="2">
        <f ca="1"/>
        <v>0.31664140854555184</v>
      </c>
      <c r="X1303" s="2">
        <f ca="1"/>
        <v>56.112046742750472</v>
      </c>
      <c r="AG1303" s="2">
        <f ca="1"/>
        <v>0.71564488246651203</v>
      </c>
      <c r="AH1303" s="2" t="str">
        <f ca="1"/>
        <v>Bad</v>
      </c>
    </row>
    <row r="1304" spans="2:34" x14ac:dyDescent="0.2">
      <c r="B1304" s="2">
        <f ca="1"/>
        <v>0.62213834191236139</v>
      </c>
      <c r="O1304" s="2">
        <f ca="1"/>
        <v>0.36871526913842384</v>
      </c>
      <c r="X1304" s="2">
        <f ca="1"/>
        <v>55.875290672264839</v>
      </c>
      <c r="AG1304" s="2">
        <f ca="1"/>
        <v>0.97062462652519876</v>
      </c>
      <c r="AH1304" s="2" t="str">
        <f ca="1"/>
        <v>Bad</v>
      </c>
    </row>
    <row r="1305" spans="2:34" x14ac:dyDescent="0.2">
      <c r="B1305" s="2">
        <f ca="1"/>
        <v>0.32028186862364638</v>
      </c>
      <c r="O1305" s="2">
        <f ca="1"/>
        <v>0.16058733695500343</v>
      </c>
      <c r="X1305" s="2">
        <f ca="1"/>
        <v>50.978268349829563</v>
      </c>
      <c r="AG1305" s="2">
        <f ca="1"/>
        <v>0.4400703579975378</v>
      </c>
      <c r="AH1305" s="2" t="str">
        <f ca="1"/>
        <v>Bad</v>
      </c>
    </row>
    <row r="1306" spans="2:34" x14ac:dyDescent="0.2">
      <c r="B1306" s="2">
        <f ca="1"/>
        <v>0.16425536663046558</v>
      </c>
      <c r="O1306" s="2">
        <f ca="1"/>
        <v>-1.7240484732716357</v>
      </c>
      <c r="X1306" s="2">
        <f ca="1"/>
        <v>90.718326582434315</v>
      </c>
      <c r="AG1306" s="2">
        <f ca="1"/>
        <v>0.28577305880983328</v>
      </c>
      <c r="AH1306" s="2" t="str">
        <f ca="1"/>
        <v>OK</v>
      </c>
    </row>
    <row r="1307" spans="2:34" x14ac:dyDescent="0.2">
      <c r="B1307" s="2">
        <f ca="1"/>
        <v>0.35661615941944058</v>
      </c>
      <c r="O1307" s="2">
        <f ca="1"/>
        <v>-0.21645722980889689</v>
      </c>
      <c r="X1307" s="2">
        <f ca="1"/>
        <v>51.112444237208251</v>
      </c>
      <c r="AG1307" s="2">
        <f ca="1"/>
        <v>0.84652956528464429</v>
      </c>
      <c r="AH1307" s="2" t="str">
        <f ca="1"/>
        <v>Bad</v>
      </c>
    </row>
    <row r="1308" spans="2:34" x14ac:dyDescent="0.2">
      <c r="B1308" s="2">
        <f ca="1"/>
        <v>0.67823614197417137</v>
      </c>
      <c r="O1308" s="2">
        <f ca="1"/>
        <v>0.58844156189018904</v>
      </c>
      <c r="X1308" s="2">
        <f ca="1"/>
        <v>47.167667652527328</v>
      </c>
      <c r="AG1308" s="2">
        <f ca="1"/>
        <v>8.7981190871843751E-2</v>
      </c>
      <c r="AH1308" s="2" t="str">
        <f ca="1"/>
        <v>OK</v>
      </c>
    </row>
    <row r="1309" spans="2:34" x14ac:dyDescent="0.2">
      <c r="B1309" s="2">
        <f ca="1"/>
        <v>0.98548585108696551</v>
      </c>
      <c r="O1309" s="2">
        <f ca="1"/>
        <v>-0.98468937496174125</v>
      </c>
      <c r="X1309" s="2">
        <f ca="1"/>
        <v>36.132527056189765</v>
      </c>
      <c r="AG1309" s="2">
        <f ca="1"/>
        <v>0.8339924473231759</v>
      </c>
      <c r="AH1309" s="2" t="str">
        <f ca="1"/>
        <v>Bad</v>
      </c>
    </row>
    <row r="1310" spans="2:34" x14ac:dyDescent="0.2">
      <c r="B1310" s="2">
        <f ca="1"/>
        <v>7.3375762813640666E-2</v>
      </c>
      <c r="O1310" s="2">
        <f ca="1"/>
        <v>-7.1450695889965249E-2</v>
      </c>
      <c r="X1310" s="2">
        <f ca="1"/>
        <v>41.859923384962983</v>
      </c>
      <c r="AG1310" s="2">
        <f ca="1"/>
        <v>0.78413104345846385</v>
      </c>
      <c r="AH1310" s="2" t="str">
        <f ca="1"/>
        <v>Bad</v>
      </c>
    </row>
    <row r="1311" spans="2:34" x14ac:dyDescent="0.2">
      <c r="B1311" s="2">
        <f ca="1"/>
        <v>0.44222863585528471</v>
      </c>
      <c r="O1311" s="2">
        <f ca="1"/>
        <v>-2.0929296410670362</v>
      </c>
      <c r="X1311" s="2">
        <f ca="1"/>
        <v>62.849171078441216</v>
      </c>
      <c r="AG1311" s="2">
        <f ca="1"/>
        <v>0.90577429122118214</v>
      </c>
      <c r="AH1311" s="2" t="str">
        <f ca="1"/>
        <v>Bad</v>
      </c>
    </row>
    <row r="1312" spans="2:34" x14ac:dyDescent="0.2">
      <c r="B1312" s="2">
        <f ca="1"/>
        <v>3.8122385457595609E-2</v>
      </c>
      <c r="O1312" s="2">
        <f ca="1"/>
        <v>-3.280126157783438</v>
      </c>
      <c r="X1312" s="2">
        <f ca="1"/>
        <v>76.773136149311881</v>
      </c>
      <c r="AG1312" s="2">
        <f ca="1"/>
        <v>0.99178598049413913</v>
      </c>
      <c r="AH1312" s="2" t="str">
        <f ca="1"/>
        <v>Bad</v>
      </c>
    </row>
    <row r="1313" spans="2:34" x14ac:dyDescent="0.2">
      <c r="B1313" s="2">
        <f ca="1"/>
        <v>0.18497847521997923</v>
      </c>
      <c r="O1313" s="2">
        <f ca="1"/>
        <v>-1.4191697439085378</v>
      </c>
      <c r="X1313" s="2">
        <f ca="1"/>
        <v>49.340185893307051</v>
      </c>
      <c r="AG1313" s="2">
        <f ca="1"/>
        <v>0.39681472613942725</v>
      </c>
      <c r="AH1313" s="2" t="str">
        <f ca="1"/>
        <v>OK</v>
      </c>
    </row>
    <row r="1314" spans="2:34" x14ac:dyDescent="0.2">
      <c r="B1314" s="2">
        <f ca="1"/>
        <v>0.66947909151818141</v>
      </c>
      <c r="O1314" s="2">
        <f ca="1"/>
        <v>0.74003879002533746</v>
      </c>
      <c r="X1314" s="2">
        <f ca="1"/>
        <v>61.08508821975321</v>
      </c>
      <c r="AG1314" s="2">
        <f ca="1"/>
        <v>0.35287381595602341</v>
      </c>
      <c r="AH1314" s="2" t="str">
        <f ca="1"/>
        <v>OK</v>
      </c>
    </row>
    <row r="1315" spans="2:34" x14ac:dyDescent="0.2">
      <c r="B1315" s="2">
        <f ca="1"/>
        <v>0.81785159455068679</v>
      </c>
      <c r="O1315" s="2">
        <f ca="1"/>
        <v>-5.4133954376835915E-2</v>
      </c>
      <c r="X1315" s="2">
        <f ca="1"/>
        <v>121.953600565128</v>
      </c>
      <c r="AG1315" s="2">
        <f ca="1"/>
        <v>0.66573095107859448</v>
      </c>
      <c r="AH1315" s="2" t="str">
        <f ca="1"/>
        <v>Bad</v>
      </c>
    </row>
    <row r="1316" spans="2:34" x14ac:dyDescent="0.2">
      <c r="B1316" s="2">
        <f ca="1"/>
        <v>0.42034560713428548</v>
      </c>
      <c r="O1316" s="2">
        <f ca="1"/>
        <v>0.66198659797065562</v>
      </c>
      <c r="X1316" s="2">
        <f ca="1"/>
        <v>37.215053995770937</v>
      </c>
      <c r="AG1316" s="2">
        <f ca="1"/>
        <v>0.88077430523280253</v>
      </c>
      <c r="AH1316" s="2" t="str">
        <f ca="1"/>
        <v>Bad</v>
      </c>
    </row>
    <row r="1317" spans="2:34" x14ac:dyDescent="0.2">
      <c r="B1317" s="2">
        <f ca="1"/>
        <v>0.57793709675564142</v>
      </c>
      <c r="O1317" s="2">
        <f ca="1"/>
        <v>-0.13814411689093853</v>
      </c>
      <c r="X1317" s="2">
        <f ca="1"/>
        <v>56.478715757811628</v>
      </c>
      <c r="AG1317" s="2">
        <f ca="1"/>
        <v>0.85577967922285358</v>
      </c>
      <c r="AH1317" s="2" t="str">
        <f ca="1"/>
        <v>Bad</v>
      </c>
    </row>
    <row r="1318" spans="2:34" x14ac:dyDescent="0.2">
      <c r="B1318" s="2">
        <f ca="1"/>
        <v>0.22536681361655519</v>
      </c>
      <c r="O1318" s="2">
        <f ca="1"/>
        <v>0.28047683610855506</v>
      </c>
      <c r="X1318" s="2">
        <f ca="1"/>
        <v>49.109485522105743</v>
      </c>
      <c r="AG1318" s="2">
        <f ca="1"/>
        <v>0.14949491472740051</v>
      </c>
      <c r="AH1318" s="2" t="str">
        <f ca="1"/>
        <v>OK</v>
      </c>
    </row>
    <row r="1319" spans="2:34" x14ac:dyDescent="0.2">
      <c r="B1319" s="2">
        <f ca="1"/>
        <v>0.82685233291458093</v>
      </c>
      <c r="O1319" s="2">
        <f ca="1"/>
        <v>1.3253782660699072</v>
      </c>
      <c r="X1319" s="2">
        <f ca="1"/>
        <v>52.537285083458805</v>
      </c>
      <c r="AG1319" s="2">
        <f ca="1"/>
        <v>0.56105914419816094</v>
      </c>
      <c r="AH1319" s="2" t="str">
        <f ca="1"/>
        <v>Bad</v>
      </c>
    </row>
    <row r="1320" spans="2:34" x14ac:dyDescent="0.2">
      <c r="B1320" s="2">
        <f ca="1"/>
        <v>0.58155794249866188</v>
      </c>
      <c r="O1320" s="2">
        <f ca="1"/>
        <v>0.32357357620030491</v>
      </c>
      <c r="X1320" s="2">
        <f ca="1"/>
        <v>83.407901679487452</v>
      </c>
      <c r="AG1320" s="2">
        <f ca="1"/>
        <v>0.40641148554985285</v>
      </c>
      <c r="AH1320" s="2" t="str">
        <f ca="1"/>
        <v>Bad</v>
      </c>
    </row>
    <row r="1321" spans="2:34" x14ac:dyDescent="0.2">
      <c r="B1321" s="2">
        <f ca="1"/>
        <v>0.39594024669396388</v>
      </c>
      <c r="O1321" s="2">
        <f ca="1"/>
        <v>1.7542224764728078</v>
      </c>
      <c r="X1321" s="2">
        <f ca="1"/>
        <v>43.098725279712227</v>
      </c>
      <c r="AG1321" s="2">
        <f ca="1"/>
        <v>0.58379145711658476</v>
      </c>
      <c r="AH1321" s="2" t="str">
        <f ca="1"/>
        <v>Bad</v>
      </c>
    </row>
    <row r="1322" spans="2:34" x14ac:dyDescent="0.2">
      <c r="B1322" s="2">
        <f ca="1"/>
        <v>0.78196512700258136</v>
      </c>
      <c r="O1322" s="2">
        <f ca="1"/>
        <v>0.93531489920885269</v>
      </c>
      <c r="X1322" s="2">
        <f ca="1"/>
        <v>58.23929602541547</v>
      </c>
      <c r="AG1322" s="2">
        <f ca="1"/>
        <v>0.56968919645057525</v>
      </c>
      <c r="AH1322" s="2" t="str">
        <f ca="1"/>
        <v>Bad</v>
      </c>
    </row>
    <row r="1323" spans="2:34" x14ac:dyDescent="0.2">
      <c r="B1323" s="2">
        <f ca="1"/>
        <v>0.61597454646592209</v>
      </c>
      <c r="O1323" s="2">
        <f ca="1"/>
        <v>-0.22201150816777504</v>
      </c>
      <c r="X1323" s="2">
        <f ca="1"/>
        <v>23.635505367849024</v>
      </c>
      <c r="AG1323" s="2">
        <f ca="1"/>
        <v>0.3273960399760858</v>
      </c>
      <c r="AH1323" s="2" t="str">
        <f ca="1"/>
        <v>OK</v>
      </c>
    </row>
    <row r="1324" spans="2:34" x14ac:dyDescent="0.2">
      <c r="B1324" s="2">
        <f ca="1"/>
        <v>0.97334523081766755</v>
      </c>
      <c r="O1324" s="2">
        <f ca="1"/>
        <v>-7.3809800896238176E-3</v>
      </c>
      <c r="X1324" s="2">
        <f ca="1"/>
        <v>75.592817884128621</v>
      </c>
      <c r="AG1324" s="2">
        <f ca="1"/>
        <v>4.2907242050792771E-2</v>
      </c>
      <c r="AH1324" s="2" t="str">
        <f ca="1"/>
        <v>Good</v>
      </c>
    </row>
    <row r="1325" spans="2:34" x14ac:dyDescent="0.2">
      <c r="B1325" s="2">
        <f ca="1"/>
        <v>0.93316877495636108</v>
      </c>
      <c r="O1325" s="2">
        <f ca="1"/>
        <v>-0.80210021705550216</v>
      </c>
      <c r="X1325" s="2">
        <f ca="1"/>
        <v>57.053279349030099</v>
      </c>
      <c r="AG1325" s="2">
        <f ca="1"/>
        <v>0.21109070424379928</v>
      </c>
      <c r="AH1325" s="2" t="str">
        <f ca="1"/>
        <v>OK</v>
      </c>
    </row>
    <row r="1326" spans="2:34" x14ac:dyDescent="0.2">
      <c r="B1326" s="2">
        <f ca="1"/>
        <v>0.95391619646937875</v>
      </c>
      <c r="O1326" s="2">
        <f ca="1"/>
        <v>0.70636991664158477</v>
      </c>
      <c r="X1326" s="2">
        <f ca="1"/>
        <v>50.455540817647339</v>
      </c>
      <c r="AG1326" s="2">
        <f ca="1"/>
        <v>0.23659550191731316</v>
      </c>
      <c r="AH1326" s="2" t="str">
        <f ca="1"/>
        <v>OK</v>
      </c>
    </row>
    <row r="1327" spans="2:34" x14ac:dyDescent="0.2">
      <c r="B1327" s="2">
        <f ca="1"/>
        <v>0.12507131138017402</v>
      </c>
      <c r="O1327" s="2">
        <f ca="1"/>
        <v>0.91170036969582435</v>
      </c>
      <c r="X1327" s="2">
        <f ca="1"/>
        <v>46.440410827798935</v>
      </c>
      <c r="AG1327" s="2">
        <f ca="1"/>
        <v>0.11857762512177006</v>
      </c>
      <c r="AH1327" s="2" t="str">
        <f ca="1"/>
        <v>OK</v>
      </c>
    </row>
    <row r="1328" spans="2:34" x14ac:dyDescent="0.2">
      <c r="B1328" s="2">
        <f ca="1"/>
        <v>0.62135303923221641</v>
      </c>
      <c r="O1328" s="2">
        <f ca="1"/>
        <v>1.3274833014916423</v>
      </c>
      <c r="X1328" s="2">
        <f ca="1"/>
        <v>57.564744972613752</v>
      </c>
      <c r="AG1328" s="2">
        <f ca="1"/>
        <v>0.6751068602928767</v>
      </c>
      <c r="AH1328" s="2" t="str">
        <f ca="1"/>
        <v>Bad</v>
      </c>
    </row>
    <row r="1329" spans="2:34" x14ac:dyDescent="0.2">
      <c r="B1329" s="2">
        <f ca="1"/>
        <v>6.5534424722289542E-2</v>
      </c>
      <c r="O1329" s="2">
        <f ca="1"/>
        <v>-0.82068810217860266</v>
      </c>
      <c r="X1329" s="2">
        <f ca="1"/>
        <v>40.794410867023274</v>
      </c>
      <c r="AG1329" s="2">
        <f ca="1"/>
        <v>0.70866648242931007</v>
      </c>
      <c r="AH1329" s="2" t="str">
        <f ca="1"/>
        <v>Bad</v>
      </c>
    </row>
    <row r="1330" spans="2:34" x14ac:dyDescent="0.2">
      <c r="B1330" s="2">
        <f ca="1"/>
        <v>0.39582699764897233</v>
      </c>
      <c r="O1330" s="2">
        <f ca="1"/>
        <v>1.2538408061988979</v>
      </c>
      <c r="X1330" s="2">
        <f ca="1"/>
        <v>83.352866096134463</v>
      </c>
      <c r="AG1330" s="2">
        <f ca="1"/>
        <v>0.85596744457212548</v>
      </c>
      <c r="AH1330" s="2" t="str">
        <f ca="1"/>
        <v>Bad</v>
      </c>
    </row>
    <row r="1331" spans="2:34" x14ac:dyDescent="0.2">
      <c r="B1331" s="2">
        <f ca="1"/>
        <v>0.86632494959904882</v>
      </c>
      <c r="O1331" s="2">
        <f ca="1"/>
        <v>1.4678355318932927</v>
      </c>
      <c r="X1331" s="2">
        <f ca="1"/>
        <v>53.225697267905574</v>
      </c>
      <c r="AG1331" s="2">
        <f ca="1"/>
        <v>2.3177584532354523E-2</v>
      </c>
      <c r="AH1331" s="2" t="str">
        <f ca="1"/>
        <v>Good</v>
      </c>
    </row>
    <row r="1332" spans="2:34" x14ac:dyDescent="0.2">
      <c r="B1332" s="2">
        <f ca="1"/>
        <v>0.38006106874888967</v>
      </c>
      <c r="O1332" s="2">
        <f ca="1"/>
        <v>0.55741635223227537</v>
      </c>
      <c r="X1332" s="2">
        <f ca="1"/>
        <v>42.215050479057794</v>
      </c>
      <c r="AG1332" s="2">
        <f ca="1"/>
        <v>0.53736570436095166</v>
      </c>
      <c r="AH1332" s="2" t="str">
        <f ca="1"/>
        <v>Bad</v>
      </c>
    </row>
    <row r="1333" spans="2:34" x14ac:dyDescent="0.2">
      <c r="B1333" s="2">
        <f ca="1"/>
        <v>0.66363993286013145</v>
      </c>
      <c r="O1333" s="2">
        <f ca="1"/>
        <v>0.57831002279200161</v>
      </c>
      <c r="X1333" s="2">
        <f ca="1"/>
        <v>50.759771225405842</v>
      </c>
      <c r="AG1333" s="2">
        <f ca="1"/>
        <v>1.3172234282392559E-2</v>
      </c>
      <c r="AH1333" s="2" t="str">
        <f ca="1"/>
        <v>Good</v>
      </c>
    </row>
    <row r="1334" spans="2:34" x14ac:dyDescent="0.2">
      <c r="B1334" s="2">
        <f ca="1"/>
        <v>0.35112119436284051</v>
      </c>
      <c r="O1334" s="2">
        <f ca="1"/>
        <v>-0.95682086870773719</v>
      </c>
      <c r="X1334" s="2">
        <f ca="1"/>
        <v>24.777308486680138</v>
      </c>
      <c r="AG1334" s="2">
        <f ca="1"/>
        <v>5.0091739054582085E-2</v>
      </c>
      <c r="AH1334" s="2" t="str">
        <f ca="1"/>
        <v>OK</v>
      </c>
    </row>
    <row r="1335" spans="2:34" x14ac:dyDescent="0.2">
      <c r="B1335" s="2">
        <f ca="1"/>
        <v>0.29823196804957885</v>
      </c>
      <c r="O1335" s="2">
        <f ca="1"/>
        <v>-0.5170224841762866</v>
      </c>
      <c r="X1335" s="2">
        <f ca="1"/>
        <v>62.056621565168733</v>
      </c>
      <c r="AG1335" s="2">
        <f ca="1"/>
        <v>0.71598998112898382</v>
      </c>
      <c r="AH1335" s="2" t="str">
        <f ca="1"/>
        <v>Bad</v>
      </c>
    </row>
    <row r="1336" spans="2:34" x14ac:dyDescent="0.2">
      <c r="B1336" s="2">
        <f ca="1"/>
        <v>7.9695119183753826E-2</v>
      </c>
      <c r="O1336" s="2">
        <f ca="1"/>
        <v>0.58574811619747102</v>
      </c>
      <c r="X1336" s="2">
        <f ca="1"/>
        <v>77.00909938468422</v>
      </c>
      <c r="AG1336" s="2">
        <f ca="1"/>
        <v>0.65023100727287897</v>
      </c>
      <c r="AH1336" s="2" t="str">
        <f ca="1"/>
        <v>Bad</v>
      </c>
    </row>
    <row r="1337" spans="2:34" x14ac:dyDescent="0.2">
      <c r="B1337" s="2">
        <f ca="1"/>
        <v>0.79398691175139269</v>
      </c>
      <c r="O1337" s="2">
        <f ca="1"/>
        <v>-5.9209362878409556E-4</v>
      </c>
      <c r="X1337" s="2">
        <f ca="1"/>
        <v>59.411028130087246</v>
      </c>
      <c r="AG1337" s="2">
        <f ca="1"/>
        <v>0.76861076553728913</v>
      </c>
      <c r="AH1337" s="2" t="str">
        <f ca="1"/>
        <v>Bad</v>
      </c>
    </row>
    <row r="1338" spans="2:34" x14ac:dyDescent="0.2">
      <c r="B1338" s="2">
        <f ca="1"/>
        <v>0.37131135722887487</v>
      </c>
      <c r="O1338" s="2">
        <f ca="1"/>
        <v>0.58053753359877902</v>
      </c>
      <c r="X1338" s="2">
        <f ca="1"/>
        <v>35.342599945227335</v>
      </c>
      <c r="AG1338" s="2">
        <f ca="1"/>
        <v>0.99303872013727479</v>
      </c>
      <c r="AH1338" s="2" t="str">
        <f ca="1"/>
        <v>Bad</v>
      </c>
    </row>
    <row r="1339" spans="2:34" x14ac:dyDescent="0.2">
      <c r="B1339" s="2">
        <f ca="1"/>
        <v>0.58657789616340006</v>
      </c>
      <c r="O1339" s="2">
        <f ca="1"/>
        <v>7.5987356254277036E-2</v>
      </c>
      <c r="X1339" s="2">
        <f ca="1"/>
        <v>33.783351960164353</v>
      </c>
      <c r="AG1339" s="2">
        <f ca="1"/>
        <v>0.22612886719204028</v>
      </c>
      <c r="AH1339" s="2" t="str">
        <f ca="1"/>
        <v>OK</v>
      </c>
    </row>
    <row r="1340" spans="2:34" x14ac:dyDescent="0.2">
      <c r="B1340" s="2">
        <f ca="1"/>
        <v>0.53902146125428207</v>
      </c>
      <c r="O1340" s="2">
        <f ca="1"/>
        <v>-3.3923427809589277E-2</v>
      </c>
      <c r="X1340" s="2">
        <f ca="1"/>
        <v>52.291665977762591</v>
      </c>
      <c r="AG1340" s="2">
        <f ca="1"/>
        <v>0.17230035932932886</v>
      </c>
      <c r="AH1340" s="2" t="str">
        <f ca="1"/>
        <v>OK</v>
      </c>
    </row>
    <row r="1341" spans="2:34" x14ac:dyDescent="0.2">
      <c r="B1341" s="2">
        <f ca="1"/>
        <v>0.96194174123733633</v>
      </c>
      <c r="O1341" s="2">
        <f ca="1"/>
        <v>0.24853410295533213</v>
      </c>
      <c r="X1341" s="2">
        <f ca="1"/>
        <v>48.247248620118235</v>
      </c>
      <c r="AG1341" s="2">
        <f ca="1"/>
        <v>0.51882571776263386</v>
      </c>
      <c r="AH1341" s="2" t="str">
        <f ca="1"/>
        <v>Bad</v>
      </c>
    </row>
    <row r="1342" spans="2:34" x14ac:dyDescent="0.2">
      <c r="B1342" s="2">
        <f ca="1"/>
        <v>7.0210930007561734E-2</v>
      </c>
      <c r="O1342" s="2">
        <f ca="1"/>
        <v>4.0619755929102531E-2</v>
      </c>
      <c r="X1342" s="2">
        <f ca="1"/>
        <v>45.89910681400567</v>
      </c>
      <c r="AG1342" s="2">
        <f ca="1"/>
        <v>0.28900960906168405</v>
      </c>
      <c r="AH1342" s="2" t="str">
        <f ca="1"/>
        <v>OK</v>
      </c>
    </row>
    <row r="1343" spans="2:34" x14ac:dyDescent="0.2">
      <c r="B1343" s="2">
        <f ca="1"/>
        <v>0.82755979055721629</v>
      </c>
      <c r="O1343" s="2">
        <f ca="1"/>
        <v>-0.55756276904531121</v>
      </c>
      <c r="X1343" s="2">
        <f ca="1"/>
        <v>28.987881680203408</v>
      </c>
      <c r="AG1343" s="2">
        <f ca="1"/>
        <v>0.41410372349571611</v>
      </c>
      <c r="AH1343" s="2" t="str">
        <f ca="1"/>
        <v>Bad</v>
      </c>
    </row>
    <row r="1344" spans="2:34" x14ac:dyDescent="0.2">
      <c r="B1344" s="2">
        <f ca="1"/>
        <v>0.49001237699937628</v>
      </c>
      <c r="O1344" s="2">
        <f ca="1"/>
        <v>1.7413467878491213</v>
      </c>
      <c r="X1344" s="2">
        <f ca="1"/>
        <v>35.432278090534084</v>
      </c>
      <c r="AG1344" s="2">
        <f ca="1"/>
        <v>0.82849730694545354</v>
      </c>
      <c r="AH1344" s="2" t="str">
        <f ca="1"/>
        <v>Bad</v>
      </c>
    </row>
    <row r="1345" spans="2:34" x14ac:dyDescent="0.2">
      <c r="B1345" s="2">
        <f ca="1"/>
        <v>0.22228585244739851</v>
      </c>
      <c r="O1345" s="2">
        <f ca="1"/>
        <v>0.6983491125823742</v>
      </c>
      <c r="X1345" s="2">
        <f ca="1"/>
        <v>55.392672437850059</v>
      </c>
      <c r="AG1345" s="2">
        <f ca="1"/>
        <v>0.82405037739971077</v>
      </c>
      <c r="AH1345" s="2" t="str">
        <f ca="1"/>
        <v>Bad</v>
      </c>
    </row>
    <row r="1346" spans="2:34" x14ac:dyDescent="0.2">
      <c r="B1346" s="2">
        <f ca="1"/>
        <v>0.49063109427863738</v>
      </c>
      <c r="O1346" s="2">
        <f ca="1"/>
        <v>-1.1338211474118145</v>
      </c>
      <c r="X1346" s="2">
        <f ca="1"/>
        <v>61.570679131988733</v>
      </c>
      <c r="AG1346" s="2">
        <f ca="1"/>
        <v>0.58695402791289308</v>
      </c>
      <c r="AH1346" s="2" t="str">
        <f ca="1"/>
        <v>Bad</v>
      </c>
    </row>
    <row r="1347" spans="2:34" x14ac:dyDescent="0.2">
      <c r="B1347" s="2">
        <f ca="1"/>
        <v>0.69093813609124966</v>
      </c>
      <c r="O1347" s="2">
        <f ca="1"/>
        <v>1.891242044148493</v>
      </c>
      <c r="X1347" s="2">
        <f ca="1"/>
        <v>36.746997730561752</v>
      </c>
      <c r="AG1347" s="2">
        <f ca="1"/>
        <v>0.1273210847167201</v>
      </c>
      <c r="AH1347" s="2" t="str">
        <f ca="1"/>
        <v>OK</v>
      </c>
    </row>
    <row r="1348" spans="2:34" x14ac:dyDescent="0.2">
      <c r="B1348" s="2">
        <f ca="1"/>
        <v>0.15670728670293976</v>
      </c>
      <c r="O1348" s="2">
        <f ca="1"/>
        <v>0.39982706658030842</v>
      </c>
      <c r="X1348" s="2">
        <f ca="1"/>
        <v>57.413283255100353</v>
      </c>
      <c r="AG1348" s="2">
        <f ca="1"/>
        <v>0.31849256572106821</v>
      </c>
      <c r="AH1348" s="2" t="str">
        <f ca="1"/>
        <v>OK</v>
      </c>
    </row>
    <row r="1349" spans="2:34" x14ac:dyDescent="0.2">
      <c r="B1349" s="2">
        <f ca="1"/>
        <v>0.41096961350846262</v>
      </c>
      <c r="O1349" s="2">
        <f ca="1"/>
        <v>2.1937449723258546</v>
      </c>
      <c r="X1349" s="2">
        <f ca="1"/>
        <v>70.962356377875736</v>
      </c>
      <c r="AG1349" s="2">
        <f ca="1"/>
        <v>0.17546112213223708</v>
      </c>
      <c r="AH1349" s="2" t="str">
        <f ca="1"/>
        <v>OK</v>
      </c>
    </row>
    <row r="1350" spans="2:34" x14ac:dyDescent="0.2">
      <c r="B1350" s="2">
        <f ca="1"/>
        <v>0.47893317144687209</v>
      </c>
      <c r="O1350" s="2">
        <f ca="1"/>
        <v>-1.413668415686379</v>
      </c>
      <c r="X1350" s="2">
        <f ca="1"/>
        <v>38.004688323955179</v>
      </c>
      <c r="AG1350" s="2">
        <f ca="1"/>
        <v>0.45383518066671602</v>
      </c>
      <c r="AH1350" s="2" t="str">
        <f ca="1"/>
        <v>Bad</v>
      </c>
    </row>
    <row r="1351" spans="2:34" x14ac:dyDescent="0.2">
      <c r="B1351" s="2">
        <f ca="1"/>
        <v>0.41660209457818542</v>
      </c>
      <c r="O1351" s="2">
        <f ca="1"/>
        <v>-1.2604771580134253</v>
      </c>
      <c r="X1351" s="2">
        <f ca="1"/>
        <v>43.883415722980828</v>
      </c>
      <c r="AG1351" s="2">
        <f ca="1"/>
        <v>0.78489543149949226</v>
      </c>
      <c r="AH1351" s="2" t="str">
        <f ca="1"/>
        <v>Bad</v>
      </c>
    </row>
    <row r="1352" spans="2:34" x14ac:dyDescent="0.2">
      <c r="B1352" s="2">
        <f ca="1"/>
        <v>0.95835067065330737</v>
      </c>
      <c r="O1352" s="2">
        <f ca="1"/>
        <v>-1.1835134369688383</v>
      </c>
      <c r="X1352" s="2">
        <f ca="1"/>
        <v>52.209593404231704</v>
      </c>
      <c r="AG1352" s="2">
        <f ca="1"/>
        <v>0.55189877808696775</v>
      </c>
      <c r="AH1352" s="2" t="str">
        <f ca="1"/>
        <v>Bad</v>
      </c>
    </row>
    <row r="1353" spans="2:34" x14ac:dyDescent="0.2">
      <c r="B1353" s="2">
        <f ca="1"/>
        <v>0.23229624500901336</v>
      </c>
      <c r="O1353" s="2">
        <f ca="1"/>
        <v>-0.50308959040663392</v>
      </c>
      <c r="X1353" s="2">
        <f ca="1"/>
        <v>39.566539795926495</v>
      </c>
      <c r="AG1353" s="2">
        <f ca="1"/>
        <v>0.85857374869470093</v>
      </c>
      <c r="AH1353" s="2" t="str">
        <f ca="1"/>
        <v>Bad</v>
      </c>
    </row>
    <row r="1354" spans="2:34" x14ac:dyDescent="0.2">
      <c r="B1354" s="2">
        <f ca="1"/>
        <v>0.40329850229636843</v>
      </c>
      <c r="O1354" s="2">
        <f ca="1"/>
        <v>-0.14683017956831559</v>
      </c>
      <c r="X1354" s="2">
        <f ca="1"/>
        <v>51.484369369718685</v>
      </c>
      <c r="AG1354" s="2">
        <f ca="1"/>
        <v>0.20613940219333249</v>
      </c>
      <c r="AH1354" s="2" t="str">
        <f ca="1"/>
        <v>OK</v>
      </c>
    </row>
    <row r="1355" spans="2:34" x14ac:dyDescent="0.2">
      <c r="B1355" s="2">
        <f ca="1"/>
        <v>0.60330193980565605</v>
      </c>
      <c r="O1355" s="2">
        <f ca="1"/>
        <v>0.34804329011891783</v>
      </c>
      <c r="X1355" s="2">
        <f ca="1"/>
        <v>52.6554329479155</v>
      </c>
      <c r="AG1355" s="2">
        <f ca="1"/>
        <v>0.85415828006854655</v>
      </c>
      <c r="AH1355" s="2" t="str">
        <f ca="1"/>
        <v>Bad</v>
      </c>
    </row>
    <row r="1356" spans="2:34" x14ac:dyDescent="0.2">
      <c r="B1356" s="2">
        <f ca="1"/>
        <v>0.20437162549702226</v>
      </c>
      <c r="O1356" s="2">
        <f ca="1"/>
        <v>0.34718290466202728</v>
      </c>
      <c r="X1356" s="2">
        <f ca="1"/>
        <v>27.072906449138397</v>
      </c>
      <c r="AG1356" s="2">
        <f ca="1"/>
        <v>0.98125714195158853</v>
      </c>
      <c r="AH1356" s="2" t="str">
        <f ca="1"/>
        <v>Bad</v>
      </c>
    </row>
    <row r="1357" spans="2:34" x14ac:dyDescent="0.2">
      <c r="B1357" s="2">
        <f ca="1"/>
        <v>0.54254377462943482</v>
      </c>
      <c r="O1357" s="2">
        <f ca="1"/>
        <v>0.11765435891532093</v>
      </c>
      <c r="X1357" s="2">
        <f ca="1"/>
        <v>55.498492832970456</v>
      </c>
      <c r="AG1357" s="2">
        <f ca="1"/>
        <v>0.21362746310176672</v>
      </c>
      <c r="AH1357" s="2" t="str">
        <f ca="1"/>
        <v>OK</v>
      </c>
    </row>
    <row r="1358" spans="2:34" x14ac:dyDescent="0.2">
      <c r="B1358" s="2">
        <f ca="1"/>
        <v>0.68385920843319203</v>
      </c>
      <c r="O1358" s="2">
        <f ca="1"/>
        <v>-1.1526904526888533</v>
      </c>
      <c r="X1358" s="2">
        <f ca="1"/>
        <v>71.454288942674836</v>
      </c>
      <c r="AG1358" s="2">
        <f ca="1"/>
        <v>0.71042423095687846</v>
      </c>
      <c r="AH1358" s="2" t="str">
        <f ca="1"/>
        <v>Bad</v>
      </c>
    </row>
    <row r="1359" spans="2:34" x14ac:dyDescent="0.2">
      <c r="B1359" s="2">
        <f ca="1"/>
        <v>0.18133699690886917</v>
      </c>
      <c r="O1359" s="2">
        <f ca="1"/>
        <v>-0.47360350707431992</v>
      </c>
      <c r="X1359" s="2">
        <f ca="1"/>
        <v>37.847248603157851</v>
      </c>
      <c r="AG1359" s="2">
        <f ca="1"/>
        <v>0.70793845862011184</v>
      </c>
      <c r="AH1359" s="2" t="str">
        <f ca="1"/>
        <v>Bad</v>
      </c>
    </row>
    <row r="1360" spans="2:34" x14ac:dyDescent="0.2">
      <c r="B1360" s="2">
        <f ca="1"/>
        <v>0.47215999441896184</v>
      </c>
      <c r="O1360" s="2">
        <f ca="1"/>
        <v>-0.18247888458407863</v>
      </c>
      <c r="X1360" s="2">
        <f ca="1"/>
        <v>64.91629649883518</v>
      </c>
      <c r="AG1360" s="2">
        <f ca="1"/>
        <v>0.15848490993878706</v>
      </c>
      <c r="AH1360" s="2" t="str">
        <f ca="1"/>
        <v>OK</v>
      </c>
    </row>
    <row r="1361" spans="2:34" x14ac:dyDescent="0.2">
      <c r="B1361" s="2">
        <f ca="1"/>
        <v>0.25710170625630302</v>
      </c>
      <c r="O1361" s="2">
        <f ca="1"/>
        <v>0.60080133055240947</v>
      </c>
      <c r="X1361" s="2">
        <f ca="1"/>
        <v>50.638829431728531</v>
      </c>
      <c r="AG1361" s="2">
        <f ca="1"/>
        <v>0.42498492439630065</v>
      </c>
      <c r="AH1361" s="2" t="str">
        <f ca="1"/>
        <v>Bad</v>
      </c>
    </row>
    <row r="1362" spans="2:34" x14ac:dyDescent="0.2">
      <c r="B1362" s="2">
        <f ca="1"/>
        <v>0.75496454850572925</v>
      </c>
      <c r="O1362" s="2">
        <f ca="1"/>
        <v>9.6367924748591488E-2</v>
      </c>
      <c r="X1362" s="2">
        <f ca="1"/>
        <v>38.692156372329457</v>
      </c>
      <c r="AG1362" s="2">
        <f ca="1"/>
        <v>0.24098677386568901</v>
      </c>
      <c r="AH1362" s="2" t="str">
        <f ca="1"/>
        <v>OK</v>
      </c>
    </row>
    <row r="1363" spans="2:34" x14ac:dyDescent="0.2">
      <c r="B1363" s="2">
        <f ca="1"/>
        <v>0.84265127961883612</v>
      </c>
      <c r="O1363" s="2">
        <f ca="1"/>
        <v>-1.5593936572551252</v>
      </c>
      <c r="X1363" s="2">
        <f ca="1"/>
        <v>33.299273623883096</v>
      </c>
      <c r="AG1363" s="2">
        <f ca="1"/>
        <v>0.52418234112290518</v>
      </c>
      <c r="AH1363" s="2" t="str">
        <f ca="1"/>
        <v>Bad</v>
      </c>
    </row>
    <row r="1364" spans="2:34" x14ac:dyDescent="0.2">
      <c r="B1364" s="2">
        <f ca="1"/>
        <v>0.74024068583877844</v>
      </c>
      <c r="O1364" s="2">
        <f ca="1"/>
        <v>-1.4380509442444811</v>
      </c>
      <c r="X1364" s="2">
        <f ca="1"/>
        <v>54.356535147765761</v>
      </c>
      <c r="AG1364" s="2">
        <f ca="1"/>
        <v>0.35169439626827415</v>
      </c>
      <c r="AH1364" s="2" t="str">
        <f ca="1"/>
        <v>OK</v>
      </c>
    </row>
    <row r="1365" spans="2:34" x14ac:dyDescent="0.2">
      <c r="B1365" s="2">
        <f ca="1"/>
        <v>0.14756328840586574</v>
      </c>
      <c r="O1365" s="2">
        <f ca="1"/>
        <v>-0.41398410168668942</v>
      </c>
      <c r="X1365" s="2">
        <f ca="1"/>
        <v>43.981788880769543</v>
      </c>
      <c r="AG1365" s="2">
        <f ca="1"/>
        <v>0.71898498150841772</v>
      </c>
      <c r="AH1365" s="2" t="str">
        <f ca="1"/>
        <v>Bad</v>
      </c>
    </row>
    <row r="1366" spans="2:34" x14ac:dyDescent="0.2">
      <c r="B1366" s="2">
        <f ca="1"/>
        <v>0.87943485056404436</v>
      </c>
      <c r="O1366" s="2">
        <f ca="1"/>
        <v>-1.8906817869411277</v>
      </c>
      <c r="X1366" s="2">
        <f ca="1"/>
        <v>59.413719902446253</v>
      </c>
      <c r="AG1366" s="2">
        <f ca="1"/>
        <v>0.90085439482413676</v>
      </c>
      <c r="AH1366" s="2" t="str">
        <f ca="1"/>
        <v>Bad</v>
      </c>
    </row>
    <row r="1367" spans="2:34" x14ac:dyDescent="0.2">
      <c r="B1367" s="2">
        <f ca="1"/>
        <v>0.53327279370910441</v>
      </c>
      <c r="O1367" s="2">
        <f ca="1"/>
        <v>0.67534703130271367</v>
      </c>
      <c r="X1367" s="2">
        <f ca="1"/>
        <v>71.097669010546028</v>
      </c>
      <c r="AG1367" s="2">
        <f ca="1"/>
        <v>0.4681543267466528</v>
      </c>
      <c r="AH1367" s="2" t="str">
        <f ca="1"/>
        <v>Bad</v>
      </c>
    </row>
    <row r="1368" spans="2:34" x14ac:dyDescent="0.2">
      <c r="B1368" s="2">
        <f ca="1"/>
        <v>0.47836441675632013</v>
      </c>
      <c r="O1368" s="2">
        <f ca="1"/>
        <v>0.28080681206753877</v>
      </c>
      <c r="X1368" s="2">
        <f ca="1"/>
        <v>54.379284149394003</v>
      </c>
      <c r="AG1368" s="2">
        <f ca="1"/>
        <v>0.30957238801846132</v>
      </c>
      <c r="AH1368" s="2" t="str">
        <f ca="1"/>
        <v>OK</v>
      </c>
    </row>
    <row r="1369" spans="2:34" x14ac:dyDescent="0.2">
      <c r="B1369" s="2">
        <f ca="1"/>
        <v>0.79709322258170645</v>
      </c>
      <c r="O1369" s="2">
        <f ca="1"/>
        <v>-1.1272530924358297</v>
      </c>
      <c r="X1369" s="2">
        <f ca="1"/>
        <v>48.202572308054712</v>
      </c>
      <c r="AG1369" s="2">
        <f ca="1"/>
        <v>0.79827278547694669</v>
      </c>
      <c r="AH1369" s="2" t="str">
        <f ca="1"/>
        <v>Bad</v>
      </c>
    </row>
    <row r="1370" spans="2:34" x14ac:dyDescent="0.2">
      <c r="B1370" s="2">
        <f ca="1"/>
        <v>0.50539263996855199</v>
      </c>
      <c r="O1370" s="2">
        <f ca="1"/>
        <v>0.29432708427155285</v>
      </c>
      <c r="X1370" s="2">
        <f ca="1"/>
        <v>71.827450752465424</v>
      </c>
      <c r="AG1370" s="2">
        <f ca="1"/>
        <v>0.24421449612272483</v>
      </c>
      <c r="AH1370" s="2" t="str">
        <f ca="1"/>
        <v>OK</v>
      </c>
    </row>
    <row r="1371" spans="2:34" x14ac:dyDescent="0.2">
      <c r="B1371" s="2">
        <f ca="1"/>
        <v>0.9819821204032706</v>
      </c>
      <c r="O1371" s="2">
        <f ca="1"/>
        <v>-8.604196947023969E-2</v>
      </c>
      <c r="X1371" s="2">
        <f ca="1"/>
        <v>55.108890315004764</v>
      </c>
      <c r="AG1371" s="2">
        <f ca="1"/>
        <v>0.69405386273373471</v>
      </c>
      <c r="AH1371" s="2" t="str">
        <f ca="1"/>
        <v>Bad</v>
      </c>
    </row>
    <row r="1372" spans="2:34" x14ac:dyDescent="0.2">
      <c r="B1372" s="2">
        <f ca="1"/>
        <v>0.34495464481490345</v>
      </c>
      <c r="O1372" s="2">
        <f ca="1"/>
        <v>1.0851199807399965</v>
      </c>
      <c r="X1372" s="2">
        <f ca="1"/>
        <v>44.879743781047658</v>
      </c>
      <c r="AG1372" s="2">
        <f ca="1"/>
        <v>0.94596938019234367</v>
      </c>
      <c r="AH1372" s="2" t="str">
        <f ca="1"/>
        <v>Bad</v>
      </c>
    </row>
    <row r="1373" spans="2:34" x14ac:dyDescent="0.2">
      <c r="B1373" s="2">
        <f ca="1"/>
        <v>0.51113357262998127</v>
      </c>
      <c r="O1373" s="2">
        <f ca="1"/>
        <v>0.51637134322138134</v>
      </c>
      <c r="X1373" s="2">
        <f ca="1"/>
        <v>68.44385333302634</v>
      </c>
      <c r="AG1373" s="2">
        <f ca="1"/>
        <v>0.95948139996444604</v>
      </c>
      <c r="AH1373" s="2" t="str">
        <f ca="1"/>
        <v>Bad</v>
      </c>
    </row>
    <row r="1374" spans="2:34" x14ac:dyDescent="0.2">
      <c r="B1374" s="2">
        <f ca="1"/>
        <v>3.7792268291700459E-2</v>
      </c>
      <c r="O1374" s="2">
        <f ca="1"/>
        <v>-1.8016551775388856</v>
      </c>
      <c r="X1374" s="2">
        <f ca="1"/>
        <v>53.724376827937874</v>
      </c>
      <c r="AG1374" s="2">
        <f ca="1"/>
        <v>0.77949362004532308</v>
      </c>
      <c r="AH1374" s="2" t="str">
        <f ca="1"/>
        <v>Bad</v>
      </c>
    </row>
    <row r="1375" spans="2:34" x14ac:dyDescent="0.2">
      <c r="B1375" s="2">
        <f ca="1"/>
        <v>0.39931583884501354</v>
      </c>
      <c r="O1375" s="2">
        <f ca="1"/>
        <v>-0.78491261977745053</v>
      </c>
      <c r="X1375" s="2">
        <f ca="1"/>
        <v>48.521120411396694</v>
      </c>
      <c r="AG1375" s="2">
        <f ca="1"/>
        <v>0.93589676516720477</v>
      </c>
      <c r="AH1375" s="2" t="str">
        <f ca="1"/>
        <v>Bad</v>
      </c>
    </row>
    <row r="1376" spans="2:34" x14ac:dyDescent="0.2">
      <c r="B1376" s="2">
        <f ca="1"/>
        <v>0.24885296698564252</v>
      </c>
      <c r="O1376" s="2">
        <f ca="1"/>
        <v>0.79632364598992178</v>
      </c>
      <c r="X1376" s="2">
        <f ca="1"/>
        <v>40.870654448987423</v>
      </c>
      <c r="AG1376" s="2">
        <f ca="1"/>
        <v>0.34524626163082361</v>
      </c>
      <c r="AH1376" s="2" t="str">
        <f ca="1"/>
        <v>OK</v>
      </c>
    </row>
    <row r="1377" spans="2:34" x14ac:dyDescent="0.2">
      <c r="B1377" s="2">
        <f ca="1"/>
        <v>0.60393860183350911</v>
      </c>
      <c r="O1377" s="2">
        <f ca="1"/>
        <v>-1.5731505685308158</v>
      </c>
      <c r="X1377" s="2">
        <f ca="1"/>
        <v>45.151764993125234</v>
      </c>
      <c r="AG1377" s="2">
        <f ca="1"/>
        <v>0.93296504116204515</v>
      </c>
      <c r="AH1377" s="2" t="str">
        <f ca="1"/>
        <v>Bad</v>
      </c>
    </row>
    <row r="1378" spans="2:34" x14ac:dyDescent="0.2">
      <c r="B1378" s="2">
        <f ca="1"/>
        <v>0.13219449736093281</v>
      </c>
      <c r="O1378" s="2">
        <f ca="1"/>
        <v>0.68375574172759557</v>
      </c>
      <c r="X1378" s="2">
        <f ca="1"/>
        <v>35.557463560503592</v>
      </c>
      <c r="AG1378" s="2">
        <f ca="1"/>
        <v>9.5402869998463258E-2</v>
      </c>
      <c r="AH1378" s="2" t="str">
        <f ca="1"/>
        <v>OK</v>
      </c>
    </row>
    <row r="1379" spans="2:34" x14ac:dyDescent="0.2">
      <c r="B1379" s="2">
        <f ca="1"/>
        <v>0.90121821073882624</v>
      </c>
      <c r="O1379" s="2">
        <f ca="1"/>
        <v>0.95906975918868242</v>
      </c>
      <c r="X1379" s="2">
        <f ca="1"/>
        <v>69.830075722654911</v>
      </c>
      <c r="AG1379" s="2">
        <f ca="1"/>
        <v>0.19112700271849015</v>
      </c>
      <c r="AH1379" s="2" t="str">
        <f ca="1"/>
        <v>OK</v>
      </c>
    </row>
    <row r="1380" spans="2:34" x14ac:dyDescent="0.2">
      <c r="B1380" s="2">
        <f ca="1"/>
        <v>0.564048362282211</v>
      </c>
      <c r="O1380" s="2">
        <f ca="1"/>
        <v>-0.21419151884035981</v>
      </c>
      <c r="X1380" s="2">
        <f ca="1"/>
        <v>48.882518518594779</v>
      </c>
      <c r="AG1380" s="2">
        <f ca="1"/>
        <v>0.72266773005569696</v>
      </c>
      <c r="AH1380" s="2" t="str">
        <f ca="1"/>
        <v>Bad</v>
      </c>
    </row>
    <row r="1381" spans="2:34" x14ac:dyDescent="0.2">
      <c r="B1381" s="2">
        <f ca="1"/>
        <v>0.11835659469153659</v>
      </c>
      <c r="O1381" s="2">
        <f ca="1"/>
        <v>0.39398496684973466</v>
      </c>
      <c r="X1381" s="2">
        <f ca="1"/>
        <v>29.983607702756373</v>
      </c>
      <c r="AG1381" s="2">
        <f ca="1"/>
        <v>0.23365420562534878</v>
      </c>
      <c r="AH1381" s="2" t="str">
        <f ca="1"/>
        <v>OK</v>
      </c>
    </row>
    <row r="1382" spans="2:34" x14ac:dyDescent="0.2">
      <c r="B1382" s="2">
        <f ca="1"/>
        <v>0.52408893465385331</v>
      </c>
      <c r="O1382" s="2">
        <f ca="1"/>
        <v>-1.6232110857092905</v>
      </c>
      <c r="X1382" s="2">
        <f ca="1"/>
        <v>62.394783710694874</v>
      </c>
      <c r="AG1382" s="2">
        <f ca="1"/>
        <v>0.77671121474019267</v>
      </c>
      <c r="AH1382" s="2" t="str">
        <f ca="1"/>
        <v>Bad</v>
      </c>
    </row>
    <row r="1383" spans="2:34" x14ac:dyDescent="0.2">
      <c r="B1383" s="2">
        <f ca="1"/>
        <v>0.46281684591651917</v>
      </c>
      <c r="O1383" s="2">
        <f ca="1"/>
        <v>-1.2164947040190586</v>
      </c>
      <c r="X1383" s="2">
        <f ca="1"/>
        <v>38.809506031797014</v>
      </c>
      <c r="AG1383" s="2">
        <f ca="1"/>
        <v>0.7219398249619644</v>
      </c>
      <c r="AH1383" s="2" t="str">
        <f ca="1"/>
        <v>Bad</v>
      </c>
    </row>
    <row r="1384" spans="2:34" x14ac:dyDescent="0.2">
      <c r="B1384" s="2">
        <f ca="1"/>
        <v>0.58999731537666067</v>
      </c>
      <c r="O1384" s="2">
        <f ca="1"/>
        <v>0.26673580582050405</v>
      </c>
      <c r="X1384" s="2">
        <f ca="1"/>
        <v>39.707684663026988</v>
      </c>
      <c r="AG1384" s="2">
        <f ca="1"/>
        <v>0.27057733170203657</v>
      </c>
      <c r="AH1384" s="2" t="str">
        <f ca="1"/>
        <v>OK</v>
      </c>
    </row>
    <row r="1385" spans="2:34" x14ac:dyDescent="0.2">
      <c r="B1385" s="2">
        <f ca="1"/>
        <v>0.91889200721337772</v>
      </c>
      <c r="O1385" s="2">
        <f ca="1"/>
        <v>-0.41239081207806388</v>
      </c>
      <c r="X1385" s="2">
        <f ca="1"/>
        <v>37.429911947982013</v>
      </c>
      <c r="AG1385" s="2">
        <f ca="1"/>
        <v>0.84480991378936721</v>
      </c>
      <c r="AH1385" s="2" t="str">
        <f ca="1"/>
        <v>Bad</v>
      </c>
    </row>
    <row r="1386" spans="2:34" x14ac:dyDescent="0.2">
      <c r="B1386" s="2">
        <f ca="1"/>
        <v>0.71740813853806018</v>
      </c>
      <c r="O1386" s="2">
        <f ca="1"/>
        <v>1.5631151562685675</v>
      </c>
      <c r="X1386" s="2">
        <f ca="1"/>
        <v>59.956089357856179</v>
      </c>
      <c r="AG1386" s="2">
        <f ca="1"/>
        <v>0.47454080214928851</v>
      </c>
      <c r="AH1386" s="2" t="str">
        <f ca="1"/>
        <v>Bad</v>
      </c>
    </row>
    <row r="1387" spans="2:34" x14ac:dyDescent="0.2">
      <c r="B1387" s="2">
        <f ca="1"/>
        <v>0.6830586731172974</v>
      </c>
      <c r="O1387" s="2">
        <f ca="1"/>
        <v>1.9614406993362743</v>
      </c>
      <c r="X1387" s="2">
        <f ca="1"/>
        <v>53.374869254629417</v>
      </c>
      <c r="AG1387" s="2">
        <f ca="1"/>
        <v>0.82083393197135224</v>
      </c>
      <c r="AH1387" s="2" t="str">
        <f ca="1"/>
        <v>Bad</v>
      </c>
    </row>
    <row r="1388" spans="2:34" x14ac:dyDescent="0.2">
      <c r="B1388" s="2">
        <f ca="1"/>
        <v>0.17981173099264436</v>
      </c>
      <c r="O1388" s="2">
        <f ca="1"/>
        <v>0.17375660178851521</v>
      </c>
      <c r="X1388" s="2">
        <f ca="1"/>
        <v>57.104872090864575</v>
      </c>
      <c r="AG1388" s="2">
        <f ca="1"/>
        <v>0.83740734384226734</v>
      </c>
      <c r="AH1388" s="2" t="str">
        <f ca="1"/>
        <v>Bad</v>
      </c>
    </row>
    <row r="1389" spans="2:34" x14ac:dyDescent="0.2">
      <c r="B1389" s="2">
        <f ca="1"/>
        <v>0.64920072597896761</v>
      </c>
      <c r="O1389" s="2">
        <f ca="1"/>
        <v>-0.1452580013787822</v>
      </c>
      <c r="X1389" s="2">
        <f ca="1"/>
        <v>57.264780808791514</v>
      </c>
      <c r="AG1389" s="2">
        <f ca="1"/>
        <v>0.22720610614214531</v>
      </c>
      <c r="AH1389" s="2" t="str">
        <f ca="1"/>
        <v>OK</v>
      </c>
    </row>
    <row r="1390" spans="2:34" x14ac:dyDescent="0.2">
      <c r="B1390" s="2">
        <f ca="1"/>
        <v>0.73179691055541829</v>
      </c>
      <c r="O1390" s="2">
        <f ca="1"/>
        <v>-0.80404276969339705</v>
      </c>
      <c r="X1390" s="2">
        <f ca="1"/>
        <v>59.389402399805519</v>
      </c>
      <c r="AG1390" s="2">
        <f ca="1"/>
        <v>0.93666450499562903</v>
      </c>
      <c r="AH1390" s="2" t="str">
        <f ca="1"/>
        <v>Bad</v>
      </c>
    </row>
    <row r="1391" spans="2:34" x14ac:dyDescent="0.2">
      <c r="B1391" s="2">
        <f ca="1"/>
        <v>0.78389817078235446</v>
      </c>
      <c r="O1391" s="2">
        <f ca="1"/>
        <v>1.8675874284736906</v>
      </c>
      <c r="X1391" s="2">
        <f ca="1"/>
        <v>71.142784377047917</v>
      </c>
      <c r="AG1391" s="2">
        <f ca="1"/>
        <v>0.78525781051099641</v>
      </c>
      <c r="AH1391" s="2" t="str">
        <f ca="1"/>
        <v>Bad</v>
      </c>
    </row>
    <row r="1392" spans="2:34" x14ac:dyDescent="0.2">
      <c r="B1392" s="2">
        <f ca="1"/>
        <v>0.92782195850711502</v>
      </c>
      <c r="O1392" s="2">
        <f ca="1"/>
        <v>0.45125044240775264</v>
      </c>
      <c r="X1392" s="2">
        <f ca="1"/>
        <v>54.348852972976267</v>
      </c>
      <c r="AG1392" s="2">
        <f ca="1"/>
        <v>0.94050067497237566</v>
      </c>
      <c r="AH1392" s="2" t="str">
        <f ca="1"/>
        <v>Bad</v>
      </c>
    </row>
    <row r="1393" spans="2:34" x14ac:dyDescent="0.2">
      <c r="B1393" s="2">
        <f ca="1"/>
        <v>0.18378951847111757</v>
      </c>
      <c r="O1393" s="2">
        <f ca="1"/>
        <v>-0.11520366354256485</v>
      </c>
      <c r="X1393" s="2">
        <f ca="1"/>
        <v>54.298601272393192</v>
      </c>
      <c r="AG1393" s="2">
        <f ca="1"/>
        <v>0.37618027282289601</v>
      </c>
      <c r="AH1393" s="2" t="str">
        <f ca="1"/>
        <v>OK</v>
      </c>
    </row>
    <row r="1394" spans="2:34" x14ac:dyDescent="0.2">
      <c r="B1394" s="2">
        <f ca="1"/>
        <v>5.3824564224824067E-2</v>
      </c>
      <c r="O1394" s="2">
        <f ca="1"/>
        <v>0.17288569621285169</v>
      </c>
      <c r="X1394" s="2">
        <f ca="1"/>
        <v>36.46420034589913</v>
      </c>
      <c r="AG1394" s="2">
        <f ca="1"/>
        <v>0.66975373551213968</v>
      </c>
      <c r="AH1394" s="2" t="str">
        <f ca="1"/>
        <v>Bad</v>
      </c>
    </row>
    <row r="1395" spans="2:34" x14ac:dyDescent="0.2">
      <c r="B1395" s="2">
        <f ca="1"/>
        <v>0.99111080796094342</v>
      </c>
      <c r="O1395" s="2">
        <f ca="1"/>
        <v>-0.63630700924394523</v>
      </c>
      <c r="X1395" s="2">
        <f ca="1"/>
        <v>40.50703784319812</v>
      </c>
      <c r="AG1395" s="2">
        <f ca="1"/>
        <v>0.5512326594043313</v>
      </c>
      <c r="AH1395" s="2" t="str">
        <f ca="1"/>
        <v>Bad</v>
      </c>
    </row>
    <row r="1396" spans="2:34" x14ac:dyDescent="0.2">
      <c r="B1396" s="2">
        <f ca="1"/>
        <v>0.84072742314531723</v>
      </c>
      <c r="O1396" s="2">
        <f ca="1"/>
        <v>-0.26378297979163445</v>
      </c>
      <c r="X1396" s="2">
        <f ca="1"/>
        <v>82.847894532037373</v>
      </c>
      <c r="AG1396" s="2">
        <f ca="1"/>
        <v>0.65623161184930634</v>
      </c>
      <c r="AH1396" s="2" t="str">
        <f ca="1"/>
        <v>Bad</v>
      </c>
    </row>
    <row r="1397" spans="2:34" x14ac:dyDescent="0.2">
      <c r="B1397" s="2">
        <f ca="1"/>
        <v>0.15140498861163909</v>
      </c>
      <c r="O1397" s="2">
        <f ca="1"/>
        <v>1.0995759210148681</v>
      </c>
      <c r="X1397" s="2">
        <f ca="1"/>
        <v>67.172400607284217</v>
      </c>
      <c r="AG1397" s="2">
        <f ca="1"/>
        <v>0.49987851663359795</v>
      </c>
      <c r="AH1397" s="2" t="str">
        <f ca="1"/>
        <v>Bad</v>
      </c>
    </row>
    <row r="1398" spans="2:34" x14ac:dyDescent="0.2">
      <c r="B1398" s="2">
        <f ca="1"/>
        <v>0.16343980676188874</v>
      </c>
      <c r="O1398" s="2">
        <f ca="1"/>
        <v>0.45487826511615859</v>
      </c>
      <c r="X1398" s="2">
        <f ca="1"/>
        <v>69.165156825140087</v>
      </c>
      <c r="AG1398" s="2">
        <f ca="1"/>
        <v>0.1920733400906689</v>
      </c>
      <c r="AH1398" s="2" t="str">
        <f ca="1"/>
        <v>OK</v>
      </c>
    </row>
    <row r="1399" spans="2:34" x14ac:dyDescent="0.2">
      <c r="B1399" s="2">
        <f ca="1"/>
        <v>4.6785630246325871E-2</v>
      </c>
      <c r="O1399" s="2">
        <f ca="1"/>
        <v>-0.19673912678273095</v>
      </c>
      <c r="X1399" s="2">
        <f ca="1"/>
        <v>74.807615349406205</v>
      </c>
      <c r="AG1399" s="2">
        <f ca="1"/>
        <v>0.30036652398128272</v>
      </c>
      <c r="AH1399" s="2" t="str">
        <f ca="1"/>
        <v>OK</v>
      </c>
    </row>
    <row r="1400" spans="2:34" x14ac:dyDescent="0.2">
      <c r="B1400" s="2">
        <f ca="1"/>
        <v>0.82883936762944299</v>
      </c>
      <c r="O1400" s="2">
        <f ca="1"/>
        <v>-1.0037174900794061</v>
      </c>
      <c r="X1400" s="2">
        <f ca="1"/>
        <v>41.743257276989645</v>
      </c>
      <c r="AG1400" s="2">
        <f ca="1"/>
        <v>0.45786948154782725</v>
      </c>
      <c r="AH1400" s="2" t="str">
        <f ca="1"/>
        <v>Bad</v>
      </c>
    </row>
    <row r="1401" spans="2:34" x14ac:dyDescent="0.2">
      <c r="B1401" s="2">
        <f ca="1"/>
        <v>0.16220109893236967</v>
      </c>
      <c r="O1401" s="2">
        <f ca="1"/>
        <v>-1.0941216891443757</v>
      </c>
      <c r="X1401" s="2">
        <f ca="1"/>
        <v>49.757837012251201</v>
      </c>
      <c r="AG1401" s="2">
        <f ca="1"/>
        <v>0.57928246784828907</v>
      </c>
      <c r="AH1401" s="2" t="str">
        <f ca="1"/>
        <v>Bad</v>
      </c>
    </row>
    <row r="1402" spans="2:34" x14ac:dyDescent="0.2">
      <c r="B1402" s="2">
        <f ca="1"/>
        <v>0.10608864543532959</v>
      </c>
      <c r="O1402" s="2">
        <f ca="1"/>
        <v>-0.60651451548082069</v>
      </c>
      <c r="X1402" s="2">
        <f ca="1"/>
        <v>45.368584959488189</v>
      </c>
      <c r="AG1402" s="2">
        <f ca="1"/>
        <v>0.67881522503289737</v>
      </c>
      <c r="AH1402" s="2" t="str">
        <f ca="1"/>
        <v>Bad</v>
      </c>
    </row>
    <row r="1403" spans="2:34" x14ac:dyDescent="0.2">
      <c r="B1403" s="2">
        <f ca="1"/>
        <v>0.32536762477929559</v>
      </c>
      <c r="O1403" s="2">
        <f ca="1"/>
        <v>-1.2782873911067889</v>
      </c>
      <c r="X1403" s="2">
        <f ca="1"/>
        <v>47.533559148540235</v>
      </c>
      <c r="AG1403" s="2">
        <f ca="1"/>
        <v>0.99255572330404229</v>
      </c>
      <c r="AH1403" s="2" t="str">
        <f ca="1"/>
        <v>Bad</v>
      </c>
    </row>
    <row r="1404" spans="2:34" x14ac:dyDescent="0.2">
      <c r="B1404" s="2">
        <f ca="1"/>
        <v>0.86939623202978944</v>
      </c>
      <c r="O1404" s="2">
        <f ca="1"/>
        <v>1.1662507903849384</v>
      </c>
      <c r="X1404" s="2">
        <f ca="1"/>
        <v>60.189785676317832</v>
      </c>
      <c r="AG1404" s="2">
        <f ca="1"/>
        <v>0.59942765391666364</v>
      </c>
      <c r="AH1404" s="2" t="str">
        <f ca="1"/>
        <v>Bad</v>
      </c>
    </row>
    <row r="1405" spans="2:34" x14ac:dyDescent="0.2">
      <c r="B1405" s="2">
        <f ca="1"/>
        <v>0.81724223558847697</v>
      </c>
      <c r="O1405" s="2">
        <f ca="1"/>
        <v>-1.9456507526600892</v>
      </c>
      <c r="X1405" s="2">
        <f ca="1"/>
        <v>45.656845849523108</v>
      </c>
      <c r="AG1405" s="2">
        <f ca="1"/>
        <v>0.86882945122359811</v>
      </c>
      <c r="AH1405" s="2" t="str">
        <f ca="1"/>
        <v>Bad</v>
      </c>
    </row>
    <row r="1406" spans="2:34" x14ac:dyDescent="0.2">
      <c r="B1406" s="2">
        <f ca="1"/>
        <v>0.11621755649529786</v>
      </c>
      <c r="O1406" s="2">
        <f ca="1"/>
        <v>-0.12266195716613588</v>
      </c>
      <c r="X1406" s="2">
        <f ca="1"/>
        <v>47.7274332323896</v>
      </c>
      <c r="AG1406" s="2">
        <f ca="1"/>
        <v>0.90370209619007413</v>
      </c>
      <c r="AH1406" s="2" t="str">
        <f ca="1"/>
        <v>Bad</v>
      </c>
    </row>
    <row r="1407" spans="2:34" x14ac:dyDescent="0.2">
      <c r="B1407" s="2">
        <f ca="1"/>
        <v>0.25341986480355416</v>
      </c>
      <c r="O1407" s="2">
        <f ca="1"/>
        <v>0.51094503570945982</v>
      </c>
      <c r="X1407" s="2">
        <f ca="1"/>
        <v>44.578011442796203</v>
      </c>
      <c r="AG1407" s="2">
        <f ca="1"/>
        <v>0.90462802481095017</v>
      </c>
      <c r="AH1407" s="2" t="str">
        <f ca="1"/>
        <v>Bad</v>
      </c>
    </row>
    <row r="1408" spans="2:34" x14ac:dyDescent="0.2">
      <c r="B1408" s="2">
        <f ca="1"/>
        <v>0.86306358970557806</v>
      </c>
      <c r="O1408" s="2">
        <f ca="1"/>
        <v>-2.1870788888079304</v>
      </c>
      <c r="X1408" s="2">
        <f ca="1"/>
        <v>35.147125234218549</v>
      </c>
      <c r="AG1408" s="2">
        <f ca="1"/>
        <v>0.64835312905741382</v>
      </c>
      <c r="AH1408" s="2" t="str">
        <f ca="1"/>
        <v>Bad</v>
      </c>
    </row>
    <row r="1409" spans="2:34" x14ac:dyDescent="0.2">
      <c r="B1409" s="2">
        <f ca="1"/>
        <v>0.88803197256875732</v>
      </c>
      <c r="O1409" s="2">
        <f ca="1"/>
        <v>1.3241391333859891</v>
      </c>
      <c r="X1409" s="2">
        <f ca="1"/>
        <v>37.929664101482437</v>
      </c>
      <c r="AG1409" s="2">
        <f ca="1"/>
        <v>0.87776335137593997</v>
      </c>
      <c r="AH1409" s="2" t="str">
        <f ca="1"/>
        <v>Bad</v>
      </c>
    </row>
    <row r="1410" spans="2:34" x14ac:dyDescent="0.2">
      <c r="B1410" s="2">
        <f ca="1"/>
        <v>0.79542726825717036</v>
      </c>
      <c r="O1410" s="2">
        <f ca="1"/>
        <v>-1.3436544287105159</v>
      </c>
      <c r="X1410" s="2">
        <f ca="1"/>
        <v>42.809818381080937</v>
      </c>
      <c r="AG1410" s="2">
        <f ca="1"/>
        <v>0.50934472671592523</v>
      </c>
      <c r="AH1410" s="2" t="str">
        <f ca="1"/>
        <v>Bad</v>
      </c>
    </row>
    <row r="1411" spans="2:34" x14ac:dyDescent="0.2">
      <c r="B1411" s="2">
        <f ca="1"/>
        <v>0.45421046185131897</v>
      </c>
      <c r="O1411" s="2">
        <f ca="1"/>
        <v>0.89891278406922304</v>
      </c>
      <c r="X1411" s="2">
        <f ca="1"/>
        <v>57.132011098553335</v>
      </c>
      <c r="AG1411" s="2">
        <f ca="1"/>
        <v>0.89251510300076164</v>
      </c>
      <c r="AH1411" s="2" t="str">
        <f ca="1"/>
        <v>Bad</v>
      </c>
    </row>
    <row r="1412" spans="2:34" x14ac:dyDescent="0.2">
      <c r="B1412" s="2">
        <f ca="1"/>
        <v>0.43718550386850752</v>
      </c>
      <c r="O1412" s="2">
        <f ca="1"/>
        <v>0.54185013099884294</v>
      </c>
      <c r="X1412" s="2">
        <f ca="1"/>
        <v>41.841195242181151</v>
      </c>
      <c r="AG1412" s="2">
        <f ca="1"/>
        <v>0.26675419168006842</v>
      </c>
      <c r="AH1412" s="2" t="str">
        <f ca="1"/>
        <v>OK</v>
      </c>
    </row>
    <row r="1413" spans="2:34" x14ac:dyDescent="0.2">
      <c r="B1413" s="2">
        <f ca="1"/>
        <v>0.1063918848551848</v>
      </c>
      <c r="O1413" s="2">
        <f ca="1"/>
        <v>1.3125688766862675</v>
      </c>
      <c r="X1413" s="2">
        <f ca="1"/>
        <v>62.408056273679897</v>
      </c>
      <c r="AG1413" s="2">
        <f ca="1"/>
        <v>0.69318126937801883</v>
      </c>
      <c r="AH1413" s="2" t="str">
        <f ca="1"/>
        <v>Bad</v>
      </c>
    </row>
    <row r="1414" spans="2:34" x14ac:dyDescent="0.2">
      <c r="B1414" s="2">
        <f ca="1"/>
        <v>0.84446225502856653</v>
      </c>
      <c r="O1414" s="2">
        <f ca="1"/>
        <v>-1.2298643141817649</v>
      </c>
      <c r="X1414" s="2">
        <f ca="1"/>
        <v>69.859035732649147</v>
      </c>
      <c r="AG1414" s="2">
        <f ca="1"/>
        <v>0.23965697807636799</v>
      </c>
      <c r="AH1414" s="2" t="str">
        <f ca="1"/>
        <v>OK</v>
      </c>
    </row>
    <row r="1415" spans="2:34" x14ac:dyDescent="0.2">
      <c r="B1415" s="2">
        <f ca="1"/>
        <v>0.18847842128934289</v>
      </c>
      <c r="O1415" s="2">
        <f ca="1"/>
        <v>0.64760266264656807</v>
      </c>
      <c r="X1415" s="2">
        <f ca="1"/>
        <v>72.811289207603011</v>
      </c>
      <c r="AG1415" s="2">
        <f ca="1"/>
        <v>0.88651431067075781</v>
      </c>
      <c r="AH1415" s="2" t="str">
        <f ca="1"/>
        <v>Bad</v>
      </c>
    </row>
    <row r="1416" spans="2:34" x14ac:dyDescent="0.2">
      <c r="B1416" s="2">
        <f ca="1"/>
        <v>0.8534669587303827</v>
      </c>
      <c r="O1416" s="2">
        <f ca="1"/>
        <v>-5.7238725277557495E-2</v>
      </c>
      <c r="X1416" s="2">
        <f ca="1"/>
        <v>37.405675257970174</v>
      </c>
      <c r="AG1416" s="2">
        <f ca="1"/>
        <v>0.67359784648500898</v>
      </c>
      <c r="AH1416" s="2" t="str">
        <f ca="1"/>
        <v>Bad</v>
      </c>
    </row>
    <row r="1417" spans="2:34" x14ac:dyDescent="0.2">
      <c r="B1417" s="2">
        <f ca="1"/>
        <v>0.38821740206335087</v>
      </c>
      <c r="O1417" s="2">
        <f ca="1"/>
        <v>-0.22225420367745671</v>
      </c>
      <c r="X1417" s="2">
        <f ca="1"/>
        <v>47.218363144277752</v>
      </c>
      <c r="AG1417" s="2">
        <f ca="1"/>
        <v>0.66120416703122276</v>
      </c>
      <c r="AH1417" s="2" t="str">
        <f ca="1"/>
        <v>Bad</v>
      </c>
    </row>
    <row r="1418" spans="2:34" x14ac:dyDescent="0.2">
      <c r="B1418" s="2">
        <f ca="1"/>
        <v>0.22840283741755774</v>
      </c>
      <c r="O1418" s="2">
        <f ca="1"/>
        <v>0.11651469372610022</v>
      </c>
      <c r="X1418" s="2">
        <f ca="1"/>
        <v>78.464852792172593</v>
      </c>
      <c r="AG1418" s="2">
        <f ca="1"/>
        <v>0.25189972459329568</v>
      </c>
      <c r="AH1418" s="2" t="str">
        <f ca="1"/>
        <v>OK</v>
      </c>
    </row>
    <row r="1419" spans="2:34" x14ac:dyDescent="0.2">
      <c r="B1419" s="2">
        <f ca="1"/>
        <v>0.28464483276348695</v>
      </c>
      <c r="O1419" s="2">
        <f ca="1"/>
        <v>0.22197713651810982</v>
      </c>
      <c r="X1419" s="2">
        <f ca="1"/>
        <v>22.881582227952471</v>
      </c>
      <c r="AG1419" s="2">
        <f ca="1"/>
        <v>4.9866323094647891E-2</v>
      </c>
      <c r="AH1419" s="2" t="str">
        <f ca="1"/>
        <v>Good</v>
      </c>
    </row>
    <row r="1420" spans="2:34" x14ac:dyDescent="0.2">
      <c r="B1420" s="2">
        <f ca="1"/>
        <v>6.9486773856480166E-2</v>
      </c>
      <c r="O1420" s="2">
        <f ca="1"/>
        <v>-0.23112129074902904</v>
      </c>
      <c r="X1420" s="2">
        <f ca="1"/>
        <v>72.864090420184567</v>
      </c>
      <c r="AG1420" s="2">
        <f ca="1"/>
        <v>0.91038241964797639</v>
      </c>
      <c r="AH1420" s="2" t="str">
        <f ca="1"/>
        <v>Bad</v>
      </c>
    </row>
    <row r="1421" spans="2:34" x14ac:dyDescent="0.2">
      <c r="B1421" s="2">
        <f ca="1"/>
        <v>0.34617487550167825</v>
      </c>
      <c r="O1421" s="2">
        <f ca="1"/>
        <v>-8.0861758397876848E-2</v>
      </c>
      <c r="X1421" s="2">
        <f ca="1"/>
        <v>72.286717560910233</v>
      </c>
      <c r="AG1421" s="2">
        <f ca="1"/>
        <v>0.70252356325112397</v>
      </c>
      <c r="AH1421" s="2" t="str">
        <f ca="1"/>
        <v>Bad</v>
      </c>
    </row>
    <row r="1422" spans="2:34" x14ac:dyDescent="0.2">
      <c r="B1422" s="2">
        <f ca="1"/>
        <v>0.96310539825835662</v>
      </c>
      <c r="O1422" s="2">
        <f ca="1"/>
        <v>0.70558548255225195</v>
      </c>
      <c r="X1422" s="2">
        <f ca="1"/>
        <v>45.312409069700962</v>
      </c>
      <c r="AG1422" s="2">
        <f ca="1"/>
        <v>0.34372040599264442</v>
      </c>
      <c r="AH1422" s="2" t="str">
        <f ca="1"/>
        <v>OK</v>
      </c>
    </row>
    <row r="1423" spans="2:34" x14ac:dyDescent="0.2">
      <c r="B1423" s="2">
        <f ca="1"/>
        <v>0.77717533910592307</v>
      </c>
      <c r="O1423" s="2">
        <f ca="1"/>
        <v>-0.12652542772171657</v>
      </c>
      <c r="X1423" s="2">
        <f ca="1"/>
        <v>35.502080947976047</v>
      </c>
      <c r="AG1423" s="2">
        <f ca="1"/>
        <v>0.98198206963955359</v>
      </c>
      <c r="AH1423" s="2" t="str">
        <f ca="1"/>
        <v>Bad</v>
      </c>
    </row>
    <row r="1424" spans="2:34" x14ac:dyDescent="0.2">
      <c r="B1424" s="2">
        <f ca="1"/>
        <v>0.16770120091740459</v>
      </c>
      <c r="O1424" s="2">
        <f ca="1"/>
        <v>-0.20901046200838755</v>
      </c>
      <c r="X1424" s="2">
        <f ca="1"/>
        <v>36.321808658909006</v>
      </c>
      <c r="AG1424" s="2">
        <f ca="1"/>
        <v>0.77500947946643639</v>
      </c>
      <c r="AH1424" s="2" t="str">
        <f ca="1"/>
        <v>Bad</v>
      </c>
    </row>
    <row r="1425" spans="2:34" x14ac:dyDescent="0.2">
      <c r="B1425" s="2">
        <f ca="1"/>
        <v>0.18959797726286332</v>
      </c>
      <c r="O1425" s="2">
        <f ca="1"/>
        <v>0.88286959762602424</v>
      </c>
      <c r="X1425" s="2">
        <f ca="1"/>
        <v>43.961307153060432</v>
      </c>
      <c r="AG1425" s="2">
        <f ca="1"/>
        <v>0.32442763427593402</v>
      </c>
      <c r="AH1425" s="2" t="str">
        <f ca="1"/>
        <v>OK</v>
      </c>
    </row>
    <row r="1426" spans="2:34" x14ac:dyDescent="0.2">
      <c r="B1426" s="2">
        <f ca="1"/>
        <v>0.17198363230169122</v>
      </c>
      <c r="O1426" s="2">
        <f ca="1"/>
        <v>-0.49454614150676313</v>
      </c>
      <c r="X1426" s="2">
        <f ca="1"/>
        <v>45.943772575927809</v>
      </c>
      <c r="AG1426" s="2">
        <f ca="1"/>
        <v>0.44883867589460946</v>
      </c>
      <c r="AH1426" s="2" t="str">
        <f ca="1"/>
        <v>Bad</v>
      </c>
    </row>
    <row r="1427" spans="2:34" x14ac:dyDescent="0.2">
      <c r="B1427" s="2">
        <f ca="1"/>
        <v>0.68851453010533148</v>
      </c>
      <c r="O1427" s="2">
        <f ca="1"/>
        <v>0.53862463840705854</v>
      </c>
      <c r="X1427" s="2">
        <f ca="1"/>
        <v>66.668684476757264</v>
      </c>
      <c r="AG1427" s="2">
        <f ca="1"/>
        <v>0.54965250162759638</v>
      </c>
      <c r="AH1427" s="2" t="str">
        <f ca="1"/>
        <v>Bad</v>
      </c>
    </row>
    <row r="1428" spans="2:34" x14ac:dyDescent="0.2">
      <c r="B1428" s="2">
        <f ca="1"/>
        <v>0.74161833208756489</v>
      </c>
      <c r="O1428" s="2">
        <f ca="1"/>
        <v>-1.5511213877226748</v>
      </c>
      <c r="X1428" s="2">
        <f ca="1"/>
        <v>44.233143857816337</v>
      </c>
      <c r="AG1428" s="2">
        <f ca="1"/>
        <v>0.14195749261327739</v>
      </c>
      <c r="AH1428" s="2" t="str">
        <f ca="1"/>
        <v>OK</v>
      </c>
    </row>
    <row r="1429" spans="2:34" x14ac:dyDescent="0.2">
      <c r="B1429" s="2">
        <f ca="1"/>
        <v>0.55410965890164432</v>
      </c>
      <c r="O1429" s="2">
        <f ca="1"/>
        <v>-1.7714181995271145</v>
      </c>
      <c r="X1429" s="2">
        <f ca="1"/>
        <v>62.951739589712332</v>
      </c>
      <c r="AG1429" s="2">
        <f ca="1"/>
        <v>0.15060928240873084</v>
      </c>
      <c r="AH1429" s="2" t="str">
        <f ca="1"/>
        <v>OK</v>
      </c>
    </row>
    <row r="1430" spans="2:34" x14ac:dyDescent="0.2">
      <c r="B1430" s="2">
        <f ca="1"/>
        <v>0.13889738926997564</v>
      </c>
      <c r="O1430" s="2">
        <f ca="1"/>
        <v>-0.247315661367213</v>
      </c>
      <c r="X1430" s="2">
        <f ca="1"/>
        <v>41.040579085161831</v>
      </c>
      <c r="AG1430" s="2">
        <f ca="1"/>
        <v>5.4233555991072713E-2</v>
      </c>
      <c r="AH1430" s="2" t="str">
        <f ca="1"/>
        <v>OK</v>
      </c>
    </row>
    <row r="1431" spans="2:34" x14ac:dyDescent="0.2">
      <c r="B1431" s="2">
        <f ca="1"/>
        <v>8.8538340330088561E-2</v>
      </c>
      <c r="O1431" s="2">
        <f ca="1"/>
        <v>-2.0968013349739381</v>
      </c>
      <c r="X1431" s="2">
        <f ca="1"/>
        <v>39.333063409592441</v>
      </c>
      <c r="AG1431" s="2">
        <f ca="1"/>
        <v>0.97802902088832</v>
      </c>
      <c r="AH1431" s="2" t="str">
        <f ca="1"/>
        <v>Bad</v>
      </c>
    </row>
    <row r="1432" spans="2:34" x14ac:dyDescent="0.2">
      <c r="B1432" s="2">
        <f ca="1"/>
        <v>0.46568392729875629</v>
      </c>
      <c r="O1432" s="2">
        <f ca="1"/>
        <v>-1.377909457531822</v>
      </c>
      <c r="X1432" s="2">
        <f ca="1"/>
        <v>37.050432587505746</v>
      </c>
      <c r="AG1432" s="2">
        <f ca="1"/>
        <v>0.35725304196728858</v>
      </c>
      <c r="AH1432" s="2" t="str">
        <f ca="1"/>
        <v>OK</v>
      </c>
    </row>
    <row r="1433" spans="2:34" x14ac:dyDescent="0.2">
      <c r="B1433" s="2">
        <f ca="1"/>
        <v>0.13800339663817618</v>
      </c>
      <c r="O1433" s="2">
        <f ca="1"/>
        <v>-1.5300255367525153</v>
      </c>
      <c r="X1433" s="2">
        <f ca="1"/>
        <v>60.628769869785934</v>
      </c>
      <c r="AG1433" s="2">
        <f ca="1"/>
        <v>0.77084103940051496</v>
      </c>
      <c r="AH1433" s="2" t="str">
        <f ca="1"/>
        <v>Bad</v>
      </c>
    </row>
    <row r="1434" spans="2:34" x14ac:dyDescent="0.2">
      <c r="B1434" s="2">
        <f ca="1"/>
        <v>0.62485134806857223</v>
      </c>
      <c r="O1434" s="2">
        <f ca="1"/>
        <v>-1.7003723987357728</v>
      </c>
      <c r="X1434" s="2">
        <f ca="1"/>
        <v>65.512829966260696</v>
      </c>
      <c r="AG1434" s="2">
        <f ca="1"/>
        <v>0.5746912167801006</v>
      </c>
      <c r="AH1434" s="2" t="str">
        <f ca="1"/>
        <v>Bad</v>
      </c>
    </row>
    <row r="1435" spans="2:34" x14ac:dyDescent="0.2">
      <c r="B1435" s="2">
        <f ca="1"/>
        <v>0.6678828261371601</v>
      </c>
      <c r="O1435" s="2">
        <f ca="1"/>
        <v>1.1816812033133401</v>
      </c>
      <c r="X1435" s="2">
        <f ca="1"/>
        <v>69.397315436122128</v>
      </c>
      <c r="AG1435" s="2">
        <f ca="1"/>
        <v>0.88574717882186871</v>
      </c>
      <c r="AH1435" s="2" t="str">
        <f ca="1"/>
        <v>Bad</v>
      </c>
    </row>
    <row r="1436" spans="2:34" x14ac:dyDescent="0.2">
      <c r="B1436" s="2">
        <f ca="1"/>
        <v>0.41181618300786194</v>
      </c>
      <c r="O1436" s="2">
        <f ca="1"/>
        <v>1.2930881752878405</v>
      </c>
      <c r="X1436" s="2">
        <f ca="1"/>
        <v>49.797232370097824</v>
      </c>
      <c r="AG1436" s="2">
        <f ca="1"/>
        <v>0.18123553895790345</v>
      </c>
      <c r="AH1436" s="2" t="str">
        <f ca="1"/>
        <v>OK</v>
      </c>
    </row>
    <row r="1437" spans="2:34" x14ac:dyDescent="0.2">
      <c r="B1437" s="2">
        <f ca="1"/>
        <v>0.66526310756967932</v>
      </c>
      <c r="O1437" s="2">
        <f ca="1"/>
        <v>-0.33548709161750323</v>
      </c>
      <c r="X1437" s="2">
        <f ca="1"/>
        <v>40.98105565859089</v>
      </c>
      <c r="AG1437" s="2">
        <f ca="1"/>
        <v>0.31489817136292597</v>
      </c>
      <c r="AH1437" s="2" t="str">
        <f ca="1"/>
        <v>OK</v>
      </c>
    </row>
    <row r="1438" spans="2:34" x14ac:dyDescent="0.2">
      <c r="B1438" s="2">
        <f ca="1"/>
        <v>9.870551319455001E-2</v>
      </c>
      <c r="O1438" s="2">
        <f ca="1"/>
        <v>-3.6996209583903483E-2</v>
      </c>
      <c r="X1438" s="2">
        <f ca="1"/>
        <v>53.777457846778624</v>
      </c>
      <c r="AG1438" s="2">
        <f ca="1"/>
        <v>0.373928703504391</v>
      </c>
      <c r="AH1438" s="2" t="str">
        <f ca="1"/>
        <v>OK</v>
      </c>
    </row>
    <row r="1439" spans="2:34" x14ac:dyDescent="0.2">
      <c r="B1439" s="2">
        <f ca="1"/>
        <v>0.50301115853139056</v>
      </c>
      <c r="O1439" s="2">
        <f ca="1"/>
        <v>0.26982192282450501</v>
      </c>
      <c r="X1439" s="2">
        <f ca="1"/>
        <v>58.766708487772128</v>
      </c>
      <c r="AG1439" s="2">
        <f ca="1"/>
        <v>0.69971152627832445</v>
      </c>
      <c r="AH1439" s="2" t="str">
        <f ca="1"/>
        <v>Bad</v>
      </c>
    </row>
    <row r="1440" spans="2:34" x14ac:dyDescent="0.2">
      <c r="B1440" s="2">
        <f ca="1"/>
        <v>0.92582249828553209</v>
      </c>
      <c r="O1440" s="2">
        <f ca="1"/>
        <v>0.34597074158674934</v>
      </c>
      <c r="X1440" s="2">
        <f ca="1"/>
        <v>53.648623489777322</v>
      </c>
      <c r="AG1440" s="2">
        <f ca="1"/>
        <v>0.84587547960953557</v>
      </c>
      <c r="AH1440" s="2" t="str">
        <f ca="1"/>
        <v>Bad</v>
      </c>
    </row>
    <row r="1441" spans="2:34" x14ac:dyDescent="0.2">
      <c r="B1441" s="2">
        <f ca="1"/>
        <v>0.34567433927050328</v>
      </c>
      <c r="O1441" s="2">
        <f ca="1"/>
        <v>0.33242591316724784</v>
      </c>
      <c r="X1441" s="2">
        <f ca="1"/>
        <v>26.9172401207517</v>
      </c>
      <c r="AG1441" s="2">
        <f ca="1"/>
        <v>7.5968928210157216E-3</v>
      </c>
      <c r="AH1441" s="2" t="str">
        <f ca="1"/>
        <v>Good</v>
      </c>
    </row>
    <row r="1442" spans="2:34" x14ac:dyDescent="0.2">
      <c r="B1442" s="2">
        <f ca="1"/>
        <v>0.21331623480306972</v>
      </c>
      <c r="O1442" s="2">
        <f ca="1"/>
        <v>0.49773763005053989</v>
      </c>
      <c r="X1442" s="2">
        <f ca="1"/>
        <v>68.529675640798303</v>
      </c>
      <c r="AG1442" s="2">
        <f ca="1"/>
        <v>0.782404922125016</v>
      </c>
      <c r="AH1442" s="2" t="str">
        <f ca="1"/>
        <v>Bad</v>
      </c>
    </row>
    <row r="1443" spans="2:34" x14ac:dyDescent="0.2">
      <c r="B1443" s="2">
        <f ca="1"/>
        <v>0.95300214779525283</v>
      </c>
      <c r="O1443" s="2">
        <f ca="1"/>
        <v>0.68203205240405862</v>
      </c>
      <c r="X1443" s="2">
        <f ca="1"/>
        <v>74.505418666846055</v>
      </c>
      <c r="AG1443" s="2">
        <f ca="1"/>
        <v>0.14768111902210501</v>
      </c>
      <c r="AH1443" s="2" t="str">
        <f ca="1"/>
        <v>OK</v>
      </c>
    </row>
    <row r="1444" spans="2:34" x14ac:dyDescent="0.2">
      <c r="B1444" s="2">
        <f ca="1"/>
        <v>0.42205299960705545</v>
      </c>
      <c r="O1444" s="2">
        <f ca="1"/>
        <v>0.5274670767747196</v>
      </c>
      <c r="X1444" s="2">
        <f ca="1"/>
        <v>48.668695340167275</v>
      </c>
      <c r="AG1444" s="2">
        <f ca="1"/>
        <v>0.89458931749352688</v>
      </c>
      <c r="AH1444" s="2" t="str">
        <f ca="1"/>
        <v>Bad</v>
      </c>
    </row>
    <row r="1445" spans="2:34" x14ac:dyDescent="0.2">
      <c r="B1445" s="2">
        <f ca="1"/>
        <v>1.3755379924495825E-2</v>
      </c>
      <c r="O1445" s="2">
        <f ca="1"/>
        <v>1.6729604075424416</v>
      </c>
      <c r="X1445" s="2">
        <f ca="1"/>
        <v>65.655953755106964</v>
      </c>
      <c r="AG1445" s="2">
        <f ca="1"/>
        <v>9.5227083140206892E-2</v>
      </c>
      <c r="AH1445" s="2" t="str">
        <f ca="1"/>
        <v>OK</v>
      </c>
    </row>
    <row r="1446" spans="2:34" x14ac:dyDescent="0.2">
      <c r="B1446" s="2">
        <f ca="1"/>
        <v>0.93727192530134129</v>
      </c>
      <c r="O1446" s="2">
        <f ca="1"/>
        <v>2.2633134308372478</v>
      </c>
      <c r="X1446" s="2">
        <f ca="1"/>
        <v>46.945301655617598</v>
      </c>
      <c r="AG1446" s="2">
        <f ca="1"/>
        <v>0.37825093589642145</v>
      </c>
      <c r="AH1446" s="2" t="str">
        <f ca="1"/>
        <v>OK</v>
      </c>
    </row>
    <row r="1447" spans="2:34" x14ac:dyDescent="0.2">
      <c r="B1447" s="2">
        <f ca="1"/>
        <v>0.96978413265348973</v>
      </c>
      <c r="O1447" s="2">
        <f ca="1"/>
        <v>0.4837304667612296</v>
      </c>
      <c r="X1447" s="2">
        <f ca="1"/>
        <v>41.664793775946677</v>
      </c>
      <c r="AG1447" s="2">
        <f ca="1"/>
        <v>0.96952015229804833</v>
      </c>
      <c r="AH1447" s="2" t="str">
        <f ca="1"/>
        <v>Bad</v>
      </c>
    </row>
    <row r="1448" spans="2:34" x14ac:dyDescent="0.2">
      <c r="B1448" s="2">
        <f ca="1"/>
        <v>0.53613451570017467</v>
      </c>
      <c r="O1448" s="2">
        <f ca="1"/>
        <v>0.24098589347736052</v>
      </c>
      <c r="X1448" s="2">
        <f ca="1"/>
        <v>18.990767633933871</v>
      </c>
      <c r="AG1448" s="2">
        <f ca="1"/>
        <v>0.82738903541432629</v>
      </c>
      <c r="AH1448" s="2" t="str">
        <f ca="1"/>
        <v>Bad</v>
      </c>
    </row>
    <row r="1449" spans="2:34" x14ac:dyDescent="0.2">
      <c r="B1449" s="2">
        <f ca="1"/>
        <v>0.41471913331119858</v>
      </c>
      <c r="O1449" s="2">
        <f ca="1"/>
        <v>1.0041985443467756</v>
      </c>
      <c r="X1449" s="2">
        <f ca="1"/>
        <v>53.546414020690058</v>
      </c>
      <c r="AG1449" s="2">
        <f ca="1"/>
        <v>0.43255167840505848</v>
      </c>
      <c r="AH1449" s="2" t="str">
        <f ca="1"/>
        <v>Bad</v>
      </c>
    </row>
    <row r="1450" spans="2:34" x14ac:dyDescent="0.2">
      <c r="B1450" s="2">
        <f ca="1"/>
        <v>0.78510441587795388</v>
      </c>
      <c r="O1450" s="2">
        <f ca="1"/>
        <v>-2.1115598974858165</v>
      </c>
      <c r="X1450" s="2">
        <f ca="1"/>
        <v>63.84502061303111</v>
      </c>
      <c r="AG1450" s="2">
        <f ca="1"/>
        <v>0.83029912034756315</v>
      </c>
      <c r="AH1450" s="2" t="str">
        <f ca="1"/>
        <v>Bad</v>
      </c>
    </row>
    <row r="1451" spans="2:34" x14ac:dyDescent="0.2">
      <c r="B1451" s="2">
        <f ca="1"/>
        <v>0.83776041011273761</v>
      </c>
      <c r="O1451" s="2">
        <f ca="1"/>
        <v>0.72169174355918475</v>
      </c>
      <c r="X1451" s="2">
        <f ca="1"/>
        <v>25.67117411958872</v>
      </c>
      <c r="AG1451" s="2">
        <f ca="1"/>
        <v>0.13767844839470755</v>
      </c>
      <c r="AH1451" s="2" t="str">
        <f ca="1"/>
        <v>OK</v>
      </c>
    </row>
    <row r="1452" spans="2:34" x14ac:dyDescent="0.2">
      <c r="B1452" s="2">
        <f ca="1"/>
        <v>0.72712292643743481</v>
      </c>
      <c r="O1452" s="2">
        <f ca="1"/>
        <v>-0.64495427670391647</v>
      </c>
      <c r="X1452" s="2">
        <f ca="1"/>
        <v>28.222040738563976</v>
      </c>
      <c r="AG1452" s="2">
        <f ca="1"/>
        <v>9.3457152230878027E-2</v>
      </c>
      <c r="AH1452" s="2" t="str">
        <f ca="1"/>
        <v>OK</v>
      </c>
    </row>
    <row r="1453" spans="2:34" x14ac:dyDescent="0.2">
      <c r="B1453" s="2">
        <f ca="1"/>
        <v>0.75598957588871385</v>
      </c>
      <c r="O1453" s="2">
        <f ca="1"/>
        <v>-0.63925848988361622</v>
      </c>
      <c r="X1453" s="2">
        <f ca="1"/>
        <v>58.775167530859491</v>
      </c>
      <c r="AG1453" s="2">
        <f ca="1"/>
        <v>0.26433207103820688</v>
      </c>
      <c r="AH1453" s="2" t="str">
        <f ca="1"/>
        <v>OK</v>
      </c>
    </row>
    <row r="1454" spans="2:34" x14ac:dyDescent="0.2">
      <c r="B1454" s="2">
        <f ca="1"/>
        <v>0.77239419055332914</v>
      </c>
      <c r="O1454" s="2">
        <f ca="1"/>
        <v>0.28135226929638429</v>
      </c>
      <c r="X1454" s="2">
        <f ca="1"/>
        <v>66.695515011044336</v>
      </c>
      <c r="AG1454" s="2">
        <f ca="1"/>
        <v>0.71097006254062989</v>
      </c>
      <c r="AH1454" s="2" t="str">
        <f ca="1"/>
        <v>Bad</v>
      </c>
    </row>
    <row r="1455" spans="2:34" x14ac:dyDescent="0.2">
      <c r="B1455" s="2">
        <f ca="1"/>
        <v>0.24311624426770462</v>
      </c>
      <c r="O1455" s="2">
        <f ca="1"/>
        <v>-0.55263844352711233</v>
      </c>
      <c r="X1455" s="2">
        <f ca="1"/>
        <v>53.247561281719754</v>
      </c>
      <c r="AG1455" s="2">
        <f ca="1"/>
        <v>0.76804479143183091</v>
      </c>
      <c r="AH1455" s="2" t="str">
        <f ca="1"/>
        <v>Bad</v>
      </c>
    </row>
    <row r="1456" spans="2:34" x14ac:dyDescent="0.2">
      <c r="B1456" s="2">
        <f ca="1"/>
        <v>0.38139643305959892</v>
      </c>
      <c r="O1456" s="2">
        <f ca="1"/>
        <v>-1.0268768209864001</v>
      </c>
      <c r="X1456" s="2">
        <f ca="1"/>
        <v>54.476773732898145</v>
      </c>
      <c r="AG1456" s="2">
        <f ca="1"/>
        <v>0.64758589909620734</v>
      </c>
      <c r="AH1456" s="2" t="str">
        <f ca="1"/>
        <v>Bad</v>
      </c>
    </row>
    <row r="1457" spans="2:34" x14ac:dyDescent="0.2">
      <c r="B1457" s="2">
        <f ca="1"/>
        <v>0.94169356340907862</v>
      </c>
      <c r="O1457" s="2">
        <f ca="1"/>
        <v>0.32931988839713522</v>
      </c>
      <c r="X1457" s="2">
        <f ca="1"/>
        <v>63.265897211598208</v>
      </c>
      <c r="AG1457" s="2">
        <f ca="1"/>
        <v>0.38949612091988306</v>
      </c>
      <c r="AH1457" s="2" t="str">
        <f ca="1"/>
        <v>OK</v>
      </c>
    </row>
    <row r="1458" spans="2:34" x14ac:dyDescent="0.2">
      <c r="B1458" s="2">
        <f ca="1"/>
        <v>0.2282816610101297</v>
      </c>
      <c r="O1458" s="2">
        <f ca="1"/>
        <v>-0.13026807389387171</v>
      </c>
      <c r="X1458" s="2">
        <f ca="1"/>
        <v>91.379018323185548</v>
      </c>
      <c r="AG1458" s="2">
        <f ca="1"/>
        <v>0.93070745652389575</v>
      </c>
      <c r="AH1458" s="2" t="str">
        <f ca="1"/>
        <v>Bad</v>
      </c>
    </row>
    <row r="1459" spans="2:34" x14ac:dyDescent="0.2">
      <c r="B1459" s="2">
        <f ca="1"/>
        <v>0.52466995723463561</v>
      </c>
      <c r="O1459" s="2">
        <f ca="1"/>
        <v>-0.83841669367818006</v>
      </c>
      <c r="X1459" s="2">
        <f ca="1"/>
        <v>64.933002568946279</v>
      </c>
      <c r="AG1459" s="2">
        <f ca="1"/>
        <v>0.67444122855788047</v>
      </c>
      <c r="AH1459" s="2" t="str">
        <f ca="1"/>
        <v>Bad</v>
      </c>
    </row>
    <row r="1460" spans="2:34" x14ac:dyDescent="0.2">
      <c r="B1460" s="2">
        <f ca="1"/>
        <v>1.7655138178946261E-2</v>
      </c>
      <c r="O1460" s="2">
        <f ca="1"/>
        <v>-0.19460381076072486</v>
      </c>
      <c r="X1460" s="2">
        <f ca="1"/>
        <v>45.011613934728118</v>
      </c>
      <c r="AG1460" s="2">
        <f ca="1"/>
        <v>0.31647903360286267</v>
      </c>
      <c r="AH1460" s="2" t="str">
        <f ca="1"/>
        <v>OK</v>
      </c>
    </row>
    <row r="1461" spans="2:34" x14ac:dyDescent="0.2">
      <c r="B1461" s="2">
        <f ca="1"/>
        <v>0.19234722713548336</v>
      </c>
      <c r="O1461" s="2">
        <f ca="1"/>
        <v>1.1248239983709103</v>
      </c>
      <c r="X1461" s="2">
        <f ca="1"/>
        <v>41.640022177620779</v>
      </c>
      <c r="AG1461" s="2">
        <f ca="1"/>
        <v>0.90281450192367263</v>
      </c>
      <c r="AH1461" s="2" t="str">
        <f ca="1"/>
        <v>Bad</v>
      </c>
    </row>
    <row r="1462" spans="2:34" x14ac:dyDescent="0.2">
      <c r="B1462" s="2">
        <f ca="1"/>
        <v>0.15153146366704062</v>
      </c>
      <c r="O1462" s="2">
        <f ca="1"/>
        <v>0.50533154165712757</v>
      </c>
      <c r="X1462" s="2">
        <f ca="1"/>
        <v>70.2077169525991</v>
      </c>
      <c r="AG1462" s="2">
        <f ca="1"/>
        <v>8.8914826607978892E-2</v>
      </c>
      <c r="AH1462" s="2" t="str">
        <f ca="1"/>
        <v>OK</v>
      </c>
    </row>
    <row r="1463" spans="2:34" x14ac:dyDescent="0.2">
      <c r="B1463" s="2">
        <f ca="1"/>
        <v>0.92277511526183753</v>
      </c>
      <c r="O1463" s="2">
        <f ca="1"/>
        <v>1.0880576061539515</v>
      </c>
      <c r="X1463" s="2">
        <f ca="1"/>
        <v>24.414527383702428</v>
      </c>
      <c r="AG1463" s="2">
        <f ca="1"/>
        <v>0.82803652723718968</v>
      </c>
      <c r="AH1463" s="2" t="str">
        <f ca="1"/>
        <v>Bad</v>
      </c>
    </row>
    <row r="1464" spans="2:34" x14ac:dyDescent="0.2">
      <c r="B1464" s="2">
        <f ca="1"/>
        <v>0.19993654428658081</v>
      </c>
      <c r="O1464" s="2">
        <f ca="1"/>
        <v>-0.60684333719026051</v>
      </c>
      <c r="X1464" s="2">
        <f ca="1"/>
        <v>36.89138373989374</v>
      </c>
      <c r="AG1464" s="2">
        <f ca="1"/>
        <v>0.8826406442956185</v>
      </c>
      <c r="AH1464" s="2" t="str">
        <f ca="1"/>
        <v>Bad</v>
      </c>
    </row>
    <row r="1465" spans="2:34" x14ac:dyDescent="0.2">
      <c r="B1465" s="2">
        <f ca="1"/>
        <v>7.2184105270934884E-2</v>
      </c>
      <c r="O1465" s="2">
        <f ca="1"/>
        <v>-2.2690728159833031</v>
      </c>
      <c r="X1465" s="2">
        <f ca="1"/>
        <v>42.382263405072329</v>
      </c>
      <c r="AG1465" s="2">
        <f ca="1"/>
        <v>0.84717222119495728</v>
      </c>
      <c r="AH1465" s="2" t="str">
        <f ca="1"/>
        <v>Bad</v>
      </c>
    </row>
    <row r="1466" spans="2:34" x14ac:dyDescent="0.2">
      <c r="B1466" s="2">
        <f ca="1"/>
        <v>0.18783896799305877</v>
      </c>
      <c r="O1466" s="2">
        <f ca="1"/>
        <v>-0.74500387258578138</v>
      </c>
      <c r="X1466" s="2">
        <f ca="1"/>
        <v>55.911621924173602</v>
      </c>
      <c r="AG1466" s="2">
        <f ca="1"/>
        <v>0.10773487193995046</v>
      </c>
      <c r="AH1466" s="2" t="str">
        <f ca="1"/>
        <v>OK</v>
      </c>
    </row>
    <row r="1467" spans="2:34" x14ac:dyDescent="0.2">
      <c r="B1467" s="2">
        <f ca="1"/>
        <v>0.27921607146965033</v>
      </c>
      <c r="O1467" s="2">
        <f ca="1"/>
        <v>-0.55590352227707318</v>
      </c>
      <c r="X1467" s="2">
        <f ca="1"/>
        <v>43.720832397609897</v>
      </c>
      <c r="AG1467" s="2">
        <f ca="1"/>
        <v>0.56098508069067554</v>
      </c>
      <c r="AH1467" s="2" t="str">
        <f ca="1"/>
        <v>Bad</v>
      </c>
    </row>
    <row r="1468" spans="2:34" x14ac:dyDescent="0.2">
      <c r="B1468" s="2">
        <f ca="1"/>
        <v>0.14052832857700404</v>
      </c>
      <c r="O1468" s="2">
        <f ca="1"/>
        <v>0.29450819029406916</v>
      </c>
      <c r="X1468" s="2">
        <f ca="1"/>
        <v>49.971467855826262</v>
      </c>
      <c r="AG1468" s="2">
        <f ca="1"/>
        <v>0.58857508149007987</v>
      </c>
      <c r="AH1468" s="2" t="str">
        <f ca="1"/>
        <v>Bad</v>
      </c>
    </row>
    <row r="1469" spans="2:34" x14ac:dyDescent="0.2">
      <c r="B1469" s="2">
        <f ca="1"/>
        <v>5.5917182968171941E-2</v>
      </c>
      <c r="O1469" s="2">
        <f ca="1"/>
        <v>0.87635363482803608</v>
      </c>
      <c r="X1469" s="2">
        <f ca="1"/>
        <v>28.48679318703191</v>
      </c>
      <c r="AG1469" s="2">
        <f ca="1"/>
        <v>0.59150853381232027</v>
      </c>
      <c r="AH1469" s="2" t="str">
        <f ca="1"/>
        <v>Bad</v>
      </c>
    </row>
    <row r="1470" spans="2:34" x14ac:dyDescent="0.2">
      <c r="B1470" s="2">
        <f ca="1"/>
        <v>0.74558036842358666</v>
      </c>
      <c r="O1470" s="2">
        <f ca="1"/>
        <v>-1.0924617796330001E-2</v>
      </c>
      <c r="X1470" s="2">
        <f ca="1"/>
        <v>71.907734444527094</v>
      </c>
      <c r="AG1470" s="2">
        <f ca="1"/>
        <v>0.4142613196309386</v>
      </c>
      <c r="AH1470" s="2" t="str">
        <f ca="1"/>
        <v>Bad</v>
      </c>
    </row>
    <row r="1471" spans="2:34" x14ac:dyDescent="0.2">
      <c r="B1471" s="2">
        <f ca="1"/>
        <v>0.47503411965297904</v>
      </c>
      <c r="O1471" s="2">
        <f ca="1"/>
        <v>-1.2587773254865147</v>
      </c>
      <c r="X1471" s="2">
        <f ca="1"/>
        <v>69.708102698983012</v>
      </c>
      <c r="AG1471" s="2">
        <f ca="1"/>
        <v>0.45998782457076626</v>
      </c>
      <c r="AH1471" s="2" t="str">
        <f ca="1"/>
        <v>Bad</v>
      </c>
    </row>
    <row r="1472" spans="2:34" x14ac:dyDescent="0.2">
      <c r="B1472" s="2">
        <f ca="1"/>
        <v>0.26822727478675734</v>
      </c>
      <c r="O1472" s="2">
        <f ca="1"/>
        <v>-0.92734791957157992</v>
      </c>
      <c r="X1472" s="2">
        <f ca="1"/>
        <v>27.84045875665392</v>
      </c>
      <c r="AG1472" s="2">
        <f ca="1"/>
        <v>0.58755796219539835</v>
      </c>
      <c r="AH1472" s="2" t="str">
        <f ca="1"/>
        <v>Bad</v>
      </c>
    </row>
    <row r="1473" spans="2:34" x14ac:dyDescent="0.2">
      <c r="B1473" s="2">
        <f ca="1"/>
        <v>0.40400604242391736</v>
      </c>
      <c r="O1473" s="2">
        <f ca="1"/>
        <v>-2.3430683946480992</v>
      </c>
      <c r="X1473" s="2">
        <f ca="1"/>
        <v>59.080378082958504</v>
      </c>
      <c r="AG1473" s="2">
        <f ca="1"/>
        <v>0.77197496180241454</v>
      </c>
      <c r="AH1473" s="2" t="str">
        <f ca="1"/>
        <v>Bad</v>
      </c>
    </row>
    <row r="1474" spans="2:34" x14ac:dyDescent="0.2">
      <c r="B1474" s="2">
        <f ca="1"/>
        <v>0.11310610533982546</v>
      </c>
      <c r="O1474" s="2">
        <f ca="1"/>
        <v>0.71936051548642643</v>
      </c>
      <c r="X1474" s="2">
        <f ca="1"/>
        <v>49.411274603540171</v>
      </c>
      <c r="AG1474" s="2">
        <f ca="1"/>
        <v>0.87187751447653117</v>
      </c>
      <c r="AH1474" s="2" t="str">
        <f ca="1"/>
        <v>Bad</v>
      </c>
    </row>
    <row r="1475" spans="2:34" x14ac:dyDescent="0.2">
      <c r="B1475" s="2">
        <f ca="1"/>
        <v>1.9089888069869998E-2</v>
      </c>
      <c r="O1475" s="2">
        <f ca="1"/>
        <v>-0.18996631728730493</v>
      </c>
      <c r="X1475" s="2">
        <f ca="1"/>
        <v>53.309889724730439</v>
      </c>
      <c r="AG1475" s="2">
        <f ca="1"/>
        <v>0.58083706329683715</v>
      </c>
      <c r="AH1475" s="2" t="str">
        <f ca="1"/>
        <v>Bad</v>
      </c>
    </row>
    <row r="1476" spans="2:34" x14ac:dyDescent="0.2">
      <c r="B1476" s="2">
        <f ca="1"/>
        <v>0.70006294010174752</v>
      </c>
      <c r="O1476" s="2">
        <f ca="1"/>
        <v>-1.5674823781641016</v>
      </c>
      <c r="X1476" s="2">
        <f ca="1"/>
        <v>56.132765454107243</v>
      </c>
      <c r="AG1476" s="2">
        <f ca="1"/>
        <v>0.95520469500975502</v>
      </c>
      <c r="AH1476" s="2" t="str">
        <f ca="1"/>
        <v>Bad</v>
      </c>
    </row>
    <row r="1477" spans="2:34" x14ac:dyDescent="0.2">
      <c r="B1477" s="2">
        <f ca="1"/>
        <v>0.41396167566627118</v>
      </c>
      <c r="O1477" s="2">
        <f ca="1"/>
        <v>0.99100086190103298</v>
      </c>
      <c r="X1477" s="2">
        <f ca="1"/>
        <v>82.562682487758963</v>
      </c>
      <c r="AG1477" s="2">
        <f ca="1"/>
        <v>0.13036701654767913</v>
      </c>
      <c r="AH1477" s="2" t="str">
        <f ca="1"/>
        <v>OK</v>
      </c>
    </row>
    <row r="1478" spans="2:34" x14ac:dyDescent="0.2">
      <c r="B1478" s="2">
        <f ca="1"/>
        <v>0.81562668307511887</v>
      </c>
      <c r="O1478" s="2">
        <f ca="1"/>
        <v>-0.71109595234226886</v>
      </c>
      <c r="X1478" s="2">
        <f ca="1"/>
        <v>59.755254685087124</v>
      </c>
      <c r="AG1478" s="2">
        <f ca="1"/>
        <v>0.76973960605825908</v>
      </c>
      <c r="AH1478" s="2" t="str">
        <f ca="1"/>
        <v>Bad</v>
      </c>
    </row>
    <row r="1479" spans="2:34" x14ac:dyDescent="0.2">
      <c r="B1479" s="2">
        <f ca="1"/>
        <v>0.6147109527930279</v>
      </c>
      <c r="O1479" s="2">
        <f ca="1"/>
        <v>0.37391381540046714</v>
      </c>
      <c r="X1479" s="2">
        <f ca="1"/>
        <v>42.383278756551661</v>
      </c>
      <c r="AG1479" s="2">
        <f ca="1"/>
        <v>0.32343941851258284</v>
      </c>
      <c r="AH1479" s="2" t="str">
        <f ca="1"/>
        <v>OK</v>
      </c>
    </row>
    <row r="1480" spans="2:34" x14ac:dyDescent="0.2">
      <c r="B1480" s="2">
        <f ca="1"/>
        <v>0.91055943919536264</v>
      </c>
      <c r="O1480" s="2">
        <f ca="1"/>
        <v>0.13794458597678946</v>
      </c>
      <c r="X1480" s="2">
        <f ca="1"/>
        <v>33.399313847959796</v>
      </c>
      <c r="AG1480" s="2">
        <f ca="1"/>
        <v>0.74124522078547517</v>
      </c>
      <c r="AH1480" s="2" t="str">
        <f ca="1"/>
        <v>Bad</v>
      </c>
    </row>
    <row r="1481" spans="2:34" x14ac:dyDescent="0.2">
      <c r="B1481" s="2">
        <f ca="1"/>
        <v>0.62085215775294689</v>
      </c>
      <c r="O1481" s="2">
        <f ca="1"/>
        <v>2.1280541178230257</v>
      </c>
      <c r="X1481" s="2">
        <f ca="1"/>
        <v>57.156889201207299</v>
      </c>
      <c r="AG1481" s="2">
        <f ca="1"/>
        <v>0.27810695828005483</v>
      </c>
      <c r="AH1481" s="2" t="str">
        <f ca="1"/>
        <v>OK</v>
      </c>
    </row>
    <row r="1482" spans="2:34" x14ac:dyDescent="0.2">
      <c r="B1482" s="2">
        <f ca="1"/>
        <v>0.86048706910907224</v>
      </c>
      <c r="O1482" s="2">
        <f ca="1"/>
        <v>1.2596083244892846</v>
      </c>
      <c r="X1482" s="2">
        <f ca="1"/>
        <v>45.241303262350172</v>
      </c>
      <c r="AG1482" s="2">
        <f ca="1"/>
        <v>0.91117932552091263</v>
      </c>
      <c r="AH1482" s="2" t="str">
        <f ca="1"/>
        <v>Bad</v>
      </c>
    </row>
    <row r="1483" spans="2:34" x14ac:dyDescent="0.2">
      <c r="B1483" s="2">
        <f ca="1"/>
        <v>0.85745894759022434</v>
      </c>
      <c r="O1483" s="2">
        <f ca="1"/>
        <v>0.52526892602374564</v>
      </c>
      <c r="X1483" s="2">
        <f ca="1"/>
        <v>80.232490489495447</v>
      </c>
      <c r="AG1483" s="2">
        <f ca="1"/>
        <v>0.35136654832424252</v>
      </c>
      <c r="AH1483" s="2" t="str">
        <f ca="1"/>
        <v>OK</v>
      </c>
    </row>
    <row r="1484" spans="2:34" x14ac:dyDescent="0.2">
      <c r="B1484" s="2">
        <f ca="1"/>
        <v>0.57470239944204371</v>
      </c>
      <c r="O1484" s="2">
        <f ca="1"/>
        <v>1.7192038389598263</v>
      </c>
      <c r="X1484" s="2">
        <f ca="1"/>
        <v>29.916132394090557</v>
      </c>
      <c r="AG1484" s="2">
        <f ca="1"/>
        <v>0.25766061708805266</v>
      </c>
      <c r="AH1484" s="2" t="str">
        <f ca="1"/>
        <v>OK</v>
      </c>
    </row>
    <row r="1485" spans="2:34" x14ac:dyDescent="0.2">
      <c r="B1485" s="2">
        <f ca="1"/>
        <v>4.9852888224322323E-2</v>
      </c>
      <c r="O1485" s="2">
        <f ca="1"/>
        <v>0.87568382863195016</v>
      </c>
      <c r="X1485" s="2">
        <f ca="1"/>
        <v>30.15054855463513</v>
      </c>
      <c r="AG1485" s="2">
        <f ca="1"/>
        <v>0.66345199543653921</v>
      </c>
      <c r="AH1485" s="2" t="str">
        <f ca="1"/>
        <v>Bad</v>
      </c>
    </row>
    <row r="1486" spans="2:34" x14ac:dyDescent="0.2">
      <c r="B1486" s="2">
        <f ca="1"/>
        <v>0.32794130242874875</v>
      </c>
      <c r="O1486" s="2">
        <f ca="1"/>
        <v>1.1852020753830319</v>
      </c>
      <c r="X1486" s="2">
        <f ca="1"/>
        <v>53.437621378838585</v>
      </c>
      <c r="AG1486" s="2">
        <f ca="1"/>
        <v>0.70021115892935737</v>
      </c>
      <c r="AH1486" s="2" t="str">
        <f ca="1"/>
        <v>Bad</v>
      </c>
    </row>
    <row r="1487" spans="2:34" x14ac:dyDescent="0.2">
      <c r="B1487" s="2">
        <f ca="1"/>
        <v>0.79452935885357778</v>
      </c>
      <c r="O1487" s="2">
        <f ca="1"/>
        <v>0.92424890000625126</v>
      </c>
      <c r="X1487" s="2">
        <f ca="1"/>
        <v>45.708266780406376</v>
      </c>
      <c r="AG1487" s="2">
        <f ca="1"/>
        <v>0.81171272123868898</v>
      </c>
      <c r="AH1487" s="2" t="str">
        <f ca="1"/>
        <v>Bad</v>
      </c>
    </row>
    <row r="1488" spans="2:34" x14ac:dyDescent="0.2">
      <c r="B1488" s="2">
        <f ca="1"/>
        <v>0.87024577853176699</v>
      </c>
      <c r="O1488" s="2">
        <f ca="1"/>
        <v>0.99988314718440763</v>
      </c>
      <c r="X1488" s="2">
        <f ca="1"/>
        <v>39.282611362001191</v>
      </c>
      <c r="AG1488" s="2">
        <f ca="1"/>
        <v>0.66756211553905209</v>
      </c>
      <c r="AH1488" s="2" t="str">
        <f ca="1"/>
        <v>Bad</v>
      </c>
    </row>
    <row r="1489" spans="2:34" x14ac:dyDescent="0.2">
      <c r="B1489" s="2">
        <f ca="1"/>
        <v>0.71745092336183025</v>
      </c>
      <c r="O1489" s="2">
        <f ca="1"/>
        <v>0.81477607877160674</v>
      </c>
      <c r="X1489" s="2">
        <f ca="1"/>
        <v>41.83821674919934</v>
      </c>
      <c r="AG1489" s="2">
        <f ca="1"/>
        <v>0.10571637400445133</v>
      </c>
      <c r="AH1489" s="2" t="str">
        <f ca="1"/>
        <v>OK</v>
      </c>
    </row>
    <row r="1490" spans="2:34" x14ac:dyDescent="0.2">
      <c r="B1490" s="2">
        <f ca="1"/>
        <v>0.94156686553349256</v>
      </c>
      <c r="O1490" s="2">
        <f ca="1"/>
        <v>-0.15742297445137307</v>
      </c>
      <c r="X1490" s="2">
        <f ca="1"/>
        <v>31.508801327546166</v>
      </c>
      <c r="AG1490" s="2">
        <f ca="1"/>
        <v>0.69981860013821984</v>
      </c>
      <c r="AH1490" s="2" t="str">
        <f ca="1"/>
        <v>Bad</v>
      </c>
    </row>
    <row r="1491" spans="2:34" x14ac:dyDescent="0.2">
      <c r="B1491" s="2">
        <f ca="1"/>
        <v>3.0330603476438123E-2</v>
      </c>
      <c r="O1491" s="2">
        <f ca="1"/>
        <v>-0.79380787340053927</v>
      </c>
      <c r="X1491" s="2">
        <f ca="1"/>
        <v>60.135526951691105</v>
      </c>
      <c r="AG1491" s="2">
        <f ca="1"/>
        <v>0.45075167237629388</v>
      </c>
      <c r="AH1491" s="2" t="str">
        <f ca="1"/>
        <v>Bad</v>
      </c>
    </row>
    <row r="1492" spans="2:34" x14ac:dyDescent="0.2">
      <c r="B1492" s="2">
        <f ca="1"/>
        <v>0.67412096871282468</v>
      </c>
      <c r="O1492" s="2">
        <f ca="1"/>
        <v>-0.50510244424828021</v>
      </c>
      <c r="X1492" s="2">
        <f ca="1"/>
        <v>46.277710343463681</v>
      </c>
      <c r="AG1492" s="2">
        <f ca="1"/>
        <v>0.53935266778971358</v>
      </c>
      <c r="AH1492" s="2" t="str">
        <f ca="1"/>
        <v>Bad</v>
      </c>
    </row>
    <row r="1493" spans="2:34" x14ac:dyDescent="0.2">
      <c r="B1493" s="2">
        <f ca="1"/>
        <v>0.80828368641291681</v>
      </c>
      <c r="O1493" s="2">
        <f ca="1"/>
        <v>-1.18869161994794</v>
      </c>
      <c r="X1493" s="2">
        <f ca="1"/>
        <v>58.332565779602632</v>
      </c>
      <c r="AG1493" s="2">
        <f ca="1"/>
        <v>1.9119383926916589E-2</v>
      </c>
      <c r="AH1493" s="2" t="str">
        <f ca="1"/>
        <v>Good</v>
      </c>
    </row>
    <row r="1494" spans="2:34" x14ac:dyDescent="0.2">
      <c r="B1494" s="2">
        <f ca="1"/>
        <v>0.9405068629966673</v>
      </c>
      <c r="O1494" s="2">
        <f ca="1"/>
        <v>1.2023667990008908</v>
      </c>
      <c r="X1494" s="2">
        <f ca="1"/>
        <v>64.091925175671037</v>
      </c>
      <c r="AG1494" s="2">
        <f ca="1"/>
        <v>0.52674919692989852</v>
      </c>
      <c r="AH1494" s="2" t="str">
        <f ca="1"/>
        <v>Bad</v>
      </c>
    </row>
    <row r="1495" spans="2:34" x14ac:dyDescent="0.2">
      <c r="B1495" s="2">
        <f ca="1"/>
        <v>8.3434083810106197E-2</v>
      </c>
      <c r="O1495" s="2">
        <f ca="1"/>
        <v>-0.73780772027716424</v>
      </c>
      <c r="X1495" s="2">
        <f ca="1"/>
        <v>73.235851411274794</v>
      </c>
      <c r="AG1495" s="2">
        <f ca="1"/>
        <v>0.41685173223815553</v>
      </c>
      <c r="AH1495" s="2" t="str">
        <f ca="1"/>
        <v>Bad</v>
      </c>
    </row>
    <row r="1496" spans="2:34" x14ac:dyDescent="0.2">
      <c r="B1496" s="2">
        <f ca="1"/>
        <v>0.16434674178414532</v>
      </c>
      <c r="O1496" s="2">
        <f ca="1"/>
        <v>0.55603581895115284</v>
      </c>
      <c r="X1496" s="2">
        <f ca="1"/>
        <v>57.664639019598226</v>
      </c>
      <c r="AG1496" s="2">
        <f ca="1"/>
        <v>0.86529581112345877</v>
      </c>
      <c r="AH1496" s="2" t="str">
        <f ca="1"/>
        <v>Bad</v>
      </c>
    </row>
    <row r="1497" spans="2:34" x14ac:dyDescent="0.2">
      <c r="B1497" s="2">
        <f ca="1"/>
        <v>0.78780152001318249</v>
      </c>
      <c r="O1497" s="2">
        <f ca="1"/>
        <v>-0.27342088677898613</v>
      </c>
      <c r="X1497" s="2">
        <f ca="1"/>
        <v>29.157658207526037</v>
      </c>
      <c r="AG1497" s="2">
        <f ca="1"/>
        <v>0.30872125387403004</v>
      </c>
      <c r="AH1497" s="2" t="str">
        <f ca="1"/>
        <v>OK</v>
      </c>
    </row>
    <row r="1498" spans="2:34" x14ac:dyDescent="0.2">
      <c r="B1498" s="2">
        <f ca="1"/>
        <v>0.7890133145017757</v>
      </c>
      <c r="O1498" s="2">
        <f ca="1"/>
        <v>0.46532944262136239</v>
      </c>
      <c r="X1498" s="2">
        <f ca="1"/>
        <v>36.060562836528867</v>
      </c>
      <c r="AG1498" s="2">
        <f ca="1"/>
        <v>0.16432583375004484</v>
      </c>
      <c r="AH1498" s="2" t="str">
        <f ca="1"/>
        <v>OK</v>
      </c>
    </row>
    <row r="1499" spans="2:34" x14ac:dyDescent="0.2">
      <c r="B1499" s="2">
        <f ca="1"/>
        <v>0.16469254917814835</v>
      </c>
      <c r="O1499" s="2">
        <f ca="1"/>
        <v>0.51506742412348216</v>
      </c>
      <c r="X1499" s="2">
        <f ca="1"/>
        <v>44.904140852191276</v>
      </c>
      <c r="AG1499" s="2">
        <f ca="1"/>
        <v>2.862657640356403E-2</v>
      </c>
      <c r="AH1499" s="2" t="str">
        <f ca="1"/>
        <v>Good</v>
      </c>
    </row>
    <row r="1500" spans="2:34" x14ac:dyDescent="0.2">
      <c r="B1500" s="2">
        <f ca="1"/>
        <v>0.76860433882030899</v>
      </c>
      <c r="O1500" s="2">
        <f ca="1"/>
        <v>0.99890481031351364</v>
      </c>
      <c r="X1500" s="2">
        <f ca="1"/>
        <v>59.683021255621796</v>
      </c>
      <c r="AG1500" s="2">
        <f ca="1"/>
        <v>0.47922127311927709</v>
      </c>
      <c r="AH1500" s="2" t="str">
        <f ca="1"/>
        <v>Bad</v>
      </c>
    </row>
    <row r="1501" spans="2:34" x14ac:dyDescent="0.2">
      <c r="B1501" s="2">
        <f ca="1"/>
        <v>0.45227371143656514</v>
      </c>
      <c r="O1501" s="2">
        <f ca="1"/>
        <v>-1.0536718439011714</v>
      </c>
      <c r="X1501" s="2">
        <f ca="1"/>
        <v>73.256735824040021</v>
      </c>
      <c r="AG1501" s="2">
        <f ca="1"/>
        <v>0.71724786972985322</v>
      </c>
      <c r="AH1501" s="2" t="str">
        <f ca="1"/>
        <v>Bad</v>
      </c>
    </row>
    <row r="1502" spans="2:34" x14ac:dyDescent="0.2">
      <c r="B1502" s="2">
        <f ca="1"/>
        <v>0.67319065934152933</v>
      </c>
      <c r="O1502" s="2">
        <f ca="1"/>
        <v>-3.0814462168716972E-2</v>
      </c>
      <c r="X1502" s="2">
        <f ca="1"/>
        <v>64.892180965613036</v>
      </c>
      <c r="AG1502" s="2">
        <f ca="1"/>
        <v>0.54666777967581881</v>
      </c>
      <c r="AH1502" s="2" t="str">
        <f ca="1"/>
        <v>Bad</v>
      </c>
    </row>
    <row r="1503" spans="2:34" x14ac:dyDescent="0.2">
      <c r="B1503" s="2">
        <f ca="1"/>
        <v>5.5884468904674467E-2</v>
      </c>
      <c r="O1503" s="2">
        <f ca="1"/>
        <v>-1.9380266124945649</v>
      </c>
      <c r="X1503" s="2">
        <f ca="1"/>
        <v>37.076950938491258</v>
      </c>
      <c r="AG1503" s="2">
        <f ca="1"/>
        <v>0.20478925484845312</v>
      </c>
      <c r="AH1503" s="2" t="str">
        <f ca="1"/>
        <v>OK</v>
      </c>
    </row>
    <row r="1504" spans="2:34" x14ac:dyDescent="0.2">
      <c r="B1504" s="2">
        <f ca="1"/>
        <v>0.24552221073966773</v>
      </c>
      <c r="O1504" s="2">
        <f ca="1"/>
        <v>-0.10289183999175047</v>
      </c>
      <c r="X1504" s="2">
        <f ca="1"/>
        <v>41.914773794335638</v>
      </c>
      <c r="AG1504" s="2">
        <f ca="1"/>
        <v>0.94303286489811033</v>
      </c>
      <c r="AH1504" s="2" t="str">
        <f ca="1"/>
        <v>Bad</v>
      </c>
    </row>
    <row r="1505" spans="2:34" x14ac:dyDescent="0.2">
      <c r="B1505" s="2">
        <f ca="1"/>
        <v>1.6657018736780715E-2</v>
      </c>
      <c r="O1505" s="2">
        <f ca="1"/>
        <v>1.0595922989388802</v>
      </c>
      <c r="X1505" s="2">
        <f ca="1"/>
        <v>68.321847510639117</v>
      </c>
      <c r="AG1505" s="2">
        <f ca="1"/>
        <v>0.22436294501601051</v>
      </c>
      <c r="AH1505" s="2" t="str">
        <f ca="1"/>
        <v>OK</v>
      </c>
    </row>
    <row r="1506" spans="2:34" x14ac:dyDescent="0.2">
      <c r="B1506" s="2">
        <f ca="1"/>
        <v>0.58884016873119216</v>
      </c>
      <c r="O1506" s="2">
        <f ca="1"/>
        <v>0.996881767771292</v>
      </c>
      <c r="X1506" s="2">
        <f ca="1"/>
        <v>24.229306296150909</v>
      </c>
      <c r="AG1506" s="2">
        <f ca="1"/>
        <v>0.93142478619520475</v>
      </c>
      <c r="AH1506" s="2" t="str">
        <f ca="1"/>
        <v>Bad</v>
      </c>
    </row>
    <row r="1507" spans="2:34" x14ac:dyDescent="0.2">
      <c r="B1507" s="2">
        <f ca="1"/>
        <v>0.68374369710612237</v>
      </c>
      <c r="O1507" s="2">
        <f ca="1"/>
        <v>-0.61802146954358361</v>
      </c>
      <c r="X1507" s="2">
        <f ca="1"/>
        <v>91.571184894627123</v>
      </c>
      <c r="AG1507" s="2">
        <f ca="1"/>
        <v>8.0661863536812151E-2</v>
      </c>
      <c r="AH1507" s="2" t="str">
        <f ca="1"/>
        <v>OK</v>
      </c>
    </row>
    <row r="1508" spans="2:34" x14ac:dyDescent="0.2">
      <c r="B1508" s="2">
        <f ca="1"/>
        <v>0.60223771128188019</v>
      </c>
      <c r="O1508" s="2">
        <f ca="1"/>
        <v>0.4693418302168712</v>
      </c>
      <c r="X1508" s="2">
        <f ca="1"/>
        <v>79.501931522100605</v>
      </c>
      <c r="AG1508" s="2">
        <f ca="1"/>
        <v>0.50588067997600628</v>
      </c>
      <c r="AH1508" s="2" t="str">
        <f ca="1"/>
        <v>Bad</v>
      </c>
    </row>
    <row r="1509" spans="2:34" x14ac:dyDescent="0.2">
      <c r="B1509" s="2">
        <f ca="1"/>
        <v>0.54367838803997359</v>
      </c>
      <c r="O1509" s="2">
        <f ca="1"/>
        <v>1.4404992140588957</v>
      </c>
      <c r="X1509" s="2">
        <f ca="1"/>
        <v>46.890566425540015</v>
      </c>
      <c r="AG1509" s="2">
        <f ca="1"/>
        <v>0.66793767309743379</v>
      </c>
      <c r="AH1509" s="2" t="str">
        <f ca="1"/>
        <v>Bad</v>
      </c>
    </row>
    <row r="1510" spans="2:34" x14ac:dyDescent="0.2">
      <c r="B1510" s="2">
        <f ca="1"/>
        <v>0.88941114771903695</v>
      </c>
      <c r="O1510" s="2">
        <f ca="1"/>
        <v>1.3005865982836382</v>
      </c>
      <c r="X1510" s="2">
        <f ca="1"/>
        <v>63.034717999619289</v>
      </c>
      <c r="AG1510" s="2">
        <f ca="1"/>
        <v>0.71464801961937829</v>
      </c>
      <c r="AH1510" s="2" t="str">
        <f ca="1"/>
        <v>Bad</v>
      </c>
    </row>
    <row r="1511" spans="2:34" x14ac:dyDescent="0.2">
      <c r="B1511" s="2">
        <f ca="1"/>
        <v>0.90846222621067563</v>
      </c>
      <c r="O1511" s="2">
        <f ca="1"/>
        <v>0.34021141002059796</v>
      </c>
      <c r="X1511" s="2">
        <f ca="1"/>
        <v>57.782589578049659</v>
      </c>
      <c r="AG1511" s="2">
        <f ca="1"/>
        <v>0.75549021103059655</v>
      </c>
      <c r="AH1511" s="2" t="str">
        <f ca="1"/>
        <v>Bad</v>
      </c>
    </row>
    <row r="1512" spans="2:34" x14ac:dyDescent="0.2">
      <c r="B1512" s="2">
        <f ca="1"/>
        <v>0.78303752061777487</v>
      </c>
      <c r="O1512" s="2">
        <f ca="1"/>
        <v>-1.251167375496504</v>
      </c>
      <c r="X1512" s="2">
        <f ca="1"/>
        <v>28.286546349911429</v>
      </c>
      <c r="AG1512" s="2">
        <f ca="1"/>
        <v>0.69229660190719478</v>
      </c>
      <c r="AH1512" s="2" t="str">
        <f ca="1"/>
        <v>Bad</v>
      </c>
    </row>
    <row r="1513" spans="2:34" x14ac:dyDescent="0.2">
      <c r="B1513" s="2">
        <f ca="1"/>
        <v>0.86766129592982089</v>
      </c>
      <c r="O1513" s="2">
        <f ca="1"/>
        <v>0.93985117101799809</v>
      </c>
      <c r="X1513" s="2">
        <f ca="1"/>
        <v>48.261810474253821</v>
      </c>
      <c r="AG1513" s="2">
        <f ca="1"/>
        <v>0.39861118900996106</v>
      </c>
      <c r="AH1513" s="2" t="str">
        <f ca="1"/>
        <v>OK</v>
      </c>
    </row>
    <row r="1514" spans="2:34" x14ac:dyDescent="0.2">
      <c r="B1514" s="2">
        <f ca="1"/>
        <v>0.10587392961776732</v>
      </c>
      <c r="O1514" s="2">
        <f ca="1"/>
        <v>-0.98426990819952065</v>
      </c>
      <c r="X1514" s="2">
        <f ca="1"/>
        <v>51.732775598760135</v>
      </c>
      <c r="AG1514" s="2">
        <f ca="1"/>
        <v>0.5834641666011946</v>
      </c>
      <c r="AH1514" s="2" t="str">
        <f ca="1"/>
        <v>Bad</v>
      </c>
    </row>
    <row r="1515" spans="2:34" x14ac:dyDescent="0.2">
      <c r="B1515" s="2">
        <f ca="1"/>
        <v>0.16217787130708383</v>
      </c>
      <c r="O1515" s="2">
        <f ca="1"/>
        <v>-0.65863334528052087</v>
      </c>
      <c r="X1515" s="2">
        <f ca="1"/>
        <v>45.439234045477747</v>
      </c>
      <c r="AG1515" s="2">
        <f ca="1"/>
        <v>0.31554384853477346</v>
      </c>
      <c r="AH1515" s="2" t="str">
        <f ca="1"/>
        <v>OK</v>
      </c>
    </row>
    <row r="1516" spans="2:34" x14ac:dyDescent="0.2">
      <c r="B1516" s="2">
        <f ca="1"/>
        <v>0.91535882253032308</v>
      </c>
      <c r="O1516" s="2">
        <f ca="1"/>
        <v>0.23566922828458722</v>
      </c>
      <c r="X1516" s="2">
        <f ca="1"/>
        <v>40.285877774609105</v>
      </c>
      <c r="AG1516" s="2">
        <f ca="1"/>
        <v>0.3492265224868889</v>
      </c>
      <c r="AH1516" s="2" t="str">
        <f ca="1"/>
        <v>OK</v>
      </c>
    </row>
    <row r="1517" spans="2:34" x14ac:dyDescent="0.2">
      <c r="B1517" s="2">
        <f ca="1"/>
        <v>0.71192711673261222</v>
      </c>
      <c r="O1517" s="2">
        <f ca="1"/>
        <v>1.3812844250801031</v>
      </c>
      <c r="X1517" s="2">
        <f ca="1"/>
        <v>67.894536594738312</v>
      </c>
      <c r="AG1517" s="2">
        <f ca="1"/>
        <v>0.54186932791406028</v>
      </c>
      <c r="AH1517" s="2" t="str">
        <f ca="1"/>
        <v>Bad</v>
      </c>
    </row>
    <row r="1518" spans="2:34" x14ac:dyDescent="0.2">
      <c r="B1518" s="2">
        <f ca="1"/>
        <v>0.6573061836937788</v>
      </c>
      <c r="O1518" s="2">
        <f ca="1"/>
        <v>0.34009010921447369</v>
      </c>
      <c r="X1518" s="2">
        <f ca="1"/>
        <v>49.877448374576055</v>
      </c>
      <c r="AG1518" s="2">
        <f ca="1"/>
        <v>0.23408959623232772</v>
      </c>
      <c r="AH1518" s="2" t="str">
        <f ca="1"/>
        <v>OK</v>
      </c>
    </row>
    <row r="1519" spans="2:34" x14ac:dyDescent="0.2">
      <c r="B1519" s="2">
        <f ca="1"/>
        <v>0.86902499367819241</v>
      </c>
      <c r="O1519" s="2">
        <f ca="1"/>
        <v>-0.22449052329681138</v>
      </c>
      <c r="X1519" s="2">
        <f ca="1"/>
        <v>64.655834885778845</v>
      </c>
      <c r="AG1519" s="2">
        <f ca="1"/>
        <v>0.84004405734686394</v>
      </c>
      <c r="AH1519" s="2" t="str">
        <f ca="1"/>
        <v>Bad</v>
      </c>
    </row>
    <row r="1520" spans="2:34" x14ac:dyDescent="0.2">
      <c r="B1520" s="2">
        <f ca="1"/>
        <v>8.653522594628793E-2</v>
      </c>
      <c r="O1520" s="2">
        <f ca="1"/>
        <v>-0.80009668684925839</v>
      </c>
      <c r="X1520" s="2">
        <f ca="1"/>
        <v>48.994041400327632</v>
      </c>
      <c r="AG1520" s="2">
        <f ca="1"/>
        <v>0.37406500590932312</v>
      </c>
      <c r="AH1520" s="2" t="str">
        <f ca="1"/>
        <v>OK</v>
      </c>
    </row>
    <row r="1521" spans="2:34" x14ac:dyDescent="0.2">
      <c r="B1521" s="2">
        <f ca="1"/>
        <v>0.70247135835452124</v>
      </c>
      <c r="O1521" s="2">
        <f ca="1"/>
        <v>-9.0036944844603506E-2</v>
      </c>
      <c r="X1521" s="2">
        <f ca="1"/>
        <v>67.155883931695001</v>
      </c>
      <c r="AG1521" s="2">
        <f ca="1"/>
        <v>0.28376213773814363</v>
      </c>
      <c r="AH1521" s="2" t="str">
        <f ca="1"/>
        <v>OK</v>
      </c>
    </row>
    <row r="1522" spans="2:34" x14ac:dyDescent="0.2">
      <c r="B1522" s="2">
        <f ca="1"/>
        <v>0.40034162534506268</v>
      </c>
      <c r="O1522" s="2">
        <f ca="1"/>
        <v>0.81475654844359291</v>
      </c>
      <c r="X1522" s="2">
        <f ca="1"/>
        <v>38.990449768791173</v>
      </c>
      <c r="AG1522" s="2">
        <f ca="1"/>
        <v>0.33518355839834735</v>
      </c>
      <c r="AH1522" s="2" t="str">
        <f ca="1"/>
        <v>OK</v>
      </c>
    </row>
    <row r="1523" spans="2:34" x14ac:dyDescent="0.2">
      <c r="B1523" s="2">
        <f ca="1"/>
        <v>0.61234113393174128</v>
      </c>
      <c r="O1523" s="2">
        <f ca="1"/>
        <v>-0.17568517416357257</v>
      </c>
      <c r="X1523" s="2">
        <f ca="1"/>
        <v>41.241094343216687</v>
      </c>
      <c r="AG1523" s="2">
        <f ca="1"/>
        <v>0.75614504335996768</v>
      </c>
      <c r="AH1523" s="2" t="str">
        <f ca="1"/>
        <v>Bad</v>
      </c>
    </row>
    <row r="1524" spans="2:34" x14ac:dyDescent="0.2">
      <c r="B1524" s="2">
        <f ca="1"/>
        <v>0.57884366078677019</v>
      </c>
      <c r="O1524" s="2">
        <f ca="1"/>
        <v>0.50541610517639146</v>
      </c>
      <c r="X1524" s="2">
        <f ca="1"/>
        <v>65.031179586071232</v>
      </c>
      <c r="AG1524" s="2">
        <f ca="1"/>
        <v>0.67926415562424669</v>
      </c>
      <c r="AH1524" s="2" t="str">
        <f ca="1"/>
        <v>Bad</v>
      </c>
    </row>
    <row r="1525" spans="2:34" x14ac:dyDescent="0.2">
      <c r="B1525" s="2">
        <f ca="1"/>
        <v>0.77538259979149493</v>
      </c>
      <c r="O1525" s="2">
        <f ca="1"/>
        <v>-0.31457103009826332</v>
      </c>
      <c r="X1525" s="2">
        <f ca="1"/>
        <v>66.845661669132909</v>
      </c>
      <c r="AG1525" s="2">
        <f ca="1"/>
        <v>0.47353399182576084</v>
      </c>
      <c r="AH1525" s="2" t="str">
        <f ca="1"/>
        <v>Bad</v>
      </c>
    </row>
    <row r="1526" spans="2:34" x14ac:dyDescent="0.2">
      <c r="B1526" s="2">
        <f ca="1"/>
        <v>0.73648341277577689</v>
      </c>
      <c r="O1526" s="2">
        <f ca="1"/>
        <v>2.4065365480906626</v>
      </c>
      <c r="X1526" s="2">
        <f ca="1"/>
        <v>54.006177793547671</v>
      </c>
      <c r="AG1526" s="2">
        <f ca="1"/>
        <v>0.5087370966961744</v>
      </c>
      <c r="AH1526" s="2" t="str">
        <f ca="1"/>
        <v>Bad</v>
      </c>
    </row>
    <row r="1527" spans="2:34" x14ac:dyDescent="0.2">
      <c r="B1527" s="2">
        <f ca="1"/>
        <v>0.30996459387685449</v>
      </c>
      <c r="O1527" s="2">
        <f ca="1"/>
        <v>-0.4475395157180968</v>
      </c>
      <c r="X1527" s="2">
        <f ca="1"/>
        <v>54.781664407614741</v>
      </c>
      <c r="AG1527" s="2">
        <f ca="1"/>
        <v>5.5216897339251947E-2</v>
      </c>
      <c r="AH1527" s="2" t="str">
        <f ca="1"/>
        <v>OK</v>
      </c>
    </row>
    <row r="1528" spans="2:34" x14ac:dyDescent="0.2">
      <c r="B1528" s="2">
        <f ca="1"/>
        <v>0.52319335172707726</v>
      </c>
      <c r="O1528" s="2">
        <f ca="1"/>
        <v>0.29549339113595108</v>
      </c>
      <c r="X1528" s="2">
        <f ca="1"/>
        <v>41.345804516432018</v>
      </c>
      <c r="AG1528" s="2">
        <f ca="1"/>
        <v>0.18152743182346143</v>
      </c>
      <c r="AH1528" s="2" t="str">
        <f ca="1"/>
        <v>OK</v>
      </c>
    </row>
    <row r="1529" spans="2:34" x14ac:dyDescent="0.2">
      <c r="B1529" s="2">
        <f ca="1"/>
        <v>0.62133658446288553</v>
      </c>
      <c r="O1529" s="2">
        <f ca="1"/>
        <v>-2.7138854870586329</v>
      </c>
      <c r="X1529" s="2">
        <f ca="1"/>
        <v>42.22520404599134</v>
      </c>
      <c r="AG1529" s="2">
        <f ca="1"/>
        <v>0.63931212219735079</v>
      </c>
      <c r="AH1529" s="2" t="str">
        <f ca="1"/>
        <v>Bad</v>
      </c>
    </row>
    <row r="1530" spans="2:34" x14ac:dyDescent="0.2">
      <c r="B1530" s="2">
        <f ca="1"/>
        <v>0.13800192431088631</v>
      </c>
      <c r="O1530" s="2">
        <f ca="1"/>
        <v>0.18176453255943972</v>
      </c>
      <c r="X1530" s="2">
        <f ca="1"/>
        <v>45.582108074115659</v>
      </c>
      <c r="AG1530" s="2">
        <f ca="1"/>
        <v>0.10491690705384005</v>
      </c>
      <c r="AH1530" s="2" t="str">
        <f ca="1"/>
        <v>OK</v>
      </c>
    </row>
    <row r="1531" spans="2:34" x14ac:dyDescent="0.2">
      <c r="B1531" s="2">
        <f ca="1"/>
        <v>0.2952528699156276</v>
      </c>
      <c r="O1531" s="2">
        <f ca="1"/>
        <v>-0.50429531498685254</v>
      </c>
      <c r="X1531" s="2">
        <f ca="1"/>
        <v>38.546622965620678</v>
      </c>
      <c r="AG1531" s="2">
        <f ca="1"/>
        <v>0.319948823462612</v>
      </c>
      <c r="AH1531" s="2" t="str">
        <f ca="1"/>
        <v>OK</v>
      </c>
    </row>
    <row r="1532" spans="2:34" x14ac:dyDescent="0.2">
      <c r="B1532" s="2">
        <f ca="1"/>
        <v>0.8102566807030509</v>
      </c>
      <c r="O1532" s="2">
        <f ca="1"/>
        <v>-0.45215380628062962</v>
      </c>
      <c r="X1532" s="2">
        <f ca="1"/>
        <v>54.235398296121915</v>
      </c>
      <c r="AG1532" s="2">
        <f ca="1"/>
        <v>4.5708816951953946E-2</v>
      </c>
      <c r="AH1532" s="2" t="str">
        <f ca="1"/>
        <v>Good</v>
      </c>
    </row>
    <row r="1533" spans="2:34" x14ac:dyDescent="0.2">
      <c r="B1533" s="2">
        <f ca="1"/>
        <v>0.54232180670711849</v>
      </c>
      <c r="O1533" s="2">
        <f ca="1"/>
        <v>-0.32174256967072956</v>
      </c>
      <c r="X1533" s="2">
        <f ca="1"/>
        <v>87.658329676949407</v>
      </c>
      <c r="AG1533" s="2">
        <f ca="1"/>
        <v>0.38484092795234814</v>
      </c>
      <c r="AH1533" s="2" t="str">
        <f ca="1"/>
        <v>OK</v>
      </c>
    </row>
    <row r="1534" spans="2:34" x14ac:dyDescent="0.2">
      <c r="B1534" s="2">
        <f ca="1"/>
        <v>0.18067109487432886</v>
      </c>
      <c r="O1534" s="2">
        <f ca="1"/>
        <v>-0.40477052627766513</v>
      </c>
      <c r="X1534" s="2">
        <f ca="1"/>
        <v>25.969988883387984</v>
      </c>
      <c r="AG1534" s="2">
        <f ca="1"/>
        <v>0.49190280975078382</v>
      </c>
      <c r="AH1534" s="2" t="str">
        <f ca="1"/>
        <v>Bad</v>
      </c>
    </row>
    <row r="1535" spans="2:34" x14ac:dyDescent="0.2">
      <c r="B1535" s="2">
        <f ca="1"/>
        <v>0.70376643405860273</v>
      </c>
      <c r="O1535" s="2">
        <f ca="1"/>
        <v>-2.3315682300769649E-3</v>
      </c>
      <c r="X1535" s="2">
        <f ca="1"/>
        <v>49.891961528021831</v>
      </c>
      <c r="AG1535" s="2">
        <f ca="1"/>
        <v>0.13219947988676828</v>
      </c>
      <c r="AH1535" s="2" t="str">
        <f ca="1"/>
        <v>OK</v>
      </c>
    </row>
    <row r="1536" spans="2:34" x14ac:dyDescent="0.2">
      <c r="B1536" s="2">
        <f ca="1"/>
        <v>0.28757586150142544</v>
      </c>
      <c r="O1536" s="2">
        <f ca="1"/>
        <v>-2.2293112665055825</v>
      </c>
      <c r="X1536" s="2">
        <f ca="1"/>
        <v>49.136171867921064</v>
      </c>
      <c r="AG1536" s="2">
        <f ca="1"/>
        <v>0.1824170135590355</v>
      </c>
      <c r="AH1536" s="2" t="str">
        <f ca="1"/>
        <v>OK</v>
      </c>
    </row>
    <row r="1537" spans="2:34" x14ac:dyDescent="0.2">
      <c r="B1537" s="2">
        <f ca="1"/>
        <v>0.96101931793643991</v>
      </c>
      <c r="O1537" s="2">
        <f ca="1"/>
        <v>0.39616370595419675</v>
      </c>
      <c r="X1537" s="2">
        <f ca="1"/>
        <v>64.505067470107051</v>
      </c>
      <c r="AG1537" s="2">
        <f ca="1"/>
        <v>0.71848241798888735</v>
      </c>
      <c r="AH1537" s="2" t="str">
        <f ca="1"/>
        <v>Bad</v>
      </c>
    </row>
    <row r="1538" spans="2:34" x14ac:dyDescent="0.2">
      <c r="B1538" s="2">
        <f ca="1"/>
        <v>0.64545436919804167</v>
      </c>
      <c r="O1538" s="2">
        <f ca="1"/>
        <v>-1.611260176134063</v>
      </c>
      <c r="X1538" s="2">
        <f ca="1"/>
        <v>43.840337894021431</v>
      </c>
      <c r="AG1538" s="2">
        <f ca="1"/>
        <v>0.70356650144216237</v>
      </c>
      <c r="AH1538" s="2" t="str">
        <f ca="1"/>
        <v>Bad</v>
      </c>
    </row>
    <row r="1539" spans="2:34" x14ac:dyDescent="0.2">
      <c r="B1539" s="2">
        <f ca="1"/>
        <v>0.85634220382327819</v>
      </c>
      <c r="O1539" s="2">
        <f ca="1"/>
        <v>-1.0363222204004903</v>
      </c>
      <c r="X1539" s="2">
        <f ca="1"/>
        <v>30.587048731651116</v>
      </c>
      <c r="AG1539" s="2">
        <f ca="1"/>
        <v>0.68806166451641504</v>
      </c>
      <c r="AH1539" s="2" t="str">
        <f ca="1"/>
        <v>Bad</v>
      </c>
    </row>
    <row r="1540" spans="2:34" x14ac:dyDescent="0.2">
      <c r="B1540" s="2">
        <f ca="1"/>
        <v>0.70779279778528226</v>
      </c>
      <c r="O1540" s="2">
        <f ca="1"/>
        <v>-0.66937549415670783</v>
      </c>
      <c r="X1540" s="2">
        <f ca="1"/>
        <v>47.47309453526583</v>
      </c>
      <c r="AG1540" s="2">
        <f ca="1"/>
        <v>0.67757937392324696</v>
      </c>
      <c r="AH1540" s="2" t="str">
        <f ca="1"/>
        <v>Bad</v>
      </c>
    </row>
    <row r="1541" spans="2:34" x14ac:dyDescent="0.2">
      <c r="B1541" s="2">
        <f ca="1"/>
        <v>0.33977960140331454</v>
      </c>
      <c r="O1541" s="2">
        <f ca="1"/>
        <v>-0.12542203565967769</v>
      </c>
      <c r="X1541" s="2">
        <f ca="1"/>
        <v>33.382231364556297</v>
      </c>
      <c r="AG1541" s="2">
        <f ca="1"/>
        <v>0.80534623840241193</v>
      </c>
      <c r="AH1541" s="2" t="str">
        <f ca="1"/>
        <v>Bad</v>
      </c>
    </row>
    <row r="1542" spans="2:34" x14ac:dyDescent="0.2">
      <c r="B1542" s="2">
        <f ca="1"/>
        <v>0.28881323568383288</v>
      </c>
      <c r="O1542" s="2">
        <f ca="1"/>
        <v>-0.36598149231817179</v>
      </c>
      <c r="X1542" s="2">
        <f ca="1"/>
        <v>35.51993638525299</v>
      </c>
      <c r="AG1542" s="2">
        <f ca="1"/>
        <v>0.99697736845931306</v>
      </c>
      <c r="AH1542" s="2" t="str">
        <f ca="1"/>
        <v>Bad</v>
      </c>
    </row>
    <row r="1543" spans="2:34" x14ac:dyDescent="0.2">
      <c r="B1543" s="2">
        <f ca="1"/>
        <v>0.64989456113780886</v>
      </c>
      <c r="O1543" s="2">
        <f ca="1"/>
        <v>-1.9449566849015436</v>
      </c>
      <c r="X1543" s="2">
        <f ca="1"/>
        <v>52.204875573862076</v>
      </c>
      <c r="AG1543" s="2">
        <f ca="1"/>
        <v>0.6901302990871212</v>
      </c>
      <c r="AH1543" s="2" t="str">
        <f ca="1"/>
        <v>Bad</v>
      </c>
    </row>
    <row r="1544" spans="2:34" x14ac:dyDescent="0.2">
      <c r="B1544" s="2">
        <f ca="1"/>
        <v>0.16052544203339258</v>
      </c>
      <c r="O1544" s="2">
        <f ca="1"/>
        <v>0.53314059316881535</v>
      </c>
      <c r="X1544" s="2">
        <f ca="1"/>
        <v>63.562746839786747</v>
      </c>
      <c r="AG1544" s="2">
        <f ca="1"/>
        <v>0.18210455009105342</v>
      </c>
      <c r="AH1544" s="2" t="str">
        <f ca="1"/>
        <v>OK</v>
      </c>
    </row>
    <row r="1545" spans="2:34" x14ac:dyDescent="0.2">
      <c r="B1545" s="2">
        <f ca="1"/>
        <v>0.73205949604488363</v>
      </c>
      <c r="O1545" s="2">
        <f ca="1"/>
        <v>-1.1385249008876666</v>
      </c>
      <c r="X1545" s="2">
        <f ca="1"/>
        <v>58.853946708876194</v>
      </c>
      <c r="AG1545" s="2">
        <f ca="1"/>
        <v>0.6950153879362011</v>
      </c>
      <c r="AH1545" s="2" t="str">
        <f ca="1"/>
        <v>Bad</v>
      </c>
    </row>
    <row r="1546" spans="2:34" x14ac:dyDescent="0.2">
      <c r="B1546" s="2">
        <f ca="1"/>
        <v>0.22137883860175567</v>
      </c>
      <c r="O1546" s="2">
        <f ca="1"/>
        <v>-1.7121420100144562</v>
      </c>
      <c r="X1546" s="2">
        <f ca="1"/>
        <v>58.531808065809287</v>
      </c>
      <c r="AG1546" s="2">
        <f ca="1"/>
        <v>0.29926923089937785</v>
      </c>
      <c r="AH1546" s="2" t="str">
        <f ca="1"/>
        <v>OK</v>
      </c>
    </row>
    <row r="1547" spans="2:34" x14ac:dyDescent="0.2">
      <c r="B1547" s="2">
        <f ca="1"/>
        <v>0.69592908152751787</v>
      </c>
      <c r="O1547" s="2">
        <f ca="1"/>
        <v>0.82844363658947817</v>
      </c>
      <c r="X1547" s="2">
        <f ca="1"/>
        <v>51.849543863376255</v>
      </c>
      <c r="AG1547" s="2">
        <f ca="1"/>
        <v>0.50914579496026313</v>
      </c>
      <c r="AH1547" s="2" t="str">
        <f ca="1"/>
        <v>Bad</v>
      </c>
    </row>
    <row r="1548" spans="2:34" x14ac:dyDescent="0.2">
      <c r="B1548" s="2">
        <f ca="1"/>
        <v>0.50035950301646226</v>
      </c>
      <c r="O1548" s="2">
        <f ca="1"/>
        <v>1.3316933070679848</v>
      </c>
      <c r="X1548" s="2">
        <f ca="1"/>
        <v>46.542451547431497</v>
      </c>
      <c r="AG1548" s="2">
        <f ca="1"/>
        <v>0.10445252393649551</v>
      </c>
      <c r="AH1548" s="2" t="str">
        <f ca="1"/>
        <v>OK</v>
      </c>
    </row>
    <row r="1549" spans="2:34" x14ac:dyDescent="0.2">
      <c r="B1549" s="2">
        <f ca="1"/>
        <v>0.28545177205285577</v>
      </c>
      <c r="O1549" s="2">
        <f ca="1"/>
        <v>-0.26298584734131381</v>
      </c>
      <c r="X1549" s="2">
        <f ca="1"/>
        <v>44.648713765949218</v>
      </c>
      <c r="AG1549" s="2">
        <f ca="1"/>
        <v>0.91685267812085325</v>
      </c>
      <c r="AH1549" s="2" t="str">
        <f ca="1"/>
        <v>Bad</v>
      </c>
    </row>
    <row r="1550" spans="2:34" x14ac:dyDescent="0.2">
      <c r="B1550" s="2">
        <f ca="1"/>
        <v>0.85248559410289348</v>
      </c>
      <c r="O1550" s="2">
        <f ca="1"/>
        <v>1.7679337154219039</v>
      </c>
      <c r="X1550" s="2">
        <f ca="1"/>
        <v>45.846307802977876</v>
      </c>
      <c r="AG1550" s="2">
        <f ca="1"/>
        <v>0.1185416573723288</v>
      </c>
      <c r="AH1550" s="2" t="str">
        <f ca="1"/>
        <v>OK</v>
      </c>
    </row>
    <row r="1551" spans="2:34" x14ac:dyDescent="0.2">
      <c r="B1551" s="2">
        <f ca="1"/>
        <v>0.68366476056285941</v>
      </c>
      <c r="O1551" s="2">
        <f ca="1"/>
        <v>-0.74888246161271677</v>
      </c>
      <c r="X1551" s="2">
        <f ca="1"/>
        <v>42.37310350154722</v>
      </c>
      <c r="AG1551" s="2">
        <f ca="1"/>
        <v>5.0299583395882141E-2</v>
      </c>
      <c r="AH1551" s="2" t="str">
        <f ca="1"/>
        <v>OK</v>
      </c>
    </row>
    <row r="1552" spans="2:34" x14ac:dyDescent="0.2">
      <c r="B1552" s="2">
        <f ca="1"/>
        <v>0.9475511295317447</v>
      </c>
      <c r="O1552" s="2">
        <f ca="1"/>
        <v>0.50057121512221081</v>
      </c>
      <c r="X1552" s="2">
        <f ca="1"/>
        <v>43.089874179105379</v>
      </c>
      <c r="AG1552" s="2">
        <f ca="1"/>
        <v>2.5368893944004434E-2</v>
      </c>
      <c r="AH1552" s="2" t="str">
        <f ca="1"/>
        <v>Good</v>
      </c>
    </row>
    <row r="1553" spans="2:34" x14ac:dyDescent="0.2">
      <c r="B1553" s="2">
        <f ca="1"/>
        <v>0.40370462901124649</v>
      </c>
      <c r="O1553" s="2">
        <f ca="1"/>
        <v>0.71391297474096727</v>
      </c>
      <c r="X1553" s="2">
        <f ca="1"/>
        <v>61.496885638041562</v>
      </c>
      <c r="AG1553" s="2">
        <f ca="1"/>
        <v>1.281673411065154E-2</v>
      </c>
      <c r="AH1553" s="2" t="str">
        <f ca="1"/>
        <v>Good</v>
      </c>
    </row>
    <row r="1554" spans="2:34" x14ac:dyDescent="0.2">
      <c r="B1554" s="2">
        <f ca="1"/>
        <v>0.74444609903607706</v>
      </c>
      <c r="O1554" s="2">
        <f ca="1"/>
        <v>-1.8983916846405458</v>
      </c>
      <c r="X1554" s="2">
        <f ca="1"/>
        <v>62.572734793924447</v>
      </c>
      <c r="AG1554" s="2">
        <f ca="1"/>
        <v>0.59271163545244643</v>
      </c>
      <c r="AH1554" s="2" t="str">
        <f ca="1"/>
        <v>Bad</v>
      </c>
    </row>
    <row r="1555" spans="2:34" x14ac:dyDescent="0.2">
      <c r="B1555" s="2">
        <f ca="1"/>
        <v>0.92482156548064176</v>
      </c>
      <c r="O1555" s="2">
        <f ca="1"/>
        <v>0.26154428135348118</v>
      </c>
      <c r="X1555" s="2">
        <f ca="1"/>
        <v>26.95901965104882</v>
      </c>
      <c r="AG1555" s="2">
        <f ca="1"/>
        <v>0.81237688127629104</v>
      </c>
      <c r="AH1555" s="2" t="str">
        <f ca="1"/>
        <v>Bad</v>
      </c>
    </row>
    <row r="1556" spans="2:34" x14ac:dyDescent="0.2">
      <c r="B1556" s="2">
        <f ca="1"/>
        <v>0.2612108608954713</v>
      </c>
      <c r="O1556" s="2">
        <f ca="1"/>
        <v>1.2885130132331504</v>
      </c>
      <c r="X1556" s="2">
        <f ca="1"/>
        <v>56.203285999123587</v>
      </c>
      <c r="AG1556" s="2">
        <f ca="1"/>
        <v>0.64084074938318181</v>
      </c>
      <c r="AH1556" s="2" t="str">
        <f ca="1"/>
        <v>Bad</v>
      </c>
    </row>
    <row r="1557" spans="2:34" x14ac:dyDescent="0.2">
      <c r="B1557" s="2">
        <f ca="1"/>
        <v>0.91452201003276401</v>
      </c>
      <c r="O1557" s="2">
        <f ca="1"/>
        <v>-1.7558227323854552</v>
      </c>
      <c r="X1557" s="2">
        <f ca="1"/>
        <v>33.242804724064868</v>
      </c>
      <c r="AG1557" s="2">
        <f ca="1"/>
        <v>0.87655819123032797</v>
      </c>
      <c r="AH1557" s="2" t="str">
        <f ca="1"/>
        <v>Bad</v>
      </c>
    </row>
    <row r="1558" spans="2:34" x14ac:dyDescent="0.2">
      <c r="B1558" s="2">
        <f ca="1"/>
        <v>0.94967183058253735</v>
      </c>
      <c r="O1558" s="2">
        <f ca="1"/>
        <v>-1.4238970817401753</v>
      </c>
      <c r="X1558" s="2">
        <f ca="1"/>
        <v>60.978910454351791</v>
      </c>
      <c r="AG1558" s="2">
        <f ca="1"/>
        <v>0.58220442394543315</v>
      </c>
      <c r="AH1558" s="2" t="str">
        <f ca="1"/>
        <v>Bad</v>
      </c>
    </row>
    <row r="1559" spans="2:34" x14ac:dyDescent="0.2">
      <c r="B1559" s="2">
        <f ca="1"/>
        <v>0.31001916164851395</v>
      </c>
      <c r="O1559" s="2">
        <f ca="1"/>
        <v>0.97244503388027304</v>
      </c>
      <c r="X1559" s="2">
        <f ca="1"/>
        <v>36.822645045391155</v>
      </c>
      <c r="AG1559" s="2">
        <f ca="1"/>
        <v>0.96380293275292805</v>
      </c>
      <c r="AH1559" s="2" t="str">
        <f ca="1"/>
        <v>Bad</v>
      </c>
    </row>
    <row r="1560" spans="2:34" x14ac:dyDescent="0.2">
      <c r="B1560" s="2">
        <f ca="1"/>
        <v>0.46466006523031878</v>
      </c>
      <c r="O1560" s="2">
        <f ca="1"/>
        <v>0.45906910313844085</v>
      </c>
      <c r="X1560" s="2">
        <f ca="1"/>
        <v>52.129407664382796</v>
      </c>
      <c r="AG1560" s="2">
        <f ca="1"/>
        <v>7.9634857453767527E-2</v>
      </c>
      <c r="AH1560" s="2" t="str">
        <f ca="1"/>
        <v>OK</v>
      </c>
    </row>
    <row r="1561" spans="2:34" x14ac:dyDescent="0.2">
      <c r="B1561" s="2">
        <f ca="1"/>
        <v>0.95438388270404029</v>
      </c>
      <c r="O1561" s="2">
        <f ca="1"/>
        <v>-1.119056690307642</v>
      </c>
      <c r="X1561" s="2">
        <f ca="1"/>
        <v>42.422741675155578</v>
      </c>
      <c r="AG1561" s="2">
        <f ca="1"/>
        <v>0.76222173183024644</v>
      </c>
      <c r="AH1561" s="2" t="str">
        <f ca="1"/>
        <v>Bad</v>
      </c>
    </row>
    <row r="1562" spans="2:34" x14ac:dyDescent="0.2">
      <c r="B1562" s="2">
        <f ca="1"/>
        <v>0.15130416136362457</v>
      </c>
      <c r="O1562" s="2">
        <f ca="1"/>
        <v>-0.65184680549004359</v>
      </c>
      <c r="X1562" s="2">
        <f ca="1"/>
        <v>27.762076583940079</v>
      </c>
      <c r="AG1562" s="2">
        <f ca="1"/>
        <v>0.32950412474629243</v>
      </c>
      <c r="AH1562" s="2" t="str">
        <f ca="1"/>
        <v>OK</v>
      </c>
    </row>
    <row r="1563" spans="2:34" x14ac:dyDescent="0.2">
      <c r="B1563" s="2">
        <f ca="1"/>
        <v>0.66280757408508717</v>
      </c>
      <c r="O1563" s="2">
        <f ca="1"/>
        <v>-0.53248583839215613</v>
      </c>
      <c r="X1563" s="2">
        <f ca="1"/>
        <v>50.092415896401292</v>
      </c>
      <c r="AG1563" s="2">
        <f ca="1"/>
        <v>0.30701383594630194</v>
      </c>
      <c r="AH1563" s="2" t="str">
        <f ca="1"/>
        <v>OK</v>
      </c>
    </row>
    <row r="1564" spans="2:34" x14ac:dyDescent="0.2">
      <c r="B1564" s="2">
        <f ca="1"/>
        <v>0.25166197554144087</v>
      </c>
      <c r="O1564" s="2">
        <f ca="1"/>
        <v>1.0910349767542986</v>
      </c>
      <c r="X1564" s="2">
        <f ca="1"/>
        <v>38.211597316905603</v>
      </c>
      <c r="AG1564" s="2">
        <f ca="1"/>
        <v>0.92530396839166817</v>
      </c>
      <c r="AH1564" s="2" t="str">
        <f ca="1"/>
        <v>Bad</v>
      </c>
    </row>
    <row r="1565" spans="2:34" x14ac:dyDescent="0.2">
      <c r="B1565" s="2">
        <f ca="1"/>
        <v>0.57453903739948764</v>
      </c>
      <c r="O1565" s="2">
        <f ca="1"/>
        <v>-0.16868804146721614</v>
      </c>
      <c r="X1565" s="2">
        <f ca="1"/>
        <v>48.276071375249899</v>
      </c>
      <c r="AG1565" s="2">
        <f ca="1"/>
        <v>8.6582361756567305E-2</v>
      </c>
      <c r="AH1565" s="2" t="str">
        <f ca="1"/>
        <v>OK</v>
      </c>
    </row>
    <row r="1566" spans="2:34" x14ac:dyDescent="0.2">
      <c r="B1566" s="2">
        <f ca="1"/>
        <v>0.86187427843487052</v>
      </c>
      <c r="O1566" s="2">
        <f ca="1"/>
        <v>0.64176148768754826</v>
      </c>
      <c r="X1566" s="2">
        <f ca="1"/>
        <v>58.976193430750897</v>
      </c>
      <c r="AG1566" s="2">
        <f ca="1"/>
        <v>0.99013912386176006</v>
      </c>
      <c r="AH1566" s="2" t="str">
        <f ca="1"/>
        <v>Bad</v>
      </c>
    </row>
    <row r="1567" spans="2:34" x14ac:dyDescent="0.2">
      <c r="B1567" s="2">
        <f ca="1"/>
        <v>0.65861289533325973</v>
      </c>
      <c r="O1567" s="2">
        <f ca="1"/>
        <v>-0.46858688166423168</v>
      </c>
      <c r="X1567" s="2">
        <f ca="1"/>
        <v>55.044478189260232</v>
      </c>
      <c r="AG1567" s="2">
        <f ca="1"/>
        <v>8.1310171906854967E-2</v>
      </c>
      <c r="AH1567" s="2" t="str">
        <f ca="1"/>
        <v>OK</v>
      </c>
    </row>
    <row r="1568" spans="2:34" x14ac:dyDescent="0.2">
      <c r="B1568" s="2">
        <f ca="1"/>
        <v>0.8658196961131579</v>
      </c>
      <c r="O1568" s="2">
        <f ca="1"/>
        <v>-0.90470067780827867</v>
      </c>
      <c r="X1568" s="2">
        <f ca="1"/>
        <v>35.905554124399323</v>
      </c>
      <c r="AG1568" s="2">
        <f ca="1"/>
        <v>0.62552032759703491</v>
      </c>
      <c r="AH1568" s="2" t="str">
        <f ca="1"/>
        <v>Bad</v>
      </c>
    </row>
    <row r="1569" spans="2:34" x14ac:dyDescent="0.2">
      <c r="B1569" s="2">
        <f ca="1"/>
        <v>0.96356576408411776</v>
      </c>
      <c r="O1569" s="2">
        <f ca="1"/>
        <v>1.1555805611638639</v>
      </c>
      <c r="X1569" s="2">
        <f ca="1"/>
        <v>65.545045791361559</v>
      </c>
      <c r="AG1569" s="2">
        <f ca="1"/>
        <v>0.11886471459432912</v>
      </c>
      <c r="AH1569" s="2" t="str">
        <f ca="1"/>
        <v>OK</v>
      </c>
    </row>
    <row r="1570" spans="2:34" x14ac:dyDescent="0.2">
      <c r="B1570" s="2">
        <f ca="1"/>
        <v>0.44179668387866822</v>
      </c>
      <c r="O1570" s="2">
        <f ca="1"/>
        <v>8.7493829153436842E-2</v>
      </c>
      <c r="X1570" s="2">
        <f ca="1"/>
        <v>62.646574034569539</v>
      </c>
      <c r="AG1570" s="2">
        <f ca="1"/>
        <v>7.9241771453069321E-2</v>
      </c>
      <c r="AH1570" s="2" t="str">
        <f ca="1"/>
        <v>OK</v>
      </c>
    </row>
    <row r="1571" spans="2:34" x14ac:dyDescent="0.2">
      <c r="B1571" s="2">
        <f ca="1"/>
        <v>0.5079098861094411</v>
      </c>
      <c r="O1571" s="2">
        <f ca="1"/>
        <v>1.2579731194593986</v>
      </c>
      <c r="X1571" s="2">
        <f ca="1"/>
        <v>61.344878187546982</v>
      </c>
      <c r="AG1571" s="2">
        <f ca="1"/>
        <v>0.69425261470490085</v>
      </c>
      <c r="AH1571" s="2" t="str">
        <f ca="1"/>
        <v>Bad</v>
      </c>
    </row>
    <row r="1572" spans="2:34" x14ac:dyDescent="0.2">
      <c r="B1572" s="2">
        <f ca="1"/>
        <v>0.16987694322101055</v>
      </c>
      <c r="O1572" s="2">
        <f ca="1"/>
        <v>-0.4334291321895275</v>
      </c>
      <c r="X1572" s="2">
        <f ca="1"/>
        <v>61.334425912332506</v>
      </c>
      <c r="AG1572" s="2">
        <f ca="1"/>
        <v>0.14415883203091395</v>
      </c>
      <c r="AH1572" s="2" t="str">
        <f ca="1"/>
        <v>OK</v>
      </c>
    </row>
    <row r="1573" spans="2:34" x14ac:dyDescent="0.2">
      <c r="B1573" s="2">
        <f ca="1"/>
        <v>0.74881460288060642</v>
      </c>
      <c r="O1573" s="2">
        <f ca="1"/>
        <v>1.1165477012917326</v>
      </c>
      <c r="X1573" s="2">
        <f ca="1"/>
        <v>32.6658477400686</v>
      </c>
      <c r="AG1573" s="2">
        <f ca="1"/>
        <v>0.33355032983492694</v>
      </c>
      <c r="AH1573" s="2" t="str">
        <f ca="1"/>
        <v>OK</v>
      </c>
    </row>
    <row r="1574" spans="2:34" x14ac:dyDescent="0.2">
      <c r="B1574" s="2">
        <f ca="1"/>
        <v>0.62525390157419225</v>
      </c>
      <c r="O1574" s="2">
        <f ca="1"/>
        <v>-7.327800224895456E-2</v>
      </c>
      <c r="X1574" s="2">
        <f ca="1"/>
        <v>53.891721433200679</v>
      </c>
      <c r="AG1574" s="2">
        <f ca="1"/>
        <v>0.31086534002549837</v>
      </c>
      <c r="AH1574" s="2" t="str">
        <f ca="1"/>
        <v>OK</v>
      </c>
    </row>
    <row r="1575" spans="2:34" x14ac:dyDescent="0.2">
      <c r="B1575" s="2">
        <f ca="1"/>
        <v>0.41615750974319488</v>
      </c>
      <c r="O1575" s="2">
        <f ca="1"/>
        <v>-0.2284769246837357</v>
      </c>
      <c r="X1575" s="2">
        <f ca="1"/>
        <v>72.008590428768741</v>
      </c>
      <c r="AG1575" s="2">
        <f ca="1"/>
        <v>0.30553154279172468</v>
      </c>
      <c r="AH1575" s="2" t="str">
        <f ca="1"/>
        <v>OK</v>
      </c>
    </row>
    <row r="1576" spans="2:34" x14ac:dyDescent="0.2">
      <c r="B1576" s="2">
        <f ca="1"/>
        <v>0.32346530688665731</v>
      </c>
      <c r="O1576" s="2">
        <f ca="1"/>
        <v>-0.3077751338973696</v>
      </c>
      <c r="X1576" s="2">
        <f ca="1"/>
        <v>24.133181027010213</v>
      </c>
      <c r="AG1576" s="2">
        <f ca="1"/>
        <v>7.2699866480657738E-2</v>
      </c>
      <c r="AH1576" s="2" t="str">
        <f ca="1"/>
        <v>OK</v>
      </c>
    </row>
    <row r="1577" spans="2:34" x14ac:dyDescent="0.2">
      <c r="B1577" s="2">
        <f ca="1"/>
        <v>0.96707551935629654</v>
      </c>
      <c r="O1577" s="2">
        <f ca="1"/>
        <v>-0.8780373726645101</v>
      </c>
      <c r="X1577" s="2">
        <f ca="1"/>
        <v>73.279100270757638</v>
      </c>
      <c r="AG1577" s="2">
        <f ca="1"/>
        <v>0.83287085800910798</v>
      </c>
      <c r="AH1577" s="2" t="str">
        <f ca="1"/>
        <v>Bad</v>
      </c>
    </row>
    <row r="1578" spans="2:34" x14ac:dyDescent="0.2">
      <c r="B1578" s="2">
        <f ca="1"/>
        <v>0.29577483054088383</v>
      </c>
      <c r="O1578" s="2">
        <f ca="1"/>
        <v>-0.31340525594775465</v>
      </c>
      <c r="X1578" s="2">
        <f ca="1"/>
        <v>39.267094668308538</v>
      </c>
      <c r="AG1578" s="2">
        <f ca="1"/>
        <v>0.87319497088889153</v>
      </c>
      <c r="AH1578" s="2" t="str">
        <f ca="1"/>
        <v>Bad</v>
      </c>
    </row>
    <row r="1579" spans="2:34" x14ac:dyDescent="0.2">
      <c r="B1579" s="2">
        <f ca="1"/>
        <v>8.5585338080850448E-2</v>
      </c>
      <c r="O1579" s="2">
        <f ca="1"/>
        <v>-1.0164266571637963</v>
      </c>
      <c r="X1579" s="2">
        <f ca="1"/>
        <v>57.853447688419095</v>
      </c>
      <c r="AG1579" s="2">
        <f ca="1"/>
        <v>0.70373399019424854</v>
      </c>
      <c r="AH1579" s="2" t="str">
        <f ca="1"/>
        <v>Bad</v>
      </c>
    </row>
    <row r="1580" spans="2:34" x14ac:dyDescent="0.2">
      <c r="B1580" s="2">
        <f ca="1"/>
        <v>0.17679397631715243</v>
      </c>
      <c r="O1580" s="2">
        <f ca="1"/>
        <v>-0.38032754104498601</v>
      </c>
      <c r="X1580" s="2">
        <f ca="1"/>
        <v>73.571343813534313</v>
      </c>
      <c r="AG1580" s="2">
        <f ca="1"/>
        <v>0.41182309255353489</v>
      </c>
      <c r="AH1580" s="2" t="str">
        <f ca="1"/>
        <v>Bad</v>
      </c>
    </row>
    <row r="1581" spans="2:34" x14ac:dyDescent="0.2">
      <c r="B1581" s="2">
        <f ca="1"/>
        <v>0.38739200821043451</v>
      </c>
      <c r="O1581" s="2">
        <f ca="1"/>
        <v>-0.2483872736068351</v>
      </c>
      <c r="X1581" s="2">
        <f ca="1"/>
        <v>40.936509725512465</v>
      </c>
      <c r="AG1581" s="2">
        <f ca="1"/>
        <v>0.56902011505475558</v>
      </c>
      <c r="AH1581" s="2" t="str">
        <f ca="1"/>
        <v>Bad</v>
      </c>
    </row>
    <row r="1582" spans="2:34" x14ac:dyDescent="0.2">
      <c r="B1582" s="2">
        <f ca="1"/>
        <v>0.41671680835275149</v>
      </c>
      <c r="O1582" s="2">
        <f ca="1"/>
        <v>0.37241325393435054</v>
      </c>
      <c r="X1582" s="2">
        <f ca="1"/>
        <v>82.794043701037836</v>
      </c>
      <c r="AG1582" s="2">
        <f ca="1"/>
        <v>0.16821171468386575</v>
      </c>
      <c r="AH1582" s="2" t="str">
        <f ca="1"/>
        <v>OK</v>
      </c>
    </row>
    <row r="1583" spans="2:34" x14ac:dyDescent="0.2">
      <c r="B1583" s="2">
        <f ca="1"/>
        <v>0.61727496129061588</v>
      </c>
      <c r="O1583" s="2">
        <f ca="1"/>
        <v>1.323443175363441</v>
      </c>
      <c r="X1583" s="2">
        <f ca="1"/>
        <v>54.891555307104525</v>
      </c>
      <c r="AG1583" s="2">
        <f ca="1"/>
        <v>0.6538565242062484</v>
      </c>
      <c r="AH1583" s="2" t="str">
        <f ca="1"/>
        <v>Bad</v>
      </c>
    </row>
    <row r="1584" spans="2:34" x14ac:dyDescent="0.2">
      <c r="B1584" s="2">
        <f ca="1"/>
        <v>0.75499942795245167</v>
      </c>
      <c r="O1584" s="2">
        <f ca="1"/>
        <v>0.30836409920535601</v>
      </c>
      <c r="X1584" s="2">
        <f ca="1"/>
        <v>42.864532051906899</v>
      </c>
      <c r="AG1584" s="2">
        <f ca="1"/>
        <v>0.14124990709623719</v>
      </c>
      <c r="AH1584" s="2" t="str">
        <f ca="1"/>
        <v>OK</v>
      </c>
    </row>
    <row r="1585" spans="2:34" x14ac:dyDescent="0.2">
      <c r="B1585" s="2">
        <f ca="1"/>
        <v>0.31141298733070455</v>
      </c>
      <c r="O1585" s="2">
        <f ca="1"/>
        <v>-0.29297725503174232</v>
      </c>
      <c r="X1585" s="2">
        <f ca="1"/>
        <v>49.205226506869685</v>
      </c>
      <c r="AG1585" s="2">
        <f ca="1"/>
        <v>0.8111824726960164</v>
      </c>
      <c r="AH1585" s="2" t="str">
        <f ca="1"/>
        <v>Bad</v>
      </c>
    </row>
    <row r="1586" spans="2:34" x14ac:dyDescent="0.2">
      <c r="B1586" s="2">
        <f ca="1"/>
        <v>0.54675238102330193</v>
      </c>
      <c r="O1586" s="2">
        <f ca="1"/>
        <v>-1.2760478254444823</v>
      </c>
      <c r="X1586" s="2">
        <f ca="1"/>
        <v>46.447267884810053</v>
      </c>
      <c r="AG1586" s="2">
        <f ca="1"/>
        <v>0.72998163755521484</v>
      </c>
      <c r="AH1586" s="2" t="str">
        <f ca="1"/>
        <v>Bad</v>
      </c>
    </row>
    <row r="1587" spans="2:34" x14ac:dyDescent="0.2">
      <c r="B1587" s="2">
        <f ca="1"/>
        <v>0.5360452703538332</v>
      </c>
      <c r="O1587" s="2">
        <f ca="1"/>
        <v>0.49465044521157625</v>
      </c>
      <c r="X1587" s="2">
        <f ca="1"/>
        <v>49.807876881346715</v>
      </c>
      <c r="AG1587" s="2">
        <f ca="1"/>
        <v>0.75992634845091356</v>
      </c>
      <c r="AH1587" s="2" t="str">
        <f ca="1"/>
        <v>Bad</v>
      </c>
    </row>
    <row r="1588" spans="2:34" x14ac:dyDescent="0.2">
      <c r="B1588" s="2">
        <f ca="1"/>
        <v>0.41764643625135167</v>
      </c>
      <c r="O1588" s="2">
        <f ca="1"/>
        <v>-0.77388378497692545</v>
      </c>
      <c r="X1588" s="2">
        <f ca="1"/>
        <v>36.585690974379361</v>
      </c>
      <c r="AG1588" s="2">
        <f ca="1"/>
        <v>0.63157781343072594</v>
      </c>
      <c r="AH1588" s="2" t="str">
        <f ca="1"/>
        <v>Bad</v>
      </c>
    </row>
    <row r="1589" spans="2:34" x14ac:dyDescent="0.2">
      <c r="B1589" s="2">
        <f ca="1"/>
        <v>0.84117911546534208</v>
      </c>
      <c r="O1589" s="2">
        <f ca="1"/>
        <v>-0.40130635466531056</v>
      </c>
      <c r="X1589" s="2">
        <f ca="1"/>
        <v>53.229439007218815</v>
      </c>
      <c r="AG1589" s="2">
        <f ca="1"/>
        <v>0.45234157921653217</v>
      </c>
      <c r="AH1589" s="2" t="str">
        <f ca="1"/>
        <v>Bad</v>
      </c>
    </row>
    <row r="1590" spans="2:34" x14ac:dyDescent="0.2">
      <c r="B1590" s="2">
        <f ca="1"/>
        <v>0.44583861387615786</v>
      </c>
      <c r="O1590" s="2">
        <f ca="1"/>
        <v>3.7621797131199591E-2</v>
      </c>
      <c r="X1590" s="2">
        <f ca="1"/>
        <v>33.470312718246703</v>
      </c>
      <c r="AG1590" s="2">
        <f ca="1"/>
        <v>0.16747731085715234</v>
      </c>
      <c r="AH1590" s="2" t="str">
        <f ca="1"/>
        <v>OK</v>
      </c>
    </row>
    <row r="1591" spans="2:34" x14ac:dyDescent="0.2">
      <c r="B1591" s="2">
        <f ca="1"/>
        <v>0.11900613622201162</v>
      </c>
      <c r="O1591" s="2">
        <f ca="1"/>
        <v>-0.6415547263426381</v>
      </c>
      <c r="X1591" s="2">
        <f ca="1"/>
        <v>65.897889955467463</v>
      </c>
      <c r="AG1591" s="2">
        <f ca="1"/>
        <v>0.18926343736106666</v>
      </c>
      <c r="AH1591" s="2" t="str">
        <f ca="1"/>
        <v>OK</v>
      </c>
    </row>
    <row r="1592" spans="2:34" x14ac:dyDescent="0.2">
      <c r="B1592" s="2">
        <f ca="1"/>
        <v>0.76687781805669419</v>
      </c>
      <c r="O1592" s="2">
        <f ca="1"/>
        <v>-0.47054861422825872</v>
      </c>
      <c r="X1592" s="2">
        <f ca="1"/>
        <v>28.281295655798701</v>
      </c>
      <c r="AG1592" s="2">
        <f ca="1"/>
        <v>0.39214901357041887</v>
      </c>
      <c r="AH1592" s="2" t="str">
        <f ca="1"/>
        <v>OK</v>
      </c>
    </row>
    <row r="1593" spans="2:34" x14ac:dyDescent="0.2">
      <c r="B1593" s="2">
        <f ca="1"/>
        <v>0.7783029807458488</v>
      </c>
      <c r="O1593" s="2">
        <f ca="1"/>
        <v>0.10385541579815903</v>
      </c>
      <c r="X1593" s="2">
        <f ca="1"/>
        <v>31.078278686390711</v>
      </c>
      <c r="AG1593" s="2">
        <f ca="1"/>
        <v>0.16196447483582177</v>
      </c>
      <c r="AH1593" s="2" t="str">
        <f ca="1"/>
        <v>OK</v>
      </c>
    </row>
    <row r="1594" spans="2:34" x14ac:dyDescent="0.2">
      <c r="B1594" s="2">
        <f ca="1"/>
        <v>0.10733325583771358</v>
      </c>
      <c r="O1594" s="2">
        <f ca="1"/>
        <v>-1.9398626863458024</v>
      </c>
      <c r="X1594" s="2">
        <f ca="1"/>
        <v>62.04884387729517</v>
      </c>
      <c r="AG1594" s="2">
        <f ca="1"/>
        <v>0.48383417626597947</v>
      </c>
      <c r="AH1594" s="2" t="str">
        <f ca="1"/>
        <v>Bad</v>
      </c>
    </row>
    <row r="1595" spans="2:34" x14ac:dyDescent="0.2">
      <c r="B1595" s="2">
        <f ca="1"/>
        <v>0.41443191998717355</v>
      </c>
      <c r="O1595" s="2">
        <f ca="1"/>
        <v>-0.23123257556642351</v>
      </c>
      <c r="X1595" s="2">
        <f ca="1"/>
        <v>53.586216315266213</v>
      </c>
      <c r="AG1595" s="2">
        <f ca="1"/>
        <v>0.29067948799391941</v>
      </c>
      <c r="AH1595" s="2" t="str">
        <f ca="1"/>
        <v>OK</v>
      </c>
    </row>
    <row r="1596" spans="2:34" x14ac:dyDescent="0.2">
      <c r="B1596" s="2">
        <f ca="1"/>
        <v>0.59361262794671221</v>
      </c>
      <c r="O1596" s="2">
        <f ca="1"/>
        <v>-1.4319408166962868</v>
      </c>
      <c r="X1596" s="2">
        <f ca="1"/>
        <v>53.859496537874904</v>
      </c>
      <c r="AG1596" s="2">
        <f ca="1"/>
        <v>0.34441162129305813</v>
      </c>
      <c r="AH1596" s="2" t="str">
        <f ca="1"/>
        <v>OK</v>
      </c>
    </row>
    <row r="1597" spans="2:34" x14ac:dyDescent="0.2">
      <c r="B1597" s="2">
        <f ca="1"/>
        <v>0.7488011324917232</v>
      </c>
      <c r="O1597" s="2">
        <f ca="1"/>
        <v>-0.92483639405617168</v>
      </c>
      <c r="X1597" s="2">
        <f ca="1"/>
        <v>83.974656843274715</v>
      </c>
      <c r="AG1597" s="2">
        <f ca="1"/>
        <v>0.55770599193673975</v>
      </c>
      <c r="AH1597" s="2" t="str">
        <f ca="1"/>
        <v>Bad</v>
      </c>
    </row>
    <row r="1598" spans="2:34" x14ac:dyDescent="0.2">
      <c r="B1598" s="2">
        <f ca="1"/>
        <v>0.60053308146328588</v>
      </c>
      <c r="O1598" s="2">
        <f ca="1"/>
        <v>-2.9492228471105939</v>
      </c>
      <c r="X1598" s="2">
        <f ca="1"/>
        <v>49.799670572642384</v>
      </c>
      <c r="AG1598" s="2">
        <f ca="1"/>
        <v>0.1744567358061424</v>
      </c>
      <c r="AH1598" s="2" t="str">
        <f ca="1"/>
        <v>OK</v>
      </c>
    </row>
    <row r="1599" spans="2:34" x14ac:dyDescent="0.2">
      <c r="B1599" s="2">
        <f ca="1"/>
        <v>0.77637743600772469</v>
      </c>
      <c r="O1599" s="2">
        <f ca="1"/>
        <v>0.81205587583172167</v>
      </c>
      <c r="X1599" s="2">
        <f ca="1"/>
        <v>45.78157498138421</v>
      </c>
      <c r="AG1599" s="2">
        <f ca="1"/>
        <v>0.63142356463920413</v>
      </c>
      <c r="AH1599" s="2" t="str">
        <f ca="1"/>
        <v>Bad</v>
      </c>
    </row>
    <row r="1600" spans="2:34" x14ac:dyDescent="0.2">
      <c r="B1600" s="2">
        <f ca="1"/>
        <v>0.40499120626812268</v>
      </c>
      <c r="O1600" s="2">
        <f ca="1"/>
        <v>-0.24738065380612986</v>
      </c>
      <c r="X1600" s="2">
        <f ca="1"/>
        <v>46.56161517109264</v>
      </c>
      <c r="AG1600" s="2">
        <f ca="1"/>
        <v>0.23640579857138433</v>
      </c>
      <c r="AH1600" s="2" t="str">
        <f ca="1"/>
        <v>OK</v>
      </c>
    </row>
    <row r="1601" spans="2:34" x14ac:dyDescent="0.2">
      <c r="B1601" s="2">
        <f ca="1"/>
        <v>0.46672092793632136</v>
      </c>
      <c r="O1601" s="2">
        <f ca="1"/>
        <v>0.4223391051329522</v>
      </c>
      <c r="X1601" s="2">
        <f ca="1"/>
        <v>40.740785145122736</v>
      </c>
      <c r="AG1601" s="2">
        <f ca="1"/>
        <v>0.85640673185939264</v>
      </c>
      <c r="AH1601" s="2" t="str">
        <f ca="1"/>
        <v>Bad</v>
      </c>
    </row>
    <row r="1602" spans="2:34" x14ac:dyDescent="0.2">
      <c r="B1602" s="2">
        <f ca="1"/>
        <v>0.57019418166106495</v>
      </c>
      <c r="O1602" s="2">
        <f ca="1"/>
        <v>-0.10307264388688972</v>
      </c>
      <c r="X1602" s="2">
        <f ca="1"/>
        <v>37.316148006305816</v>
      </c>
      <c r="AG1602" s="2">
        <f ca="1"/>
        <v>0.71726900203964461</v>
      </c>
      <c r="AH1602" s="2" t="str">
        <f ca="1"/>
        <v>Bad</v>
      </c>
    </row>
    <row r="1603" spans="2:34" x14ac:dyDescent="0.2">
      <c r="B1603" s="2">
        <f ca="1"/>
        <v>4.7712245143940013E-2</v>
      </c>
      <c r="O1603" s="2">
        <f ca="1"/>
        <v>1.2693826435509765E-2</v>
      </c>
      <c r="X1603" s="2">
        <f ca="1"/>
        <v>51.131764013094767</v>
      </c>
      <c r="AG1603" s="2">
        <f ca="1"/>
        <v>0.39865180902226593</v>
      </c>
      <c r="AH1603" s="2" t="str">
        <f ca="1"/>
        <v>OK</v>
      </c>
    </row>
    <row r="1604" spans="2:34" x14ac:dyDescent="0.2">
      <c r="B1604" s="2">
        <f ca="1"/>
        <v>0.59614792456338628</v>
      </c>
      <c r="O1604" s="2">
        <f ca="1"/>
        <v>0.72552613813821865</v>
      </c>
      <c r="X1604" s="2">
        <f ca="1"/>
        <v>51.434633588695995</v>
      </c>
      <c r="AG1604" s="2">
        <f ca="1"/>
        <v>0.44769174234196418</v>
      </c>
      <c r="AH1604" s="2" t="str">
        <f ca="1"/>
        <v>Bad</v>
      </c>
    </row>
    <row r="1605" spans="2:34" x14ac:dyDescent="0.2">
      <c r="B1605" s="2">
        <f ca="1"/>
        <v>0.51213498215837983</v>
      </c>
      <c r="O1605" s="2">
        <f ca="1"/>
        <v>0.30716389378415687</v>
      </c>
      <c r="X1605" s="2">
        <f ca="1"/>
        <v>60.580190802911005</v>
      </c>
      <c r="AG1605" s="2">
        <f ca="1"/>
        <v>0.98954344761714141</v>
      </c>
      <c r="AH1605" s="2" t="str">
        <f ca="1"/>
        <v>Bad</v>
      </c>
    </row>
    <row r="1606" spans="2:34" x14ac:dyDescent="0.2">
      <c r="B1606" s="2">
        <f ca="1"/>
        <v>0.67600678245346302</v>
      </c>
      <c r="O1606" s="2">
        <f ca="1"/>
        <v>-0.59689112500069319</v>
      </c>
      <c r="X1606" s="2">
        <f ca="1"/>
        <v>65.161395387602653</v>
      </c>
      <c r="AG1606" s="2">
        <f ca="1"/>
        <v>0.46588391576218191</v>
      </c>
      <c r="AH1606" s="2" t="str">
        <f ca="1"/>
        <v>Bad</v>
      </c>
    </row>
    <row r="1607" spans="2:34" x14ac:dyDescent="0.2">
      <c r="B1607" s="2">
        <f ca="1"/>
        <v>0.66979008711471066</v>
      </c>
      <c r="O1607" s="2">
        <f ca="1"/>
        <v>-0.99447436729492167</v>
      </c>
      <c r="X1607" s="2">
        <f ca="1"/>
        <v>63.722085641774783</v>
      </c>
      <c r="AG1607" s="2">
        <f ca="1"/>
        <v>0.32880968469590166</v>
      </c>
      <c r="AH1607" s="2" t="str">
        <f ca="1"/>
        <v>OK</v>
      </c>
    </row>
    <row r="1608" spans="2:34" x14ac:dyDescent="0.2">
      <c r="B1608" s="2">
        <f ca="1"/>
        <v>0.5680674363672551</v>
      </c>
      <c r="O1608" s="2">
        <f ca="1"/>
        <v>-0.15387274670345585</v>
      </c>
      <c r="X1608" s="2">
        <f ca="1"/>
        <v>60.753315675883101</v>
      </c>
      <c r="AG1608" s="2">
        <f ca="1"/>
        <v>3.5235974566485195E-2</v>
      </c>
      <c r="AH1608" s="2" t="str">
        <f ca="1"/>
        <v>Good</v>
      </c>
    </row>
    <row r="1609" spans="2:34" x14ac:dyDescent="0.2">
      <c r="B1609" s="2">
        <f ca="1"/>
        <v>0.54110049786221959</v>
      </c>
      <c r="O1609" s="2">
        <f ca="1"/>
        <v>0.74728896874124251</v>
      </c>
      <c r="X1609" s="2">
        <f ca="1"/>
        <v>58.427487291593522</v>
      </c>
      <c r="AG1609" s="2">
        <f ca="1"/>
        <v>0.39347793161862921</v>
      </c>
      <c r="AH1609" s="2" t="str">
        <f ca="1"/>
        <v>OK</v>
      </c>
    </row>
    <row r="1610" spans="2:34" x14ac:dyDescent="0.2">
      <c r="B1610" s="2">
        <f ca="1"/>
        <v>0.19224875317511114</v>
      </c>
      <c r="O1610" s="2">
        <f ca="1"/>
        <v>-0.69128779745932023</v>
      </c>
      <c r="X1610" s="2">
        <f ca="1"/>
        <v>28.484348341686726</v>
      </c>
      <c r="AG1610" s="2">
        <f ca="1"/>
        <v>0.5117424243627906</v>
      </c>
      <c r="AH1610" s="2" t="str">
        <f ca="1"/>
        <v>Bad</v>
      </c>
    </row>
    <row r="1611" spans="2:34" x14ac:dyDescent="0.2">
      <c r="B1611" s="2">
        <f ca="1"/>
        <v>4.3307919447156396E-2</v>
      </c>
      <c r="O1611" s="2">
        <f ca="1"/>
        <v>-1.0065204269182937</v>
      </c>
      <c r="X1611" s="2">
        <f ca="1"/>
        <v>41.55593297446287</v>
      </c>
      <c r="AG1611" s="2">
        <f ca="1"/>
        <v>0.657269006597343</v>
      </c>
      <c r="AH1611" s="2" t="str">
        <f ca="1"/>
        <v>Bad</v>
      </c>
    </row>
    <row r="1612" spans="2:34" x14ac:dyDescent="0.2">
      <c r="B1612" s="2">
        <f ca="1"/>
        <v>1.5098306298896302E-2</v>
      </c>
      <c r="O1612" s="2">
        <f ca="1"/>
        <v>-2.2698912987110598</v>
      </c>
      <c r="X1612" s="2">
        <f ca="1"/>
        <v>61.973962957429862</v>
      </c>
      <c r="AG1612" s="2">
        <f ca="1"/>
        <v>3.1453708338716968E-2</v>
      </c>
      <c r="AH1612" s="2" t="str">
        <f ca="1"/>
        <v>Good</v>
      </c>
    </row>
    <row r="1613" spans="2:34" x14ac:dyDescent="0.2">
      <c r="B1613" s="2">
        <f ca="1"/>
        <v>0.18738588377090948</v>
      </c>
      <c r="O1613" s="2">
        <f ca="1"/>
        <v>-0.43767801471077816</v>
      </c>
      <c r="X1613" s="2">
        <f ca="1"/>
        <v>57.673161209023945</v>
      </c>
      <c r="AG1613" s="2">
        <f ca="1"/>
        <v>0.88252180034998218</v>
      </c>
      <c r="AH1613" s="2" t="str">
        <f ca="1"/>
        <v>Bad</v>
      </c>
    </row>
    <row r="1614" spans="2:34" x14ac:dyDescent="0.2">
      <c r="B1614" s="2">
        <f ca="1"/>
        <v>0.14600318377512034</v>
      </c>
      <c r="O1614" s="2">
        <f ca="1"/>
        <v>0.53730149726642518</v>
      </c>
      <c r="X1614" s="2">
        <f ca="1"/>
        <v>39.326137009772459</v>
      </c>
      <c r="AG1614" s="2">
        <f ca="1"/>
        <v>0.18021778217845097</v>
      </c>
      <c r="AH1614" s="2" t="str">
        <f ca="1"/>
        <v>OK</v>
      </c>
    </row>
    <row r="1615" spans="2:34" x14ac:dyDescent="0.2">
      <c r="B1615" s="2">
        <f ca="1"/>
        <v>0.55549475009336291</v>
      </c>
      <c r="O1615" s="2">
        <f ca="1"/>
        <v>0.73879589791836731</v>
      </c>
      <c r="X1615" s="2">
        <f ca="1"/>
        <v>64.5978659846959</v>
      </c>
      <c r="AG1615" s="2">
        <f ca="1"/>
        <v>0.21958642771284187</v>
      </c>
      <c r="AH1615" s="2" t="str">
        <f ca="1"/>
        <v>OK</v>
      </c>
    </row>
    <row r="1616" spans="2:34" x14ac:dyDescent="0.2">
      <c r="B1616" s="2">
        <f ca="1"/>
        <v>0.43111759021687335</v>
      </c>
      <c r="O1616" s="2">
        <f ca="1"/>
        <v>0.26677689796064785</v>
      </c>
      <c r="X1616" s="2">
        <f ca="1"/>
        <v>28.693587236388488</v>
      </c>
      <c r="AG1616" s="2">
        <f ca="1"/>
        <v>0.80366337767142881</v>
      </c>
      <c r="AH1616" s="2" t="str">
        <f ca="1"/>
        <v>Bad</v>
      </c>
    </row>
    <row r="1617" spans="2:34" x14ac:dyDescent="0.2">
      <c r="B1617" s="2">
        <f ca="1"/>
        <v>0.58319749913189001</v>
      </c>
      <c r="O1617" s="2">
        <f ca="1"/>
        <v>-0.34035569173593871</v>
      </c>
      <c r="X1617" s="2">
        <f ca="1"/>
        <v>36.615622440877125</v>
      </c>
      <c r="AG1617" s="2">
        <f ca="1"/>
        <v>0.96939157435778611</v>
      </c>
      <c r="AH1617" s="2" t="str">
        <f ca="1"/>
        <v>Bad</v>
      </c>
    </row>
    <row r="1618" spans="2:34" x14ac:dyDescent="0.2">
      <c r="B1618" s="2">
        <f ca="1"/>
        <v>0.24086510107350723</v>
      </c>
      <c r="O1618" s="2">
        <f ca="1"/>
        <v>-0.45709087381674079</v>
      </c>
      <c r="X1618" s="2">
        <f ca="1"/>
        <v>54.966009724094214</v>
      </c>
      <c r="AG1618" s="2">
        <f ca="1"/>
        <v>0.95303439588442163</v>
      </c>
      <c r="AH1618" s="2" t="str">
        <f ca="1"/>
        <v>Bad</v>
      </c>
    </row>
    <row r="1619" spans="2:34" x14ac:dyDescent="0.2">
      <c r="B1619" s="2">
        <f ca="1"/>
        <v>0.86396617811221188</v>
      </c>
      <c r="O1619" s="2">
        <f ca="1"/>
        <v>1.6397132114175741</v>
      </c>
      <c r="X1619" s="2">
        <f ca="1"/>
        <v>59.68005368736943</v>
      </c>
      <c r="AG1619" s="2">
        <f ca="1"/>
        <v>0.40635961222502526</v>
      </c>
      <c r="AH1619" s="2" t="str">
        <f ca="1"/>
        <v>Bad</v>
      </c>
    </row>
    <row r="1620" spans="2:34" x14ac:dyDescent="0.2">
      <c r="B1620" s="2">
        <f ca="1"/>
        <v>0.57090007286603317</v>
      </c>
      <c r="O1620" s="2">
        <f ca="1"/>
        <v>-0.53909774081493833</v>
      </c>
      <c r="X1620" s="2">
        <f ca="1"/>
        <v>65.649662055224326</v>
      </c>
      <c r="AG1620" s="2">
        <f ca="1"/>
        <v>5.1410815497491935E-2</v>
      </c>
      <c r="AH1620" s="2" t="str">
        <f ca="1"/>
        <v>OK</v>
      </c>
    </row>
    <row r="1621" spans="2:34" x14ac:dyDescent="0.2">
      <c r="B1621" s="2">
        <f ca="1"/>
        <v>0.12201943161353346</v>
      </c>
      <c r="O1621" s="2">
        <f ca="1"/>
        <v>-0.98999843290978518</v>
      </c>
      <c r="X1621" s="2">
        <f ca="1"/>
        <v>69.811498643406523</v>
      </c>
      <c r="AG1621" s="2">
        <f ca="1"/>
        <v>0.79274990249857424</v>
      </c>
      <c r="AH1621" s="2" t="str">
        <f ca="1"/>
        <v>Bad</v>
      </c>
    </row>
    <row r="1622" spans="2:34" x14ac:dyDescent="0.2">
      <c r="B1622" s="2">
        <f ca="1"/>
        <v>0.34241864683736178</v>
      </c>
      <c r="O1622" s="2">
        <f ca="1"/>
        <v>-0.48036250712575074</v>
      </c>
      <c r="X1622" s="2">
        <f ca="1"/>
        <v>74.043379413658414</v>
      </c>
      <c r="AG1622" s="2">
        <f ca="1"/>
        <v>0.30076234568669968</v>
      </c>
      <c r="AH1622" s="2" t="str">
        <f ca="1"/>
        <v>OK</v>
      </c>
    </row>
    <row r="1623" spans="2:34" x14ac:dyDescent="0.2">
      <c r="B1623" s="2">
        <f ca="1"/>
        <v>3.620140830208074E-2</v>
      </c>
      <c r="O1623" s="2">
        <f ca="1"/>
        <v>-0.56892117481279658</v>
      </c>
      <c r="X1623" s="2">
        <f ca="1"/>
        <v>61.870549431442193</v>
      </c>
      <c r="AG1623" s="2">
        <f ca="1"/>
        <v>0.66201729798558073</v>
      </c>
      <c r="AH1623" s="2" t="str">
        <f ca="1"/>
        <v>Bad</v>
      </c>
    </row>
    <row r="1624" spans="2:34" x14ac:dyDescent="0.2">
      <c r="B1624" s="2">
        <f ca="1"/>
        <v>0.21923030548099165</v>
      </c>
      <c r="O1624" s="2">
        <f ca="1"/>
        <v>-2.4453960355306203</v>
      </c>
      <c r="X1624" s="2">
        <f ca="1"/>
        <v>36.214578053399613</v>
      </c>
      <c r="AG1624" s="2">
        <f ca="1"/>
        <v>6.1253063139452113E-2</v>
      </c>
      <c r="AH1624" s="2" t="str">
        <f ca="1"/>
        <v>OK</v>
      </c>
    </row>
    <row r="1625" spans="2:34" x14ac:dyDescent="0.2">
      <c r="B1625" s="2">
        <f ca="1"/>
        <v>0.28361828156246149</v>
      </c>
      <c r="O1625" s="2">
        <f ca="1"/>
        <v>-1.695698278035374</v>
      </c>
      <c r="X1625" s="2">
        <f ca="1"/>
        <v>59.412648672271075</v>
      </c>
      <c r="AG1625" s="2">
        <f ca="1"/>
        <v>0.15744939709522354</v>
      </c>
      <c r="AH1625" s="2" t="str">
        <f ca="1"/>
        <v>OK</v>
      </c>
    </row>
    <row r="1626" spans="2:34" x14ac:dyDescent="0.2">
      <c r="B1626" s="2">
        <f ca="1"/>
        <v>0.3143653421549939</v>
      </c>
      <c r="O1626" s="2">
        <f ca="1"/>
        <v>0.167091409589118</v>
      </c>
      <c r="X1626" s="2">
        <f ca="1"/>
        <v>48.750182652781255</v>
      </c>
      <c r="AG1626" s="2">
        <f ca="1"/>
        <v>0.49675263244787948</v>
      </c>
      <c r="AH1626" s="2" t="str">
        <f ca="1"/>
        <v>Bad</v>
      </c>
    </row>
    <row r="1627" spans="2:34" x14ac:dyDescent="0.2">
      <c r="B1627" s="2">
        <f ca="1"/>
        <v>7.8911755303488595E-2</v>
      </c>
      <c r="O1627" s="2">
        <f ca="1"/>
        <v>-1.4307543043261442E-2</v>
      </c>
      <c r="X1627" s="2">
        <f ca="1"/>
        <v>45.392173933456093</v>
      </c>
      <c r="AG1627" s="2">
        <f ca="1"/>
        <v>0.34147067129969666</v>
      </c>
      <c r="AH1627" s="2" t="str">
        <f ca="1"/>
        <v>OK</v>
      </c>
    </row>
    <row r="1628" spans="2:34" x14ac:dyDescent="0.2">
      <c r="B1628" s="2">
        <f ca="1"/>
        <v>0.24392615243168159</v>
      </c>
      <c r="O1628" s="2">
        <f ca="1"/>
        <v>0.40257452761570434</v>
      </c>
      <c r="X1628" s="2">
        <f ca="1"/>
        <v>50.910987851907208</v>
      </c>
      <c r="AG1628" s="2">
        <f ca="1"/>
        <v>0.2960580641357804</v>
      </c>
      <c r="AH1628" s="2" t="str">
        <f ca="1"/>
        <v>OK</v>
      </c>
    </row>
    <row r="1629" spans="2:34" x14ac:dyDescent="0.2">
      <c r="B1629" s="2">
        <f ca="1"/>
        <v>0.69189783830886742</v>
      </c>
      <c r="O1629" s="2">
        <f ca="1"/>
        <v>-1.2666027110260458</v>
      </c>
      <c r="X1629" s="2">
        <f ca="1"/>
        <v>29.454471083363337</v>
      </c>
      <c r="AG1629" s="2">
        <f ca="1"/>
        <v>0.27718286255096336</v>
      </c>
      <c r="AH1629" s="2" t="str">
        <f ca="1"/>
        <v>OK</v>
      </c>
    </row>
    <row r="1630" spans="2:34" x14ac:dyDescent="0.2">
      <c r="B1630" s="2">
        <f ca="1"/>
        <v>0.57466869957824507</v>
      </c>
      <c r="O1630" s="2">
        <f ca="1"/>
        <v>0.21816914498840809</v>
      </c>
      <c r="X1630" s="2">
        <f ca="1"/>
        <v>16.276956745217575</v>
      </c>
      <c r="AG1630" s="2">
        <f ca="1"/>
        <v>0.90486283129987566</v>
      </c>
      <c r="AH1630" s="2" t="str">
        <f ca="1"/>
        <v>Bad</v>
      </c>
    </row>
    <row r="1631" spans="2:34" x14ac:dyDescent="0.2">
      <c r="B1631" s="2">
        <f ca="1"/>
        <v>0.43772896403501438</v>
      </c>
      <c r="O1631" s="2">
        <f ca="1"/>
        <v>0.76736509139370579</v>
      </c>
      <c r="X1631" s="2">
        <f ca="1"/>
        <v>55.25065874492239</v>
      </c>
      <c r="AG1631" s="2">
        <f ca="1"/>
        <v>0.93205840996132316</v>
      </c>
      <c r="AH1631" s="2" t="str">
        <f ca="1"/>
        <v>Bad</v>
      </c>
    </row>
    <row r="1632" spans="2:34" x14ac:dyDescent="0.2">
      <c r="B1632" s="2">
        <f ca="1"/>
        <v>0.55616619362434028</v>
      </c>
      <c r="O1632" s="2">
        <f ca="1"/>
        <v>0.178833203099201</v>
      </c>
      <c r="X1632" s="2">
        <f ca="1"/>
        <v>76.258317969760284</v>
      </c>
      <c r="AG1632" s="2">
        <f ca="1"/>
        <v>0.31799763525982994</v>
      </c>
      <c r="AH1632" s="2" t="str">
        <f ca="1"/>
        <v>OK</v>
      </c>
    </row>
    <row r="1633" spans="2:34" x14ac:dyDescent="0.2">
      <c r="B1633" s="2">
        <f ca="1"/>
        <v>0.95445203980402549</v>
      </c>
      <c r="O1633" s="2">
        <f ca="1"/>
        <v>0.1388959656198179</v>
      </c>
      <c r="X1633" s="2">
        <f ca="1"/>
        <v>32.960432882148901</v>
      </c>
      <c r="AG1633" s="2">
        <f ca="1"/>
        <v>0.28839367255826986</v>
      </c>
      <c r="AH1633" s="2" t="str">
        <f ca="1"/>
        <v>OK</v>
      </c>
    </row>
    <row r="1634" spans="2:34" x14ac:dyDescent="0.2">
      <c r="B1634" s="2">
        <f ca="1"/>
        <v>0.59209738005305379</v>
      </c>
      <c r="O1634" s="2">
        <f ca="1"/>
        <v>-1.9743260445725133</v>
      </c>
      <c r="X1634" s="2">
        <f ca="1"/>
        <v>48.994462317830084</v>
      </c>
      <c r="AG1634" s="2">
        <f ca="1"/>
        <v>0.26819369341179256</v>
      </c>
      <c r="AH1634" s="2" t="str">
        <f ca="1"/>
        <v>OK</v>
      </c>
    </row>
    <row r="1635" spans="2:34" x14ac:dyDescent="0.2">
      <c r="B1635" s="2">
        <f ca="1"/>
        <v>0.72443961671905455</v>
      </c>
      <c r="O1635" s="2">
        <f ca="1"/>
        <v>-0.27182281794263369</v>
      </c>
      <c r="X1635" s="2">
        <f ca="1"/>
        <v>46.84916877867532</v>
      </c>
      <c r="AG1635" s="2">
        <f ca="1"/>
        <v>0.71494344306697699</v>
      </c>
      <c r="AH1635" s="2" t="str">
        <f ca="1"/>
        <v>Bad</v>
      </c>
    </row>
    <row r="1636" spans="2:34" x14ac:dyDescent="0.2">
      <c r="B1636" s="2">
        <f ca="1"/>
        <v>0.68070516013087223</v>
      </c>
      <c r="O1636" s="2">
        <f ca="1"/>
        <v>-4.341424311925083E-2</v>
      </c>
      <c r="X1636" s="2">
        <f ca="1"/>
        <v>24.221747167431399</v>
      </c>
      <c r="AG1636" s="2">
        <f ca="1"/>
        <v>2.1487398678204706E-2</v>
      </c>
      <c r="AH1636" s="2" t="str">
        <f ca="1"/>
        <v>Good</v>
      </c>
    </row>
    <row r="1637" spans="2:34" x14ac:dyDescent="0.2">
      <c r="B1637" s="2">
        <f ca="1"/>
        <v>0.77668221224907819</v>
      </c>
      <c r="O1637" s="2">
        <f ca="1"/>
        <v>-0.72077967014445887</v>
      </c>
      <c r="X1637" s="2">
        <f ca="1"/>
        <v>56.261113848038413</v>
      </c>
      <c r="AG1637" s="2">
        <f ca="1"/>
        <v>1.2509943596360262E-2</v>
      </c>
      <c r="AH1637" s="2" t="str">
        <f ca="1"/>
        <v>Good</v>
      </c>
    </row>
    <row r="1638" spans="2:34" x14ac:dyDescent="0.2">
      <c r="B1638" s="2">
        <f ca="1"/>
        <v>0.39095857481109197</v>
      </c>
      <c r="O1638" s="2">
        <f ca="1"/>
        <v>-0.92831268123580069</v>
      </c>
      <c r="X1638" s="2">
        <f ca="1"/>
        <v>72.755856388173726</v>
      </c>
      <c r="AG1638" s="2">
        <f ca="1"/>
        <v>0.66192354472937032</v>
      </c>
      <c r="AH1638" s="2" t="str">
        <f ca="1"/>
        <v>Bad</v>
      </c>
    </row>
    <row r="1639" spans="2:34" x14ac:dyDescent="0.2">
      <c r="B1639" s="2">
        <f ca="1"/>
        <v>0.59444376849894431</v>
      </c>
      <c r="O1639" s="2">
        <f ca="1"/>
        <v>1.5236088363990206</v>
      </c>
      <c r="X1639" s="2">
        <f ca="1"/>
        <v>66.954880051977085</v>
      </c>
      <c r="AG1639" s="2">
        <f ca="1"/>
        <v>0.70996824026802741</v>
      </c>
      <c r="AH1639" s="2" t="str">
        <f ca="1"/>
        <v>Bad</v>
      </c>
    </row>
    <row r="1640" spans="2:34" x14ac:dyDescent="0.2">
      <c r="B1640" s="2">
        <f ca="1"/>
        <v>0.77317827383683446</v>
      </c>
      <c r="O1640" s="2">
        <f ca="1"/>
        <v>-1.0602180265479046</v>
      </c>
      <c r="X1640" s="2">
        <f ca="1"/>
        <v>69.040338935713535</v>
      </c>
      <c r="AG1640" s="2">
        <f ca="1"/>
        <v>0.15883033176727879</v>
      </c>
      <c r="AH1640" s="2" t="str">
        <f ca="1"/>
        <v>OK</v>
      </c>
    </row>
    <row r="1641" spans="2:34" x14ac:dyDescent="0.2">
      <c r="B1641" s="2">
        <f ca="1"/>
        <v>0.99525844438839073</v>
      </c>
      <c r="O1641" s="2">
        <f ca="1"/>
        <v>1.9186193460883112E-4</v>
      </c>
      <c r="X1641" s="2">
        <f ca="1"/>
        <v>58.032488238414608</v>
      </c>
      <c r="AG1641" s="2">
        <f ca="1"/>
        <v>0.86410677270835157</v>
      </c>
      <c r="AH1641" s="2" t="str">
        <f ca="1"/>
        <v>Bad</v>
      </c>
    </row>
    <row r="1642" spans="2:34" x14ac:dyDescent="0.2">
      <c r="B1642" s="2">
        <f ca="1"/>
        <v>0.57385171586077877</v>
      </c>
      <c r="O1642" s="2">
        <f ca="1"/>
        <v>-1.0033709804820097</v>
      </c>
      <c r="X1642" s="2">
        <f ca="1"/>
        <v>44.051414627601176</v>
      </c>
      <c r="AG1642" s="2">
        <f ca="1"/>
        <v>0.17939044522367498</v>
      </c>
      <c r="AH1642" s="2" t="str">
        <f ca="1"/>
        <v>OK</v>
      </c>
    </row>
    <row r="1643" spans="2:34" x14ac:dyDescent="0.2">
      <c r="B1643" s="2">
        <f ca="1"/>
        <v>0.62953983903136135</v>
      </c>
      <c r="O1643" s="2">
        <f ca="1"/>
        <v>-0.58459119155030903</v>
      </c>
      <c r="X1643" s="2">
        <f ca="1"/>
        <v>80.577364994136431</v>
      </c>
      <c r="AG1643" s="2">
        <f ca="1"/>
        <v>0.42813285501675358</v>
      </c>
      <c r="AH1643" s="2" t="str">
        <f ca="1"/>
        <v>Bad</v>
      </c>
    </row>
    <row r="1644" spans="2:34" x14ac:dyDescent="0.2">
      <c r="B1644" s="2">
        <f ca="1"/>
        <v>0.19048652358330531</v>
      </c>
      <c r="O1644" s="2">
        <f ca="1"/>
        <v>0.62017299464195319</v>
      </c>
      <c r="X1644" s="2">
        <f ca="1"/>
        <v>62.642150400600059</v>
      </c>
      <c r="AG1644" s="2">
        <f ca="1"/>
        <v>0.3328488499793214</v>
      </c>
      <c r="AH1644" s="2" t="str">
        <f ca="1"/>
        <v>OK</v>
      </c>
    </row>
    <row r="1645" spans="2:34" x14ac:dyDescent="0.2">
      <c r="B1645" s="2">
        <f ca="1"/>
        <v>0.17859122637380676</v>
      </c>
      <c r="O1645" s="2">
        <f ca="1"/>
        <v>0.75492982394592845</v>
      </c>
      <c r="X1645" s="2">
        <f ca="1"/>
        <v>58.602170216126986</v>
      </c>
      <c r="AG1645" s="2">
        <f ca="1"/>
        <v>0.57620548032397556</v>
      </c>
      <c r="AH1645" s="2" t="str">
        <f ca="1"/>
        <v>Bad</v>
      </c>
    </row>
    <row r="1646" spans="2:34" x14ac:dyDescent="0.2">
      <c r="B1646" s="2">
        <f ca="1"/>
        <v>0.8949172288808136</v>
      </c>
      <c r="O1646" s="2">
        <f ca="1"/>
        <v>0.83229556508197478</v>
      </c>
      <c r="X1646" s="2">
        <f ca="1"/>
        <v>37.781696820545022</v>
      </c>
      <c r="AG1646" s="2">
        <f ca="1"/>
        <v>0.30607660475174514</v>
      </c>
      <c r="AH1646" s="2" t="str">
        <f ca="1"/>
        <v>OK</v>
      </c>
    </row>
    <row r="1647" spans="2:34" x14ac:dyDescent="0.2">
      <c r="B1647" s="2">
        <f ca="1"/>
        <v>0.41667714549185453</v>
      </c>
      <c r="O1647" s="2">
        <f ca="1"/>
        <v>0.13256433926845029</v>
      </c>
      <c r="X1647" s="2">
        <f ca="1"/>
        <v>71.950921209170318</v>
      </c>
      <c r="AG1647" s="2">
        <f ca="1"/>
        <v>0.2040786461604418</v>
      </c>
      <c r="AH1647" s="2" t="str">
        <f ca="1"/>
        <v>OK</v>
      </c>
    </row>
    <row r="1648" spans="2:34" x14ac:dyDescent="0.2">
      <c r="B1648" s="2">
        <f ca="1"/>
        <v>0.15164139845715319</v>
      </c>
      <c r="O1648" s="2">
        <f ca="1"/>
        <v>-1.0673562402985264</v>
      </c>
      <c r="X1648" s="2">
        <f ca="1"/>
        <v>44.229070053459665</v>
      </c>
      <c r="AG1648" s="2">
        <f ca="1"/>
        <v>1.633460821502819E-2</v>
      </c>
      <c r="AH1648" s="2" t="str">
        <f ca="1"/>
        <v>Good</v>
      </c>
    </row>
    <row r="1649" spans="2:34" x14ac:dyDescent="0.2">
      <c r="B1649" s="2">
        <f ca="1"/>
        <v>0.5225378759010546</v>
      </c>
      <c r="O1649" s="2">
        <f ca="1"/>
        <v>-1.697692510560072</v>
      </c>
      <c r="X1649" s="2">
        <f ca="1"/>
        <v>65.934556192188396</v>
      </c>
      <c r="AG1649" s="2">
        <f ca="1"/>
        <v>0.68884670698418971</v>
      </c>
      <c r="AH1649" s="2" t="str">
        <f ca="1"/>
        <v>Bad</v>
      </c>
    </row>
    <row r="1650" spans="2:34" x14ac:dyDescent="0.2">
      <c r="B1650" s="2">
        <f ca="1"/>
        <v>0.4192949709057241</v>
      </c>
      <c r="O1650" s="2">
        <f ca="1"/>
        <v>1.252153928162572</v>
      </c>
      <c r="X1650" s="2">
        <f ca="1"/>
        <v>45.538857736261505</v>
      </c>
      <c r="AG1650" s="2">
        <f ca="1"/>
        <v>0.18992270497551078</v>
      </c>
      <c r="AH1650" s="2" t="str">
        <f ca="1"/>
        <v>OK</v>
      </c>
    </row>
    <row r="1651" spans="2:34" x14ac:dyDescent="0.2">
      <c r="B1651" s="2">
        <f ca="1"/>
        <v>0.79471513974468033</v>
      </c>
      <c r="O1651" s="2">
        <f ca="1"/>
        <v>0.17406934585556016</v>
      </c>
      <c r="X1651" s="2">
        <f ca="1"/>
        <v>59.843638353575265</v>
      </c>
      <c r="AG1651" s="2">
        <f ca="1"/>
        <v>0.33408984630105953</v>
      </c>
      <c r="AH1651" s="2" t="str">
        <f ca="1"/>
        <v>OK</v>
      </c>
    </row>
    <row r="1652" spans="2:34" x14ac:dyDescent="0.2">
      <c r="B1652" s="2">
        <f ca="1"/>
        <v>0.55910311754009534</v>
      </c>
      <c r="O1652" s="2">
        <f ca="1"/>
        <v>0.29333223737579445</v>
      </c>
      <c r="X1652" s="2">
        <f ca="1"/>
        <v>45.804260854713746</v>
      </c>
      <c r="AG1652" s="2">
        <f ca="1"/>
        <v>0.48804341681183416</v>
      </c>
      <c r="AH1652" s="2" t="str">
        <f ca="1"/>
        <v>Bad</v>
      </c>
    </row>
    <row r="1653" spans="2:34" x14ac:dyDescent="0.2">
      <c r="B1653" s="2">
        <f ca="1"/>
        <v>0.27680414239412943</v>
      </c>
      <c r="O1653" s="2">
        <f ca="1"/>
        <v>-0.11646377220200699</v>
      </c>
      <c r="X1653" s="2">
        <f ca="1"/>
        <v>32.408147551524479</v>
      </c>
      <c r="AG1653" s="2">
        <f ca="1"/>
        <v>0.64124525050917724</v>
      </c>
      <c r="AH1653" s="2" t="str">
        <f ca="1"/>
        <v>Bad</v>
      </c>
    </row>
    <row r="1654" spans="2:34" x14ac:dyDescent="0.2">
      <c r="B1654" s="2">
        <f ca="1"/>
        <v>0.55467461016199526</v>
      </c>
      <c r="O1654" s="2">
        <f ca="1"/>
        <v>-0.11310237639087026</v>
      </c>
      <c r="X1654" s="2">
        <f ca="1"/>
        <v>59.035242173405123</v>
      </c>
      <c r="AG1654" s="2">
        <f ca="1"/>
        <v>1.7063039841902494E-3</v>
      </c>
      <c r="AH1654" s="2" t="str">
        <f ca="1"/>
        <v>Good</v>
      </c>
    </row>
    <row r="1655" spans="2:34" x14ac:dyDescent="0.2">
      <c r="B1655" s="2">
        <f ca="1"/>
        <v>0.34052431286906626</v>
      </c>
      <c r="O1655" s="2">
        <f ca="1"/>
        <v>1.8718379903026321</v>
      </c>
      <c r="X1655" s="2">
        <f ca="1"/>
        <v>35.078786146158293</v>
      </c>
      <c r="AG1655" s="2">
        <f ca="1"/>
        <v>0.35590665198121152</v>
      </c>
      <c r="AH1655" s="2" t="str">
        <f ca="1"/>
        <v>OK</v>
      </c>
    </row>
    <row r="1656" spans="2:34" x14ac:dyDescent="0.2">
      <c r="B1656" s="2">
        <f ca="1"/>
        <v>0.58494159237337207</v>
      </c>
      <c r="O1656" s="2">
        <f ca="1"/>
        <v>0.9255869209611467</v>
      </c>
      <c r="X1656" s="2">
        <f ca="1"/>
        <v>41.359759872372877</v>
      </c>
      <c r="AG1656" s="2">
        <f ca="1"/>
        <v>0.95699749526207634</v>
      </c>
      <c r="AH1656" s="2" t="str">
        <f ca="1"/>
        <v>Bad</v>
      </c>
    </row>
    <row r="1657" spans="2:34" x14ac:dyDescent="0.2">
      <c r="B1657" s="2">
        <f ca="1"/>
        <v>0.63181972568670841</v>
      </c>
      <c r="O1657" s="2">
        <f ca="1"/>
        <v>-0.67824224917192133</v>
      </c>
      <c r="X1657" s="2">
        <f ca="1"/>
        <v>48.403439901894771</v>
      </c>
      <c r="AG1657" s="2">
        <f ca="1"/>
        <v>0.52124537729238085</v>
      </c>
      <c r="AH1657" s="2" t="str">
        <f ca="1"/>
        <v>Bad</v>
      </c>
    </row>
    <row r="1658" spans="2:34" x14ac:dyDescent="0.2">
      <c r="B1658" s="2">
        <f ca="1"/>
        <v>9.1830784520350983E-2</v>
      </c>
      <c r="O1658" s="2">
        <f ca="1"/>
        <v>1.0437488854143017E-2</v>
      </c>
      <c r="X1658" s="2">
        <f ca="1"/>
        <v>34.71317660039054</v>
      </c>
      <c r="AG1658" s="2">
        <f ca="1"/>
        <v>0.80477311377089289</v>
      </c>
      <c r="AH1658" s="2" t="str">
        <f ca="1"/>
        <v>Bad</v>
      </c>
    </row>
    <row r="1659" spans="2:34" x14ac:dyDescent="0.2">
      <c r="B1659" s="2">
        <f ca="1"/>
        <v>7.9430609123454898E-2</v>
      </c>
      <c r="O1659" s="2">
        <f ca="1"/>
        <v>1.6085529331368145</v>
      </c>
      <c r="X1659" s="2">
        <f ca="1"/>
        <v>43.756837405653442</v>
      </c>
      <c r="AG1659" s="2">
        <f ca="1"/>
        <v>0.4416824617407078</v>
      </c>
      <c r="AH1659" s="2" t="str">
        <f ca="1"/>
        <v>Bad</v>
      </c>
    </row>
    <row r="1660" spans="2:34" x14ac:dyDescent="0.2">
      <c r="B1660" s="2">
        <f ca="1"/>
        <v>0.56524164916691966</v>
      </c>
      <c r="O1660" s="2">
        <f ca="1"/>
        <v>-1.5405780857510456</v>
      </c>
      <c r="X1660" s="2">
        <f ca="1"/>
        <v>63.594764415064908</v>
      </c>
      <c r="AG1660" s="2">
        <f ca="1"/>
        <v>6.0244390079330801E-2</v>
      </c>
      <c r="AH1660" s="2" t="str">
        <f ca="1"/>
        <v>OK</v>
      </c>
    </row>
    <row r="1661" spans="2:34" x14ac:dyDescent="0.2">
      <c r="B1661" s="2">
        <f ca="1"/>
        <v>0.7863733450706154</v>
      </c>
      <c r="O1661" s="2">
        <f ca="1"/>
        <v>-1.7616108594017177</v>
      </c>
      <c r="X1661" s="2">
        <f ca="1"/>
        <v>51.910302986843611</v>
      </c>
      <c r="AG1661" s="2">
        <f ca="1"/>
        <v>1.4003534549142937E-2</v>
      </c>
      <c r="AH1661" s="2" t="str">
        <f ca="1"/>
        <v>Good</v>
      </c>
    </row>
    <row r="1662" spans="2:34" x14ac:dyDescent="0.2">
      <c r="B1662" s="2">
        <f ca="1"/>
        <v>0.87960859481814668</v>
      </c>
      <c r="O1662" s="2">
        <f ca="1"/>
        <v>-1.0416634290949989</v>
      </c>
      <c r="X1662" s="2">
        <f ca="1"/>
        <v>56.317348501427205</v>
      </c>
      <c r="AG1662" s="2">
        <f ca="1"/>
        <v>0.65859657080616341</v>
      </c>
      <c r="AH1662" s="2" t="str">
        <f ca="1"/>
        <v>Bad</v>
      </c>
    </row>
    <row r="1663" spans="2:34" x14ac:dyDescent="0.2">
      <c r="B1663" s="2">
        <f ca="1"/>
        <v>0.84192024857411751</v>
      </c>
      <c r="O1663" s="2">
        <f ca="1"/>
        <v>0.31585920395476874</v>
      </c>
      <c r="X1663" s="2">
        <f ca="1"/>
        <v>37.125370181209107</v>
      </c>
      <c r="AG1663" s="2">
        <f ca="1"/>
        <v>0.87031915570031249</v>
      </c>
      <c r="AH1663" s="2" t="str">
        <f ca="1"/>
        <v>Bad</v>
      </c>
    </row>
    <row r="1664" spans="2:34" x14ac:dyDescent="0.2">
      <c r="B1664" s="2">
        <f ca="1"/>
        <v>7.4567053994887056E-2</v>
      </c>
      <c r="O1664" s="2">
        <f ca="1"/>
        <v>1.4750518297658288</v>
      </c>
      <c r="X1664" s="2">
        <f ca="1"/>
        <v>54.836376705511476</v>
      </c>
      <c r="AG1664" s="2">
        <f ca="1"/>
        <v>0.55634872049865658</v>
      </c>
      <c r="AH1664" s="2" t="str">
        <f ca="1"/>
        <v>Bad</v>
      </c>
    </row>
    <row r="1665" spans="2:34" x14ac:dyDescent="0.2">
      <c r="B1665" s="2">
        <f ca="1"/>
        <v>0.56507473293273969</v>
      </c>
      <c r="O1665" s="2">
        <f ca="1"/>
        <v>-0.68119621539725705</v>
      </c>
      <c r="X1665" s="2">
        <f ca="1"/>
        <v>62.393717005552134</v>
      </c>
      <c r="AG1665" s="2">
        <f ca="1"/>
        <v>0.41095144208369838</v>
      </c>
      <c r="AH1665" s="2" t="str">
        <f ca="1"/>
        <v>Bad</v>
      </c>
    </row>
    <row r="1666" spans="2:34" x14ac:dyDescent="0.2">
      <c r="B1666" s="2">
        <f ca="1"/>
        <v>0.35331205079788019</v>
      </c>
      <c r="O1666" s="2">
        <f ca="1"/>
        <v>-0.5499426977785794</v>
      </c>
      <c r="X1666" s="2">
        <f ca="1"/>
        <v>38.843491561703445</v>
      </c>
      <c r="AG1666" s="2">
        <f ca="1"/>
        <v>2.9677614308032396E-3</v>
      </c>
      <c r="AH1666" s="2" t="str">
        <f ca="1"/>
        <v>Good</v>
      </c>
    </row>
    <row r="1667" spans="2:34" x14ac:dyDescent="0.2">
      <c r="B1667" s="2">
        <f ca="1"/>
        <v>0.49551279871605325</v>
      </c>
      <c r="O1667" s="2">
        <f ca="1"/>
        <v>-0.59293126824168352</v>
      </c>
      <c r="X1667" s="2">
        <f ca="1"/>
        <v>37.968800933573547</v>
      </c>
      <c r="AG1667" s="2">
        <f ca="1"/>
        <v>3.2796876260722918E-2</v>
      </c>
      <c r="AH1667" s="2" t="str">
        <f ca="1"/>
        <v>Good</v>
      </c>
    </row>
    <row r="1668" spans="2:34" x14ac:dyDescent="0.2">
      <c r="B1668" s="2">
        <f ca="1"/>
        <v>0.7968540534131745</v>
      </c>
      <c r="O1668" s="2">
        <f ca="1"/>
        <v>0.1523192288048377</v>
      </c>
      <c r="X1668" s="2">
        <f ca="1"/>
        <v>42.721749840179449</v>
      </c>
      <c r="AG1668" s="2">
        <f ca="1"/>
        <v>0.39025874214511047</v>
      </c>
      <c r="AH1668" s="2" t="str">
        <f ca="1"/>
        <v>OK</v>
      </c>
    </row>
    <row r="1669" spans="2:34" x14ac:dyDescent="0.2">
      <c r="B1669" s="2">
        <f ca="1"/>
        <v>0.84793457353525281</v>
      </c>
      <c r="O1669" s="2">
        <f ca="1"/>
        <v>-0.4512444787730836</v>
      </c>
      <c r="X1669" s="2">
        <f ca="1"/>
        <v>47.98355325258364</v>
      </c>
      <c r="AG1669" s="2">
        <f ca="1"/>
        <v>0.69440841547776477</v>
      </c>
      <c r="AH1669" s="2" t="str">
        <f ca="1"/>
        <v>Bad</v>
      </c>
    </row>
    <row r="1670" spans="2:34" x14ac:dyDescent="0.2">
      <c r="B1670" s="2">
        <f ca="1"/>
        <v>0.46232087496239704</v>
      </c>
      <c r="O1670" s="2">
        <f ca="1"/>
        <v>-0.24690830302485894</v>
      </c>
      <c r="X1670" s="2">
        <f ca="1"/>
        <v>57.512696314119864</v>
      </c>
      <c r="AG1670" s="2">
        <f ca="1"/>
        <v>0.51873782575960115</v>
      </c>
      <c r="AH1670" s="2" t="str">
        <f ca="1"/>
        <v>Bad</v>
      </c>
    </row>
    <row r="1671" spans="2:34" x14ac:dyDescent="0.2">
      <c r="B1671" s="2">
        <f ca="1"/>
        <v>0.48405010950496452</v>
      </c>
      <c r="O1671" s="2">
        <f ca="1"/>
        <v>0.35117442287536638</v>
      </c>
      <c r="X1671" s="2">
        <f ca="1"/>
        <v>56.536652910767884</v>
      </c>
      <c r="AG1671" s="2">
        <f ca="1"/>
        <v>0.54379992462165072</v>
      </c>
      <c r="AH1671" s="2" t="str">
        <f ca="1"/>
        <v>Bad</v>
      </c>
    </row>
    <row r="1672" spans="2:34" x14ac:dyDescent="0.2">
      <c r="B1672" s="2">
        <f ca="1"/>
        <v>0.78801430693032715</v>
      </c>
      <c r="O1672" s="2">
        <f ca="1"/>
        <v>-0.1979952409887922</v>
      </c>
      <c r="X1672" s="2">
        <f ca="1"/>
        <v>21.990099041858095</v>
      </c>
      <c r="AG1672" s="2">
        <f ca="1"/>
        <v>0.69763205111371307</v>
      </c>
      <c r="AH1672" s="2" t="str">
        <f ca="1"/>
        <v>Bad</v>
      </c>
    </row>
    <row r="1673" spans="2:34" x14ac:dyDescent="0.2">
      <c r="B1673" s="2">
        <f ca="1"/>
        <v>0.73378005094438326</v>
      </c>
      <c r="O1673" s="2">
        <f ca="1"/>
        <v>-1.0931409707644772</v>
      </c>
      <c r="X1673" s="2">
        <f ca="1"/>
        <v>30.659152954711274</v>
      </c>
      <c r="AG1673" s="2">
        <f ca="1"/>
        <v>0.80510285486060118</v>
      </c>
      <c r="AH1673" s="2" t="str">
        <f ca="1"/>
        <v>Bad</v>
      </c>
    </row>
    <row r="1674" spans="2:34" x14ac:dyDescent="0.2">
      <c r="B1674" s="2">
        <f ca="1"/>
        <v>0.61752114257115864</v>
      </c>
      <c r="O1674" s="2">
        <f ca="1"/>
        <v>6.5599769625247537E-2</v>
      </c>
      <c r="X1674" s="2">
        <f ca="1"/>
        <v>98.848919534880878</v>
      </c>
      <c r="AG1674" s="2">
        <f ca="1"/>
        <v>5.3291758331925676E-2</v>
      </c>
      <c r="AH1674" s="2" t="str">
        <f ca="1"/>
        <v>OK</v>
      </c>
    </row>
    <row r="1675" spans="2:34" x14ac:dyDescent="0.2">
      <c r="B1675" s="2">
        <f ca="1"/>
        <v>0.98954413330326174</v>
      </c>
      <c r="O1675" s="2">
        <f ca="1"/>
        <v>7.8637920289040944E-2</v>
      </c>
      <c r="X1675" s="2">
        <f ca="1"/>
        <v>84.918600015305117</v>
      </c>
      <c r="AG1675" s="2">
        <f ca="1"/>
        <v>0.62439454688326457</v>
      </c>
      <c r="AH1675" s="2" t="str">
        <f ca="1"/>
        <v>Bad</v>
      </c>
    </row>
    <row r="1676" spans="2:34" x14ac:dyDescent="0.2">
      <c r="B1676" s="2">
        <f ca="1"/>
        <v>0.63150302888788823</v>
      </c>
      <c r="O1676" s="2">
        <f ca="1"/>
        <v>-0.19327773414532512</v>
      </c>
      <c r="X1676" s="2">
        <f ca="1"/>
        <v>39.108300929486226</v>
      </c>
      <c r="AG1676" s="2">
        <f ca="1"/>
        <v>0.76531238917960476</v>
      </c>
      <c r="AH1676" s="2" t="str">
        <f ca="1"/>
        <v>Bad</v>
      </c>
    </row>
    <row r="1677" spans="2:34" x14ac:dyDescent="0.2">
      <c r="B1677" s="2">
        <f ca="1"/>
        <v>0.58782666517185778</v>
      </c>
      <c r="O1677" s="2">
        <f ca="1"/>
        <v>0.34051307013392951</v>
      </c>
      <c r="X1677" s="2">
        <f ca="1"/>
        <v>25.397650236205138</v>
      </c>
      <c r="AG1677" s="2">
        <f ca="1"/>
        <v>0.24936264016396326</v>
      </c>
      <c r="AH1677" s="2" t="str">
        <f ca="1"/>
        <v>OK</v>
      </c>
    </row>
    <row r="1678" spans="2:34" x14ac:dyDescent="0.2">
      <c r="B1678" s="2">
        <f ca="1"/>
        <v>0.1682084095120584</v>
      </c>
      <c r="O1678" s="2">
        <f ca="1"/>
        <v>-0.3522053888637251</v>
      </c>
      <c r="X1678" s="2">
        <f ca="1"/>
        <v>42.472803366139019</v>
      </c>
      <c r="AG1678" s="2">
        <f ca="1"/>
        <v>0.3514492983546933</v>
      </c>
      <c r="AH1678" s="2" t="str">
        <f ca="1"/>
        <v>OK</v>
      </c>
    </row>
    <row r="1679" spans="2:34" x14ac:dyDescent="0.2">
      <c r="B1679" s="2">
        <f ca="1"/>
        <v>0.59445190858010988</v>
      </c>
      <c r="O1679" s="2">
        <f ca="1"/>
        <v>0.49779522052101155</v>
      </c>
      <c r="X1679" s="2">
        <f ca="1"/>
        <v>49.508358833411734</v>
      </c>
      <c r="AG1679" s="2">
        <f ca="1"/>
        <v>0.64562475067530745</v>
      </c>
      <c r="AH1679" s="2" t="str">
        <f ca="1"/>
        <v>Bad</v>
      </c>
    </row>
    <row r="1680" spans="2:34" x14ac:dyDescent="0.2">
      <c r="B1680" s="2">
        <f ca="1"/>
        <v>0.49480179784230138</v>
      </c>
      <c r="O1680" s="2">
        <f ca="1"/>
        <v>-0.1070559974263095</v>
      </c>
      <c r="X1680" s="2">
        <f ca="1"/>
        <v>44.518446392534379</v>
      </c>
      <c r="AG1680" s="2">
        <f ca="1"/>
        <v>0.5085617229551016</v>
      </c>
      <c r="AH1680" s="2" t="str">
        <f ca="1"/>
        <v>Bad</v>
      </c>
    </row>
    <row r="1681" spans="2:34" x14ac:dyDescent="0.2">
      <c r="B1681" s="2">
        <f ca="1"/>
        <v>0.55056112728866879</v>
      </c>
      <c r="O1681" s="2">
        <f ca="1"/>
        <v>0.9279098756520201</v>
      </c>
      <c r="X1681" s="2">
        <f ca="1"/>
        <v>65.309329400416189</v>
      </c>
      <c r="AG1681" s="2">
        <f ca="1"/>
        <v>0.63457844663886376</v>
      </c>
      <c r="AH1681" s="2" t="str">
        <f ca="1"/>
        <v>Bad</v>
      </c>
    </row>
    <row r="1682" spans="2:34" x14ac:dyDescent="0.2">
      <c r="B1682" s="2">
        <f ca="1"/>
        <v>0.98142985728355447</v>
      </c>
      <c r="O1682" s="2">
        <f ca="1"/>
        <v>0.98840592662012117</v>
      </c>
      <c r="X1682" s="2">
        <f ca="1"/>
        <v>33.182789100503918</v>
      </c>
      <c r="AG1682" s="2">
        <f ca="1"/>
        <v>0.18928265080651441</v>
      </c>
      <c r="AH1682" s="2" t="str">
        <f ca="1"/>
        <v>OK</v>
      </c>
    </row>
    <row r="1683" spans="2:34" x14ac:dyDescent="0.2">
      <c r="B1683" s="2">
        <f ca="1"/>
        <v>0.92306844198449611</v>
      </c>
      <c r="O1683" s="2">
        <f ca="1"/>
        <v>0.19999745000542943</v>
      </c>
      <c r="X1683" s="2">
        <f ca="1"/>
        <v>32.554932234970842</v>
      </c>
      <c r="AG1683" s="2">
        <f ca="1"/>
        <v>0.52132476476363676</v>
      </c>
      <c r="AH1683" s="2" t="str">
        <f ca="1"/>
        <v>Bad</v>
      </c>
    </row>
    <row r="1684" spans="2:34" x14ac:dyDescent="0.2">
      <c r="B1684" s="2">
        <f ca="1"/>
        <v>0.76411379102602583</v>
      </c>
      <c r="O1684" s="2">
        <f ca="1"/>
        <v>-0.13593481265558524</v>
      </c>
      <c r="X1684" s="2">
        <f ca="1"/>
        <v>33.907578704346193</v>
      </c>
      <c r="AG1684" s="2">
        <f ca="1"/>
        <v>0.25447713339583067</v>
      </c>
      <c r="AH1684" s="2" t="str">
        <f ca="1"/>
        <v>OK</v>
      </c>
    </row>
    <row r="1685" spans="2:34" x14ac:dyDescent="0.2">
      <c r="B1685" s="2">
        <f ca="1"/>
        <v>0.59634283460241844</v>
      </c>
      <c r="O1685" s="2">
        <f ca="1"/>
        <v>-0.72983682164554564</v>
      </c>
      <c r="X1685" s="2">
        <f ca="1"/>
        <v>105.26790870425587</v>
      </c>
      <c r="AG1685" s="2">
        <f ca="1"/>
        <v>9.7154884170693734E-3</v>
      </c>
      <c r="AH1685" s="2" t="str">
        <f ca="1"/>
        <v>Good</v>
      </c>
    </row>
    <row r="1686" spans="2:34" x14ac:dyDescent="0.2">
      <c r="B1686" s="2">
        <f ca="1"/>
        <v>0.72089855364763555</v>
      </c>
      <c r="O1686" s="2">
        <f ca="1"/>
        <v>0.33227718097351794</v>
      </c>
      <c r="X1686" s="2">
        <f ca="1"/>
        <v>35.705208586482861</v>
      </c>
      <c r="AG1686" s="2">
        <f ca="1"/>
        <v>6.5530606744016451E-2</v>
      </c>
      <c r="AH1686" s="2" t="str">
        <f ca="1"/>
        <v>OK</v>
      </c>
    </row>
    <row r="1687" spans="2:34" x14ac:dyDescent="0.2">
      <c r="B1687" s="2">
        <f ca="1"/>
        <v>0.85917257720195561</v>
      </c>
      <c r="O1687" s="2">
        <f ca="1"/>
        <v>-1.276332308990783</v>
      </c>
      <c r="X1687" s="2">
        <f ca="1"/>
        <v>46.875468208634999</v>
      </c>
      <c r="AG1687" s="2">
        <f ca="1"/>
        <v>0.13381946989378912</v>
      </c>
      <c r="AH1687" s="2" t="str">
        <f ca="1"/>
        <v>OK</v>
      </c>
    </row>
    <row r="1688" spans="2:34" x14ac:dyDescent="0.2">
      <c r="B1688" s="2">
        <f ca="1"/>
        <v>0.79935452103398541</v>
      </c>
      <c r="O1688" s="2">
        <f ca="1"/>
        <v>1.5832532580172816</v>
      </c>
      <c r="X1688" s="2">
        <f ca="1"/>
        <v>36.860223411110731</v>
      </c>
      <c r="AG1688" s="2">
        <f ca="1"/>
        <v>0.9461297802679729</v>
      </c>
      <c r="AH1688" s="2" t="str">
        <f ca="1"/>
        <v>Bad</v>
      </c>
    </row>
    <row r="1689" spans="2:34" x14ac:dyDescent="0.2">
      <c r="B1689" s="2">
        <f ca="1"/>
        <v>0.5058491303836814</v>
      </c>
      <c r="O1689" s="2">
        <f ca="1"/>
        <v>0.51611692487312666</v>
      </c>
      <c r="X1689" s="2">
        <f ca="1"/>
        <v>34.540442478599857</v>
      </c>
      <c r="AG1689" s="2">
        <f ca="1"/>
        <v>0.73546481042212819</v>
      </c>
      <c r="AH1689" s="2" t="str">
        <f ca="1"/>
        <v>Bad</v>
      </c>
    </row>
    <row r="1690" spans="2:34" x14ac:dyDescent="0.2">
      <c r="B1690" s="2">
        <f ca="1"/>
        <v>0.22055517144590331</v>
      </c>
      <c r="O1690" s="2">
        <f ca="1"/>
        <v>-1.6808974188246697</v>
      </c>
      <c r="X1690" s="2">
        <f ca="1"/>
        <v>40.076230362061665</v>
      </c>
      <c r="AG1690" s="2">
        <f ca="1"/>
        <v>0.94682750366682633</v>
      </c>
      <c r="AH1690" s="2" t="str">
        <f ca="1"/>
        <v>Bad</v>
      </c>
    </row>
    <row r="1691" spans="2:34" x14ac:dyDescent="0.2">
      <c r="B1691" s="2">
        <f ca="1"/>
        <v>0.10821025460184686</v>
      </c>
      <c r="O1691" s="2">
        <f ca="1"/>
        <v>1.2276941757117881</v>
      </c>
      <c r="X1691" s="2">
        <f ca="1"/>
        <v>101.52517888387834</v>
      </c>
      <c r="AG1691" s="2">
        <f ca="1"/>
        <v>0.19842474798893983</v>
      </c>
      <c r="AH1691" s="2" t="str">
        <f ca="1"/>
        <v>OK</v>
      </c>
    </row>
    <row r="1692" spans="2:34" x14ac:dyDescent="0.2">
      <c r="B1692" s="2">
        <f ca="1"/>
        <v>0.19758706783754287</v>
      </c>
      <c r="O1692" s="2">
        <f ca="1"/>
        <v>-1.4170324897071283</v>
      </c>
      <c r="X1692" s="2">
        <f ca="1"/>
        <v>58.045097691287175</v>
      </c>
      <c r="AG1692" s="2">
        <f ca="1"/>
        <v>0.42906635718444019</v>
      </c>
      <c r="AH1692" s="2" t="str">
        <f ca="1"/>
        <v>Bad</v>
      </c>
    </row>
    <row r="1693" spans="2:34" x14ac:dyDescent="0.2">
      <c r="B1693" s="2">
        <f ca="1"/>
        <v>0.15036641950867158</v>
      </c>
      <c r="O1693" s="2">
        <f ca="1"/>
        <v>-1.311982001087969</v>
      </c>
      <c r="X1693" s="2">
        <f ca="1"/>
        <v>61.823864391955318</v>
      </c>
      <c r="AG1693" s="2">
        <f ca="1"/>
        <v>0.31020171946100961</v>
      </c>
      <c r="AH1693" s="2" t="str">
        <f ca="1"/>
        <v>OK</v>
      </c>
    </row>
    <row r="1694" spans="2:34" x14ac:dyDescent="0.2">
      <c r="B1694" s="2">
        <f ca="1"/>
        <v>0.78478069167938358</v>
      </c>
      <c r="O1694" s="2">
        <f ca="1"/>
        <v>-1.6593925925090591</v>
      </c>
      <c r="X1694" s="2">
        <f ca="1"/>
        <v>54.341319578558789</v>
      </c>
      <c r="AG1694" s="2">
        <f ca="1"/>
        <v>4.1746982047299097E-2</v>
      </c>
      <c r="AH1694" s="2" t="str">
        <f ca="1"/>
        <v>Good</v>
      </c>
    </row>
    <row r="1695" spans="2:34" x14ac:dyDescent="0.2">
      <c r="B1695" s="2">
        <f ca="1"/>
        <v>0.78856183082884934</v>
      </c>
      <c r="O1695" s="2">
        <f ca="1"/>
        <v>-0.85216039518304076</v>
      </c>
      <c r="X1695" s="2">
        <f ca="1"/>
        <v>40.058918552818</v>
      </c>
      <c r="AG1695" s="2">
        <f ca="1"/>
        <v>0.22289865837557143</v>
      </c>
      <c r="AH1695" s="2" t="str">
        <f ca="1"/>
        <v>OK</v>
      </c>
    </row>
    <row r="1696" spans="2:34" x14ac:dyDescent="0.2">
      <c r="B1696" s="2">
        <f ca="1"/>
        <v>0.4790904989092335</v>
      </c>
      <c r="O1696" s="2">
        <f ca="1"/>
        <v>0.14640113778484104</v>
      </c>
      <c r="X1696" s="2">
        <f ca="1"/>
        <v>47.54819758259007</v>
      </c>
      <c r="AG1696" s="2">
        <f ca="1"/>
        <v>0.22335010313399351</v>
      </c>
      <c r="AH1696" s="2" t="str">
        <f ca="1"/>
        <v>OK</v>
      </c>
    </row>
    <row r="1697" spans="2:34" x14ac:dyDescent="0.2">
      <c r="B1697" s="2">
        <f ca="1"/>
        <v>0.49018275672820999</v>
      </c>
      <c r="O1697" s="2">
        <f ca="1"/>
        <v>-1.1643828573492747</v>
      </c>
      <c r="X1697" s="2">
        <f ca="1"/>
        <v>95.466074400239208</v>
      </c>
      <c r="AG1697" s="2">
        <f ca="1"/>
        <v>0.7078098627143985</v>
      </c>
      <c r="AH1697" s="2" t="str">
        <f ca="1"/>
        <v>Bad</v>
      </c>
    </row>
    <row r="1698" spans="2:34" x14ac:dyDescent="0.2">
      <c r="B1698" s="2">
        <f ca="1"/>
        <v>0.65694281708979974</v>
      </c>
      <c r="O1698" s="2">
        <f ca="1"/>
        <v>0.25704273317370241</v>
      </c>
      <c r="X1698" s="2">
        <f ca="1"/>
        <v>54.423866674164209</v>
      </c>
      <c r="AG1698" s="2">
        <f ca="1"/>
        <v>0.5217857442319902</v>
      </c>
      <c r="AH1698" s="2" t="str">
        <f ca="1"/>
        <v>Bad</v>
      </c>
    </row>
    <row r="1699" spans="2:34" x14ac:dyDescent="0.2">
      <c r="B1699" s="2">
        <f ca="1"/>
        <v>0.45382257518642333</v>
      </c>
      <c r="O1699" s="2">
        <f ca="1"/>
        <v>0.41696631156152114</v>
      </c>
      <c r="X1699" s="2">
        <f ca="1"/>
        <v>29.764294085686885</v>
      </c>
      <c r="AG1699" s="2">
        <f ca="1"/>
        <v>4.0457642598326515E-2</v>
      </c>
      <c r="AH1699" s="2" t="str">
        <f ca="1"/>
        <v>Good</v>
      </c>
    </row>
    <row r="1700" spans="2:34" x14ac:dyDescent="0.2">
      <c r="B1700" s="2">
        <f ca="1"/>
        <v>0.26724070491720964</v>
      </c>
      <c r="O1700" s="2">
        <f ca="1"/>
        <v>1.3965057825412637</v>
      </c>
      <c r="X1700" s="2">
        <f ca="1"/>
        <v>29.889963411700968</v>
      </c>
      <c r="AG1700" s="2">
        <f ca="1"/>
        <v>0.82786439399119605</v>
      </c>
      <c r="AH1700" s="2" t="str">
        <f ca="1"/>
        <v>Bad</v>
      </c>
    </row>
    <row r="1701" spans="2:34" x14ac:dyDescent="0.2">
      <c r="B1701" s="2">
        <f ca="1"/>
        <v>0.3833464165005469</v>
      </c>
      <c r="O1701" s="2">
        <f ca="1"/>
        <v>-1.0740916038579849</v>
      </c>
      <c r="X1701" s="2">
        <f ca="1"/>
        <v>47.251723952030993</v>
      </c>
      <c r="AG1701" s="2">
        <f ca="1"/>
        <v>0.15020193581803976</v>
      </c>
      <c r="AH1701" s="2" t="str">
        <f ca="1"/>
        <v>OK</v>
      </c>
    </row>
    <row r="1702" spans="2:34" x14ac:dyDescent="0.2">
      <c r="B1702" s="2">
        <f ca="1"/>
        <v>0.83866157276127096</v>
      </c>
      <c r="O1702" s="2">
        <f ca="1"/>
        <v>0.58451969900946688</v>
      </c>
      <c r="X1702" s="2">
        <f ca="1"/>
        <v>53.06362057492538</v>
      </c>
      <c r="AG1702" s="2">
        <f ca="1"/>
        <v>0.17120519498884779</v>
      </c>
      <c r="AH1702" s="2" t="str">
        <f ca="1"/>
        <v>OK</v>
      </c>
    </row>
    <row r="1703" spans="2:34" x14ac:dyDescent="0.2">
      <c r="B1703" s="2">
        <f ca="1"/>
        <v>7.3363576328967062E-2</v>
      </c>
      <c r="O1703" s="2">
        <f ca="1"/>
        <v>0.38938019699043919</v>
      </c>
      <c r="X1703" s="2">
        <f ca="1"/>
        <v>49.160333165336489</v>
      </c>
      <c r="AG1703" s="2">
        <f ca="1"/>
        <v>4.5875724479429447E-3</v>
      </c>
      <c r="AH1703" s="2" t="str">
        <f ca="1"/>
        <v>Good</v>
      </c>
    </row>
    <row r="1704" spans="2:34" x14ac:dyDescent="0.2">
      <c r="B1704" s="2">
        <f ca="1"/>
        <v>0.12398154241724235</v>
      </c>
      <c r="O1704" s="2">
        <f ca="1"/>
        <v>0.32394081930837365</v>
      </c>
      <c r="X1704" s="2">
        <f ca="1"/>
        <v>49.025255206823921</v>
      </c>
      <c r="AG1704" s="2">
        <f ca="1"/>
        <v>0.5171154821407733</v>
      </c>
      <c r="AH1704" s="2" t="str">
        <f ca="1"/>
        <v>Bad</v>
      </c>
    </row>
    <row r="1705" spans="2:34" x14ac:dyDescent="0.2">
      <c r="B1705" s="2">
        <f ca="1"/>
        <v>0.1656487234527757</v>
      </c>
      <c r="O1705" s="2">
        <f ca="1"/>
        <v>-0.12724675278956776</v>
      </c>
      <c r="X1705" s="2">
        <f ca="1"/>
        <v>36.655875143638902</v>
      </c>
      <c r="AG1705" s="2">
        <f ca="1"/>
        <v>0.80378199408908246</v>
      </c>
      <c r="AH1705" s="2" t="str">
        <f ca="1"/>
        <v>Bad</v>
      </c>
    </row>
    <row r="1706" spans="2:34" x14ac:dyDescent="0.2">
      <c r="B1706" s="2">
        <f ca="1"/>
        <v>0.48998779778515789</v>
      </c>
      <c r="O1706" s="2">
        <f ca="1"/>
        <v>1.1932807394737313</v>
      </c>
      <c r="X1706" s="2">
        <f ca="1"/>
        <v>55.65702414274692</v>
      </c>
      <c r="AG1706" s="2">
        <f ca="1"/>
        <v>0.51890596163086178</v>
      </c>
      <c r="AH1706" s="2" t="str">
        <f ca="1"/>
        <v>Bad</v>
      </c>
    </row>
    <row r="1707" spans="2:34" x14ac:dyDescent="0.2">
      <c r="B1707" s="2">
        <f ca="1"/>
        <v>0.66584712225727705</v>
      </c>
      <c r="O1707" s="2">
        <f ca="1"/>
        <v>0.50185449345408539</v>
      </c>
      <c r="X1707" s="2">
        <f ca="1"/>
        <v>68.250844693315017</v>
      </c>
      <c r="AG1707" s="2">
        <f ca="1"/>
        <v>0.3644053434669885</v>
      </c>
      <c r="AH1707" s="2" t="str">
        <f ca="1"/>
        <v>OK</v>
      </c>
    </row>
    <row r="1708" spans="2:34" x14ac:dyDescent="0.2">
      <c r="B1708" s="2">
        <f ca="1"/>
        <v>7.83489854161874E-2</v>
      </c>
      <c r="O1708" s="2">
        <f ca="1"/>
        <v>3.4472840010288786</v>
      </c>
      <c r="X1708" s="2">
        <f ca="1"/>
        <v>42.579654740344843</v>
      </c>
      <c r="AG1708" s="2">
        <f ca="1"/>
        <v>0.18660679977856853</v>
      </c>
      <c r="AH1708" s="2" t="str">
        <f ca="1"/>
        <v>OK</v>
      </c>
    </row>
    <row r="1709" spans="2:34" x14ac:dyDescent="0.2">
      <c r="B1709" s="2">
        <f ca="1"/>
        <v>0.59413552389394209</v>
      </c>
      <c r="O1709" s="2">
        <f ca="1"/>
        <v>1.5432502646875144</v>
      </c>
      <c r="X1709" s="2">
        <f ca="1"/>
        <v>37.511695451440879</v>
      </c>
      <c r="AG1709" s="2">
        <f ca="1"/>
        <v>6.9977332189237185E-2</v>
      </c>
      <c r="AH1709" s="2" t="str">
        <f ca="1"/>
        <v>OK</v>
      </c>
    </row>
    <row r="1710" spans="2:34" x14ac:dyDescent="0.2">
      <c r="B1710" s="2">
        <f ca="1"/>
        <v>0.95504912093443473</v>
      </c>
      <c r="O1710" s="2">
        <f ca="1"/>
        <v>-0.61143874480261129</v>
      </c>
      <c r="X1710" s="2">
        <f ca="1"/>
        <v>47.93250136784367</v>
      </c>
      <c r="AG1710" s="2">
        <f ca="1"/>
        <v>0.59124134890413793</v>
      </c>
      <c r="AH1710" s="2" t="str">
        <f ca="1"/>
        <v>Bad</v>
      </c>
    </row>
    <row r="1711" spans="2:34" x14ac:dyDescent="0.2">
      <c r="B1711" s="2">
        <f ca="1"/>
        <v>0.23086402060837918</v>
      </c>
      <c r="O1711" s="2">
        <f ca="1"/>
        <v>-1.045866848607512</v>
      </c>
      <c r="X1711" s="2">
        <f ca="1"/>
        <v>45.5659875762219</v>
      </c>
      <c r="AG1711" s="2">
        <f ca="1"/>
        <v>0.16248596432000295</v>
      </c>
      <c r="AH1711" s="2" t="str">
        <f ca="1"/>
        <v>OK</v>
      </c>
    </row>
    <row r="1712" spans="2:34" x14ac:dyDescent="0.2">
      <c r="B1712" s="2">
        <f ca="1"/>
        <v>0.4311565788216305</v>
      </c>
      <c r="O1712" s="2">
        <f ca="1"/>
        <v>0.60210692128007315</v>
      </c>
      <c r="X1712" s="2">
        <f ca="1"/>
        <v>47.21973929163557</v>
      </c>
      <c r="AG1712" s="2">
        <f ca="1"/>
        <v>0.55441454223771358</v>
      </c>
      <c r="AH1712" s="2" t="str">
        <f ca="1"/>
        <v>Bad</v>
      </c>
    </row>
    <row r="1713" spans="2:34" x14ac:dyDescent="0.2">
      <c r="B1713" s="2">
        <f ca="1"/>
        <v>3.5888441186802789E-2</v>
      </c>
      <c r="O1713" s="2">
        <f ca="1"/>
        <v>0.54988610953479167</v>
      </c>
      <c r="X1713" s="2">
        <f ca="1"/>
        <v>43.74754421724387</v>
      </c>
      <c r="AG1713" s="2">
        <f ca="1"/>
        <v>0.35378760225351891</v>
      </c>
      <c r="AH1713" s="2" t="str">
        <f ca="1"/>
        <v>OK</v>
      </c>
    </row>
    <row r="1714" spans="2:34" x14ac:dyDescent="0.2">
      <c r="B1714" s="2">
        <f ca="1"/>
        <v>0.7720829832545002</v>
      </c>
      <c r="O1714" s="2">
        <f ca="1"/>
        <v>0.75649826879577309</v>
      </c>
      <c r="X1714" s="2">
        <f ca="1"/>
        <v>45.045978880540574</v>
      </c>
      <c r="AG1714" s="2">
        <f ca="1"/>
        <v>0.27076309180743818</v>
      </c>
      <c r="AH1714" s="2" t="str">
        <f ca="1"/>
        <v>OK</v>
      </c>
    </row>
    <row r="1715" spans="2:34" x14ac:dyDescent="0.2">
      <c r="B1715" s="2">
        <f ca="1"/>
        <v>0.60356051750705886</v>
      </c>
      <c r="O1715" s="2">
        <f ca="1"/>
        <v>-1.2321035292026416E-2</v>
      </c>
      <c r="X1715" s="2">
        <f ca="1"/>
        <v>38.277472875266149</v>
      </c>
      <c r="AG1715" s="2">
        <f ca="1"/>
        <v>0.83669257449765788</v>
      </c>
      <c r="AH1715" s="2" t="str">
        <f ca="1"/>
        <v>Bad</v>
      </c>
    </row>
    <row r="1716" spans="2:34" x14ac:dyDescent="0.2">
      <c r="B1716" s="2">
        <f ca="1"/>
        <v>0.62948175483866153</v>
      </c>
      <c r="O1716" s="2">
        <f ca="1"/>
        <v>-0.55155815776869377</v>
      </c>
      <c r="X1716" s="2">
        <f ca="1"/>
        <v>57.76360594395485</v>
      </c>
      <c r="AG1716" s="2">
        <f ca="1"/>
        <v>0.9581171689368202</v>
      </c>
      <c r="AH1716" s="2" t="str">
        <f ca="1"/>
        <v>Bad</v>
      </c>
    </row>
    <row r="1717" spans="2:34" x14ac:dyDescent="0.2">
      <c r="B1717" s="2">
        <f ca="1"/>
        <v>0.44620245433816641</v>
      </c>
      <c r="O1717" s="2">
        <f ca="1"/>
        <v>-1.3848341189717368</v>
      </c>
      <c r="X1717" s="2">
        <f ca="1"/>
        <v>48.911922277372412</v>
      </c>
      <c r="AG1717" s="2">
        <f ca="1"/>
        <v>0.32694453610158547</v>
      </c>
      <c r="AH1717" s="2" t="str">
        <f ca="1"/>
        <v>OK</v>
      </c>
    </row>
    <row r="1718" spans="2:34" x14ac:dyDescent="0.2">
      <c r="B1718" s="2">
        <f ca="1"/>
        <v>0.58083424272983186</v>
      </c>
      <c r="O1718" s="2">
        <f ca="1"/>
        <v>-3.0871387888235305E-2</v>
      </c>
      <c r="X1718" s="2">
        <f ca="1"/>
        <v>45.151593053725264</v>
      </c>
      <c r="AG1718" s="2">
        <f ca="1"/>
        <v>0.53603383296766305</v>
      </c>
      <c r="AH1718" s="2" t="str">
        <f ca="1"/>
        <v>Bad</v>
      </c>
    </row>
    <row r="1719" spans="2:34" x14ac:dyDescent="0.2">
      <c r="B1719" s="2">
        <f ca="1"/>
        <v>0.72569200589673688</v>
      </c>
      <c r="O1719" s="2">
        <f ca="1"/>
        <v>-0.93188397270317114</v>
      </c>
      <c r="X1719" s="2">
        <f ca="1"/>
        <v>37.521206831144426</v>
      </c>
      <c r="AG1719" s="2">
        <f ca="1"/>
        <v>0.14735354486707375</v>
      </c>
      <c r="AH1719" s="2" t="str">
        <f ca="1"/>
        <v>OK</v>
      </c>
    </row>
    <row r="1720" spans="2:34" x14ac:dyDescent="0.2">
      <c r="B1720" s="2">
        <f ca="1"/>
        <v>7.6655748102205212E-2</v>
      </c>
      <c r="O1720" s="2">
        <f ca="1"/>
        <v>-0.13316175402606303</v>
      </c>
      <c r="X1720" s="2">
        <f ca="1"/>
        <v>39.260257316335128</v>
      </c>
      <c r="AG1720" s="2">
        <f ca="1"/>
        <v>0.83552964049847755</v>
      </c>
      <c r="AH1720" s="2" t="str">
        <f ca="1"/>
        <v>Bad</v>
      </c>
    </row>
    <row r="1721" spans="2:34" x14ac:dyDescent="0.2">
      <c r="B1721" s="2">
        <f ca="1"/>
        <v>0.34764386497051247</v>
      </c>
      <c r="O1721" s="2">
        <f ca="1"/>
        <v>2.0518890510216439</v>
      </c>
      <c r="X1721" s="2">
        <f ca="1"/>
        <v>39.206367156619962</v>
      </c>
      <c r="AG1721" s="2">
        <f ca="1"/>
        <v>0.6219044710629098</v>
      </c>
      <c r="AH1721" s="2" t="str">
        <f ca="1"/>
        <v>Bad</v>
      </c>
    </row>
    <row r="1722" spans="2:34" x14ac:dyDescent="0.2">
      <c r="B1722" s="2">
        <f ca="1"/>
        <v>0.84897417841785194</v>
      </c>
      <c r="O1722" s="2">
        <f ca="1"/>
        <v>-0.1937014408574419</v>
      </c>
      <c r="X1722" s="2">
        <f ca="1"/>
        <v>39.485947306596813</v>
      </c>
      <c r="AG1722" s="2">
        <f ca="1"/>
        <v>0.91925213057056165</v>
      </c>
      <c r="AH1722" s="2" t="str">
        <f ca="1"/>
        <v>Bad</v>
      </c>
    </row>
    <row r="1723" spans="2:34" x14ac:dyDescent="0.2">
      <c r="B1723" s="2">
        <f ca="1"/>
        <v>0.21238818323695297</v>
      </c>
      <c r="O1723" s="2">
        <f ca="1"/>
        <v>0.88637764120158447</v>
      </c>
      <c r="X1723" s="2">
        <f ca="1"/>
        <v>25.331484897459458</v>
      </c>
      <c r="AG1723" s="2">
        <f ca="1"/>
        <v>0.1175595027395766</v>
      </c>
      <c r="AH1723" s="2" t="str">
        <f ca="1"/>
        <v>OK</v>
      </c>
    </row>
    <row r="1724" spans="2:34" x14ac:dyDescent="0.2">
      <c r="B1724" s="2">
        <f ca="1"/>
        <v>0.62615955854844807</v>
      </c>
      <c r="O1724" s="2">
        <f ca="1"/>
        <v>-1.2193670355721995</v>
      </c>
      <c r="X1724" s="2">
        <f ca="1"/>
        <v>65.290180526029189</v>
      </c>
      <c r="AG1724" s="2">
        <f ca="1"/>
        <v>0.48503116192217455</v>
      </c>
      <c r="AH1724" s="2" t="str">
        <f ca="1"/>
        <v>Bad</v>
      </c>
    </row>
    <row r="1725" spans="2:34" x14ac:dyDescent="0.2">
      <c r="B1725" s="2">
        <f ca="1"/>
        <v>0.21710803135047696</v>
      </c>
      <c r="O1725" s="2">
        <f ca="1"/>
        <v>-0.50277074210508022</v>
      </c>
      <c r="X1725" s="2">
        <f ca="1"/>
        <v>71.58528386972084</v>
      </c>
      <c r="AG1725" s="2">
        <f ca="1"/>
        <v>0.21173922503785825</v>
      </c>
      <c r="AH1725" s="2" t="str">
        <f ca="1"/>
        <v>OK</v>
      </c>
    </row>
    <row r="1726" spans="2:34" x14ac:dyDescent="0.2">
      <c r="B1726" s="2">
        <f ca="1"/>
        <v>0.95888327069387058</v>
      </c>
      <c r="O1726" s="2">
        <f ca="1"/>
        <v>-0.83141930307670664</v>
      </c>
      <c r="X1726" s="2">
        <f ca="1"/>
        <v>95.785211145817186</v>
      </c>
      <c r="AG1726" s="2">
        <f ca="1"/>
        <v>0.71978365094491759</v>
      </c>
      <c r="AH1726" s="2" t="str">
        <f ca="1"/>
        <v>Bad</v>
      </c>
    </row>
    <row r="1727" spans="2:34" x14ac:dyDescent="0.2">
      <c r="B1727" s="2">
        <f ca="1"/>
        <v>0.58781597630719773</v>
      </c>
      <c r="O1727" s="2">
        <f ca="1"/>
        <v>1.5562221040948037</v>
      </c>
      <c r="X1727" s="2">
        <f ca="1"/>
        <v>35.190615568570166</v>
      </c>
      <c r="AG1727" s="2">
        <f ca="1"/>
        <v>0.9805540274885185</v>
      </c>
      <c r="AH1727" s="2" t="str">
        <f ca="1"/>
        <v>Bad</v>
      </c>
    </row>
    <row r="1728" spans="2:34" x14ac:dyDescent="0.2">
      <c r="B1728" s="2">
        <f ca="1"/>
        <v>0.87628820889450032</v>
      </c>
      <c r="O1728" s="2">
        <f ca="1"/>
        <v>0.15875870276340232</v>
      </c>
      <c r="X1728" s="2">
        <f ca="1"/>
        <v>57.149671430384601</v>
      </c>
      <c r="AG1728" s="2">
        <f ca="1"/>
        <v>0.81668295827684445</v>
      </c>
      <c r="AH1728" s="2" t="str">
        <f ca="1"/>
        <v>Bad</v>
      </c>
    </row>
    <row r="1729" spans="2:34" x14ac:dyDescent="0.2">
      <c r="B1729" s="2">
        <f ca="1"/>
        <v>4.4310558800923161E-2</v>
      </c>
      <c r="O1729" s="2">
        <f ca="1"/>
        <v>-0.48770850309754527</v>
      </c>
      <c r="X1729" s="2">
        <f ca="1"/>
        <v>40.938798090491474</v>
      </c>
      <c r="AG1729" s="2">
        <f ca="1"/>
        <v>0.53686775074352089</v>
      </c>
      <c r="AH1729" s="2" t="str">
        <f ca="1"/>
        <v>Bad</v>
      </c>
    </row>
    <row r="1730" spans="2:34" x14ac:dyDescent="0.2">
      <c r="B1730" s="2">
        <f ca="1"/>
        <v>0.8244550238180437</v>
      </c>
      <c r="O1730" s="2">
        <f ca="1"/>
        <v>-1.1675605891489702</v>
      </c>
      <c r="X1730" s="2">
        <f ca="1"/>
        <v>69.396574611838247</v>
      </c>
      <c r="AG1730" s="2">
        <f ca="1"/>
        <v>0.32072694102028532</v>
      </c>
      <c r="AH1730" s="2" t="str">
        <f ca="1"/>
        <v>OK</v>
      </c>
    </row>
    <row r="1731" spans="2:34" x14ac:dyDescent="0.2">
      <c r="B1731" s="2">
        <f ca="1"/>
        <v>0.22737842362707572</v>
      </c>
      <c r="O1731" s="2">
        <f ca="1"/>
        <v>1.778902633654267</v>
      </c>
      <c r="X1731" s="2">
        <f ca="1"/>
        <v>71.160661428916455</v>
      </c>
      <c r="AG1731" s="2">
        <f ca="1"/>
        <v>0.57759495264403049</v>
      </c>
      <c r="AH1731" s="2" t="str">
        <f ca="1"/>
        <v>Bad</v>
      </c>
    </row>
    <row r="1732" spans="2:34" x14ac:dyDescent="0.2">
      <c r="B1732" s="2">
        <f ca="1"/>
        <v>0.20973513128807175</v>
      </c>
      <c r="O1732" s="2">
        <f ca="1"/>
        <v>-0.81851011939274609</v>
      </c>
      <c r="X1732" s="2">
        <f ca="1"/>
        <v>44.280328048693718</v>
      </c>
      <c r="AG1732" s="2">
        <f ca="1"/>
        <v>0.72660757476315752</v>
      </c>
      <c r="AH1732" s="2" t="str">
        <f ca="1"/>
        <v>Bad</v>
      </c>
    </row>
    <row r="1733" spans="2:34" x14ac:dyDescent="0.2">
      <c r="B1733" s="2">
        <f ca="1"/>
        <v>0.54412431709595865</v>
      </c>
      <c r="O1733" s="2">
        <f ca="1"/>
        <v>-0.20785749579528101</v>
      </c>
      <c r="X1733" s="2">
        <f ca="1"/>
        <v>41.204320726413599</v>
      </c>
      <c r="AG1733" s="2">
        <f ca="1"/>
        <v>0.21449438837960888</v>
      </c>
      <c r="AH1733" s="2" t="str">
        <f ca="1"/>
        <v>OK</v>
      </c>
    </row>
    <row r="1734" spans="2:34" x14ac:dyDescent="0.2">
      <c r="B1734" s="2">
        <f ca="1"/>
        <v>0.81249032448237135</v>
      </c>
      <c r="O1734" s="2">
        <f ca="1"/>
        <v>0.18223743728077874</v>
      </c>
      <c r="X1734" s="2">
        <f ca="1"/>
        <v>55.20430518702328</v>
      </c>
      <c r="AG1734" s="2">
        <f ca="1"/>
        <v>0.30898732980816956</v>
      </c>
      <c r="AH1734" s="2" t="str">
        <f ca="1"/>
        <v>OK</v>
      </c>
    </row>
    <row r="1735" spans="2:34" x14ac:dyDescent="0.2">
      <c r="B1735" s="2">
        <f ca="1"/>
        <v>0.89378984112465942</v>
      </c>
      <c r="O1735" s="2">
        <f ca="1"/>
        <v>1.2158876736769992</v>
      </c>
      <c r="X1735" s="2">
        <f ca="1"/>
        <v>65.913801359844413</v>
      </c>
      <c r="AG1735" s="2">
        <f ca="1"/>
        <v>0.90849278784796894</v>
      </c>
      <c r="AH1735" s="2" t="str">
        <f ca="1"/>
        <v>Bad</v>
      </c>
    </row>
    <row r="1736" spans="2:34" x14ac:dyDescent="0.2">
      <c r="B1736" s="2">
        <f ca="1"/>
        <v>0.25236257424439534</v>
      </c>
      <c r="O1736" s="2">
        <f ca="1"/>
        <v>-0.11815126981958785</v>
      </c>
      <c r="X1736" s="2">
        <f ca="1"/>
        <v>57.987967257107897</v>
      </c>
      <c r="AG1736" s="2">
        <f ca="1"/>
        <v>0.33272986619585665</v>
      </c>
      <c r="AH1736" s="2" t="str">
        <f ca="1"/>
        <v>OK</v>
      </c>
    </row>
    <row r="1737" spans="2:34" x14ac:dyDescent="0.2">
      <c r="B1737" s="2">
        <f ca="1"/>
        <v>0.97202870698651833</v>
      </c>
      <c r="O1737" s="2">
        <f ca="1"/>
        <v>0.5165123878150284</v>
      </c>
      <c r="X1737" s="2">
        <f ca="1"/>
        <v>63.627421478794481</v>
      </c>
      <c r="AG1737" s="2">
        <f ca="1"/>
        <v>0.53293727231417476</v>
      </c>
      <c r="AH1737" s="2" t="str">
        <f ca="1"/>
        <v>Bad</v>
      </c>
    </row>
    <row r="1738" spans="2:34" x14ac:dyDescent="0.2">
      <c r="B1738" s="2">
        <f ca="1"/>
        <v>0.5561131250094542</v>
      </c>
      <c r="O1738" s="2">
        <f ca="1"/>
        <v>-0.59953967185235524</v>
      </c>
      <c r="X1738" s="2">
        <f ca="1"/>
        <v>32.742009773123961</v>
      </c>
      <c r="AG1738" s="2">
        <f ca="1"/>
        <v>0.59822855731219349</v>
      </c>
      <c r="AH1738" s="2" t="str">
        <f ca="1"/>
        <v>Bad</v>
      </c>
    </row>
    <row r="1739" spans="2:34" x14ac:dyDescent="0.2">
      <c r="B1739" s="2">
        <f ca="1"/>
        <v>4.2396950799330035E-2</v>
      </c>
      <c r="O1739" s="2">
        <f ca="1"/>
        <v>-0.70683935582988544</v>
      </c>
      <c r="X1739" s="2">
        <f ca="1"/>
        <v>64.592391589774621</v>
      </c>
      <c r="AG1739" s="2">
        <f ca="1"/>
        <v>0.76114287275918824</v>
      </c>
      <c r="AH1739" s="2" t="str">
        <f ca="1"/>
        <v>Bad</v>
      </c>
    </row>
    <row r="1740" spans="2:34" x14ac:dyDescent="0.2">
      <c r="B1740" s="2">
        <f ca="1"/>
        <v>0.49221646382083062</v>
      </c>
      <c r="O1740" s="2">
        <f ca="1"/>
        <v>-3.4251475872930697</v>
      </c>
      <c r="X1740" s="2">
        <f ca="1"/>
        <v>39.866613543369887</v>
      </c>
      <c r="AG1740" s="2">
        <f ca="1"/>
        <v>0.28950256848939815</v>
      </c>
      <c r="AH1740" s="2" t="str">
        <f ca="1"/>
        <v>OK</v>
      </c>
    </row>
    <row r="1741" spans="2:34" x14ac:dyDescent="0.2">
      <c r="B1741" s="2">
        <f ca="1"/>
        <v>0.40648598081020371</v>
      </c>
      <c r="O1741" s="2">
        <f ca="1"/>
        <v>-0.97602679631000966</v>
      </c>
      <c r="X1741" s="2">
        <f ca="1"/>
        <v>74.862039572767259</v>
      </c>
      <c r="AG1741" s="2">
        <f ca="1"/>
        <v>0.85997938063079604</v>
      </c>
      <c r="AH1741" s="2" t="str">
        <f ca="1"/>
        <v>Bad</v>
      </c>
    </row>
    <row r="1742" spans="2:34" x14ac:dyDescent="0.2">
      <c r="B1742" s="2">
        <f ca="1"/>
        <v>0.28449578228255734</v>
      </c>
      <c r="O1742" s="2">
        <f ca="1"/>
        <v>1.1331926292829948</v>
      </c>
      <c r="X1742" s="2">
        <f ca="1"/>
        <v>67.274517100330854</v>
      </c>
      <c r="AG1742" s="2">
        <f ca="1"/>
        <v>0.63961149981252241</v>
      </c>
      <c r="AH1742" s="2" t="str">
        <f ca="1"/>
        <v>Bad</v>
      </c>
    </row>
    <row r="1743" spans="2:34" x14ac:dyDescent="0.2">
      <c r="B1743" s="2">
        <f ca="1"/>
        <v>0.29824608222682114</v>
      </c>
      <c r="O1743" s="2">
        <f ca="1"/>
        <v>-0.22880378504754764</v>
      </c>
      <c r="X1743" s="2">
        <f ca="1"/>
        <v>45.208220613296746</v>
      </c>
      <c r="AG1743" s="2">
        <f ca="1"/>
        <v>8.720565142309078E-2</v>
      </c>
      <c r="AH1743" s="2" t="str">
        <f ca="1"/>
        <v>OK</v>
      </c>
    </row>
    <row r="1744" spans="2:34" x14ac:dyDescent="0.2">
      <c r="B1744" s="2">
        <f ca="1"/>
        <v>0.22349006210138667</v>
      </c>
      <c r="O1744" s="2">
        <f ca="1"/>
        <v>0.15887359906685655</v>
      </c>
      <c r="X1744" s="2">
        <f ca="1"/>
        <v>47.209505664035007</v>
      </c>
      <c r="AG1744" s="2">
        <f ca="1"/>
        <v>1.1795080047415807E-2</v>
      </c>
      <c r="AH1744" s="2" t="str">
        <f ca="1"/>
        <v>Good</v>
      </c>
    </row>
    <row r="1745" spans="2:34" x14ac:dyDescent="0.2">
      <c r="B1745" s="2">
        <f ca="1"/>
        <v>2.0941413977469514E-2</v>
      </c>
      <c r="O1745" s="2">
        <f ca="1"/>
        <v>-1.101947568843469</v>
      </c>
      <c r="X1745" s="2">
        <f ca="1"/>
        <v>52.467068190560717</v>
      </c>
      <c r="AG1745" s="2">
        <f ca="1"/>
        <v>0.68389162077319865</v>
      </c>
      <c r="AH1745" s="2" t="str">
        <f ca="1"/>
        <v>Bad</v>
      </c>
    </row>
    <row r="1746" spans="2:34" x14ac:dyDescent="0.2">
      <c r="B1746" s="2">
        <f ca="1"/>
        <v>0.35445076424113209</v>
      </c>
      <c r="O1746" s="2">
        <f ca="1"/>
        <v>-0.33520478502645551</v>
      </c>
      <c r="X1746" s="2">
        <f ca="1"/>
        <v>23.865776327258455</v>
      </c>
      <c r="AG1746" s="2">
        <f ca="1"/>
        <v>0.66372495816203303</v>
      </c>
      <c r="AH1746" s="2" t="str">
        <f ca="1"/>
        <v>Bad</v>
      </c>
    </row>
    <row r="1747" spans="2:34" x14ac:dyDescent="0.2">
      <c r="B1747" s="2">
        <f ca="1"/>
        <v>0.54191713983005063</v>
      </c>
      <c r="O1747" s="2">
        <f ca="1"/>
        <v>1.7795231133486168E-2</v>
      </c>
      <c r="X1747" s="2">
        <f ca="1"/>
        <v>33.158022890218682</v>
      </c>
      <c r="AG1747" s="2">
        <f ca="1"/>
        <v>0.54305822485873256</v>
      </c>
      <c r="AH1747" s="2" t="str">
        <f ca="1"/>
        <v>Bad</v>
      </c>
    </row>
    <row r="1748" spans="2:34" x14ac:dyDescent="0.2">
      <c r="B1748" s="2">
        <f ca="1"/>
        <v>0.47174540925707409</v>
      </c>
      <c r="O1748" s="2">
        <f ca="1"/>
        <v>0.80327304963354529</v>
      </c>
      <c r="X1748" s="2">
        <f ca="1"/>
        <v>27.944504663177018</v>
      </c>
      <c r="AG1748" s="2">
        <f ca="1"/>
        <v>0.49925707349060255</v>
      </c>
      <c r="AH1748" s="2" t="str">
        <f ca="1"/>
        <v>Bad</v>
      </c>
    </row>
    <row r="1749" spans="2:34" x14ac:dyDescent="0.2">
      <c r="B1749" s="2">
        <f ca="1"/>
        <v>0.84192143560408517</v>
      </c>
      <c r="O1749" s="2">
        <f ca="1"/>
        <v>1.7784665888611439</v>
      </c>
      <c r="X1749" s="2">
        <f ca="1"/>
        <v>61.226551682955808</v>
      </c>
      <c r="AG1749" s="2">
        <f ca="1"/>
        <v>0.61926148862680308</v>
      </c>
      <c r="AH1749" s="2" t="str">
        <f ca="1"/>
        <v>Bad</v>
      </c>
    </row>
    <row r="1750" spans="2:34" x14ac:dyDescent="0.2">
      <c r="B1750" s="2">
        <f ca="1"/>
        <v>0.16405371667750956</v>
      </c>
      <c r="O1750" s="2">
        <f ca="1"/>
        <v>0.23509984653619959</v>
      </c>
      <c r="X1750" s="2">
        <f ca="1"/>
        <v>49.927169642692981</v>
      </c>
      <c r="AG1750" s="2">
        <f ca="1"/>
        <v>0.39324360035193839</v>
      </c>
      <c r="AH1750" s="2" t="str">
        <f ca="1"/>
        <v>OK</v>
      </c>
    </row>
    <row r="1751" spans="2:34" x14ac:dyDescent="0.2">
      <c r="B1751" s="2">
        <f ca="1"/>
        <v>0.47121998506029228</v>
      </c>
      <c r="O1751" s="2">
        <f ca="1"/>
        <v>0.26638221766584702</v>
      </c>
      <c r="X1751" s="2">
        <f ca="1"/>
        <v>33.12260505696004</v>
      </c>
      <c r="AG1751" s="2">
        <f ca="1"/>
        <v>0.33380263965079893</v>
      </c>
      <c r="AH1751" s="2" t="str">
        <f ca="1"/>
        <v>OK</v>
      </c>
    </row>
    <row r="1752" spans="2:34" x14ac:dyDescent="0.2">
      <c r="B1752" s="2">
        <f ca="1"/>
        <v>0.58521858745917621</v>
      </c>
      <c r="O1752" s="2">
        <f ca="1"/>
        <v>-0.36787782949686881</v>
      </c>
      <c r="X1752" s="2">
        <f ca="1"/>
        <v>33.839763633595091</v>
      </c>
      <c r="AG1752" s="2">
        <f ca="1"/>
        <v>0.56809430617449852</v>
      </c>
      <c r="AH1752" s="2" t="str">
        <f ca="1"/>
        <v>Bad</v>
      </c>
    </row>
    <row r="1753" spans="2:34" x14ac:dyDescent="0.2">
      <c r="B1753" s="2">
        <f ca="1"/>
        <v>0.84509955895448097</v>
      </c>
      <c r="O1753" s="2">
        <f ca="1"/>
        <v>0.91930292921100143</v>
      </c>
      <c r="X1753" s="2">
        <f ca="1"/>
        <v>54.593337384478815</v>
      </c>
      <c r="AG1753" s="2">
        <f ca="1"/>
        <v>0.95451406563027774</v>
      </c>
      <c r="AH1753" s="2" t="str">
        <f ca="1"/>
        <v>Bad</v>
      </c>
    </row>
    <row r="1754" spans="2:34" x14ac:dyDescent="0.2">
      <c r="B1754" s="2">
        <f ca="1"/>
        <v>0.71360407257492287</v>
      </c>
      <c r="O1754" s="2">
        <f ca="1"/>
        <v>-1.1049406998789617</v>
      </c>
      <c r="X1754" s="2">
        <f ca="1"/>
        <v>32.928965232817504</v>
      </c>
      <c r="AG1754" s="2">
        <f ca="1"/>
        <v>0.26540307862014023</v>
      </c>
      <c r="AH1754" s="2" t="str">
        <f ca="1"/>
        <v>OK</v>
      </c>
    </row>
    <row r="1755" spans="2:34" x14ac:dyDescent="0.2">
      <c r="B1755" s="2">
        <f ca="1"/>
        <v>0.94370623482596105</v>
      </c>
      <c r="O1755" s="2">
        <f ca="1"/>
        <v>0.95668355664950655</v>
      </c>
      <c r="X1755" s="2">
        <f ca="1"/>
        <v>51.954165254899365</v>
      </c>
      <c r="AG1755" s="2">
        <f ca="1"/>
        <v>0.47186696792142291</v>
      </c>
      <c r="AH1755" s="2" t="str">
        <f ca="1"/>
        <v>Bad</v>
      </c>
    </row>
    <row r="1756" spans="2:34" x14ac:dyDescent="0.2">
      <c r="B1756" s="2">
        <f ca="1"/>
        <v>0.88142375967909348</v>
      </c>
      <c r="O1756" s="2">
        <f ca="1"/>
        <v>-2.5142144803702036</v>
      </c>
      <c r="X1756" s="2">
        <f ca="1"/>
        <v>47.209760609182197</v>
      </c>
      <c r="AG1756" s="2">
        <f ca="1"/>
        <v>0.61678682485666858</v>
      </c>
      <c r="AH1756" s="2" t="str">
        <f ca="1"/>
        <v>Bad</v>
      </c>
    </row>
    <row r="1757" spans="2:34" x14ac:dyDescent="0.2">
      <c r="B1757" s="2">
        <f ca="1"/>
        <v>1.5870512847081075E-2</v>
      </c>
      <c r="O1757" s="2">
        <f ca="1"/>
        <v>-0.38575853727493103</v>
      </c>
      <c r="X1757" s="2">
        <f ca="1"/>
        <v>23.259597117646731</v>
      </c>
      <c r="AG1757" s="2">
        <f ca="1"/>
        <v>0.57301205321244519</v>
      </c>
      <c r="AH1757" s="2" t="str">
        <f ca="1"/>
        <v>Bad</v>
      </c>
    </row>
    <row r="1758" spans="2:34" x14ac:dyDescent="0.2">
      <c r="B1758" s="2">
        <f ca="1"/>
        <v>0.92958205946260564</v>
      </c>
      <c r="O1758" s="2">
        <f ca="1"/>
        <v>-1.7508041937755712</v>
      </c>
      <c r="X1758" s="2">
        <f ca="1"/>
        <v>40.327936793825742</v>
      </c>
      <c r="AG1758" s="2">
        <f ca="1"/>
        <v>0.51821964466052362</v>
      </c>
      <c r="AH1758" s="2" t="str">
        <f ca="1"/>
        <v>Bad</v>
      </c>
    </row>
    <row r="1759" spans="2:34" x14ac:dyDescent="0.2">
      <c r="B1759" s="2">
        <f ca="1"/>
        <v>0.87803875753252214</v>
      </c>
      <c r="O1759" s="2">
        <f ca="1"/>
        <v>-1.7093544961991629</v>
      </c>
      <c r="X1759" s="2">
        <f ca="1"/>
        <v>40.774292100712479</v>
      </c>
      <c r="AG1759" s="2">
        <f ca="1"/>
        <v>0.31961312050617496</v>
      </c>
      <c r="AH1759" s="2" t="str">
        <f ca="1"/>
        <v>OK</v>
      </c>
    </row>
    <row r="1760" spans="2:34" x14ac:dyDescent="0.2">
      <c r="B1760" s="2">
        <f ca="1"/>
        <v>0.81016831643921128</v>
      </c>
      <c r="O1760" s="2">
        <f ca="1"/>
        <v>0.43102019176216239</v>
      </c>
      <c r="X1760" s="2">
        <f ca="1"/>
        <v>59.842524605685306</v>
      </c>
      <c r="AG1760" s="2">
        <f ca="1"/>
        <v>0.37826932875013397</v>
      </c>
      <c r="AH1760" s="2" t="str">
        <f ca="1"/>
        <v>OK</v>
      </c>
    </row>
    <row r="1761" spans="2:34" x14ac:dyDescent="0.2">
      <c r="B1761" s="2">
        <f ca="1"/>
        <v>0.53898399325463497</v>
      </c>
      <c r="O1761" s="2">
        <f ca="1"/>
        <v>-0.26331097198836928</v>
      </c>
      <c r="X1761" s="2">
        <f ca="1"/>
        <v>46.308769029673741</v>
      </c>
      <c r="AG1761" s="2">
        <f ca="1"/>
        <v>0.51503908918966501</v>
      </c>
      <c r="AH1761" s="2" t="str">
        <f ca="1"/>
        <v>Bad</v>
      </c>
    </row>
    <row r="1762" spans="2:34" x14ac:dyDescent="0.2">
      <c r="B1762" s="2">
        <f ca="1"/>
        <v>0.88227609858341371</v>
      </c>
      <c r="O1762" s="2">
        <f ca="1"/>
        <v>-2.3441794409205965</v>
      </c>
      <c r="X1762" s="2">
        <f ca="1"/>
        <v>23.443668683684038</v>
      </c>
      <c r="AG1762" s="2">
        <f ca="1"/>
        <v>0.77745429966211432</v>
      </c>
      <c r="AH1762" s="2" t="str">
        <f ca="1"/>
        <v>Bad</v>
      </c>
    </row>
    <row r="1763" spans="2:34" x14ac:dyDescent="0.2">
      <c r="B1763" s="2">
        <f ca="1"/>
        <v>0.7756026446263562</v>
      </c>
      <c r="O1763" s="2">
        <f ca="1"/>
        <v>6.7314342853058762E-2</v>
      </c>
      <c r="X1763" s="2">
        <f ca="1"/>
        <v>58.777946865014087</v>
      </c>
      <c r="AG1763" s="2">
        <f ca="1"/>
        <v>0.68213215082082002</v>
      </c>
      <c r="AH1763" s="2" t="str">
        <f ca="1"/>
        <v>Bad</v>
      </c>
    </row>
    <row r="1764" spans="2:34" x14ac:dyDescent="0.2">
      <c r="B1764" s="2">
        <f ca="1"/>
        <v>0.50526202669108589</v>
      </c>
      <c r="O1764" s="2">
        <f ca="1"/>
        <v>1.0257241825209313</v>
      </c>
      <c r="X1764" s="2">
        <f ca="1"/>
        <v>46.571622437476208</v>
      </c>
      <c r="AG1764" s="2">
        <f ca="1"/>
        <v>0.20987173097376699</v>
      </c>
      <c r="AH1764" s="2" t="str">
        <f ca="1"/>
        <v>OK</v>
      </c>
    </row>
    <row r="1765" spans="2:34" x14ac:dyDescent="0.2">
      <c r="B1765" s="2">
        <f ca="1"/>
        <v>0.77022096832979403</v>
      </c>
      <c r="O1765" s="2">
        <f ca="1"/>
        <v>0.59956685499883711</v>
      </c>
      <c r="X1765" s="2">
        <f ca="1"/>
        <v>47.591150108015121</v>
      </c>
      <c r="AG1765" s="2">
        <f ca="1"/>
        <v>0.11828362144413473</v>
      </c>
      <c r="AH1765" s="2" t="str">
        <f ca="1"/>
        <v>OK</v>
      </c>
    </row>
    <row r="1766" spans="2:34" x14ac:dyDescent="0.2">
      <c r="B1766" s="2">
        <f ca="1"/>
        <v>0.81743706550251827</v>
      </c>
      <c r="O1766" s="2">
        <f ca="1"/>
        <v>0.72082796975854047</v>
      </c>
      <c r="X1766" s="2">
        <f ca="1"/>
        <v>60.216772268197218</v>
      </c>
      <c r="AG1766" s="2">
        <f ca="1"/>
        <v>0.82037718541404914</v>
      </c>
      <c r="AH1766" s="2" t="str">
        <f ca="1"/>
        <v>Bad</v>
      </c>
    </row>
    <row r="1767" spans="2:34" x14ac:dyDescent="0.2">
      <c r="B1767" s="2">
        <f ca="1"/>
        <v>0.23085456805885385</v>
      </c>
      <c r="O1767" s="2">
        <f ca="1"/>
        <v>-9.4952363423462652E-2</v>
      </c>
      <c r="X1767" s="2">
        <f ca="1"/>
        <v>55.900384386344484</v>
      </c>
      <c r="AG1767" s="2">
        <f ca="1"/>
        <v>0.86909481481225948</v>
      </c>
      <c r="AH1767" s="2" t="str">
        <f ca="1"/>
        <v>Bad</v>
      </c>
    </row>
    <row r="1768" spans="2:34" x14ac:dyDescent="0.2">
      <c r="B1768" s="2">
        <f ca="1"/>
        <v>0.29253579897103599</v>
      </c>
      <c r="O1768" s="2">
        <f ca="1"/>
        <v>-0.91889567896566604</v>
      </c>
      <c r="X1768" s="2">
        <f ca="1"/>
        <v>64.543715719660582</v>
      </c>
      <c r="AG1768" s="2">
        <f ca="1"/>
        <v>0.81881522863503786</v>
      </c>
      <c r="AH1768" s="2" t="str">
        <f ca="1"/>
        <v>Bad</v>
      </c>
    </row>
    <row r="1769" spans="2:34" x14ac:dyDescent="0.2">
      <c r="B1769" s="2">
        <f ca="1"/>
        <v>0.72109368783315397</v>
      </c>
      <c r="O1769" s="2">
        <f ca="1"/>
        <v>0.47393194119255494</v>
      </c>
      <c r="X1769" s="2">
        <f ca="1"/>
        <v>45.163311497135048</v>
      </c>
      <c r="AG1769" s="2">
        <f ca="1"/>
        <v>0.67500365510459592</v>
      </c>
      <c r="AH1769" s="2" t="str">
        <f ca="1"/>
        <v>Bad</v>
      </c>
    </row>
    <row r="1770" spans="2:34" x14ac:dyDescent="0.2">
      <c r="B1770" s="2">
        <f ca="1"/>
        <v>0.80310539423979077</v>
      </c>
      <c r="O1770" s="2">
        <f ca="1"/>
        <v>2.9709045092024167</v>
      </c>
      <c r="X1770" s="2">
        <f ca="1"/>
        <v>53.773176460339805</v>
      </c>
      <c r="AG1770" s="2">
        <f ca="1"/>
        <v>0.6417446696531266</v>
      </c>
      <c r="AH1770" s="2" t="str">
        <f ca="1"/>
        <v>Bad</v>
      </c>
    </row>
    <row r="1771" spans="2:34" x14ac:dyDescent="0.2">
      <c r="B1771" s="2">
        <f ca="1"/>
        <v>9.2317333256386025E-2</v>
      </c>
      <c r="O1771" s="2">
        <f ca="1"/>
        <v>1.2287563014680485</v>
      </c>
      <c r="X1771" s="2">
        <f ca="1"/>
        <v>52.766815017476112</v>
      </c>
      <c r="AG1771" s="2">
        <f ca="1"/>
        <v>0.55079912154807631</v>
      </c>
      <c r="AH1771" s="2" t="str">
        <f ca="1"/>
        <v>Bad</v>
      </c>
    </row>
    <row r="1772" spans="2:34" x14ac:dyDescent="0.2">
      <c r="B1772" s="2">
        <f ca="1"/>
        <v>0.8298642391163682</v>
      </c>
      <c r="O1772" s="2">
        <f ca="1"/>
        <v>-1.1658886187646693</v>
      </c>
      <c r="X1772" s="2">
        <f ca="1"/>
        <v>43.229474586035124</v>
      </c>
      <c r="AG1772" s="2">
        <f ca="1"/>
        <v>0.86509701571269781</v>
      </c>
      <c r="AH1772" s="2" t="str">
        <f ca="1"/>
        <v>Bad</v>
      </c>
    </row>
    <row r="1773" spans="2:34" x14ac:dyDescent="0.2">
      <c r="B1773" s="2">
        <f ca="1"/>
        <v>0.58359047010172715</v>
      </c>
      <c r="O1773" s="2">
        <f ca="1"/>
        <v>5.8690417610820417E-2</v>
      </c>
      <c r="X1773" s="2">
        <f ca="1"/>
        <v>32.726574509331606</v>
      </c>
      <c r="AG1773" s="2">
        <f ca="1"/>
        <v>0.83494198248593943</v>
      </c>
      <c r="AH1773" s="2" t="str">
        <f ca="1"/>
        <v>Bad</v>
      </c>
    </row>
    <row r="1774" spans="2:34" x14ac:dyDescent="0.2">
      <c r="B1774" s="2">
        <f ca="1"/>
        <v>0.72811197226548163</v>
      </c>
      <c r="O1774" s="2">
        <f ca="1"/>
        <v>-2.2921937859400172</v>
      </c>
      <c r="X1774" s="2">
        <f ca="1"/>
        <v>30.907200106673365</v>
      </c>
      <c r="AG1774" s="2">
        <f ca="1"/>
        <v>0.95692462110187426</v>
      </c>
      <c r="AH1774" s="2" t="str">
        <f ca="1"/>
        <v>Bad</v>
      </c>
    </row>
    <row r="1775" spans="2:34" x14ac:dyDescent="0.2">
      <c r="B1775" s="2">
        <f ca="1"/>
        <v>0.94775362686881159</v>
      </c>
      <c r="O1775" s="2">
        <f ca="1"/>
        <v>-0.4876670554528274</v>
      </c>
      <c r="X1775" s="2">
        <f ca="1"/>
        <v>32.564912043106517</v>
      </c>
      <c r="AG1775" s="2">
        <f ca="1"/>
        <v>0.72492191087081981</v>
      </c>
      <c r="AH1775" s="2" t="str">
        <f ca="1"/>
        <v>Bad</v>
      </c>
    </row>
    <row r="1776" spans="2:34" x14ac:dyDescent="0.2">
      <c r="B1776" s="2">
        <f ca="1"/>
        <v>0.1338154063449275</v>
      </c>
      <c r="O1776" s="2">
        <f ca="1"/>
        <v>1.5463864422974354</v>
      </c>
      <c r="X1776" s="2">
        <f ca="1"/>
        <v>56.477344311137458</v>
      </c>
      <c r="AG1776" s="2">
        <f ca="1"/>
        <v>0.54574203125631571</v>
      </c>
      <c r="AH1776" s="2" t="str">
        <f ca="1"/>
        <v>Bad</v>
      </c>
    </row>
    <row r="1777" spans="2:34" x14ac:dyDescent="0.2">
      <c r="B1777" s="2">
        <f ca="1"/>
        <v>0.83385225692021092</v>
      </c>
      <c r="O1777" s="2">
        <f ca="1"/>
        <v>-0.44835708112016848</v>
      </c>
      <c r="X1777" s="2">
        <f ca="1"/>
        <v>45.466202070708135</v>
      </c>
      <c r="AG1777" s="2">
        <f ca="1"/>
        <v>0.41938214883337821</v>
      </c>
      <c r="AH1777" s="2" t="str">
        <f ca="1"/>
        <v>Bad</v>
      </c>
    </row>
    <row r="1778" spans="2:34" x14ac:dyDescent="0.2">
      <c r="B1778" s="2">
        <f ca="1"/>
        <v>0.94734134786467417</v>
      </c>
      <c r="O1778" s="2">
        <f ca="1"/>
        <v>-5.1906620726266242E-2</v>
      </c>
      <c r="X1778" s="2">
        <f ca="1"/>
        <v>51.513346807766744</v>
      </c>
      <c r="AG1778" s="2">
        <f ca="1"/>
        <v>0.33323619785445691</v>
      </c>
      <c r="AH1778" s="2" t="str">
        <f ca="1"/>
        <v>OK</v>
      </c>
    </row>
    <row r="1779" spans="2:34" x14ac:dyDescent="0.2">
      <c r="B1779" s="2">
        <f ca="1"/>
        <v>4.9518850821445026E-2</v>
      </c>
      <c r="O1779" s="2">
        <f ca="1"/>
        <v>0.86303635288517244</v>
      </c>
      <c r="X1779" s="2">
        <f ca="1"/>
        <v>42.179938159095755</v>
      </c>
      <c r="AG1779" s="2">
        <f ca="1"/>
        <v>0.92684645582780001</v>
      </c>
      <c r="AH1779" s="2" t="str">
        <f ca="1"/>
        <v>Bad</v>
      </c>
    </row>
    <row r="1780" spans="2:34" x14ac:dyDescent="0.2">
      <c r="B1780" s="2">
        <f ca="1"/>
        <v>9.2549764830677672E-2</v>
      </c>
      <c r="O1780" s="2">
        <f ca="1"/>
        <v>0.88851750737194979</v>
      </c>
      <c r="X1780" s="2">
        <f ca="1"/>
        <v>50.548958734240202</v>
      </c>
      <c r="AG1780" s="2">
        <f ca="1"/>
        <v>0.59070225185640979</v>
      </c>
      <c r="AH1780" s="2" t="str">
        <f ca="1"/>
        <v>Bad</v>
      </c>
    </row>
    <row r="1781" spans="2:34" x14ac:dyDescent="0.2">
      <c r="B1781" s="2">
        <f ca="1"/>
        <v>0.61456955281045045</v>
      </c>
      <c r="O1781" s="2">
        <f ca="1"/>
        <v>0.44986332511082505</v>
      </c>
      <c r="X1781" s="2">
        <f ca="1"/>
        <v>68.494508764333432</v>
      </c>
      <c r="AG1781" s="2">
        <f ca="1"/>
        <v>0.34883130754954816</v>
      </c>
      <c r="AH1781" s="2" t="str">
        <f ca="1"/>
        <v>OK</v>
      </c>
    </row>
    <row r="1782" spans="2:34" x14ac:dyDescent="0.2">
      <c r="B1782" s="2">
        <f ca="1"/>
        <v>0.60530185646584322</v>
      </c>
      <c r="O1782" s="2">
        <f ca="1"/>
        <v>0.77241211824679257</v>
      </c>
      <c r="X1782" s="2">
        <f ca="1"/>
        <v>56.609731800709383</v>
      </c>
      <c r="AG1782" s="2">
        <f ca="1"/>
        <v>0.98085251150191266</v>
      </c>
      <c r="AH1782" s="2" t="str">
        <f ca="1"/>
        <v>Bad</v>
      </c>
    </row>
    <row r="1783" spans="2:34" x14ac:dyDescent="0.2">
      <c r="B1783" s="2">
        <f ca="1"/>
        <v>0.70447079347129304</v>
      </c>
      <c r="O1783" s="2">
        <f ca="1"/>
        <v>-0.35232613516687356</v>
      </c>
      <c r="X1783" s="2">
        <f ca="1"/>
        <v>96.935333424635246</v>
      </c>
      <c r="AG1783" s="2">
        <f ca="1"/>
        <v>4.4675327466267012E-2</v>
      </c>
      <c r="AH1783" s="2" t="str">
        <f ca="1"/>
        <v>Good</v>
      </c>
    </row>
    <row r="1784" spans="2:34" x14ac:dyDescent="0.2">
      <c r="B1784" s="2">
        <f ca="1"/>
        <v>0.59824706118456228</v>
      </c>
      <c r="O1784" s="2">
        <f ca="1"/>
        <v>0.13957814355856682</v>
      </c>
      <c r="X1784" s="2">
        <f ca="1"/>
        <v>59.038020273764147</v>
      </c>
      <c r="AG1784" s="2">
        <f ca="1"/>
        <v>0.21444782285224284</v>
      </c>
      <c r="AH1784" s="2" t="str">
        <f ca="1"/>
        <v>OK</v>
      </c>
    </row>
    <row r="1785" spans="2:34" x14ac:dyDescent="0.2">
      <c r="B1785" s="2">
        <f ca="1"/>
        <v>0.35245635825894572</v>
      </c>
      <c r="O1785" s="2">
        <f ca="1"/>
        <v>-1.0619995742823845</v>
      </c>
      <c r="X1785" s="2">
        <f ca="1"/>
        <v>30.912870845648001</v>
      </c>
      <c r="AG1785" s="2">
        <f ca="1"/>
        <v>0.364314264433518</v>
      </c>
      <c r="AH1785" s="2" t="str">
        <f ca="1"/>
        <v>OK</v>
      </c>
    </row>
    <row r="1786" spans="2:34" x14ac:dyDescent="0.2">
      <c r="B1786" s="2">
        <f ca="1"/>
        <v>0.72499822911525036</v>
      </c>
      <c r="O1786" s="2">
        <f ca="1"/>
        <v>1.1138818345989652</v>
      </c>
      <c r="X1786" s="2">
        <f ca="1"/>
        <v>27.658515626374257</v>
      </c>
      <c r="AG1786" s="2">
        <f ca="1"/>
        <v>3.5295729885562954E-2</v>
      </c>
      <c r="AH1786" s="2" t="str">
        <f ca="1"/>
        <v>Good</v>
      </c>
    </row>
    <row r="1787" spans="2:34" x14ac:dyDescent="0.2">
      <c r="B1787" s="2">
        <f ca="1"/>
        <v>0.44490617437122171</v>
      </c>
      <c r="O1787" s="2">
        <f ca="1"/>
        <v>-0.61615215356419006</v>
      </c>
      <c r="X1787" s="2">
        <f ca="1"/>
        <v>57.434779266138698</v>
      </c>
      <c r="AG1787" s="2">
        <f ca="1"/>
        <v>0.79130228268741054</v>
      </c>
      <c r="AH1787" s="2" t="str">
        <f ca="1"/>
        <v>Bad</v>
      </c>
    </row>
    <row r="1788" spans="2:34" x14ac:dyDescent="0.2">
      <c r="B1788" s="2">
        <f ca="1"/>
        <v>0.92024987983237549</v>
      </c>
      <c r="O1788" s="2">
        <f ca="1"/>
        <v>0.67178236653601442</v>
      </c>
      <c r="X1788" s="2">
        <f ca="1"/>
        <v>89.412849832945795</v>
      </c>
      <c r="AG1788" s="2">
        <f ca="1"/>
        <v>0.32391561372336231</v>
      </c>
      <c r="AH1788" s="2" t="str">
        <f ca="1"/>
        <v>OK</v>
      </c>
    </row>
    <row r="1789" spans="2:34" x14ac:dyDescent="0.2">
      <c r="B1789" s="2">
        <f ca="1"/>
        <v>0.78579783237044043</v>
      </c>
      <c r="O1789" s="2">
        <f ca="1"/>
        <v>-0.93893074489237016</v>
      </c>
      <c r="X1789" s="2">
        <f ca="1"/>
        <v>81.338844782019933</v>
      </c>
      <c r="AG1789" s="2">
        <f ca="1"/>
        <v>0.47955589955885425</v>
      </c>
      <c r="AH1789" s="2" t="str">
        <f ca="1"/>
        <v>Bad</v>
      </c>
    </row>
    <row r="1790" spans="2:34" x14ac:dyDescent="0.2">
      <c r="B1790" s="2">
        <f ca="1"/>
        <v>0.12006192472070421</v>
      </c>
      <c r="O1790" s="2">
        <f ca="1"/>
        <v>0.71251385399068612</v>
      </c>
      <c r="X1790" s="2">
        <f ca="1"/>
        <v>42.142043585928164</v>
      </c>
      <c r="AG1790" s="2">
        <f ca="1"/>
        <v>0.28374095086107221</v>
      </c>
      <c r="AH1790" s="2" t="str">
        <f ca="1"/>
        <v>OK</v>
      </c>
    </row>
    <row r="1791" spans="2:34" x14ac:dyDescent="0.2">
      <c r="B1791" s="2">
        <f ca="1"/>
        <v>0.79744220491643403</v>
      </c>
      <c r="O1791" s="2">
        <f ca="1"/>
        <v>2.4332377894501045</v>
      </c>
      <c r="X1791" s="2">
        <f ca="1"/>
        <v>23.428398404720568</v>
      </c>
      <c r="AG1791" s="2">
        <f ca="1"/>
        <v>0.10786774635378271</v>
      </c>
      <c r="AH1791" s="2" t="str">
        <f ca="1"/>
        <v>OK</v>
      </c>
    </row>
    <row r="1792" spans="2:34" x14ac:dyDescent="0.2">
      <c r="B1792" s="2">
        <f ca="1"/>
        <v>0.59713807104836514</v>
      </c>
      <c r="O1792" s="2">
        <f ca="1"/>
        <v>1.1275734345288086</v>
      </c>
      <c r="X1792" s="2">
        <f ca="1"/>
        <v>55.1540213649752</v>
      </c>
      <c r="AG1792" s="2">
        <f ca="1"/>
        <v>0.77433350982228411</v>
      </c>
      <c r="AH1792" s="2" t="str">
        <f ca="1"/>
        <v>Bad</v>
      </c>
    </row>
    <row r="1793" spans="2:34" x14ac:dyDescent="0.2">
      <c r="B1793" s="2">
        <f ca="1"/>
        <v>0.66438229450688646</v>
      </c>
      <c r="O1793" s="2">
        <f ca="1"/>
        <v>1.2222530995495184</v>
      </c>
      <c r="X1793" s="2">
        <f ca="1"/>
        <v>37.56299181929171</v>
      </c>
      <c r="AG1793" s="2">
        <f ca="1"/>
        <v>4.5496878286729103E-2</v>
      </c>
      <c r="AH1793" s="2" t="str">
        <f ca="1"/>
        <v>Good</v>
      </c>
    </row>
    <row r="1794" spans="2:34" x14ac:dyDescent="0.2">
      <c r="B1794" s="2">
        <f ca="1"/>
        <v>1.5849153832915297E-2</v>
      </c>
      <c r="O1794" s="2">
        <f ca="1"/>
        <v>-0.5115698351594713</v>
      </c>
      <c r="X1794" s="2">
        <f ca="1"/>
        <v>38.763788926775739</v>
      </c>
      <c r="AG1794" s="2">
        <f ca="1"/>
        <v>0.19219039847695063</v>
      </c>
      <c r="AH1794" s="2" t="str">
        <f ca="1"/>
        <v>OK</v>
      </c>
    </row>
    <row r="1795" spans="2:34" x14ac:dyDescent="0.2">
      <c r="B1795" s="2">
        <f ca="1"/>
        <v>0.41777189536824166</v>
      </c>
      <c r="O1795" s="2">
        <f ca="1"/>
        <v>1.7310505580936462</v>
      </c>
      <c r="X1795" s="2">
        <f ca="1"/>
        <v>48.867765098842909</v>
      </c>
      <c r="AG1795" s="2">
        <f ca="1"/>
        <v>0.13662871468188031</v>
      </c>
      <c r="AH1795" s="2" t="str">
        <f ca="1"/>
        <v>OK</v>
      </c>
    </row>
    <row r="1796" spans="2:34" x14ac:dyDescent="0.2">
      <c r="B1796" s="2">
        <f ca="1"/>
        <v>8.8967235622318341E-2</v>
      </c>
      <c r="O1796" s="2">
        <f ca="1"/>
        <v>-0.63288267177823021</v>
      </c>
      <c r="X1796" s="2">
        <f ca="1"/>
        <v>62.081777953959318</v>
      </c>
      <c r="AG1796" s="2">
        <f ca="1"/>
        <v>0.21776775923063751</v>
      </c>
      <c r="AH1796" s="2" t="str">
        <f ca="1"/>
        <v>OK</v>
      </c>
    </row>
    <row r="1797" spans="2:34" x14ac:dyDescent="0.2">
      <c r="B1797" s="2">
        <f ca="1"/>
        <v>0.82961798307813206</v>
      </c>
      <c r="O1797" s="2">
        <f ca="1"/>
        <v>0.1170314828155424</v>
      </c>
      <c r="X1797" s="2">
        <f ca="1"/>
        <v>40.237010300865705</v>
      </c>
      <c r="AG1797" s="2">
        <f ca="1"/>
        <v>0.94558298698702248</v>
      </c>
      <c r="AH1797" s="2" t="str">
        <f ca="1"/>
        <v>Bad</v>
      </c>
    </row>
    <row r="1798" spans="2:34" x14ac:dyDescent="0.2">
      <c r="B1798" s="2">
        <f ca="1"/>
        <v>0.57248702214457436</v>
      </c>
      <c r="O1798" s="2">
        <f ca="1"/>
        <v>0.30577502466200851</v>
      </c>
      <c r="X1798" s="2">
        <f ca="1"/>
        <v>51.492193422511349</v>
      </c>
      <c r="AG1798" s="2">
        <f ca="1"/>
        <v>0.17635291703743006</v>
      </c>
      <c r="AH1798" s="2" t="str">
        <f ca="1"/>
        <v>OK</v>
      </c>
    </row>
    <row r="1799" spans="2:34" x14ac:dyDescent="0.2">
      <c r="B1799" s="2">
        <f ca="1"/>
        <v>0.80817353167982708</v>
      </c>
      <c r="O1799" s="2">
        <f ca="1"/>
        <v>-0.3236256142315706</v>
      </c>
      <c r="X1799" s="2">
        <f ca="1"/>
        <v>76.640435030153981</v>
      </c>
      <c r="AG1799" s="2">
        <f ca="1"/>
        <v>0.96026386717260248</v>
      </c>
      <c r="AH1799" s="2" t="str">
        <f ca="1"/>
        <v>Bad</v>
      </c>
    </row>
    <row r="1800" spans="2:34" x14ac:dyDescent="0.2">
      <c r="B1800" s="2">
        <f ca="1"/>
        <v>0.6793844818985757</v>
      </c>
      <c r="O1800" s="2">
        <f ca="1"/>
        <v>1.9207464663293647</v>
      </c>
      <c r="X1800" s="2">
        <f ca="1"/>
        <v>40.258313340698358</v>
      </c>
      <c r="AG1800" s="2">
        <f ca="1"/>
        <v>0.87346127559576914</v>
      </c>
      <c r="AH1800" s="2" t="str">
        <f ca="1"/>
        <v>Bad</v>
      </c>
    </row>
    <row r="1801" spans="2:34" x14ac:dyDescent="0.2">
      <c r="B1801" s="2">
        <f ca="1"/>
        <v>0.51705489626462797</v>
      </c>
      <c r="O1801" s="2">
        <f ca="1"/>
        <v>-1.2749320611677386</v>
      </c>
      <c r="X1801" s="2">
        <f ca="1"/>
        <v>48.101824292785636</v>
      </c>
      <c r="AG1801" s="2">
        <f ca="1"/>
        <v>0.93912302931796443</v>
      </c>
      <c r="AH1801" s="2" t="str">
        <f ca="1"/>
        <v>Bad</v>
      </c>
    </row>
    <row r="1802" spans="2:34" x14ac:dyDescent="0.2">
      <c r="B1802" s="2">
        <f ca="1"/>
        <v>9.8999663828778672E-2</v>
      </c>
      <c r="O1802" s="2">
        <f ca="1"/>
        <v>0.45404385660188074</v>
      </c>
      <c r="X1802" s="2">
        <f ca="1"/>
        <v>31.925941030779136</v>
      </c>
      <c r="AG1802" s="2">
        <f ca="1"/>
        <v>8.7077542820111153E-2</v>
      </c>
      <c r="AH1802" s="2" t="str">
        <f ca="1"/>
        <v>OK</v>
      </c>
    </row>
    <row r="1803" spans="2:34" x14ac:dyDescent="0.2">
      <c r="B1803" s="2">
        <f ca="1"/>
        <v>0.50736619605843214</v>
      </c>
      <c r="O1803" s="2">
        <f ca="1"/>
        <v>-1.0443933077255729</v>
      </c>
      <c r="X1803" s="2">
        <f ca="1"/>
        <v>52.243471311371302</v>
      </c>
      <c r="AG1803" s="2">
        <f ca="1"/>
        <v>0.97170108453337978</v>
      </c>
      <c r="AH1803" s="2" t="str">
        <f ca="1"/>
        <v>Bad</v>
      </c>
    </row>
    <row r="1804" spans="2:34" x14ac:dyDescent="0.2">
      <c r="B1804" s="2">
        <f ca="1"/>
        <v>0.98021378219900002</v>
      </c>
      <c r="O1804" s="2">
        <f ca="1"/>
        <v>1.2575932503270506</v>
      </c>
      <c r="X1804" s="2">
        <f ca="1"/>
        <v>61.600436290952587</v>
      </c>
      <c r="AG1804" s="2">
        <f ca="1"/>
        <v>0.5724137411363277</v>
      </c>
      <c r="AH1804" s="2" t="str">
        <f ca="1"/>
        <v>Bad</v>
      </c>
    </row>
    <row r="1805" spans="2:34" x14ac:dyDescent="0.2">
      <c r="B1805" s="2">
        <f ca="1"/>
        <v>0.85016686887771731</v>
      </c>
      <c r="O1805" s="2">
        <f ca="1"/>
        <v>0.57303899944150882</v>
      </c>
      <c r="X1805" s="2">
        <f ca="1"/>
        <v>36.77008445391521</v>
      </c>
      <c r="AG1805" s="2">
        <f ca="1"/>
        <v>0.98533524540240736</v>
      </c>
      <c r="AH1805" s="2" t="str">
        <f ca="1"/>
        <v>Bad</v>
      </c>
    </row>
    <row r="1806" spans="2:34" x14ac:dyDescent="0.2">
      <c r="B1806" s="2">
        <f ca="1"/>
        <v>0.92440869554568672</v>
      </c>
      <c r="O1806" s="2">
        <f ca="1"/>
        <v>-0.50535407157984935</v>
      </c>
      <c r="X1806" s="2">
        <f ca="1"/>
        <v>34.903041154035691</v>
      </c>
      <c r="AG1806" s="2">
        <f ca="1"/>
        <v>0.51177707197027411</v>
      </c>
      <c r="AH1806" s="2" t="str">
        <f ca="1"/>
        <v>Bad</v>
      </c>
    </row>
    <row r="1807" spans="2:34" x14ac:dyDescent="0.2">
      <c r="B1807" s="2">
        <f ca="1"/>
        <v>8.7237241399215293E-2</v>
      </c>
      <c r="O1807" s="2">
        <f ca="1"/>
        <v>-0.21619976512145922</v>
      </c>
      <c r="X1807" s="2">
        <f ca="1"/>
        <v>38.267458681482452</v>
      </c>
      <c r="AG1807" s="2">
        <f ca="1"/>
        <v>1.3838727016371122E-2</v>
      </c>
      <c r="AH1807" s="2" t="str">
        <f ca="1"/>
        <v>Good</v>
      </c>
    </row>
    <row r="1808" spans="2:34" x14ac:dyDescent="0.2">
      <c r="B1808" s="2">
        <f ca="1"/>
        <v>0.24644619977282467</v>
      </c>
      <c r="O1808" s="2">
        <f ca="1"/>
        <v>1.1714084776127203</v>
      </c>
      <c r="X1808" s="2">
        <f ca="1"/>
        <v>35.775859246988432</v>
      </c>
      <c r="AG1808" s="2">
        <f ca="1"/>
        <v>0.43051473426397502</v>
      </c>
      <c r="AH1808" s="2" t="str">
        <f ca="1"/>
        <v>Bad</v>
      </c>
    </row>
    <row r="1809" spans="2:34" x14ac:dyDescent="0.2">
      <c r="B1809" s="2">
        <f ca="1"/>
        <v>9.2939399825151314E-2</v>
      </c>
      <c r="O1809" s="2">
        <f ca="1"/>
        <v>0.11734337728442779</v>
      </c>
      <c r="X1809" s="2">
        <f ca="1"/>
        <v>61.369864266170147</v>
      </c>
      <c r="AG1809" s="2">
        <f ca="1"/>
        <v>0.39227497265260491</v>
      </c>
      <c r="AH1809" s="2" t="str">
        <f ca="1"/>
        <v>OK</v>
      </c>
    </row>
    <row r="1810" spans="2:34" x14ac:dyDescent="0.2">
      <c r="B1810" s="2">
        <f ca="1"/>
        <v>0.54514798413423193</v>
      </c>
      <c r="O1810" s="2">
        <f ca="1"/>
        <v>-0.79986964113315218</v>
      </c>
      <c r="X1810" s="2">
        <f ca="1"/>
        <v>43.62605436571738</v>
      </c>
      <c r="AG1810" s="2">
        <f ca="1"/>
        <v>0.91766640844698788</v>
      </c>
      <c r="AH1810" s="2" t="str">
        <f ca="1"/>
        <v>Bad</v>
      </c>
    </row>
    <row r="1811" spans="2:34" x14ac:dyDescent="0.2">
      <c r="B1811" s="2">
        <f ca="1"/>
        <v>0.40258111627889681</v>
      </c>
      <c r="O1811" s="2">
        <f ca="1"/>
        <v>0.95856090922488746</v>
      </c>
      <c r="X1811" s="2">
        <f ca="1"/>
        <v>42.013447695725866</v>
      </c>
      <c r="AG1811" s="2">
        <f ca="1"/>
        <v>0.40882105364056498</v>
      </c>
      <c r="AH1811" s="2" t="str">
        <f ca="1"/>
        <v>Bad</v>
      </c>
    </row>
    <row r="1812" spans="2:34" x14ac:dyDescent="0.2">
      <c r="B1812" s="2">
        <f ca="1"/>
        <v>0.40724381970497303</v>
      </c>
      <c r="O1812" s="2">
        <f ca="1"/>
        <v>1.6294842944139942</v>
      </c>
      <c r="X1812" s="2">
        <f ca="1"/>
        <v>53.083523893427341</v>
      </c>
      <c r="AG1812" s="2">
        <f ca="1"/>
        <v>0.79871677879757419</v>
      </c>
      <c r="AH1812" s="2" t="str">
        <f ca="1"/>
        <v>Bad</v>
      </c>
    </row>
    <row r="1813" spans="2:34" x14ac:dyDescent="0.2">
      <c r="B1813" s="2">
        <f ca="1"/>
        <v>0.26176421753550105</v>
      </c>
      <c r="O1813" s="2">
        <f ca="1"/>
        <v>-1.5088271379693701</v>
      </c>
      <c r="X1813" s="2">
        <f ca="1"/>
        <v>68.491003403122718</v>
      </c>
      <c r="AG1813" s="2">
        <f ca="1"/>
        <v>0.99219335577396373</v>
      </c>
      <c r="AH1813" s="2" t="str">
        <f ca="1"/>
        <v>Bad</v>
      </c>
    </row>
    <row r="1814" spans="2:34" x14ac:dyDescent="0.2">
      <c r="B1814" s="2">
        <f ca="1"/>
        <v>0.83869831647179405</v>
      </c>
      <c r="O1814" s="2">
        <f ca="1"/>
        <v>-1.6226900258088977</v>
      </c>
      <c r="X1814" s="2">
        <f ca="1"/>
        <v>28.423127912650369</v>
      </c>
      <c r="AG1814" s="2">
        <f ca="1"/>
        <v>0.35012098367545019</v>
      </c>
      <c r="AH1814" s="2" t="str">
        <f ca="1"/>
        <v>OK</v>
      </c>
    </row>
    <row r="1815" spans="2:34" x14ac:dyDescent="0.2">
      <c r="B1815" s="2">
        <f ca="1"/>
        <v>0.13912434295981968</v>
      </c>
      <c r="O1815" s="2">
        <f ca="1"/>
        <v>0.1424718767105769</v>
      </c>
      <c r="X1815" s="2">
        <f ca="1"/>
        <v>44.772363862308282</v>
      </c>
      <c r="AG1815" s="2">
        <f ca="1"/>
        <v>0.3470346802814599</v>
      </c>
      <c r="AH1815" s="2" t="str">
        <f ca="1"/>
        <v>OK</v>
      </c>
    </row>
    <row r="1816" spans="2:34" x14ac:dyDescent="0.2">
      <c r="B1816" s="2">
        <f ca="1"/>
        <v>0.85719951208545031</v>
      </c>
      <c r="O1816" s="2">
        <f ca="1"/>
        <v>-0.64934897839691474</v>
      </c>
      <c r="X1816" s="2">
        <f ca="1"/>
        <v>43.898135574240698</v>
      </c>
      <c r="AG1816" s="2">
        <f ca="1"/>
        <v>0.49238313611227502</v>
      </c>
      <c r="AH1816" s="2" t="str">
        <f ca="1"/>
        <v>Bad</v>
      </c>
    </row>
    <row r="1817" spans="2:34" x14ac:dyDescent="0.2">
      <c r="B1817" s="2">
        <f ca="1"/>
        <v>0.94863057561721331</v>
      </c>
      <c r="O1817" s="2">
        <f ca="1"/>
        <v>-0.44360840049990813</v>
      </c>
      <c r="X1817" s="2">
        <f ca="1"/>
        <v>43.995008502749265</v>
      </c>
      <c r="AG1817" s="2">
        <f ca="1"/>
        <v>0.29620964593874377</v>
      </c>
      <c r="AH1817" s="2" t="str">
        <f ca="1"/>
        <v>OK</v>
      </c>
    </row>
    <row r="1818" spans="2:34" x14ac:dyDescent="0.2">
      <c r="B1818" s="2">
        <f ca="1"/>
        <v>0.52804755786687907</v>
      </c>
      <c r="O1818" s="2">
        <f ca="1"/>
        <v>-9.2022409980173484E-2</v>
      </c>
      <c r="X1818" s="2">
        <f ca="1"/>
        <v>71.924720508795943</v>
      </c>
      <c r="AG1818" s="2">
        <f ca="1"/>
        <v>0.93409979552205291</v>
      </c>
      <c r="AH1818" s="2" t="str">
        <f ca="1"/>
        <v>Bad</v>
      </c>
    </row>
    <row r="1819" spans="2:34" x14ac:dyDescent="0.2">
      <c r="B1819" s="2">
        <f ca="1"/>
        <v>0.12288437466360036</v>
      </c>
      <c r="O1819" s="2">
        <f ca="1"/>
        <v>0.21598894958145951</v>
      </c>
      <c r="X1819" s="2">
        <f ca="1"/>
        <v>31.538595624758408</v>
      </c>
      <c r="AG1819" s="2">
        <f ca="1"/>
        <v>0.57099035167446699</v>
      </c>
      <c r="AH1819" s="2" t="str">
        <f ca="1"/>
        <v>Bad</v>
      </c>
    </row>
    <row r="1820" spans="2:34" x14ac:dyDescent="0.2">
      <c r="B1820" s="2">
        <f ca="1"/>
        <v>0.32616297618749179</v>
      </c>
      <c r="O1820" s="2">
        <f ca="1"/>
        <v>-0.15704293789733045</v>
      </c>
      <c r="X1820" s="2">
        <f ca="1"/>
        <v>45.610457829046986</v>
      </c>
      <c r="AG1820" s="2">
        <f ca="1"/>
        <v>0.17571644587684965</v>
      </c>
      <c r="AH1820" s="2" t="str">
        <f ca="1"/>
        <v>OK</v>
      </c>
    </row>
    <row r="1821" spans="2:34" x14ac:dyDescent="0.2">
      <c r="B1821" s="2">
        <f ca="1"/>
        <v>0.29865015484200108</v>
      </c>
      <c r="O1821" s="2">
        <f ca="1"/>
        <v>1.325659923290978</v>
      </c>
      <c r="X1821" s="2">
        <f ca="1"/>
        <v>34.224020356822336</v>
      </c>
      <c r="AG1821" s="2">
        <f ca="1"/>
        <v>0.74560086911625034</v>
      </c>
      <c r="AH1821" s="2" t="str">
        <f ca="1"/>
        <v>Bad</v>
      </c>
    </row>
    <row r="1822" spans="2:34" x14ac:dyDescent="0.2">
      <c r="B1822" s="2">
        <f ca="1"/>
        <v>0.20077178214360614</v>
      </c>
      <c r="O1822" s="2">
        <f ca="1"/>
        <v>-1.8536791283443579</v>
      </c>
      <c r="X1822" s="2">
        <f ca="1"/>
        <v>57.153527430765287</v>
      </c>
      <c r="AG1822" s="2">
        <f ca="1"/>
        <v>0.43487593028739813</v>
      </c>
      <c r="AH1822" s="2" t="str">
        <f ca="1"/>
        <v>Bad</v>
      </c>
    </row>
    <row r="1823" spans="2:34" x14ac:dyDescent="0.2">
      <c r="B1823" s="2">
        <f ca="1"/>
        <v>4.7650892489597529E-2</v>
      </c>
      <c r="O1823" s="2">
        <f ca="1"/>
        <v>1.1565042949423707</v>
      </c>
      <c r="X1823" s="2">
        <f ca="1"/>
        <v>57.205925778009174</v>
      </c>
      <c r="AG1823" s="2">
        <f ca="1"/>
        <v>0.30209490823222196</v>
      </c>
      <c r="AH1823" s="2" t="str">
        <f ca="1"/>
        <v>OK</v>
      </c>
    </row>
    <row r="1824" spans="2:34" x14ac:dyDescent="0.2">
      <c r="B1824" s="2">
        <f ca="1"/>
        <v>0.50698816262092183</v>
      </c>
      <c r="O1824" s="2">
        <f ca="1"/>
        <v>-0.18876482696233804</v>
      </c>
      <c r="X1824" s="2">
        <f ca="1"/>
        <v>30.843577547295162</v>
      </c>
      <c r="AG1824" s="2">
        <f ca="1"/>
        <v>0.27819644939045651</v>
      </c>
      <c r="AH1824" s="2" t="str">
        <f ca="1"/>
        <v>OK</v>
      </c>
    </row>
    <row r="1825" spans="2:34" x14ac:dyDescent="0.2">
      <c r="B1825" s="2">
        <f ca="1"/>
        <v>0.54217582528543296</v>
      </c>
      <c r="O1825" s="2">
        <f ca="1"/>
        <v>-0.17636592674862223</v>
      </c>
      <c r="X1825" s="2">
        <f ca="1"/>
        <v>51.025921996099292</v>
      </c>
      <c r="AG1825" s="2">
        <f ca="1"/>
        <v>0.14407772664944951</v>
      </c>
      <c r="AH1825" s="2" t="str">
        <f ca="1"/>
        <v>OK</v>
      </c>
    </row>
    <row r="1826" spans="2:34" x14ac:dyDescent="0.2">
      <c r="B1826" s="2">
        <f ca="1"/>
        <v>0.91418536792136718</v>
      </c>
      <c r="O1826" s="2">
        <f ca="1"/>
        <v>1.0981514958370837</v>
      </c>
      <c r="X1826" s="2">
        <f ca="1"/>
        <v>57.293292882977617</v>
      </c>
      <c r="AG1826" s="2">
        <f ca="1"/>
        <v>0.91986216933423259</v>
      </c>
      <c r="AH1826" s="2" t="str">
        <f ca="1"/>
        <v>Bad</v>
      </c>
    </row>
    <row r="1827" spans="2:34" x14ac:dyDescent="0.2">
      <c r="B1827" s="2">
        <f ca="1"/>
        <v>0.28830579789112698</v>
      </c>
      <c r="O1827" s="2">
        <f ca="1"/>
        <v>-1.1006724509684114</v>
      </c>
      <c r="X1827" s="2">
        <f ca="1"/>
        <v>44.256979713905906</v>
      </c>
      <c r="AG1827" s="2">
        <f ca="1"/>
        <v>0.90691655046557962</v>
      </c>
      <c r="AH1827" s="2" t="str">
        <f ca="1"/>
        <v>Bad</v>
      </c>
    </row>
    <row r="1828" spans="2:34" x14ac:dyDescent="0.2">
      <c r="B1828" s="2">
        <f ca="1"/>
        <v>0.95793985470139775</v>
      </c>
      <c r="O1828" s="2">
        <f ca="1"/>
        <v>0.19091937511481688</v>
      </c>
      <c r="X1828" s="2">
        <f ca="1"/>
        <v>56.957271021664752</v>
      </c>
      <c r="AG1828" s="2">
        <f ca="1"/>
        <v>0.36194479607307839</v>
      </c>
      <c r="AH1828" s="2" t="str">
        <f ca="1"/>
        <v>OK</v>
      </c>
    </row>
    <row r="1829" spans="2:34" x14ac:dyDescent="0.2">
      <c r="B1829" s="2">
        <f ca="1"/>
        <v>0.10362859694683846</v>
      </c>
      <c r="O1829" s="2">
        <f ca="1"/>
        <v>8.5882684286211083E-2</v>
      </c>
      <c r="X1829" s="2">
        <f ca="1"/>
        <v>58.26287109202994</v>
      </c>
      <c r="AG1829" s="2">
        <f ca="1"/>
        <v>8.1899107663759629E-2</v>
      </c>
      <c r="AH1829" s="2" t="str">
        <f ca="1"/>
        <v>OK</v>
      </c>
    </row>
    <row r="1830" spans="2:34" x14ac:dyDescent="0.2">
      <c r="B1830" s="2">
        <f ca="1"/>
        <v>4.2215714531973925E-2</v>
      </c>
      <c r="O1830" s="2">
        <f ca="1"/>
        <v>0.78370816405521637</v>
      </c>
      <c r="X1830" s="2">
        <f ca="1"/>
        <v>28.460278096639907</v>
      </c>
      <c r="AG1830" s="2">
        <f ca="1"/>
        <v>0.23040738579968356</v>
      </c>
      <c r="AH1830" s="2" t="str">
        <f ca="1"/>
        <v>OK</v>
      </c>
    </row>
    <row r="1831" spans="2:34" x14ac:dyDescent="0.2">
      <c r="B1831" s="2">
        <f ca="1"/>
        <v>0.60781342982058395</v>
      </c>
      <c r="O1831" s="2">
        <f ca="1"/>
        <v>-0.21279058290895023</v>
      </c>
      <c r="X1831" s="2">
        <f ca="1"/>
        <v>64.659565115806544</v>
      </c>
      <c r="AG1831" s="2">
        <f ca="1"/>
        <v>0.89165580614616213</v>
      </c>
      <c r="AH1831" s="2" t="str">
        <f ca="1"/>
        <v>Bad</v>
      </c>
    </row>
    <row r="1832" spans="2:34" x14ac:dyDescent="0.2">
      <c r="B1832" s="2">
        <f ca="1"/>
        <v>0.60055959199504949</v>
      </c>
      <c r="O1832" s="2">
        <f ca="1"/>
        <v>1.655265609772719</v>
      </c>
      <c r="X1832" s="2">
        <f ca="1"/>
        <v>52.399731815921776</v>
      </c>
      <c r="AG1832" s="2">
        <f ca="1"/>
        <v>0.43624690576596636</v>
      </c>
      <c r="AH1832" s="2" t="str">
        <f ca="1"/>
        <v>Bad</v>
      </c>
    </row>
    <row r="1833" spans="2:34" x14ac:dyDescent="0.2">
      <c r="B1833" s="2">
        <f ca="1"/>
        <v>3.5556620204518774E-2</v>
      </c>
      <c r="O1833" s="2">
        <f ca="1"/>
        <v>-2.579485339223611</v>
      </c>
      <c r="X1833" s="2">
        <f ca="1"/>
        <v>42.531889984923495</v>
      </c>
      <c r="AG1833" s="2">
        <f ca="1"/>
        <v>0.79553564506537588</v>
      </c>
      <c r="AH1833" s="2" t="str">
        <f ca="1"/>
        <v>Bad</v>
      </c>
    </row>
    <row r="1834" spans="2:34" x14ac:dyDescent="0.2">
      <c r="B1834" s="2">
        <f ca="1"/>
        <v>0.79396669618998716</v>
      </c>
      <c r="O1834" s="2">
        <f ca="1"/>
        <v>1.7478077170962254</v>
      </c>
      <c r="X1834" s="2">
        <f ca="1"/>
        <v>54.6417380350941</v>
      </c>
      <c r="AG1834" s="2">
        <f ca="1"/>
        <v>0.22538167873188075</v>
      </c>
      <c r="AH1834" s="2" t="str">
        <f ca="1"/>
        <v>OK</v>
      </c>
    </row>
    <row r="1835" spans="2:34" x14ac:dyDescent="0.2">
      <c r="B1835" s="2">
        <f ca="1"/>
        <v>0.98421557201782672</v>
      </c>
      <c r="O1835" s="2">
        <f ca="1"/>
        <v>-0.56861631324732331</v>
      </c>
      <c r="X1835" s="2">
        <f ca="1"/>
        <v>61.04911099083229</v>
      </c>
      <c r="AG1835" s="2">
        <f ca="1"/>
        <v>0.68785986281556544</v>
      </c>
      <c r="AH1835" s="2" t="str">
        <f ca="1"/>
        <v>Bad</v>
      </c>
    </row>
    <row r="1836" spans="2:34" x14ac:dyDescent="0.2">
      <c r="B1836" s="2">
        <f ca="1"/>
        <v>0.32975350973282103</v>
      </c>
      <c r="O1836" s="2">
        <f ca="1"/>
        <v>-0.55423956522339468</v>
      </c>
      <c r="X1836" s="2">
        <f ca="1"/>
        <v>27.933626033549181</v>
      </c>
      <c r="AG1836" s="2">
        <f ca="1"/>
        <v>0.15952766359654613</v>
      </c>
      <c r="AH1836" s="2" t="str">
        <f ca="1"/>
        <v>OK</v>
      </c>
    </row>
    <row r="1837" spans="2:34" x14ac:dyDescent="0.2">
      <c r="B1837" s="2">
        <f ca="1"/>
        <v>0.49955866890403255</v>
      </c>
      <c r="O1837" s="2">
        <f ca="1"/>
        <v>1.1933021591827642</v>
      </c>
      <c r="X1837" s="2">
        <f ca="1"/>
        <v>67.202697387296681</v>
      </c>
      <c r="AG1837" s="2">
        <f ca="1"/>
        <v>0.13218856152991676</v>
      </c>
      <c r="AH1837" s="2" t="str">
        <f ca="1"/>
        <v>OK</v>
      </c>
    </row>
    <row r="1838" spans="2:34" x14ac:dyDescent="0.2">
      <c r="B1838" s="2">
        <f ca="1"/>
        <v>0.60570883288603294</v>
      </c>
      <c r="O1838" s="2">
        <f ca="1"/>
        <v>-1.4690469708621776</v>
      </c>
      <c r="X1838" s="2">
        <f ca="1"/>
        <v>28.162469866311334</v>
      </c>
      <c r="AG1838" s="2">
        <f ca="1"/>
        <v>0.94980351013016295</v>
      </c>
      <c r="AH1838" s="2" t="str">
        <f ca="1"/>
        <v>Bad</v>
      </c>
    </row>
    <row r="1839" spans="2:34" x14ac:dyDescent="0.2">
      <c r="B1839" s="2">
        <f ca="1"/>
        <v>0.41935867516361669</v>
      </c>
      <c r="O1839" s="2">
        <f ca="1"/>
        <v>0.87013608232517192</v>
      </c>
      <c r="X1839" s="2">
        <f ca="1"/>
        <v>80.189353707041775</v>
      </c>
      <c r="AG1839" s="2">
        <f ca="1"/>
        <v>0.82276075868414833</v>
      </c>
      <c r="AH1839" s="2" t="str">
        <f ca="1"/>
        <v>Bad</v>
      </c>
    </row>
    <row r="1840" spans="2:34" x14ac:dyDescent="0.2">
      <c r="B1840" s="2">
        <f ca="1"/>
        <v>0.68674156971644851</v>
      </c>
      <c r="O1840" s="2">
        <f ca="1"/>
        <v>0.82222761378450204</v>
      </c>
      <c r="X1840" s="2">
        <f ca="1"/>
        <v>37.643741373208933</v>
      </c>
      <c r="AG1840" s="2">
        <f ca="1"/>
        <v>0.28555029655044462</v>
      </c>
      <c r="AH1840" s="2" t="str">
        <f ca="1"/>
        <v>OK</v>
      </c>
    </row>
    <row r="1841" spans="2:34" x14ac:dyDescent="0.2">
      <c r="B1841" s="2">
        <f ca="1"/>
        <v>0.46071984516006426</v>
      </c>
      <c r="O1841" s="2">
        <f ca="1"/>
        <v>-0.97905502220134522</v>
      </c>
      <c r="X1841" s="2">
        <f ca="1"/>
        <v>65.216926677891593</v>
      </c>
      <c r="AG1841" s="2">
        <f ca="1"/>
        <v>0.56442887773009831</v>
      </c>
      <c r="AH1841" s="2" t="str">
        <f ca="1"/>
        <v>Bad</v>
      </c>
    </row>
    <row r="1842" spans="2:34" x14ac:dyDescent="0.2">
      <c r="B1842" s="2">
        <f ca="1"/>
        <v>0.22471585989593801</v>
      </c>
      <c r="O1842" s="2">
        <f ca="1"/>
        <v>-0.33682759470262208</v>
      </c>
      <c r="X1842" s="2">
        <f ca="1"/>
        <v>50.210277648237138</v>
      </c>
      <c r="AG1842" s="2">
        <f ca="1"/>
        <v>0.3690492109747836</v>
      </c>
      <c r="AH1842" s="2" t="str">
        <f ca="1"/>
        <v>OK</v>
      </c>
    </row>
    <row r="1843" spans="2:34" x14ac:dyDescent="0.2">
      <c r="B1843" s="2">
        <f ca="1"/>
        <v>0.94591181412452308</v>
      </c>
      <c r="O1843" s="2">
        <f ca="1"/>
        <v>0.3312877009109505</v>
      </c>
      <c r="X1843" s="2">
        <f ca="1"/>
        <v>27.300026353981671</v>
      </c>
      <c r="AG1843" s="2">
        <f ca="1"/>
        <v>0.64274732413503566</v>
      </c>
      <c r="AH1843" s="2" t="str">
        <f ca="1"/>
        <v>Bad</v>
      </c>
    </row>
    <row r="1844" spans="2:34" x14ac:dyDescent="0.2">
      <c r="B1844" s="2">
        <f ca="1"/>
        <v>2.0392522842378025E-2</v>
      </c>
      <c r="O1844" s="2">
        <f ca="1"/>
        <v>-0.84362914894456886</v>
      </c>
      <c r="X1844" s="2">
        <f ca="1"/>
        <v>87.346261521938231</v>
      </c>
      <c r="AG1844" s="2">
        <f ca="1"/>
        <v>0.40746823971911583</v>
      </c>
      <c r="AH1844" s="2" t="str">
        <f ca="1"/>
        <v>Bad</v>
      </c>
    </row>
    <row r="1845" spans="2:34" x14ac:dyDescent="0.2">
      <c r="B1845" s="2">
        <f ca="1"/>
        <v>0.37207562330464761</v>
      </c>
      <c r="O1845" s="2">
        <f ca="1"/>
        <v>0.61746701949382465</v>
      </c>
      <c r="X1845" s="2">
        <f ca="1"/>
        <v>52.105458480407172</v>
      </c>
      <c r="AG1845" s="2">
        <f ca="1"/>
        <v>0.47439888496250582</v>
      </c>
      <c r="AH1845" s="2" t="str">
        <f ca="1"/>
        <v>Bad</v>
      </c>
    </row>
    <row r="1846" spans="2:34" x14ac:dyDescent="0.2">
      <c r="B1846" s="2">
        <f ca="1"/>
        <v>0.61090510955249266</v>
      </c>
      <c r="O1846" s="2">
        <f ca="1"/>
        <v>0.67175734458912206</v>
      </c>
      <c r="X1846" s="2">
        <f ca="1"/>
        <v>42.514118942933166</v>
      </c>
      <c r="AG1846" s="2">
        <f ca="1"/>
        <v>0.84558581255502352</v>
      </c>
      <c r="AH1846" s="2" t="str">
        <f ca="1"/>
        <v>Bad</v>
      </c>
    </row>
    <row r="1847" spans="2:34" x14ac:dyDescent="0.2">
      <c r="B1847" s="2">
        <f ca="1"/>
        <v>0.81553436365714993</v>
      </c>
      <c r="O1847" s="2">
        <f ca="1"/>
        <v>-1.6069025377241224</v>
      </c>
      <c r="X1847" s="2">
        <f ca="1"/>
        <v>49.952437380179859</v>
      </c>
      <c r="AG1847" s="2">
        <f ca="1"/>
        <v>0.63625570767075823</v>
      </c>
      <c r="AH1847" s="2" t="str">
        <f ca="1"/>
        <v>Bad</v>
      </c>
    </row>
    <row r="1848" spans="2:34" x14ac:dyDescent="0.2">
      <c r="B1848" s="2">
        <f ca="1"/>
        <v>0.95745180270708552</v>
      </c>
      <c r="O1848" s="2">
        <f ca="1"/>
        <v>2.0295279359981171</v>
      </c>
      <c r="X1848" s="2">
        <f ca="1"/>
        <v>41.504483784689782</v>
      </c>
      <c r="AG1848" s="2">
        <f ca="1"/>
        <v>2.1258171681329374E-2</v>
      </c>
      <c r="AH1848" s="2" t="str">
        <f ca="1"/>
        <v>Good</v>
      </c>
    </row>
    <row r="1849" spans="2:34" x14ac:dyDescent="0.2">
      <c r="B1849" s="2">
        <f ca="1"/>
        <v>0.31107819143577076</v>
      </c>
      <c r="O1849" s="2">
        <f ca="1"/>
        <v>-0.54773599435423914</v>
      </c>
      <c r="X1849" s="2">
        <f ca="1"/>
        <v>49.448469263429359</v>
      </c>
      <c r="AG1849" s="2">
        <f ca="1"/>
        <v>0.86520404861068956</v>
      </c>
      <c r="AH1849" s="2" t="str">
        <f ca="1"/>
        <v>Bad</v>
      </c>
    </row>
    <row r="1850" spans="2:34" x14ac:dyDescent="0.2">
      <c r="B1850" s="2">
        <f ca="1"/>
        <v>0.76707203255826784</v>
      </c>
      <c r="O1850" s="2">
        <f ca="1"/>
        <v>0.52739998834705804</v>
      </c>
      <c r="X1850" s="2">
        <f ca="1"/>
        <v>38.697789721084852</v>
      </c>
      <c r="AG1850" s="2">
        <f ca="1"/>
        <v>0.5604671490210924</v>
      </c>
      <c r="AH1850" s="2" t="str">
        <f ca="1"/>
        <v>Bad</v>
      </c>
    </row>
    <row r="1851" spans="2:34" x14ac:dyDescent="0.2">
      <c r="B1851" s="2">
        <f ca="1"/>
        <v>0.55480037818466621</v>
      </c>
      <c r="O1851" s="2">
        <f ca="1"/>
        <v>-0.46248751373364166</v>
      </c>
      <c r="X1851" s="2">
        <f ca="1"/>
        <v>72.19798868918997</v>
      </c>
      <c r="AG1851" s="2">
        <f ca="1"/>
        <v>0.96481986654784802</v>
      </c>
      <c r="AH1851" s="2" t="str">
        <f ca="1"/>
        <v>Bad</v>
      </c>
    </row>
    <row r="1852" spans="2:34" x14ac:dyDescent="0.2">
      <c r="B1852" s="2">
        <f ca="1"/>
        <v>0.70963141996413959</v>
      </c>
      <c r="O1852" s="2">
        <f ca="1"/>
        <v>-1.4255267808069729</v>
      </c>
      <c r="X1852" s="2">
        <f ca="1"/>
        <v>74.37348811497877</v>
      </c>
      <c r="AG1852" s="2">
        <f ca="1"/>
        <v>1.9032386229341558E-2</v>
      </c>
      <c r="AH1852" s="2" t="str">
        <f ca="1"/>
        <v>Good</v>
      </c>
    </row>
    <row r="1853" spans="2:34" x14ac:dyDescent="0.2">
      <c r="B1853" s="2">
        <f ca="1"/>
        <v>0.71823721068237267</v>
      </c>
      <c r="O1853" s="2">
        <f ca="1"/>
        <v>-4.162822512138542E-2</v>
      </c>
      <c r="X1853" s="2">
        <f ca="1"/>
        <v>56.106086934946539</v>
      </c>
      <c r="AG1853" s="2">
        <f ca="1"/>
        <v>0.26864910430067668</v>
      </c>
      <c r="AH1853" s="2" t="str">
        <f ca="1"/>
        <v>OK</v>
      </c>
    </row>
    <row r="1854" spans="2:34" x14ac:dyDescent="0.2">
      <c r="B1854" s="2">
        <f ca="1"/>
        <v>6.4250361782239196E-2</v>
      </c>
      <c r="O1854" s="2">
        <f ca="1"/>
        <v>-2.8497469538014264</v>
      </c>
      <c r="X1854" s="2">
        <f ca="1"/>
        <v>77.08771456857427</v>
      </c>
      <c r="AG1854" s="2">
        <f ca="1"/>
        <v>0.34348182109194392</v>
      </c>
      <c r="AH1854" s="2" t="str">
        <f ca="1"/>
        <v>OK</v>
      </c>
    </row>
    <row r="1855" spans="2:34" x14ac:dyDescent="0.2">
      <c r="B1855" s="2">
        <f ca="1"/>
        <v>0.61224601891376818</v>
      </c>
      <c r="O1855" s="2">
        <f ca="1"/>
        <v>0.53197303975396382</v>
      </c>
      <c r="X1855" s="2">
        <f ca="1"/>
        <v>81.583139200270693</v>
      </c>
      <c r="AG1855" s="2">
        <f ca="1"/>
        <v>0.48759338513202821</v>
      </c>
      <c r="AH1855" s="2" t="str">
        <f ca="1"/>
        <v>Bad</v>
      </c>
    </row>
    <row r="1856" spans="2:34" x14ac:dyDescent="0.2">
      <c r="B1856" s="2">
        <f ca="1"/>
        <v>0.20281542613621695</v>
      </c>
      <c r="O1856" s="2">
        <f ca="1"/>
        <v>3.2390001800367052E-2</v>
      </c>
      <c r="X1856" s="2">
        <f ca="1"/>
        <v>60.031690702555231</v>
      </c>
      <c r="AG1856" s="2">
        <f ca="1"/>
        <v>0.30750935547759051</v>
      </c>
      <c r="AH1856" s="2" t="str">
        <f ca="1"/>
        <v>OK</v>
      </c>
    </row>
    <row r="1857" spans="2:34" x14ac:dyDescent="0.2">
      <c r="B1857" s="2">
        <f ca="1"/>
        <v>0.63853652112121861</v>
      </c>
      <c r="O1857" s="2">
        <f ca="1"/>
        <v>-0.33310585855610059</v>
      </c>
      <c r="X1857" s="2">
        <f ca="1"/>
        <v>49.855085515007829</v>
      </c>
      <c r="AG1857" s="2">
        <f ca="1"/>
        <v>0.50225537208312776</v>
      </c>
      <c r="AH1857" s="2" t="str">
        <f ca="1"/>
        <v>Bad</v>
      </c>
    </row>
    <row r="1858" spans="2:34" x14ac:dyDescent="0.2">
      <c r="B1858" s="2">
        <f ca="1"/>
        <v>5.3186490865044789E-2</v>
      </c>
      <c r="O1858" s="2">
        <f ca="1"/>
        <v>0.22645261668956021</v>
      </c>
      <c r="X1858" s="2">
        <f ca="1"/>
        <v>42.587379981306185</v>
      </c>
      <c r="AG1858" s="2">
        <f ca="1"/>
        <v>9.8696368305129845E-2</v>
      </c>
      <c r="AH1858" s="2" t="str">
        <f ca="1"/>
        <v>OK</v>
      </c>
    </row>
    <row r="1859" spans="2:34" x14ac:dyDescent="0.2">
      <c r="B1859" s="2">
        <f ca="1"/>
        <v>0.49092115716079365</v>
      </c>
      <c r="O1859" s="2">
        <f ca="1"/>
        <v>0.55206743669350522</v>
      </c>
      <c r="X1859" s="2">
        <f ca="1"/>
        <v>53.509862820043388</v>
      </c>
      <c r="AG1859" s="2">
        <f ca="1"/>
        <v>0.66391168747724572</v>
      </c>
      <c r="AH1859" s="2" t="str">
        <f ca="1"/>
        <v>Bad</v>
      </c>
    </row>
    <row r="1860" spans="2:34" x14ac:dyDescent="0.2">
      <c r="B1860" s="2">
        <f ca="1"/>
        <v>0.50906256874433908</v>
      </c>
      <c r="O1860" s="2">
        <f ca="1"/>
        <v>1.6994657375850157</v>
      </c>
      <c r="X1860" s="2">
        <f ca="1"/>
        <v>56.238127070867641</v>
      </c>
      <c r="AG1860" s="2">
        <f ca="1"/>
        <v>0.90738112966816975</v>
      </c>
      <c r="AH1860" s="2" t="str">
        <f ca="1"/>
        <v>Bad</v>
      </c>
    </row>
    <row r="1861" spans="2:34" x14ac:dyDescent="0.2">
      <c r="B1861" s="2">
        <f ca="1"/>
        <v>0.45794282102701422</v>
      </c>
      <c r="O1861" s="2">
        <f ca="1"/>
        <v>-1.4669647272472404</v>
      </c>
      <c r="X1861" s="2">
        <f ca="1"/>
        <v>42.395359654613081</v>
      </c>
      <c r="AG1861" s="2">
        <f ca="1"/>
        <v>0.12432275986375796</v>
      </c>
      <c r="AH1861" s="2" t="str">
        <f ca="1"/>
        <v>OK</v>
      </c>
    </row>
    <row r="1862" spans="2:34" x14ac:dyDescent="0.2">
      <c r="B1862" s="2">
        <f ca="1"/>
        <v>0.26661051347012998</v>
      </c>
      <c r="O1862" s="2">
        <f ca="1"/>
        <v>-0.24333418969662371</v>
      </c>
      <c r="X1862" s="2">
        <f ca="1"/>
        <v>62.875569650279239</v>
      </c>
      <c r="AG1862" s="2">
        <f ca="1"/>
        <v>1.3072939398428796E-2</v>
      </c>
      <c r="AH1862" s="2" t="str">
        <f ca="1"/>
        <v>Good</v>
      </c>
    </row>
    <row r="1863" spans="2:34" x14ac:dyDescent="0.2">
      <c r="B1863" s="2">
        <f ca="1"/>
        <v>0.99297091110279001</v>
      </c>
      <c r="O1863" s="2">
        <f ca="1"/>
        <v>-0.83054137219622659</v>
      </c>
      <c r="X1863" s="2">
        <f ca="1"/>
        <v>56.754504543581206</v>
      </c>
      <c r="AG1863" s="2">
        <f ca="1"/>
        <v>0.83073372492903563</v>
      </c>
      <c r="AH1863" s="2" t="str">
        <f ca="1"/>
        <v>Bad</v>
      </c>
    </row>
    <row r="1864" spans="2:34" x14ac:dyDescent="0.2">
      <c r="B1864" s="2">
        <f ca="1"/>
        <v>0.38682794213881544</v>
      </c>
      <c r="O1864" s="2">
        <f ca="1"/>
        <v>0.12807694426985755</v>
      </c>
      <c r="X1864" s="2">
        <f ca="1"/>
        <v>45.690791267765519</v>
      </c>
      <c r="AG1864" s="2">
        <f ca="1"/>
        <v>0.57059767662635918</v>
      </c>
      <c r="AH1864" s="2" t="str">
        <f ca="1"/>
        <v>Bad</v>
      </c>
    </row>
    <row r="1865" spans="2:34" x14ac:dyDescent="0.2">
      <c r="B1865" s="2">
        <f ca="1"/>
        <v>0.97855003141641284</v>
      </c>
      <c r="O1865" s="2">
        <f ca="1"/>
        <v>0.78828125396462378</v>
      </c>
      <c r="X1865" s="2">
        <f ca="1"/>
        <v>39.552974542272182</v>
      </c>
      <c r="AG1865" s="2">
        <f ca="1"/>
        <v>0.16211858124091205</v>
      </c>
      <c r="AH1865" s="2" t="str">
        <f ca="1"/>
        <v>OK</v>
      </c>
    </row>
    <row r="1866" spans="2:34" x14ac:dyDescent="0.2">
      <c r="B1866" s="2">
        <f ca="1"/>
        <v>0.23216056268973184</v>
      </c>
      <c r="O1866" s="2">
        <f ca="1"/>
        <v>0.60216381845996125</v>
      </c>
      <c r="X1866" s="2">
        <f ca="1"/>
        <v>38.658203215816926</v>
      </c>
      <c r="AG1866" s="2">
        <f ca="1"/>
        <v>0.74624857121352628</v>
      </c>
      <c r="AH1866" s="2" t="str">
        <f ca="1"/>
        <v>Bad</v>
      </c>
    </row>
    <row r="1867" spans="2:34" x14ac:dyDescent="0.2">
      <c r="B1867" s="2">
        <f ca="1"/>
        <v>0.20362078879238421</v>
      </c>
      <c r="O1867" s="2">
        <f ca="1"/>
        <v>-1.1312807207349562</v>
      </c>
      <c r="X1867" s="2">
        <f ca="1"/>
        <v>56.573009883138631</v>
      </c>
      <c r="AG1867" s="2">
        <f ca="1"/>
        <v>0.14034137065532981</v>
      </c>
      <c r="AH1867" s="2" t="str">
        <f ca="1"/>
        <v>OK</v>
      </c>
    </row>
    <row r="1868" spans="2:34" x14ac:dyDescent="0.2">
      <c r="B1868" s="2">
        <f ca="1"/>
        <v>0.43396754443699814</v>
      </c>
      <c r="O1868" s="2">
        <f ca="1"/>
        <v>7.5593221857455012E-2</v>
      </c>
      <c r="X1868" s="2">
        <f ca="1"/>
        <v>62.744105930163229</v>
      </c>
      <c r="AG1868" s="2">
        <f ca="1"/>
        <v>0.70977650461079</v>
      </c>
      <c r="AH1868" s="2" t="str">
        <f ca="1"/>
        <v>Bad</v>
      </c>
    </row>
    <row r="1869" spans="2:34" x14ac:dyDescent="0.2">
      <c r="B1869" s="2">
        <f ca="1"/>
        <v>0.6595359320662868</v>
      </c>
      <c r="O1869" s="2">
        <f ca="1"/>
        <v>-0.3378269404027392</v>
      </c>
      <c r="X1869" s="2">
        <f ca="1"/>
        <v>39.965025794311003</v>
      </c>
      <c r="AG1869" s="2">
        <f ca="1"/>
        <v>0.55648234723472179</v>
      </c>
      <c r="AH1869" s="2" t="str">
        <f ca="1"/>
        <v>Bad</v>
      </c>
    </row>
    <row r="1870" spans="2:34" x14ac:dyDescent="0.2">
      <c r="B1870" s="2">
        <f ca="1"/>
        <v>7.9539509182239954E-2</v>
      </c>
      <c r="O1870" s="2">
        <f ca="1"/>
        <v>0.32875527995133613</v>
      </c>
      <c r="X1870" s="2">
        <f ca="1"/>
        <v>63.169307008225616</v>
      </c>
      <c r="AG1870" s="2">
        <f ca="1"/>
        <v>0.72019849665844426</v>
      </c>
      <c r="AH1870" s="2" t="str">
        <f ca="1"/>
        <v>Bad</v>
      </c>
    </row>
    <row r="1871" spans="2:34" x14ac:dyDescent="0.2">
      <c r="B1871" s="2">
        <f ca="1"/>
        <v>0.14299834298471081</v>
      </c>
      <c r="O1871" s="2">
        <f ca="1"/>
        <v>4.6737243424206688E-2</v>
      </c>
      <c r="X1871" s="2">
        <f ca="1"/>
        <v>56.27610934814544</v>
      </c>
      <c r="AG1871" s="2">
        <f ca="1"/>
        <v>0.74514427376411896</v>
      </c>
      <c r="AH1871" s="2" t="str">
        <f ca="1"/>
        <v>Bad</v>
      </c>
    </row>
    <row r="1872" spans="2:34" x14ac:dyDescent="0.2">
      <c r="B1872" s="2">
        <f ca="1"/>
        <v>0.27367148471988889</v>
      </c>
      <c r="O1872" s="2">
        <f ca="1"/>
        <v>1.2497697265547616</v>
      </c>
      <c r="X1872" s="2">
        <f ca="1"/>
        <v>56.830619165609747</v>
      </c>
      <c r="AG1872" s="2">
        <f ca="1"/>
        <v>0.69769262889231398</v>
      </c>
      <c r="AH1872" s="2" t="str">
        <f ca="1"/>
        <v>Bad</v>
      </c>
    </row>
    <row r="1873" spans="2:34" x14ac:dyDescent="0.2">
      <c r="B1873" s="2">
        <f ca="1"/>
        <v>0.62738905768345044</v>
      </c>
      <c r="O1873" s="2">
        <f ca="1"/>
        <v>1.894563678453878</v>
      </c>
      <c r="X1873" s="2">
        <f ca="1"/>
        <v>56.140971333181398</v>
      </c>
      <c r="AG1873" s="2">
        <f ca="1"/>
        <v>0.47493651271594328</v>
      </c>
      <c r="AH1873" s="2" t="str">
        <f ca="1"/>
        <v>Bad</v>
      </c>
    </row>
    <row r="1874" spans="2:34" x14ac:dyDescent="0.2">
      <c r="B1874" s="2">
        <f ca="1"/>
        <v>0.9445433428445571</v>
      </c>
      <c r="O1874" s="2">
        <f ca="1"/>
        <v>-0.28465783527018679</v>
      </c>
      <c r="X1874" s="2">
        <f ca="1"/>
        <v>66.628163076698115</v>
      </c>
      <c r="AG1874" s="2">
        <f ca="1"/>
        <v>0.36411228945209695</v>
      </c>
      <c r="AH1874" s="2" t="str">
        <f ca="1"/>
        <v>OK</v>
      </c>
    </row>
    <row r="1875" spans="2:34" x14ac:dyDescent="0.2">
      <c r="B1875" s="2">
        <f ca="1"/>
        <v>0.18599253569870711</v>
      </c>
      <c r="O1875" s="2">
        <f ca="1"/>
        <v>1.4772543430085934</v>
      </c>
      <c r="X1875" s="2">
        <f ca="1"/>
        <v>27.785900718589993</v>
      </c>
      <c r="AG1875" s="2">
        <f ca="1"/>
        <v>9.3590099480289624E-3</v>
      </c>
      <c r="AH1875" s="2" t="str">
        <f ca="1"/>
        <v>Good</v>
      </c>
    </row>
    <row r="1876" spans="2:34" x14ac:dyDescent="0.2">
      <c r="B1876" s="2">
        <f ca="1"/>
        <v>0.40266412720729883</v>
      </c>
      <c r="O1876" s="2">
        <f ca="1"/>
        <v>1.3328431470785473</v>
      </c>
      <c r="X1876" s="2">
        <f ca="1"/>
        <v>46.448924609433519</v>
      </c>
      <c r="AG1876" s="2">
        <f ca="1"/>
        <v>0.32971482349669889</v>
      </c>
      <c r="AH1876" s="2" t="str">
        <f ca="1"/>
        <v>OK</v>
      </c>
    </row>
    <row r="1877" spans="2:34" x14ac:dyDescent="0.2">
      <c r="B1877" s="2">
        <f ca="1"/>
        <v>6.8561639321109702E-2</v>
      </c>
      <c r="O1877" s="2">
        <f ca="1"/>
        <v>0.85066874775682433</v>
      </c>
      <c r="X1877" s="2">
        <f ca="1"/>
        <v>35.828676456795684</v>
      </c>
      <c r="AG1877" s="2">
        <f ca="1"/>
        <v>2.0718272663604598E-3</v>
      </c>
      <c r="AH1877" s="2" t="str">
        <f ca="1"/>
        <v>Good</v>
      </c>
    </row>
    <row r="1878" spans="2:34" x14ac:dyDescent="0.2">
      <c r="B1878" s="2">
        <f ca="1"/>
        <v>0.10542085895384434</v>
      </c>
      <c r="O1878" s="2">
        <f ca="1"/>
        <v>2.1722222266469817</v>
      </c>
      <c r="X1878" s="2">
        <f ca="1"/>
        <v>55.829629142064945</v>
      </c>
      <c r="AG1878" s="2">
        <f ca="1"/>
        <v>0.30500437454825868</v>
      </c>
      <c r="AH1878" s="2" t="str">
        <f ca="1"/>
        <v>OK</v>
      </c>
    </row>
    <row r="1879" spans="2:34" x14ac:dyDescent="0.2">
      <c r="B1879" s="2">
        <f ca="1"/>
        <v>0.72630054641363073</v>
      </c>
      <c r="O1879" s="2">
        <f ca="1"/>
        <v>1.2211607225872019</v>
      </c>
      <c r="X1879" s="2">
        <f ca="1"/>
        <v>43.163872602378071</v>
      </c>
      <c r="AG1879" s="2">
        <f ca="1"/>
        <v>0.82928316322911577</v>
      </c>
      <c r="AH1879" s="2" t="str">
        <f ca="1"/>
        <v>Bad</v>
      </c>
    </row>
    <row r="1880" spans="2:34" x14ac:dyDescent="0.2">
      <c r="B1880" s="2">
        <f ca="1"/>
        <v>0.28309662963987736</v>
      </c>
      <c r="O1880" s="2">
        <f ca="1"/>
        <v>0.29113062981108756</v>
      </c>
      <c r="X1880" s="2">
        <f ca="1"/>
        <v>96.136894332851895</v>
      </c>
      <c r="AG1880" s="2">
        <f ca="1"/>
        <v>0.22122013064079615</v>
      </c>
      <c r="AH1880" s="2" t="str">
        <f ca="1"/>
        <v>OK</v>
      </c>
    </row>
    <row r="1881" spans="2:34" x14ac:dyDescent="0.2">
      <c r="B1881" s="2">
        <f ca="1"/>
        <v>0.49019416130962368</v>
      </c>
      <c r="O1881" s="2">
        <f ca="1"/>
        <v>-1.9150230022690267</v>
      </c>
      <c r="X1881" s="2">
        <f ca="1"/>
        <v>36.803856307772996</v>
      </c>
      <c r="AG1881" s="2">
        <f ca="1"/>
        <v>0.78497102670294017</v>
      </c>
      <c r="AH1881" s="2" t="str">
        <f ca="1"/>
        <v>Bad</v>
      </c>
    </row>
    <row r="1882" spans="2:34" x14ac:dyDescent="0.2">
      <c r="B1882" s="2">
        <f ca="1"/>
        <v>0.47183408313416009</v>
      </c>
      <c r="O1882" s="2">
        <f ca="1"/>
        <v>2.0467682880457239</v>
      </c>
      <c r="X1882" s="2">
        <f ca="1"/>
        <v>45.216906126017513</v>
      </c>
      <c r="AG1882" s="2">
        <f ca="1"/>
        <v>0.8859613658828227</v>
      </c>
      <c r="AH1882" s="2" t="str">
        <f ca="1"/>
        <v>Bad</v>
      </c>
    </row>
    <row r="1883" spans="2:34" x14ac:dyDescent="0.2">
      <c r="B1883" s="2">
        <f ca="1"/>
        <v>3.4789992451411678E-3</v>
      </c>
      <c r="O1883" s="2">
        <f ca="1"/>
        <v>-3.4536478258363053</v>
      </c>
      <c r="X1883" s="2">
        <f ca="1"/>
        <v>61.132541717754449</v>
      </c>
      <c r="AG1883" s="2">
        <f ca="1"/>
        <v>0.79017637025826426</v>
      </c>
      <c r="AH1883" s="2" t="str">
        <f ca="1"/>
        <v>Bad</v>
      </c>
    </row>
    <row r="1884" spans="2:34" x14ac:dyDescent="0.2">
      <c r="B1884" s="2">
        <f ca="1"/>
        <v>0.92394126992138759</v>
      </c>
      <c r="O1884" s="2">
        <f ca="1"/>
        <v>0.99832148095797812</v>
      </c>
      <c r="X1884" s="2">
        <f ca="1"/>
        <v>34.216729798010476</v>
      </c>
      <c r="AG1884" s="2">
        <f ca="1"/>
        <v>0.33266298290510066</v>
      </c>
      <c r="AH1884" s="2" t="str">
        <f ca="1"/>
        <v>OK</v>
      </c>
    </row>
    <row r="1885" spans="2:34" x14ac:dyDescent="0.2">
      <c r="B1885" s="2">
        <f ca="1"/>
        <v>0.24418299660915599</v>
      </c>
      <c r="O1885" s="2">
        <f ca="1"/>
        <v>0.22849451193539042</v>
      </c>
      <c r="X1885" s="2">
        <f ca="1"/>
        <v>41.881848994490582</v>
      </c>
      <c r="AG1885" s="2">
        <f ca="1"/>
        <v>0.15528932153545627</v>
      </c>
      <c r="AH1885" s="2" t="str">
        <f ca="1"/>
        <v>OK</v>
      </c>
    </row>
    <row r="1886" spans="2:34" x14ac:dyDescent="0.2">
      <c r="B1886" s="2">
        <f ca="1"/>
        <v>5.0748062179957198E-3</v>
      </c>
      <c r="O1886" s="2">
        <f ca="1"/>
        <v>-1.285956530114001</v>
      </c>
      <c r="X1886" s="2">
        <f ca="1"/>
        <v>33.952667561443974</v>
      </c>
      <c r="AG1886" s="2">
        <f ca="1"/>
        <v>0.64897257009817477</v>
      </c>
      <c r="AH1886" s="2" t="str">
        <f ca="1"/>
        <v>Bad</v>
      </c>
    </row>
    <row r="1887" spans="2:34" x14ac:dyDescent="0.2">
      <c r="B1887" s="2">
        <f ca="1"/>
        <v>7.4733111613605185E-2</v>
      </c>
      <c r="O1887" s="2">
        <f ca="1"/>
        <v>-0.55837411495773359</v>
      </c>
      <c r="X1887" s="2">
        <f ca="1"/>
        <v>62.787189749509302</v>
      </c>
      <c r="AG1887" s="2">
        <f ca="1"/>
        <v>0.45377416915321933</v>
      </c>
      <c r="AH1887" s="2" t="str">
        <f ca="1"/>
        <v>Bad</v>
      </c>
    </row>
    <row r="1888" spans="2:34" x14ac:dyDescent="0.2">
      <c r="B1888" s="2">
        <f ca="1"/>
        <v>0.89259196697496912</v>
      </c>
      <c r="O1888" s="2">
        <f ca="1"/>
        <v>-0.32723038482153122</v>
      </c>
      <c r="X1888" s="2">
        <f ca="1"/>
        <v>32.561086095316895</v>
      </c>
      <c r="AG1888" s="2">
        <f ca="1"/>
        <v>0.96647774651591511</v>
      </c>
      <c r="AH1888" s="2" t="str">
        <f ca="1"/>
        <v>Bad</v>
      </c>
    </row>
    <row r="1889" spans="2:34" x14ac:dyDescent="0.2">
      <c r="B1889" s="2">
        <f ca="1"/>
        <v>0.49748243381617074</v>
      </c>
      <c r="O1889" s="2">
        <f ca="1"/>
        <v>-1.3337238034190384</v>
      </c>
      <c r="X1889" s="2">
        <f ca="1"/>
        <v>53.290834155791494</v>
      </c>
      <c r="AG1889" s="2">
        <f ca="1"/>
        <v>0.91753990864430857</v>
      </c>
      <c r="AH1889" s="2" t="str">
        <f ca="1"/>
        <v>Bad</v>
      </c>
    </row>
    <row r="1890" spans="2:34" x14ac:dyDescent="0.2">
      <c r="B1890" s="2">
        <f ca="1"/>
        <v>1.5149778177329543E-2</v>
      </c>
      <c r="O1890" s="2">
        <f ca="1"/>
        <v>1.4142689601422134</v>
      </c>
      <c r="X1890" s="2">
        <f ca="1"/>
        <v>52.690238403050202</v>
      </c>
      <c r="AG1890" s="2">
        <f ca="1"/>
        <v>0.65184814784140355</v>
      </c>
      <c r="AH1890" s="2" t="str">
        <f ca="1"/>
        <v>Bad</v>
      </c>
    </row>
    <row r="1891" spans="2:34" x14ac:dyDescent="0.2">
      <c r="B1891" s="2">
        <f ca="1"/>
        <v>0.26857013759414006</v>
      </c>
      <c r="O1891" s="2">
        <f ca="1"/>
        <v>-0.8566293550340669</v>
      </c>
      <c r="X1891" s="2">
        <f ca="1"/>
        <v>67.067656750747574</v>
      </c>
      <c r="AG1891" s="2">
        <f ca="1"/>
        <v>2.1220491842360634E-2</v>
      </c>
      <c r="AH1891" s="2" t="str">
        <f ca="1"/>
        <v>Good</v>
      </c>
    </row>
    <row r="1892" spans="2:34" x14ac:dyDescent="0.2">
      <c r="B1892" s="2">
        <f ca="1"/>
        <v>6.821507454560316E-2</v>
      </c>
      <c r="O1892" s="2">
        <f ca="1"/>
        <v>-2.3838252111542788</v>
      </c>
      <c r="X1892" s="2">
        <f ca="1"/>
        <v>40.697254725867076</v>
      </c>
      <c r="AG1892" s="2">
        <f ca="1"/>
        <v>0.25653534795852462</v>
      </c>
      <c r="AH1892" s="2" t="str">
        <f ca="1"/>
        <v>OK</v>
      </c>
    </row>
    <row r="1893" spans="2:34" x14ac:dyDescent="0.2">
      <c r="B1893" s="2">
        <f ca="1"/>
        <v>0.57366434917012854</v>
      </c>
      <c r="O1893" s="2">
        <f ca="1"/>
        <v>-1.3826680723466487</v>
      </c>
      <c r="X1893" s="2">
        <f ca="1"/>
        <v>30.802414449816048</v>
      </c>
      <c r="AG1893" s="2">
        <f ca="1"/>
        <v>0.88297658527237854</v>
      </c>
      <c r="AH1893" s="2" t="str">
        <f ca="1"/>
        <v>Bad</v>
      </c>
    </row>
    <row r="1894" spans="2:34" x14ac:dyDescent="0.2">
      <c r="B1894" s="2">
        <f ca="1"/>
        <v>0.78698078534486937</v>
      </c>
      <c r="O1894" s="2">
        <f ca="1"/>
        <v>-1.203508291327531</v>
      </c>
      <c r="X1894" s="2">
        <f ca="1"/>
        <v>47.574847439245744</v>
      </c>
      <c r="AG1894" s="2">
        <f ca="1"/>
        <v>0.72085271824965558</v>
      </c>
      <c r="AH1894" s="2" t="str">
        <f ca="1"/>
        <v>Bad</v>
      </c>
    </row>
    <row r="1895" spans="2:34" x14ac:dyDescent="0.2">
      <c r="B1895" s="2">
        <f ca="1"/>
        <v>0.14025698976091694</v>
      </c>
      <c r="O1895" s="2">
        <f ca="1"/>
        <v>-1.566093399356693</v>
      </c>
      <c r="X1895" s="2">
        <f ca="1"/>
        <v>63.594492683635337</v>
      </c>
      <c r="AG1895" s="2">
        <f ca="1"/>
        <v>0.84155814745162871</v>
      </c>
      <c r="AH1895" s="2" t="str">
        <f ca="1"/>
        <v>Bad</v>
      </c>
    </row>
    <row r="1896" spans="2:34" x14ac:dyDescent="0.2">
      <c r="B1896" s="2">
        <f ca="1"/>
        <v>0.44559570974205331</v>
      </c>
      <c r="O1896" s="2">
        <f ca="1"/>
        <v>1.1269491970693122</v>
      </c>
      <c r="X1896" s="2">
        <f ca="1"/>
        <v>56.853718140676463</v>
      </c>
      <c r="AG1896" s="2">
        <f ca="1"/>
        <v>0.5207480899997019</v>
      </c>
      <c r="AH1896" s="2" t="str">
        <f ca="1"/>
        <v>Bad</v>
      </c>
    </row>
    <row r="1897" spans="2:34" x14ac:dyDescent="0.2">
      <c r="B1897" s="2">
        <f ca="1"/>
        <v>0.47203228969962008</v>
      </c>
      <c r="O1897" s="2">
        <f ca="1"/>
        <v>-0.81800501166569417</v>
      </c>
      <c r="X1897" s="2">
        <f ca="1"/>
        <v>65.38540306783031</v>
      </c>
      <c r="AG1897" s="2">
        <f ca="1"/>
        <v>0.20626313129030449</v>
      </c>
      <c r="AH1897" s="2" t="str">
        <f ca="1"/>
        <v>OK</v>
      </c>
    </row>
    <row r="1898" spans="2:34" x14ac:dyDescent="0.2">
      <c r="B1898" s="2">
        <f ca="1"/>
        <v>0.61198111470839733</v>
      </c>
      <c r="O1898" s="2">
        <f ca="1"/>
        <v>0.39771867068041744</v>
      </c>
      <c r="X1898" s="2">
        <f ca="1"/>
        <v>42.303528634832887</v>
      </c>
      <c r="AG1898" s="2">
        <f ca="1"/>
        <v>0.4603282765272112</v>
      </c>
      <c r="AH1898" s="2" t="str">
        <f ca="1"/>
        <v>Bad</v>
      </c>
    </row>
    <row r="1899" spans="2:34" x14ac:dyDescent="0.2">
      <c r="B1899" s="2">
        <f ca="1"/>
        <v>0.65636027251617746</v>
      </c>
      <c r="O1899" s="2">
        <f ca="1"/>
        <v>-1.4501373944253222</v>
      </c>
      <c r="X1899" s="2">
        <f ca="1"/>
        <v>66.16413298413687</v>
      </c>
      <c r="AG1899" s="2">
        <f ca="1"/>
        <v>0.93043294506273111</v>
      </c>
      <c r="AH1899" s="2" t="str">
        <f ca="1"/>
        <v>Bad</v>
      </c>
    </row>
    <row r="1900" spans="2:34" x14ac:dyDescent="0.2">
      <c r="B1900" s="2">
        <f ca="1"/>
        <v>0.56926222200933241</v>
      </c>
      <c r="O1900" s="2">
        <f ca="1"/>
        <v>1.0005184770217075</v>
      </c>
      <c r="X1900" s="2">
        <f ca="1"/>
        <v>30.011460388771184</v>
      </c>
      <c r="AG1900" s="2">
        <f ca="1"/>
        <v>0.31119712559840118</v>
      </c>
      <c r="AH1900" s="2" t="str">
        <f ca="1"/>
        <v>OK</v>
      </c>
    </row>
    <row r="1901" spans="2:34" x14ac:dyDescent="0.2">
      <c r="B1901" s="2">
        <f ca="1"/>
        <v>0.74325869142103174</v>
      </c>
      <c r="O1901" s="2">
        <f ca="1"/>
        <v>-1.5287153013815193</v>
      </c>
      <c r="X1901" s="2">
        <f ca="1"/>
        <v>59.246736703958163</v>
      </c>
      <c r="AG1901" s="2">
        <f ca="1"/>
        <v>9.269105822059398E-2</v>
      </c>
      <c r="AH1901" s="2" t="str">
        <f ca="1"/>
        <v>OK</v>
      </c>
    </row>
    <row r="1902" spans="2:34" x14ac:dyDescent="0.2">
      <c r="B1902" s="2">
        <f ca="1"/>
        <v>0.23942828912698255</v>
      </c>
      <c r="O1902" s="2">
        <f ca="1"/>
        <v>0.14055313655017232</v>
      </c>
      <c r="X1902" s="2">
        <f ca="1"/>
        <v>33.815240278283063</v>
      </c>
      <c r="AG1902" s="2">
        <f ca="1"/>
        <v>0.65760510722173238</v>
      </c>
      <c r="AH1902" s="2" t="str">
        <f ca="1"/>
        <v>Bad</v>
      </c>
    </row>
    <row r="1903" spans="2:34" x14ac:dyDescent="0.2">
      <c r="B1903" s="2">
        <f ca="1"/>
        <v>0.6274059477522882</v>
      </c>
      <c r="O1903" s="2">
        <f ca="1"/>
        <v>-1.2198060044079058</v>
      </c>
      <c r="X1903" s="2">
        <f ca="1"/>
        <v>66.072493531347732</v>
      </c>
      <c r="AG1903" s="2">
        <f ca="1"/>
        <v>0.71020883427663373</v>
      </c>
      <c r="AH1903" s="2" t="str">
        <f ca="1"/>
        <v>Bad</v>
      </c>
    </row>
    <row r="1904" spans="2:34" x14ac:dyDescent="0.2">
      <c r="B1904" s="2">
        <f ca="1"/>
        <v>0.29468089636856454</v>
      </c>
      <c r="O1904" s="2">
        <f ca="1"/>
        <v>2.0802947921318595</v>
      </c>
      <c r="X1904" s="2">
        <f ca="1"/>
        <v>45.903348269553355</v>
      </c>
      <c r="AG1904" s="2">
        <f ca="1"/>
        <v>1.8178739237810326E-2</v>
      </c>
      <c r="AH1904" s="2" t="str">
        <f ca="1"/>
        <v>Good</v>
      </c>
    </row>
    <row r="1905" spans="2:34" x14ac:dyDescent="0.2">
      <c r="B1905" s="2">
        <f ca="1"/>
        <v>0.30377410306485242</v>
      </c>
      <c r="O1905" s="2">
        <f ca="1"/>
        <v>-0.90402151631955385</v>
      </c>
      <c r="X1905" s="2">
        <f ca="1"/>
        <v>51.718188882251013</v>
      </c>
      <c r="AG1905" s="2">
        <f ca="1"/>
        <v>0.17399934050747401</v>
      </c>
      <c r="AH1905" s="2" t="str">
        <f ca="1"/>
        <v>OK</v>
      </c>
    </row>
    <row r="1906" spans="2:34" x14ac:dyDescent="0.2">
      <c r="B1906" s="2">
        <f ca="1"/>
        <v>0.15904970709969812</v>
      </c>
      <c r="O1906" s="2">
        <f ca="1"/>
        <v>0.41153341354981249</v>
      </c>
      <c r="X1906" s="2">
        <f ca="1"/>
        <v>93.576707705532897</v>
      </c>
      <c r="AG1906" s="2">
        <f ca="1"/>
        <v>0.60755122521005522</v>
      </c>
      <c r="AH1906" s="2" t="str">
        <f ca="1"/>
        <v>Bad</v>
      </c>
    </row>
    <row r="1907" spans="2:34" x14ac:dyDescent="0.2">
      <c r="B1907" s="2">
        <f ca="1"/>
        <v>0.32740968223529654</v>
      </c>
      <c r="O1907" s="2">
        <f ca="1"/>
        <v>0.72272420834472717</v>
      </c>
      <c r="X1907" s="2">
        <f ca="1"/>
        <v>40.935116272163327</v>
      </c>
      <c r="AG1907" s="2">
        <f ca="1"/>
        <v>0.3533008959618229</v>
      </c>
      <c r="AH1907" s="2" t="str">
        <f ca="1"/>
        <v>OK</v>
      </c>
    </row>
    <row r="1908" spans="2:34" x14ac:dyDescent="0.2">
      <c r="B1908" s="2">
        <f ca="1"/>
        <v>0.60189161502056643</v>
      </c>
      <c r="O1908" s="2">
        <f ca="1"/>
        <v>0.82448420424988711</v>
      </c>
      <c r="X1908" s="2">
        <f ca="1"/>
        <v>50.354688662265374</v>
      </c>
      <c r="AG1908" s="2">
        <f ca="1"/>
        <v>0.96685561707766365</v>
      </c>
      <c r="AH1908" s="2" t="str">
        <f ca="1"/>
        <v>Bad</v>
      </c>
    </row>
    <row r="1909" spans="2:34" x14ac:dyDescent="0.2">
      <c r="B1909" s="2">
        <f ca="1"/>
        <v>0.43570113733797777</v>
      </c>
      <c r="O1909" s="2">
        <f ca="1"/>
        <v>0.78010532509241892</v>
      </c>
      <c r="X1909" s="2">
        <f ca="1"/>
        <v>39.070375243306145</v>
      </c>
      <c r="AG1909" s="2">
        <f ca="1"/>
        <v>0.41936033186326416</v>
      </c>
      <c r="AH1909" s="2" t="str">
        <f ca="1"/>
        <v>Bad</v>
      </c>
    </row>
    <row r="1910" spans="2:34" x14ac:dyDescent="0.2">
      <c r="B1910" s="2">
        <f ca="1"/>
        <v>0.95577880926155112</v>
      </c>
      <c r="O1910" s="2">
        <f ca="1"/>
        <v>1.4730592718199851</v>
      </c>
      <c r="X1910" s="2">
        <f ca="1"/>
        <v>69.240265397546281</v>
      </c>
      <c r="AG1910" s="2">
        <f ca="1"/>
        <v>0.80526892351320467</v>
      </c>
      <c r="AH1910" s="2" t="str">
        <f ca="1"/>
        <v>Bad</v>
      </c>
    </row>
    <row r="1911" spans="2:34" x14ac:dyDescent="0.2">
      <c r="B1911" s="2">
        <f ca="1"/>
        <v>0.22340038003192308</v>
      </c>
      <c r="O1911" s="2">
        <f ca="1"/>
        <v>-0.92245904164063697</v>
      </c>
      <c r="X1911" s="2">
        <f ca="1"/>
        <v>50.422325677648118</v>
      </c>
      <c r="AG1911" s="2">
        <f ca="1"/>
        <v>0.23893931849485495</v>
      </c>
      <c r="AH1911" s="2" t="str">
        <f ca="1"/>
        <v>OK</v>
      </c>
    </row>
    <row r="1912" spans="2:34" x14ac:dyDescent="0.2">
      <c r="B1912" s="2">
        <f ca="1"/>
        <v>0.65056660297190039</v>
      </c>
      <c r="O1912" s="2">
        <f ca="1"/>
        <v>-0.8949318932852145</v>
      </c>
      <c r="X1912" s="2">
        <f ca="1"/>
        <v>59.250118216367547</v>
      </c>
      <c r="AG1912" s="2">
        <f ca="1"/>
        <v>0.93621181351366323</v>
      </c>
      <c r="AH1912" s="2" t="str">
        <f ca="1"/>
        <v>Bad</v>
      </c>
    </row>
    <row r="1913" spans="2:34" x14ac:dyDescent="0.2">
      <c r="B1913" s="2">
        <f ca="1"/>
        <v>0.30728557947209767</v>
      </c>
      <c r="O1913" s="2">
        <f ca="1"/>
        <v>0.21389911066830788</v>
      </c>
      <c r="X1913" s="2">
        <f ca="1"/>
        <v>40.758709296552723</v>
      </c>
      <c r="AG1913" s="2">
        <f ca="1"/>
        <v>0.82315541698154604</v>
      </c>
      <c r="AH1913" s="2" t="str">
        <f ca="1"/>
        <v>Bad</v>
      </c>
    </row>
    <row r="1914" spans="2:34" x14ac:dyDescent="0.2">
      <c r="B1914" s="2">
        <f ca="1"/>
        <v>0.32469439963147795</v>
      </c>
      <c r="O1914" s="2">
        <f ca="1"/>
        <v>-0.41039594675739394</v>
      </c>
      <c r="X1914" s="2">
        <f ca="1"/>
        <v>35.801598090982878</v>
      </c>
      <c r="AG1914" s="2">
        <f ca="1"/>
        <v>4.0346757908289677E-2</v>
      </c>
      <c r="AH1914" s="2" t="str">
        <f ca="1"/>
        <v>Good</v>
      </c>
    </row>
    <row r="1915" spans="2:34" x14ac:dyDescent="0.2">
      <c r="B1915" s="2">
        <f ca="1"/>
        <v>0.67794119227497407</v>
      </c>
      <c r="O1915" s="2">
        <f ca="1"/>
        <v>0.89370870534412539</v>
      </c>
      <c r="X1915" s="2">
        <f ca="1"/>
        <v>62.983879210291882</v>
      </c>
      <c r="AG1915" s="2">
        <f ca="1"/>
        <v>0.53168618264578349</v>
      </c>
      <c r="AH1915" s="2" t="str">
        <f ca="1"/>
        <v>Bad</v>
      </c>
    </row>
    <row r="1916" spans="2:34" x14ac:dyDescent="0.2">
      <c r="B1916" s="2">
        <f ca="1"/>
        <v>0.2358126488661183</v>
      </c>
      <c r="O1916" s="2">
        <f ca="1"/>
        <v>1.2532437158599874</v>
      </c>
      <c r="X1916" s="2">
        <f ca="1"/>
        <v>57.475560110672163</v>
      </c>
      <c r="AG1916" s="2">
        <f ca="1"/>
        <v>0.26738424184436882</v>
      </c>
      <c r="AH1916" s="2" t="str">
        <f ca="1"/>
        <v>OK</v>
      </c>
    </row>
    <row r="1917" spans="2:34" x14ac:dyDescent="0.2">
      <c r="B1917" s="2">
        <f ca="1"/>
        <v>1.9983905926971968E-2</v>
      </c>
      <c r="O1917" s="2">
        <f ca="1"/>
        <v>1.8764645937683571</v>
      </c>
      <c r="X1917" s="2">
        <f ca="1"/>
        <v>44.75120061401573</v>
      </c>
      <c r="AG1917" s="2">
        <f ca="1"/>
        <v>0.85250142465068279</v>
      </c>
      <c r="AH1917" s="2" t="str">
        <f ca="1"/>
        <v>Bad</v>
      </c>
    </row>
    <row r="1918" spans="2:34" x14ac:dyDescent="0.2">
      <c r="B1918" s="2">
        <f ca="1"/>
        <v>0.44151565479497301</v>
      </c>
      <c r="O1918" s="2">
        <f ca="1"/>
        <v>-0.9838087535693717</v>
      </c>
      <c r="X1918" s="2">
        <f ca="1"/>
        <v>53.436324888157799</v>
      </c>
      <c r="AG1918" s="2">
        <f ca="1"/>
        <v>0.40987574693002915</v>
      </c>
      <c r="AH1918" s="2" t="str">
        <f ca="1"/>
        <v>Bad</v>
      </c>
    </row>
    <row r="1919" spans="2:34" x14ac:dyDescent="0.2">
      <c r="B1919" s="2">
        <f ca="1"/>
        <v>0.10470661906061007</v>
      </c>
      <c r="O1919" s="2">
        <f ca="1"/>
        <v>-0.27570101082214082</v>
      </c>
      <c r="X1919" s="2">
        <f ca="1"/>
        <v>32.627810711465052</v>
      </c>
      <c r="AG1919" s="2">
        <f ca="1"/>
        <v>0.36527325051276449</v>
      </c>
      <c r="AH1919" s="2" t="str">
        <f ca="1"/>
        <v>OK</v>
      </c>
    </row>
    <row r="1920" spans="2:34" x14ac:dyDescent="0.2">
      <c r="B1920" s="2">
        <f ca="1"/>
        <v>0.61930868339098222</v>
      </c>
      <c r="O1920" s="2">
        <f ca="1"/>
        <v>-0.21115147662057418</v>
      </c>
      <c r="X1920" s="2">
        <f ca="1"/>
        <v>51.001574040692283</v>
      </c>
      <c r="AG1920" s="2">
        <f ca="1"/>
        <v>7.812583654984695E-2</v>
      </c>
      <c r="AH1920" s="2" t="str">
        <f ca="1"/>
        <v>OK</v>
      </c>
    </row>
    <row r="1921" spans="2:34" x14ac:dyDescent="0.2">
      <c r="B1921" s="2">
        <f ca="1"/>
        <v>0.48257810997412864</v>
      </c>
      <c r="O1921" s="2">
        <f ca="1"/>
        <v>-7.1551922672612525E-2</v>
      </c>
      <c r="X1921" s="2">
        <f ca="1"/>
        <v>53.941980137187961</v>
      </c>
      <c r="AG1921" s="2">
        <f ca="1"/>
        <v>0.57494804225854068</v>
      </c>
      <c r="AH1921" s="2" t="str">
        <f ca="1"/>
        <v>Bad</v>
      </c>
    </row>
    <row r="1922" spans="2:34" x14ac:dyDescent="0.2">
      <c r="B1922" s="2">
        <f ca="1"/>
        <v>0.31405905104082099</v>
      </c>
      <c r="O1922" s="2">
        <f ca="1"/>
        <v>0.65357091966954706</v>
      </c>
      <c r="X1922" s="2">
        <f ca="1"/>
        <v>30.595893161268506</v>
      </c>
      <c r="AG1922" s="2">
        <f ca="1"/>
        <v>0.46239265000697927</v>
      </c>
      <c r="AH1922" s="2" t="str">
        <f ca="1"/>
        <v>Bad</v>
      </c>
    </row>
    <row r="1923" spans="2:34" x14ac:dyDescent="0.2">
      <c r="B1923" s="2">
        <f ca="1"/>
        <v>0.50290841431573363</v>
      </c>
      <c r="O1923" s="2">
        <f ca="1"/>
        <v>-1.0175880172677989</v>
      </c>
      <c r="X1923" s="2">
        <f ca="1"/>
        <v>73.397278631026978</v>
      </c>
      <c r="AG1923" s="2">
        <f ca="1"/>
        <v>0.74684248343260218</v>
      </c>
      <c r="AH1923" s="2" t="str">
        <f ca="1"/>
        <v>Bad</v>
      </c>
    </row>
    <row r="1924" spans="2:34" x14ac:dyDescent="0.2">
      <c r="B1924" s="2">
        <f ca="1"/>
        <v>0.7135273517714813</v>
      </c>
      <c r="O1924" s="2">
        <f ca="1"/>
        <v>0.43300264247037168</v>
      </c>
      <c r="X1924" s="2">
        <f ca="1"/>
        <v>29.918454762831871</v>
      </c>
      <c r="AG1924" s="2">
        <f ca="1"/>
        <v>0.37596241356990356</v>
      </c>
      <c r="AH1924" s="2" t="str">
        <f ca="1"/>
        <v>OK</v>
      </c>
    </row>
    <row r="1925" spans="2:34" x14ac:dyDescent="0.2">
      <c r="B1925" s="2">
        <f ca="1"/>
        <v>0.88695761630874537</v>
      </c>
      <c r="O1925" s="2">
        <f ca="1"/>
        <v>-0.85036606353921262</v>
      </c>
      <c r="X1925" s="2">
        <f ca="1"/>
        <v>20.891855973831497</v>
      </c>
      <c r="AG1925" s="2">
        <f ca="1"/>
        <v>0.72795048278806318</v>
      </c>
      <c r="AH1925" s="2" t="str">
        <f ca="1"/>
        <v>Bad</v>
      </c>
    </row>
    <row r="1926" spans="2:34" x14ac:dyDescent="0.2">
      <c r="B1926" s="2">
        <f ca="1"/>
        <v>8.0134875715631715E-2</v>
      </c>
      <c r="O1926" s="2">
        <f ca="1"/>
        <v>-2.4887923799500613</v>
      </c>
      <c r="X1926" s="2">
        <f ca="1"/>
        <v>26.074926367679552</v>
      </c>
      <c r="AG1926" s="2">
        <f ca="1"/>
        <v>0.70168523301685282</v>
      </c>
      <c r="AH1926" s="2" t="str">
        <f ca="1"/>
        <v>Bad</v>
      </c>
    </row>
    <row r="1927" spans="2:34" x14ac:dyDescent="0.2">
      <c r="B1927" s="2">
        <f ca="1"/>
        <v>0.92675552099412895</v>
      </c>
      <c r="O1927" s="2">
        <f ca="1"/>
        <v>-0.65659373658427023</v>
      </c>
      <c r="X1927" s="2">
        <f ca="1"/>
        <v>55.069360920899868</v>
      </c>
      <c r="AG1927" s="2">
        <f ca="1"/>
        <v>0.4208968138401985</v>
      </c>
      <c r="AH1927" s="2" t="str">
        <f ca="1"/>
        <v>Bad</v>
      </c>
    </row>
    <row r="1928" spans="2:34" x14ac:dyDescent="0.2">
      <c r="B1928" s="2">
        <f ca="1"/>
        <v>6.9117055285556672E-2</v>
      </c>
      <c r="O1928" s="2">
        <f ca="1"/>
        <v>-0.16919763018460532</v>
      </c>
      <c r="X1928" s="2">
        <f ca="1"/>
        <v>30.298605528410437</v>
      </c>
      <c r="AG1928" s="2">
        <f ca="1"/>
        <v>0.94431025849680372</v>
      </c>
      <c r="AH1928" s="2" t="str">
        <f ca="1"/>
        <v>Bad</v>
      </c>
    </row>
    <row r="1929" spans="2:34" x14ac:dyDescent="0.2">
      <c r="B1929" s="2">
        <f ca="1"/>
        <v>0.52901544062461792</v>
      </c>
      <c r="O1929" s="2">
        <f ca="1"/>
        <v>0.19537765017361766</v>
      </c>
      <c r="X1929" s="2">
        <f ca="1"/>
        <v>45.017403653525392</v>
      </c>
      <c r="AG1929" s="2">
        <f ca="1"/>
        <v>0.46059819372912369</v>
      </c>
      <c r="AH1929" s="2" t="str">
        <f ca="1"/>
        <v>Bad</v>
      </c>
    </row>
    <row r="1930" spans="2:34" x14ac:dyDescent="0.2">
      <c r="B1930" s="2">
        <f ca="1"/>
        <v>0.68112853641214333</v>
      </c>
      <c r="O1930" s="2">
        <f ca="1"/>
        <v>1.0554299058745993</v>
      </c>
      <c r="X1930" s="2">
        <f ca="1"/>
        <v>51.042928529541598</v>
      </c>
      <c r="AG1930" s="2">
        <f ca="1"/>
        <v>0.14335363763081777</v>
      </c>
      <c r="AH1930" s="2" t="str">
        <f ca="1"/>
        <v>OK</v>
      </c>
    </row>
    <row r="1931" spans="2:34" x14ac:dyDescent="0.2">
      <c r="B1931" s="2">
        <f ca="1"/>
        <v>0.10851878491164402</v>
      </c>
      <c r="O1931" s="2">
        <f ca="1"/>
        <v>0.45658639275777263</v>
      </c>
      <c r="X1931" s="2">
        <f ca="1"/>
        <v>54.484215888039245</v>
      </c>
      <c r="AG1931" s="2">
        <f ca="1"/>
        <v>0.41946167917050348</v>
      </c>
      <c r="AH1931" s="2" t="str">
        <f ca="1"/>
        <v>Bad</v>
      </c>
    </row>
    <row r="1932" spans="2:34" x14ac:dyDescent="0.2">
      <c r="B1932" s="2">
        <f ca="1"/>
        <v>0.32781640631530151</v>
      </c>
      <c r="O1932" s="2">
        <f ca="1"/>
        <v>-0.10875764684531679</v>
      </c>
      <c r="X1932" s="2">
        <f ca="1"/>
        <v>39.84803743911889</v>
      </c>
      <c r="AG1932" s="2">
        <f ca="1"/>
        <v>0.48149869676726609</v>
      </c>
      <c r="AH1932" s="2" t="str">
        <f ca="1"/>
        <v>Bad</v>
      </c>
    </row>
    <row r="1933" spans="2:34" x14ac:dyDescent="0.2">
      <c r="B1933" s="2">
        <f ca="1"/>
        <v>0.87831556044782433</v>
      </c>
      <c r="O1933" s="2">
        <f ca="1"/>
        <v>0.6024316280636689</v>
      </c>
      <c r="X1933" s="2">
        <f ca="1"/>
        <v>48.603936434437443</v>
      </c>
      <c r="AG1933" s="2">
        <f ca="1"/>
        <v>0.8796953276739381</v>
      </c>
      <c r="AH1933" s="2" t="str">
        <f ca="1"/>
        <v>Bad</v>
      </c>
    </row>
    <row r="1934" spans="2:34" x14ac:dyDescent="0.2">
      <c r="B1934" s="2">
        <f ca="1"/>
        <v>0.71964794307767721</v>
      </c>
      <c r="O1934" s="2">
        <f ca="1"/>
        <v>0.29069009077846197</v>
      </c>
      <c r="X1934" s="2">
        <f ca="1"/>
        <v>31.288421682912695</v>
      </c>
      <c r="AG1934" s="2">
        <f ca="1"/>
        <v>4.7888349126410601E-2</v>
      </c>
      <c r="AH1934" s="2" t="str">
        <f ca="1"/>
        <v>Good</v>
      </c>
    </row>
    <row r="1935" spans="2:34" x14ac:dyDescent="0.2">
      <c r="B1935" s="2">
        <f ca="1"/>
        <v>0.7902724047121954</v>
      </c>
      <c r="O1935" s="2">
        <f ca="1"/>
        <v>-0.12095189487083743</v>
      </c>
      <c r="X1935" s="2">
        <f ca="1"/>
        <v>47.328571952661633</v>
      </c>
      <c r="AG1935" s="2">
        <f ca="1"/>
        <v>0.88596690096458097</v>
      </c>
      <c r="AH1935" s="2" t="str">
        <f ca="1"/>
        <v>Bad</v>
      </c>
    </row>
    <row r="1936" spans="2:34" x14ac:dyDescent="0.2">
      <c r="B1936" s="2">
        <f ca="1"/>
        <v>0.48514765008640914</v>
      </c>
      <c r="O1936" s="2">
        <f ca="1"/>
        <v>1.016611161926585</v>
      </c>
      <c r="X1936" s="2">
        <f ca="1"/>
        <v>41.668247620803626</v>
      </c>
      <c r="AG1936" s="2">
        <f ca="1"/>
        <v>0.49800690711448392</v>
      </c>
      <c r="AH1936" s="2" t="str">
        <f ca="1"/>
        <v>Bad</v>
      </c>
    </row>
    <row r="1937" spans="2:34" x14ac:dyDescent="0.2">
      <c r="B1937" s="2">
        <f ca="1"/>
        <v>0.28311503858902398</v>
      </c>
      <c r="O1937" s="2">
        <f ca="1"/>
        <v>-0.81269515466121922</v>
      </c>
      <c r="X1937" s="2">
        <f ca="1"/>
        <v>51.216901721207925</v>
      </c>
      <c r="AG1937" s="2">
        <f ca="1"/>
        <v>0.8583420018187824</v>
      </c>
      <c r="AH1937" s="2" t="str">
        <f ca="1"/>
        <v>Bad</v>
      </c>
    </row>
    <row r="1938" spans="2:34" x14ac:dyDescent="0.2">
      <c r="B1938" s="2">
        <f ca="1"/>
        <v>0.63314675928516784</v>
      </c>
      <c r="O1938" s="2">
        <f ca="1"/>
        <v>0.72367478118064232</v>
      </c>
      <c r="X1938" s="2">
        <f ca="1"/>
        <v>55.541802035999197</v>
      </c>
      <c r="AG1938" s="2">
        <f ca="1"/>
        <v>0.61287463499003225</v>
      </c>
      <c r="AH1938" s="2" t="str">
        <f ca="1"/>
        <v>Bad</v>
      </c>
    </row>
    <row r="1939" spans="2:34" x14ac:dyDescent="0.2">
      <c r="B1939" s="2">
        <f ca="1"/>
        <v>0.55353861030152118</v>
      </c>
      <c r="O1939" s="2">
        <f ca="1"/>
        <v>0.51532063457593269</v>
      </c>
      <c r="X1939" s="2">
        <f ca="1"/>
        <v>70.272487382429375</v>
      </c>
      <c r="AG1939" s="2">
        <f ca="1"/>
        <v>2.3339090263879481E-2</v>
      </c>
      <c r="AH1939" s="2" t="str">
        <f ca="1"/>
        <v>Good</v>
      </c>
    </row>
    <row r="1940" spans="2:34" x14ac:dyDescent="0.2">
      <c r="B1940" s="2">
        <f ca="1"/>
        <v>0.76168998493672779</v>
      </c>
      <c r="O1940" s="2">
        <f ca="1"/>
        <v>1.6968389656713403</v>
      </c>
      <c r="X1940" s="2">
        <f ca="1"/>
        <v>43.028617269293491</v>
      </c>
      <c r="AG1940" s="2">
        <f ca="1"/>
        <v>0.87584885197176177</v>
      </c>
      <c r="AH1940" s="2" t="str">
        <f ca="1"/>
        <v>Bad</v>
      </c>
    </row>
    <row r="1941" spans="2:34" x14ac:dyDescent="0.2">
      <c r="B1941" s="2">
        <f ca="1"/>
        <v>0.646584283161453</v>
      </c>
      <c r="O1941" s="2">
        <f ca="1"/>
        <v>-8.2872591694513609E-2</v>
      </c>
      <c r="X1941" s="2">
        <f ca="1"/>
        <v>35.612012632353384</v>
      </c>
      <c r="AG1941" s="2">
        <f ca="1"/>
        <v>0.93833628536748592</v>
      </c>
      <c r="AH1941" s="2" t="str">
        <f ca="1"/>
        <v>Bad</v>
      </c>
    </row>
    <row r="1942" spans="2:34" x14ac:dyDescent="0.2">
      <c r="B1942" s="2">
        <f ca="1"/>
        <v>0.20615671631566634</v>
      </c>
      <c r="O1942" s="2">
        <f ca="1"/>
        <v>-0.61127003859316609</v>
      </c>
      <c r="X1942" s="2">
        <f ca="1"/>
        <v>59.041215705775691</v>
      </c>
      <c r="AG1942" s="2">
        <f ca="1"/>
        <v>0.76896453227133899</v>
      </c>
      <c r="AH1942" s="2" t="str">
        <f ca="1"/>
        <v>Bad</v>
      </c>
    </row>
    <row r="1943" spans="2:34" x14ac:dyDescent="0.2">
      <c r="B1943" s="2">
        <f ca="1"/>
        <v>0.38972673858904838</v>
      </c>
      <c r="O1943" s="2">
        <f ca="1"/>
        <v>1.1387877473047157</v>
      </c>
      <c r="X1943" s="2">
        <f ca="1"/>
        <v>32.806664344731743</v>
      </c>
      <c r="AG1943" s="2">
        <f ca="1"/>
        <v>0.19671929530520238</v>
      </c>
      <c r="AH1943" s="2" t="str">
        <f ca="1"/>
        <v>OK</v>
      </c>
    </row>
    <row r="1944" spans="2:34" x14ac:dyDescent="0.2">
      <c r="B1944" s="2">
        <f ca="1"/>
        <v>0.37546558399219809</v>
      </c>
      <c r="O1944" s="2">
        <f ca="1"/>
        <v>-1.4157011225514726</v>
      </c>
      <c r="X1944" s="2">
        <f ca="1"/>
        <v>35.319189631562061</v>
      </c>
      <c r="AG1944" s="2">
        <f ca="1"/>
        <v>0.43498648915124694</v>
      </c>
      <c r="AH1944" s="2" t="str">
        <f ca="1"/>
        <v>Bad</v>
      </c>
    </row>
    <row r="1945" spans="2:34" x14ac:dyDescent="0.2">
      <c r="B1945" s="2">
        <f ca="1"/>
        <v>0.39098919915947228</v>
      </c>
      <c r="O1945" s="2">
        <f ca="1"/>
        <v>0.36152238302648915</v>
      </c>
      <c r="X1945" s="2">
        <f ca="1"/>
        <v>85.436818731294323</v>
      </c>
      <c r="AG1945" s="2">
        <f ca="1"/>
        <v>2.8607725291007746E-4</v>
      </c>
      <c r="AH1945" s="2" t="str">
        <f ca="1"/>
        <v>Good</v>
      </c>
    </row>
    <row r="1946" spans="2:34" x14ac:dyDescent="0.2">
      <c r="B1946" s="2">
        <f ca="1"/>
        <v>0.32792630375329179</v>
      </c>
      <c r="O1946" s="2">
        <f ca="1"/>
        <v>0.22158771784207992</v>
      </c>
      <c r="X1946" s="2">
        <f ca="1"/>
        <v>74.069556219274531</v>
      </c>
      <c r="AG1946" s="2">
        <f ca="1"/>
        <v>0.85091942513677044</v>
      </c>
      <c r="AH1946" s="2" t="str">
        <f ca="1"/>
        <v>Bad</v>
      </c>
    </row>
    <row r="1947" spans="2:34" x14ac:dyDescent="0.2">
      <c r="B1947" s="2">
        <f ca="1"/>
        <v>0.24590266513140135</v>
      </c>
      <c r="O1947" s="2">
        <f ca="1"/>
        <v>2.6163485792818149</v>
      </c>
      <c r="X1947" s="2">
        <f ca="1"/>
        <v>25.041128248272543</v>
      </c>
      <c r="AG1947" s="2">
        <f ca="1"/>
        <v>0.75128100063782743</v>
      </c>
      <c r="AH1947" s="2" t="str">
        <f ca="1"/>
        <v>Bad</v>
      </c>
    </row>
    <row r="1948" spans="2:34" x14ac:dyDescent="0.2">
      <c r="B1948" s="2">
        <f ca="1"/>
        <v>0.39843899694773444</v>
      </c>
      <c r="O1948" s="2">
        <f ca="1"/>
        <v>-0.21084664156950841</v>
      </c>
      <c r="X1948" s="2">
        <f ca="1"/>
        <v>42.361759036506079</v>
      </c>
      <c r="AG1948" s="2">
        <f ca="1"/>
        <v>0.40911944210569673</v>
      </c>
      <c r="AH1948" s="2" t="str">
        <f ca="1"/>
        <v>Bad</v>
      </c>
    </row>
    <row r="1949" spans="2:34" x14ac:dyDescent="0.2">
      <c r="B1949" s="2">
        <f ca="1"/>
        <v>0.31121233382683422</v>
      </c>
      <c r="O1949" s="2">
        <f ca="1"/>
        <v>-1.4423150046161703</v>
      </c>
      <c r="X1949" s="2">
        <f ca="1"/>
        <v>66.090498754748168</v>
      </c>
      <c r="AG1949" s="2">
        <f ca="1"/>
        <v>0.47139032195454034</v>
      </c>
      <c r="AH1949" s="2" t="str">
        <f ca="1"/>
        <v>Bad</v>
      </c>
    </row>
    <row r="1950" spans="2:34" x14ac:dyDescent="0.2">
      <c r="B1950" s="2">
        <f ca="1"/>
        <v>0.60568354667429292</v>
      </c>
      <c r="O1950" s="2">
        <f ca="1"/>
        <v>-0.74258771293037185</v>
      </c>
      <c r="X1950" s="2">
        <f ca="1"/>
        <v>26.167662485469876</v>
      </c>
      <c r="AG1950" s="2">
        <f ca="1"/>
        <v>0.8544569951144898</v>
      </c>
      <c r="AH1950" s="2" t="str">
        <f ca="1"/>
        <v>Bad</v>
      </c>
    </row>
    <row r="1951" spans="2:34" x14ac:dyDescent="0.2">
      <c r="B1951" s="2">
        <f ca="1"/>
        <v>0.44783139408653239</v>
      </c>
      <c r="O1951" s="2">
        <f ca="1"/>
        <v>0.42549769041348701</v>
      </c>
      <c r="X1951" s="2">
        <f ca="1"/>
        <v>39.963986865222054</v>
      </c>
      <c r="AG1951" s="2">
        <f ca="1"/>
        <v>0.61206043429216073</v>
      </c>
      <c r="AH1951" s="2" t="str">
        <f ca="1"/>
        <v>Bad</v>
      </c>
    </row>
    <row r="1952" spans="2:34" x14ac:dyDescent="0.2">
      <c r="B1952" s="2">
        <f ca="1"/>
        <v>0.9231265553878214</v>
      </c>
      <c r="O1952" s="2">
        <f ca="1"/>
        <v>1.0490612459787609</v>
      </c>
      <c r="X1952" s="2">
        <f ca="1"/>
        <v>42.630438011959342</v>
      </c>
      <c r="AG1952" s="2">
        <f ca="1"/>
        <v>0.12296673573169437</v>
      </c>
      <c r="AH1952" s="2" t="str">
        <f ca="1"/>
        <v>OK</v>
      </c>
    </row>
    <row r="1953" spans="2:34" x14ac:dyDescent="0.2">
      <c r="B1953" s="2">
        <f ca="1"/>
        <v>0.18588311557221315</v>
      </c>
      <c r="O1953" s="2">
        <f ca="1"/>
        <v>-1.1976755193860036</v>
      </c>
      <c r="X1953" s="2">
        <f ca="1"/>
        <v>28.221603141680859</v>
      </c>
      <c r="AG1953" s="2">
        <f ca="1"/>
        <v>0.38479986128488508</v>
      </c>
      <c r="AH1953" s="2" t="str">
        <f ca="1"/>
        <v>OK</v>
      </c>
    </row>
    <row r="1954" spans="2:34" x14ac:dyDescent="0.2">
      <c r="B1954" s="2">
        <f ca="1"/>
        <v>0.75793051942384393</v>
      </c>
      <c r="O1954" s="2">
        <f ca="1"/>
        <v>-0.18153390763982641</v>
      </c>
      <c r="X1954" s="2">
        <f ca="1"/>
        <v>49.30659345033591</v>
      </c>
      <c r="AG1954" s="2">
        <f ca="1"/>
        <v>9.5038065348907352E-2</v>
      </c>
      <c r="AH1954" s="2" t="str">
        <f ca="1"/>
        <v>OK</v>
      </c>
    </row>
    <row r="1955" spans="2:34" x14ac:dyDescent="0.2">
      <c r="B1955" s="2">
        <f ca="1"/>
        <v>1.0984389968359043E-2</v>
      </c>
      <c r="O1955" s="2">
        <f ca="1"/>
        <v>-0.43749058243639627</v>
      </c>
      <c r="X1955" s="2">
        <f ca="1"/>
        <v>26.096415228034179</v>
      </c>
      <c r="AG1955" s="2">
        <f ca="1"/>
        <v>0.97902079256365826</v>
      </c>
      <c r="AH1955" s="2" t="str">
        <f ca="1"/>
        <v>Bad</v>
      </c>
    </row>
    <row r="1956" spans="2:34" x14ac:dyDescent="0.2">
      <c r="B1956" s="2">
        <f ca="1"/>
        <v>0.43664654506673095</v>
      </c>
      <c r="O1956" s="2">
        <f ca="1"/>
        <v>-0.42407978756364073</v>
      </c>
      <c r="X1956" s="2">
        <f ca="1"/>
        <v>46.705109614521554</v>
      </c>
      <c r="AG1956" s="2">
        <f ca="1"/>
        <v>0.99525411085825044</v>
      </c>
      <c r="AH1956" s="2" t="str">
        <f ca="1"/>
        <v>Bad</v>
      </c>
    </row>
    <row r="1957" spans="2:34" x14ac:dyDescent="0.2">
      <c r="B1957" s="2">
        <f ca="1"/>
        <v>0.5436372323978651</v>
      </c>
      <c r="O1957" s="2">
        <f ca="1"/>
        <v>0.11237602763544383</v>
      </c>
      <c r="X1957" s="2">
        <f ca="1"/>
        <v>41.546704229302527</v>
      </c>
      <c r="AG1957" s="2">
        <f ca="1"/>
        <v>0.55728205567587152</v>
      </c>
      <c r="AH1957" s="2" t="str">
        <f ca="1"/>
        <v>Bad</v>
      </c>
    </row>
    <row r="1958" spans="2:34" x14ac:dyDescent="0.2">
      <c r="B1958" s="2">
        <f ca="1"/>
        <v>0.13288985585731417</v>
      </c>
      <c r="O1958" s="2">
        <f ca="1"/>
        <v>-0.76344323571343597</v>
      </c>
      <c r="X1958" s="2">
        <f ca="1"/>
        <v>59.456310954850252</v>
      </c>
      <c r="AG1958" s="2">
        <f ca="1"/>
        <v>0.67224671618744058</v>
      </c>
      <c r="AH1958" s="2" t="str">
        <f ca="1"/>
        <v>Bad</v>
      </c>
    </row>
    <row r="1959" spans="2:34" x14ac:dyDescent="0.2">
      <c r="B1959" s="2">
        <f ca="1"/>
        <v>0.51620006599071466</v>
      </c>
      <c r="O1959" s="2">
        <f ca="1"/>
        <v>1.7579584167212314</v>
      </c>
      <c r="X1959" s="2">
        <f ca="1"/>
        <v>53.458010452327912</v>
      </c>
      <c r="AG1959" s="2">
        <f ca="1"/>
        <v>0.14575014093419081</v>
      </c>
      <c r="AH1959" s="2" t="str">
        <f ca="1"/>
        <v>OK</v>
      </c>
    </row>
    <row r="1960" spans="2:34" x14ac:dyDescent="0.2">
      <c r="B1960" s="2">
        <f ca="1"/>
        <v>0.29801530814868249</v>
      </c>
      <c r="O1960" s="2">
        <f ca="1"/>
        <v>1.1289619459830722</v>
      </c>
      <c r="X1960" s="2">
        <f ca="1"/>
        <v>44.455483619163232</v>
      </c>
      <c r="AG1960" s="2">
        <f ca="1"/>
        <v>0.75190585567030621</v>
      </c>
      <c r="AH1960" s="2" t="str">
        <f ca="1"/>
        <v>Bad</v>
      </c>
    </row>
    <row r="1961" spans="2:34" x14ac:dyDescent="0.2">
      <c r="B1961" s="2">
        <f ca="1"/>
        <v>9.0794279692821611E-2</v>
      </c>
      <c r="O1961" s="2">
        <f ca="1"/>
        <v>-0.2631445898662908</v>
      </c>
      <c r="X1961" s="2">
        <f ca="1"/>
        <v>19.902382381638063</v>
      </c>
      <c r="AG1961" s="2">
        <f ca="1"/>
        <v>0.42728542805807201</v>
      </c>
      <c r="AH1961" s="2" t="str">
        <f ca="1"/>
        <v>Bad</v>
      </c>
    </row>
    <row r="1962" spans="2:34" x14ac:dyDescent="0.2">
      <c r="B1962" s="2">
        <f ca="1"/>
        <v>0.37236664649046913</v>
      </c>
      <c r="O1962" s="2">
        <f ca="1"/>
        <v>-0.3771551344361736</v>
      </c>
      <c r="X1962" s="2">
        <f ca="1"/>
        <v>50.643541807786441</v>
      </c>
      <c r="AG1962" s="2">
        <f ca="1"/>
        <v>0.86403324059740227</v>
      </c>
      <c r="AH1962" s="2" t="str">
        <f ca="1"/>
        <v>Bad</v>
      </c>
    </row>
    <row r="1963" spans="2:34" x14ac:dyDescent="0.2">
      <c r="B1963" s="2">
        <f ca="1"/>
        <v>0.4481719073429733</v>
      </c>
      <c r="O1963" s="2">
        <f ca="1"/>
        <v>-0.4471645431397831</v>
      </c>
      <c r="X1963" s="2">
        <f ca="1"/>
        <v>40.224787844535051</v>
      </c>
      <c r="AG1963" s="2">
        <f ca="1"/>
        <v>0.11650352547942422</v>
      </c>
      <c r="AH1963" s="2" t="str">
        <f ca="1"/>
        <v>OK</v>
      </c>
    </row>
    <row r="1964" spans="2:34" x14ac:dyDescent="0.2">
      <c r="B1964" s="2">
        <f ca="1"/>
        <v>0.89958095072764044</v>
      </c>
      <c r="O1964" s="2">
        <f ca="1"/>
        <v>1.2110553107098299E-2</v>
      </c>
      <c r="X1964" s="2">
        <f ca="1"/>
        <v>36.911887441305822</v>
      </c>
      <c r="AG1964" s="2">
        <f ca="1"/>
        <v>0.30107958086398301</v>
      </c>
      <c r="AH1964" s="2" t="str">
        <f ca="1"/>
        <v>OK</v>
      </c>
    </row>
    <row r="1965" spans="2:34" x14ac:dyDescent="0.2">
      <c r="B1965" s="2">
        <f ca="1"/>
        <v>0.96096204737334578</v>
      </c>
      <c r="O1965" s="2">
        <f ca="1"/>
        <v>9.9242830739021876E-2</v>
      </c>
      <c r="X1965" s="2">
        <f ca="1"/>
        <v>46.62435798895801</v>
      </c>
      <c r="AG1965" s="2">
        <f ca="1"/>
        <v>0.32792495370135666</v>
      </c>
      <c r="AH1965" s="2" t="str">
        <f ca="1"/>
        <v>OK</v>
      </c>
    </row>
    <row r="1966" spans="2:34" x14ac:dyDescent="0.2">
      <c r="B1966" s="2">
        <f ca="1"/>
        <v>0.78835683759931552</v>
      </c>
      <c r="O1966" s="2">
        <f ca="1"/>
        <v>0.21113245596024541</v>
      </c>
      <c r="X1966" s="2">
        <f ca="1"/>
        <v>54.167976498586519</v>
      </c>
      <c r="AG1966" s="2">
        <f ca="1"/>
        <v>0.42666046610468866</v>
      </c>
      <c r="AH1966" s="2" t="str">
        <f ca="1"/>
        <v>Bad</v>
      </c>
    </row>
    <row r="1967" spans="2:34" x14ac:dyDescent="0.2">
      <c r="B1967" s="2">
        <f ca="1"/>
        <v>7.8929889719327351E-2</v>
      </c>
      <c r="O1967" s="2">
        <f ca="1"/>
        <v>-2.7828929356229635</v>
      </c>
      <c r="X1967" s="2">
        <f ca="1"/>
        <v>36.52369028821348</v>
      </c>
      <c r="AG1967" s="2">
        <f ca="1"/>
        <v>0.12957328624643027</v>
      </c>
      <c r="AH1967" s="2" t="str">
        <f ca="1"/>
        <v>OK</v>
      </c>
    </row>
    <row r="1968" spans="2:34" x14ac:dyDescent="0.2">
      <c r="B1968" s="2">
        <f ca="1"/>
        <v>0.23962689307893426</v>
      </c>
      <c r="O1968" s="2">
        <f ca="1"/>
        <v>1.7152200739170569</v>
      </c>
      <c r="X1968" s="2">
        <f ca="1"/>
        <v>32.438866412659799</v>
      </c>
      <c r="AG1968" s="2">
        <f ca="1"/>
        <v>0.41189481678595752</v>
      </c>
      <c r="AH1968" s="2" t="str">
        <f ca="1"/>
        <v>Bad</v>
      </c>
    </row>
    <row r="1969" spans="2:34" x14ac:dyDescent="0.2">
      <c r="B1969" s="2">
        <f ca="1"/>
        <v>0.34677720901250075</v>
      </c>
      <c r="O1969" s="2">
        <f ca="1"/>
        <v>0.45946274537246645</v>
      </c>
      <c r="X1969" s="2">
        <f ca="1"/>
        <v>49.674754881150761</v>
      </c>
      <c r="AG1969" s="2">
        <f ca="1"/>
        <v>0.30346767772114824</v>
      </c>
      <c r="AH1969" s="2" t="str">
        <f ca="1"/>
        <v>OK</v>
      </c>
    </row>
    <row r="1970" spans="2:34" x14ac:dyDescent="0.2">
      <c r="B1970" s="2">
        <f ca="1"/>
        <v>0.90422506016679915</v>
      </c>
      <c r="O1970" s="2">
        <f ca="1"/>
        <v>-0.77562095166443812</v>
      </c>
      <c r="X1970" s="2">
        <f ca="1"/>
        <v>37.732616983572782</v>
      </c>
      <c r="AG1970" s="2">
        <f ca="1"/>
        <v>0.96017941919874206</v>
      </c>
      <c r="AH1970" s="2" t="str">
        <f ca="1"/>
        <v>Bad</v>
      </c>
    </row>
    <row r="1971" spans="2:34" x14ac:dyDescent="0.2">
      <c r="B1971" s="2">
        <f ca="1"/>
        <v>0.45867933627461288</v>
      </c>
      <c r="O1971" s="2">
        <f ca="1"/>
        <v>-0.47607726414489676</v>
      </c>
      <c r="X1971" s="2">
        <f ca="1"/>
        <v>46.747139189991344</v>
      </c>
      <c r="AG1971" s="2">
        <f ca="1"/>
        <v>3.7742666911356082E-2</v>
      </c>
      <c r="AH1971" s="2" t="str">
        <f ca="1"/>
        <v>Good</v>
      </c>
    </row>
    <row r="1972" spans="2:34" x14ac:dyDescent="0.2">
      <c r="B1972" s="2">
        <f ca="1"/>
        <v>0.63117762464837557</v>
      </c>
      <c r="O1972" s="2">
        <f ca="1"/>
        <v>-1.064531961584676</v>
      </c>
      <c r="X1972" s="2">
        <f ca="1"/>
        <v>40.137711158914783</v>
      </c>
      <c r="AG1972" s="2">
        <f ca="1"/>
        <v>0.11965465053933788</v>
      </c>
      <c r="AH1972" s="2" t="str">
        <f ca="1"/>
        <v>OK</v>
      </c>
    </row>
    <row r="1973" spans="2:34" x14ac:dyDescent="0.2">
      <c r="B1973" s="2">
        <f ca="1"/>
        <v>0.23411726559186907</v>
      </c>
      <c r="O1973" s="2">
        <f ca="1"/>
        <v>1.1785128257220525</v>
      </c>
      <c r="X1973" s="2">
        <f ca="1"/>
        <v>68.615357966903048</v>
      </c>
      <c r="AG1973" s="2">
        <f ca="1"/>
        <v>0.46641190409230138</v>
      </c>
      <c r="AH1973" s="2" t="str">
        <f ca="1"/>
        <v>Bad</v>
      </c>
    </row>
    <row r="1974" spans="2:34" x14ac:dyDescent="0.2">
      <c r="B1974" s="2">
        <f ca="1"/>
        <v>0.50561401939815798</v>
      </c>
      <c r="O1974" s="2">
        <f ca="1"/>
        <v>0.76137779548459306</v>
      </c>
      <c r="X1974" s="2">
        <f ca="1"/>
        <v>33.50318583145561</v>
      </c>
      <c r="AG1974" s="2">
        <f ca="1"/>
        <v>0.89037898705664764</v>
      </c>
      <c r="AH1974" s="2" t="str">
        <f ca="1"/>
        <v>Bad</v>
      </c>
    </row>
    <row r="1975" spans="2:34" x14ac:dyDescent="0.2">
      <c r="B1975" s="2">
        <f ca="1"/>
        <v>0.13694701253655284</v>
      </c>
      <c r="O1975" s="2">
        <f ca="1"/>
        <v>1.7488510965160209</v>
      </c>
      <c r="X1975" s="2">
        <f ca="1"/>
        <v>41.664430403115091</v>
      </c>
      <c r="AG1975" s="2">
        <f ca="1"/>
        <v>0.6387228387900874</v>
      </c>
      <c r="AH1975" s="2" t="str">
        <f ca="1"/>
        <v>Bad</v>
      </c>
    </row>
    <row r="1976" spans="2:34" x14ac:dyDescent="0.2">
      <c r="B1976" s="2">
        <f ca="1"/>
        <v>0.742319110880443</v>
      </c>
      <c r="O1976" s="2">
        <f ca="1"/>
        <v>-0.1100942383867024</v>
      </c>
      <c r="X1976" s="2">
        <f ca="1"/>
        <v>40.026611396434866</v>
      </c>
      <c r="AG1976" s="2">
        <f ca="1"/>
        <v>8.6462814438432511E-2</v>
      </c>
      <c r="AH1976" s="2" t="str">
        <f ca="1"/>
        <v>OK</v>
      </c>
    </row>
    <row r="1977" spans="2:34" x14ac:dyDescent="0.2">
      <c r="B1977" s="2">
        <f ca="1"/>
        <v>0.69590452924805235</v>
      </c>
      <c r="O1977" s="2">
        <f ca="1"/>
        <v>-0.48487243901245508</v>
      </c>
      <c r="X1977" s="2">
        <f ca="1"/>
        <v>29.557657726299773</v>
      </c>
      <c r="AG1977" s="2">
        <f ca="1"/>
        <v>0.16934477273602022</v>
      </c>
      <c r="AH1977" s="2" t="str">
        <f ca="1"/>
        <v>OK</v>
      </c>
    </row>
    <row r="1978" spans="2:34" x14ac:dyDescent="0.2">
      <c r="B1978" s="2">
        <f ca="1"/>
        <v>0.85526050962139344</v>
      </c>
      <c r="O1978" s="2">
        <f ca="1"/>
        <v>-1.5820541238635326</v>
      </c>
      <c r="X1978" s="2">
        <f ca="1"/>
        <v>63.838238130210897</v>
      </c>
      <c r="AG1978" s="2">
        <f ca="1"/>
        <v>0.92412884096723125</v>
      </c>
      <c r="AH1978" s="2" t="str">
        <f ca="1"/>
        <v>Bad</v>
      </c>
    </row>
    <row r="1979" spans="2:34" x14ac:dyDescent="0.2">
      <c r="B1979" s="2">
        <f ca="1"/>
        <v>4.0866302250390119E-2</v>
      </c>
      <c r="O1979" s="2">
        <f ca="1"/>
        <v>0.37475560700866245</v>
      </c>
      <c r="X1979" s="2">
        <f ca="1"/>
        <v>43.973238173779961</v>
      </c>
      <c r="AG1979" s="2">
        <f ca="1"/>
        <v>0.39001877581632138</v>
      </c>
      <c r="AH1979" s="2" t="str">
        <f ca="1"/>
        <v>OK</v>
      </c>
    </row>
    <row r="1980" spans="2:34" x14ac:dyDescent="0.2">
      <c r="B1980" s="2">
        <f ca="1"/>
        <v>0.95257801680945198</v>
      </c>
      <c r="O1980" s="2">
        <f ca="1"/>
        <v>0.18179375199661768</v>
      </c>
      <c r="X1980" s="2">
        <f ca="1"/>
        <v>35.438855624838403</v>
      </c>
      <c r="AG1980" s="2">
        <f ca="1"/>
        <v>0.45055214613056482</v>
      </c>
      <c r="AH1980" s="2" t="str">
        <f ca="1"/>
        <v>Bad</v>
      </c>
    </row>
    <row r="1981" spans="2:34" x14ac:dyDescent="0.2">
      <c r="B1981" s="2">
        <f ca="1"/>
        <v>0.45571813335713496</v>
      </c>
      <c r="O1981" s="2">
        <f ca="1"/>
        <v>0.48241914257333612</v>
      </c>
      <c r="X1981" s="2">
        <f ca="1"/>
        <v>58.126902003694013</v>
      </c>
      <c r="AG1981" s="2">
        <f ca="1"/>
        <v>0.68807493028304823</v>
      </c>
      <c r="AH1981" s="2" t="str">
        <f ca="1"/>
        <v>Bad</v>
      </c>
    </row>
    <row r="1982" spans="2:34" x14ac:dyDescent="0.2">
      <c r="B1982" s="2">
        <f ca="1"/>
        <v>0.87100880240884115</v>
      </c>
      <c r="O1982" s="2">
        <f ca="1"/>
        <v>-0.617810773266397</v>
      </c>
      <c r="X1982" s="2">
        <f ca="1"/>
        <v>49.535503802186852</v>
      </c>
      <c r="AG1982" s="2">
        <f ca="1"/>
        <v>0.417082319849025</v>
      </c>
      <c r="AH1982" s="2" t="str">
        <f ca="1"/>
        <v>Bad</v>
      </c>
    </row>
    <row r="1983" spans="2:34" x14ac:dyDescent="0.2">
      <c r="B1983" s="2">
        <f ca="1"/>
        <v>0.74606582472698113</v>
      </c>
      <c r="O1983" s="2">
        <f ca="1"/>
        <v>1.2548560115459155</v>
      </c>
      <c r="X1983" s="2">
        <f ca="1"/>
        <v>55.733451836302052</v>
      </c>
      <c r="AG1983" s="2">
        <f ca="1"/>
        <v>0.66776054329135914</v>
      </c>
      <c r="AH1983" s="2" t="str">
        <f ca="1"/>
        <v>Bad</v>
      </c>
    </row>
    <row r="1984" spans="2:34" x14ac:dyDescent="0.2">
      <c r="B1984" s="2">
        <f ca="1"/>
        <v>0.52530909207322263</v>
      </c>
      <c r="O1984" s="2">
        <f ca="1"/>
        <v>1.9803870478454217</v>
      </c>
      <c r="X1984" s="2">
        <f ca="1"/>
        <v>58.304178126634923</v>
      </c>
      <c r="AG1984" s="2">
        <f ca="1"/>
        <v>0.25936433951969184</v>
      </c>
      <c r="AH1984" s="2" t="str">
        <f ca="1"/>
        <v>OK</v>
      </c>
    </row>
    <row r="1985" spans="2:34" x14ac:dyDescent="0.2">
      <c r="B1985" s="2">
        <f ca="1"/>
        <v>0.2366938905093805</v>
      </c>
      <c r="O1985" s="2">
        <f ca="1"/>
        <v>-0.77396522086462638</v>
      </c>
      <c r="X1985" s="2">
        <f ca="1"/>
        <v>35.793508604148585</v>
      </c>
      <c r="AG1985" s="2">
        <f ca="1"/>
        <v>2.9566993977838685E-2</v>
      </c>
      <c r="AH1985" s="2" t="str">
        <f ca="1"/>
        <v>Good</v>
      </c>
    </row>
    <row r="1986" spans="2:34" x14ac:dyDescent="0.2">
      <c r="B1986" s="2">
        <f ca="1"/>
        <v>0.66251758185954723</v>
      </c>
      <c r="O1986" s="2">
        <f ca="1"/>
        <v>0.72672519866273888</v>
      </c>
      <c r="X1986" s="2">
        <f ca="1"/>
        <v>46.587832686805328</v>
      </c>
      <c r="AG1986" s="2">
        <f ca="1"/>
        <v>0.27563768986316561</v>
      </c>
      <c r="AH1986" s="2" t="str">
        <f ca="1"/>
        <v>OK</v>
      </c>
    </row>
    <row r="1987" spans="2:34" x14ac:dyDescent="0.2">
      <c r="B1987" s="2">
        <f ca="1"/>
        <v>0.84498774706003377</v>
      </c>
      <c r="O1987" s="2">
        <f ca="1"/>
        <v>0.3466602783236204</v>
      </c>
      <c r="X1987" s="2">
        <f ca="1"/>
        <v>48.61087139310488</v>
      </c>
      <c r="AG1987" s="2">
        <f ca="1"/>
        <v>0.82210097582093811</v>
      </c>
      <c r="AH1987" s="2" t="str">
        <f ca="1"/>
        <v>Bad</v>
      </c>
    </row>
    <row r="1988" spans="2:34" x14ac:dyDescent="0.2">
      <c r="B1988" s="2">
        <f ca="1"/>
        <v>0.26015952942649712</v>
      </c>
      <c r="O1988" s="2">
        <f ca="1"/>
        <v>0.46119017977380716</v>
      </c>
      <c r="X1988" s="2">
        <f ca="1"/>
        <v>32.900149447074945</v>
      </c>
      <c r="AG1988" s="2">
        <f ca="1"/>
        <v>0.519031199370801</v>
      </c>
      <c r="AH1988" s="2" t="str">
        <f ca="1"/>
        <v>Bad</v>
      </c>
    </row>
    <row r="1989" spans="2:34" x14ac:dyDescent="0.2">
      <c r="B1989" s="2">
        <f ca="1"/>
        <v>0.42392494207278575</v>
      </c>
      <c r="O1989" s="2">
        <f ca="1"/>
        <v>-0.87107918216795088</v>
      </c>
      <c r="X1989" s="2">
        <f ca="1"/>
        <v>110.60113135401338</v>
      </c>
      <c r="AG1989" s="2">
        <f ca="1"/>
        <v>0.36146240818233055</v>
      </c>
      <c r="AH1989" s="2" t="str">
        <f ca="1"/>
        <v>OK</v>
      </c>
    </row>
    <row r="1990" spans="2:34" x14ac:dyDescent="0.2">
      <c r="B1990" s="2">
        <f ca="1"/>
        <v>0.25526472353891072</v>
      </c>
      <c r="O1990" s="2">
        <f ca="1"/>
        <v>-1.2435315120255794</v>
      </c>
      <c r="X1990" s="2">
        <f ca="1"/>
        <v>42.610976234052771</v>
      </c>
      <c r="AG1990" s="2">
        <f ca="1"/>
        <v>0.46013039733936534</v>
      </c>
      <c r="AH1990" s="2" t="str">
        <f ca="1"/>
        <v>Bad</v>
      </c>
    </row>
    <row r="1991" spans="2:34" x14ac:dyDescent="0.2">
      <c r="B1991" s="2">
        <f ca="1"/>
        <v>0.1952704986673619</v>
      </c>
      <c r="O1991" s="2">
        <f ca="1"/>
        <v>0.19527923210951068</v>
      </c>
      <c r="X1991" s="2">
        <f ca="1"/>
        <v>43.521103908521823</v>
      </c>
      <c r="AG1991" s="2">
        <f ca="1"/>
        <v>0.43097453484937764</v>
      </c>
      <c r="AH1991" s="2" t="str">
        <f ca="1"/>
        <v>Bad</v>
      </c>
    </row>
    <row r="1992" spans="2:34" x14ac:dyDescent="0.2">
      <c r="B1992" s="2">
        <f ca="1"/>
        <v>0.39069748172575003</v>
      </c>
      <c r="O1992" s="2">
        <f ca="1"/>
        <v>-0.75725798508791209</v>
      </c>
      <c r="X1992" s="2">
        <f ca="1"/>
        <v>54.468781471811894</v>
      </c>
      <c r="AG1992" s="2">
        <f ca="1"/>
        <v>0.43319824913766691</v>
      </c>
      <c r="AH1992" s="2" t="str">
        <f ca="1"/>
        <v>Bad</v>
      </c>
    </row>
    <row r="1993" spans="2:34" x14ac:dyDescent="0.2">
      <c r="B1993" s="2">
        <f ca="1"/>
        <v>0.71642079399127367</v>
      </c>
      <c r="O1993" s="2">
        <f ca="1"/>
        <v>-1.202706113526705</v>
      </c>
      <c r="X1993" s="2">
        <f ca="1"/>
        <v>66.327810368982099</v>
      </c>
      <c r="AG1993" s="2">
        <f ca="1"/>
        <v>0.43673443274087198</v>
      </c>
      <c r="AH1993" s="2" t="str">
        <f ca="1"/>
        <v>Bad</v>
      </c>
    </row>
    <row r="1994" spans="2:34" x14ac:dyDescent="0.2">
      <c r="B1994" s="2">
        <f ca="1"/>
        <v>0.2764644324270582</v>
      </c>
      <c r="O1994" s="2">
        <f ca="1"/>
        <v>-0.89820389799810463</v>
      </c>
      <c r="X1994" s="2">
        <f ca="1"/>
        <v>45.762955321871644</v>
      </c>
      <c r="AG1994" s="2">
        <f ca="1"/>
        <v>0.22256769084637917</v>
      </c>
      <c r="AH1994" s="2" t="str">
        <f ca="1"/>
        <v>OK</v>
      </c>
    </row>
    <row r="1995" spans="2:34" x14ac:dyDescent="0.2">
      <c r="B1995" s="2">
        <f ca="1"/>
        <v>9.8566976047076649E-2</v>
      </c>
      <c r="O1995" s="2">
        <f ca="1"/>
        <v>8.3551782063854219E-2</v>
      </c>
      <c r="X1995" s="2">
        <f ca="1"/>
        <v>50.81564823735755</v>
      </c>
      <c r="AG1995" s="2">
        <f ca="1"/>
        <v>0.88004801160420398</v>
      </c>
      <c r="AH1995" s="2" t="str">
        <f ca="1"/>
        <v>Bad</v>
      </c>
    </row>
    <row r="1996" spans="2:34" x14ac:dyDescent="0.2">
      <c r="B1996" s="2">
        <f ca="1"/>
        <v>0.56333179039153847</v>
      </c>
      <c r="O1996" s="2">
        <f ca="1"/>
        <v>0.12318970843539233</v>
      </c>
      <c r="X1996" s="2">
        <f ca="1"/>
        <v>49.408179625914073</v>
      </c>
      <c r="AG1996" s="2">
        <f ca="1"/>
        <v>0.78287667337543132</v>
      </c>
      <c r="AH1996" s="2" t="str">
        <f ca="1"/>
        <v>Bad</v>
      </c>
    </row>
    <row r="1997" spans="2:34" x14ac:dyDescent="0.2">
      <c r="B1997" s="2">
        <f ca="1"/>
        <v>0.70705460615842064</v>
      </c>
      <c r="O1997" s="2">
        <f ca="1"/>
        <v>0.71559591716962989</v>
      </c>
      <c r="X1997" s="2">
        <f ca="1"/>
        <v>35.902273000877464</v>
      </c>
      <c r="AG1997" s="2">
        <f ca="1"/>
        <v>0.27910246678329198</v>
      </c>
      <c r="AH1997" s="2" t="str">
        <f ca="1"/>
        <v>OK</v>
      </c>
    </row>
    <row r="1998" spans="2:34" x14ac:dyDescent="0.2">
      <c r="B1998" s="2">
        <f ca="1"/>
        <v>0.10931613636921078</v>
      </c>
      <c r="O1998" s="2">
        <f ca="1"/>
        <v>1.084912906571549</v>
      </c>
      <c r="X1998" s="2">
        <f ca="1"/>
        <v>62.502586240485812</v>
      </c>
      <c r="AG1998" s="2">
        <f ca="1"/>
        <v>8.6332652445835434E-2</v>
      </c>
      <c r="AH1998" s="2" t="str">
        <f ca="1"/>
        <v>OK</v>
      </c>
    </row>
    <row r="1999" spans="2:34" x14ac:dyDescent="0.2">
      <c r="B1999" s="2">
        <f ca="1"/>
        <v>0.83979165189672189</v>
      </c>
      <c r="O1999" s="2">
        <f ca="1"/>
        <v>0.96994176329016046</v>
      </c>
      <c r="X1999" s="2">
        <f ca="1"/>
        <v>56.183797274584002</v>
      </c>
      <c r="AG1999" s="2">
        <f ca="1"/>
        <v>0.2515685909165648</v>
      </c>
      <c r="AH1999" s="2" t="str">
        <f ca="1"/>
        <v>OK</v>
      </c>
    </row>
    <row r="2000" spans="2:34" x14ac:dyDescent="0.2">
      <c r="B2000" s="2">
        <f ca="1"/>
        <v>0.17665832259785663</v>
      </c>
      <c r="O2000" s="2">
        <f ca="1"/>
        <v>0.97839631106324987</v>
      </c>
      <c r="X2000" s="2">
        <f ca="1"/>
        <v>41.53493901028348</v>
      </c>
      <c r="AG2000" s="2">
        <f ca="1"/>
        <v>0.40500176222707451</v>
      </c>
      <c r="AH2000" s="2" t="str">
        <f ca="1"/>
        <v>Bad</v>
      </c>
    </row>
    <row r="2001" spans="2:34" x14ac:dyDescent="0.2">
      <c r="B2001" s="2">
        <f ca="1"/>
        <v>0.7858949045186403</v>
      </c>
      <c r="O2001" s="2">
        <f ca="1"/>
        <v>1.5347536054242716</v>
      </c>
      <c r="X2001" s="2">
        <f ca="1"/>
        <v>61.812134065175869</v>
      </c>
      <c r="AG2001" s="2">
        <f ca="1"/>
        <v>0.20309541015129851</v>
      </c>
      <c r="AH2001" s="2" t="str">
        <f ca="1"/>
        <v>OK</v>
      </c>
    </row>
    <row r="2002" spans="2:34" x14ac:dyDescent="0.2">
      <c r="B2002" s="2">
        <f ca="1"/>
        <v>0.26365464028885288</v>
      </c>
      <c r="O2002" s="2">
        <f ca="1"/>
        <v>-2.8412223583773083E-3</v>
      </c>
      <c r="X2002" s="2">
        <f ca="1"/>
        <v>39.422551472097695</v>
      </c>
      <c r="AG2002" s="2">
        <f ca="1"/>
        <v>1.1463303148513404E-2</v>
      </c>
      <c r="AH2002" s="2" t="str">
        <f ca="1"/>
        <v>Good</v>
      </c>
    </row>
    <row r="2003" spans="2:34" x14ac:dyDescent="0.2">
      <c r="B2003" s="2">
        <f ca="1"/>
        <v>0.96325254328874355</v>
      </c>
      <c r="O2003" s="2">
        <f ca="1"/>
        <v>1.6080805127853117E-2</v>
      </c>
      <c r="X2003" s="2">
        <f ca="1"/>
        <v>95.890840594882647</v>
      </c>
      <c r="AG2003" s="2">
        <f ca="1"/>
        <v>0.61524744501799766</v>
      </c>
      <c r="AH2003" s="2" t="str">
        <f ca="1"/>
        <v>Bad</v>
      </c>
    </row>
    <row r="2004" spans="2:34" x14ac:dyDescent="0.2">
      <c r="B2004" s="2">
        <f ca="1"/>
        <v>0.86078748461844445</v>
      </c>
      <c r="O2004" s="2">
        <f ca="1"/>
        <v>0.74358637927146476</v>
      </c>
      <c r="X2004" s="2">
        <f ca="1"/>
        <v>59.610195726840132</v>
      </c>
      <c r="AG2004" s="2">
        <f ca="1"/>
        <v>0.84213650731330003</v>
      </c>
      <c r="AH2004" s="2" t="str">
        <f ca="1"/>
        <v>Bad</v>
      </c>
    </row>
    <row r="2005" spans="2:34" x14ac:dyDescent="0.2">
      <c r="B2005" s="2">
        <f ca="1"/>
        <v>3.3694890119049914E-2</v>
      </c>
      <c r="O2005" s="2">
        <f ca="1"/>
        <v>0.16236087785557052</v>
      </c>
      <c r="X2005" s="2">
        <f ca="1"/>
        <v>83.737389055025844</v>
      </c>
      <c r="AG2005" s="2">
        <f ca="1"/>
        <v>0.80200249092832188</v>
      </c>
      <c r="AH2005" s="2" t="str">
        <f ca="1"/>
        <v>Bad</v>
      </c>
    </row>
    <row r="2006" spans="2:34" x14ac:dyDescent="0.2">
      <c r="B2006" s="2">
        <f ca="1"/>
        <v>0.40861704191369985</v>
      </c>
      <c r="O2006" s="2">
        <f ca="1"/>
        <v>-2.142556448060517</v>
      </c>
      <c r="X2006" s="2">
        <f ca="1"/>
        <v>68.221792022034236</v>
      </c>
      <c r="AG2006" s="2">
        <f ca="1"/>
        <v>3.4061559034285205E-2</v>
      </c>
      <c r="AH2006" s="2" t="str">
        <f ca="1"/>
        <v>Good</v>
      </c>
    </row>
    <row r="2007" spans="2:34" x14ac:dyDescent="0.2">
      <c r="B2007" s="2">
        <f ca="1"/>
        <v>0.57741150276366904</v>
      </c>
      <c r="O2007" s="2">
        <f ca="1"/>
        <v>-0.29353897516051575</v>
      </c>
      <c r="X2007" s="2">
        <f ca="1"/>
        <v>54.477607149044033</v>
      </c>
      <c r="AG2007" s="2">
        <f ca="1"/>
        <v>7.8332854662314988E-2</v>
      </c>
      <c r="AH2007" s="2" t="str">
        <f ca="1"/>
        <v>OK</v>
      </c>
    </row>
    <row r="2008" spans="2:34" x14ac:dyDescent="0.2">
      <c r="B2008" s="2">
        <f ca="1"/>
        <v>0.40327650301002027</v>
      </c>
      <c r="O2008" s="2">
        <f ca="1"/>
        <v>0.31384095172019855</v>
      </c>
      <c r="X2008" s="2">
        <f ca="1"/>
        <v>23.979027638366443</v>
      </c>
      <c r="AG2008" s="2">
        <f ca="1"/>
        <v>0.34478926136549304</v>
      </c>
      <c r="AH2008" s="2" t="str">
        <f ca="1"/>
        <v>OK</v>
      </c>
    </row>
    <row r="2009" spans="2:34" x14ac:dyDescent="0.2">
      <c r="B2009" s="2">
        <f ca="1"/>
        <v>0.40946277308758816</v>
      </c>
      <c r="O2009" s="2">
        <f ca="1"/>
        <v>-1.0415885291355418</v>
      </c>
      <c r="X2009" s="2">
        <f ca="1"/>
        <v>36.085964579518091</v>
      </c>
      <c r="AG2009" s="2">
        <f ca="1"/>
        <v>0.45460147034807585</v>
      </c>
      <c r="AH2009" s="2" t="str">
        <f ca="1"/>
        <v>Bad</v>
      </c>
    </row>
    <row r="2010" spans="2:34" x14ac:dyDescent="0.2">
      <c r="B2010" s="2">
        <f ca="1"/>
        <v>4.377363276884827E-2</v>
      </c>
      <c r="O2010" s="2">
        <f ca="1"/>
        <v>1.1864769468671477</v>
      </c>
      <c r="X2010" s="2">
        <f ca="1"/>
        <v>27.577387755106209</v>
      </c>
      <c r="AG2010" s="2">
        <f ca="1"/>
        <v>0.10312412726356612</v>
      </c>
      <c r="AH2010" s="2" t="str">
        <f ca="1"/>
        <v>OK</v>
      </c>
    </row>
    <row r="2011" spans="2:34" x14ac:dyDescent="0.2">
      <c r="B2011" s="2">
        <f ca="1"/>
        <v>0.3247099983448527</v>
      </c>
      <c r="O2011" s="2">
        <f ca="1"/>
        <v>-1.1118212732433495</v>
      </c>
      <c r="X2011" s="2">
        <f ca="1"/>
        <v>39.074594058460377</v>
      </c>
      <c r="AG2011" s="2">
        <f ca="1"/>
        <v>0.15112540803404606</v>
      </c>
      <c r="AH2011" s="2" t="str">
        <f ca="1"/>
        <v>OK</v>
      </c>
    </row>
    <row r="2012" spans="2:34" x14ac:dyDescent="0.2">
      <c r="B2012" s="2">
        <f ca="1"/>
        <v>3.561969656260966E-2</v>
      </c>
      <c r="O2012" s="2">
        <f ca="1"/>
        <v>0.31713284468788522</v>
      </c>
      <c r="X2012" s="2">
        <f ca="1"/>
        <v>41.987905555188043</v>
      </c>
      <c r="AG2012" s="2">
        <f ca="1"/>
        <v>0.11430412567975812</v>
      </c>
      <c r="AH2012" s="2" t="str">
        <f ca="1"/>
        <v>OK</v>
      </c>
    </row>
    <row r="2013" spans="2:34" x14ac:dyDescent="0.2">
      <c r="B2013" s="2">
        <f ca="1"/>
        <v>0.817510087372886</v>
      </c>
      <c r="O2013" s="2">
        <f ca="1"/>
        <v>-0.56975261980643277</v>
      </c>
      <c r="X2013" s="2">
        <f ca="1"/>
        <v>32.676453990254963</v>
      </c>
      <c r="AG2013" s="2">
        <f ca="1"/>
        <v>0.50194024789553437</v>
      </c>
      <c r="AH2013" s="2" t="str">
        <f ca="1"/>
        <v>Bad</v>
      </c>
    </row>
    <row r="2014" spans="2:34" x14ac:dyDescent="0.2">
      <c r="B2014" s="2">
        <f ca="1"/>
        <v>0.77244788633265427</v>
      </c>
      <c r="O2014" s="2">
        <f ca="1"/>
        <v>-1.6672583216431649</v>
      </c>
      <c r="X2014" s="2">
        <f ca="1"/>
        <v>42.039995476763288</v>
      </c>
      <c r="AG2014" s="2">
        <f ca="1"/>
        <v>0.18766464082045875</v>
      </c>
      <c r="AH2014" s="2" t="str">
        <f ca="1"/>
        <v>OK</v>
      </c>
    </row>
    <row r="2015" spans="2:34" x14ac:dyDescent="0.2">
      <c r="B2015" s="2">
        <f ca="1"/>
        <v>0.8661859214153742</v>
      </c>
      <c r="O2015" s="2">
        <f ca="1"/>
        <v>-0.49303317320027584</v>
      </c>
      <c r="X2015" s="2">
        <f ca="1"/>
        <v>40.655936031701827</v>
      </c>
      <c r="AG2015" s="2">
        <f ca="1"/>
        <v>0.34634332721233063</v>
      </c>
      <c r="AH2015" s="2" t="str">
        <f ca="1"/>
        <v>OK</v>
      </c>
    </row>
    <row r="2016" spans="2:34" x14ac:dyDescent="0.2">
      <c r="B2016" s="2">
        <f ca="1"/>
        <v>0.89092827636708227</v>
      </c>
      <c r="O2016" s="2">
        <f ca="1"/>
        <v>0.808692631036944</v>
      </c>
      <c r="X2016" s="2">
        <f ca="1"/>
        <v>42.272452652350061</v>
      </c>
      <c r="AG2016" s="2">
        <f ca="1"/>
        <v>0.86870225448430705</v>
      </c>
      <c r="AH2016" s="2" t="str">
        <f ca="1"/>
        <v>Bad</v>
      </c>
    </row>
    <row r="2017" spans="2:34" x14ac:dyDescent="0.2">
      <c r="B2017" s="2">
        <f ca="1"/>
        <v>0.1729040448069401</v>
      </c>
      <c r="O2017" s="2">
        <f ca="1"/>
        <v>-0.19070245558823995</v>
      </c>
      <c r="X2017" s="2">
        <f ca="1"/>
        <v>44.926737187300901</v>
      </c>
      <c r="AG2017" s="2">
        <f ca="1"/>
        <v>0.89752869730905616</v>
      </c>
      <c r="AH2017" s="2" t="str">
        <f ca="1"/>
        <v>Bad</v>
      </c>
    </row>
    <row r="2018" spans="2:34" x14ac:dyDescent="0.2">
      <c r="B2018" s="2">
        <f ca="1"/>
        <v>0.26685541815088598</v>
      </c>
      <c r="O2018" s="2">
        <f ca="1"/>
        <v>1.1548687220888596</v>
      </c>
      <c r="X2018" s="2">
        <f ca="1"/>
        <v>56.365990655429073</v>
      </c>
      <c r="AG2018" s="2">
        <f ca="1"/>
        <v>0.91256981013453986</v>
      </c>
      <c r="AH2018" s="2" t="str">
        <f ca="1"/>
        <v>Bad</v>
      </c>
    </row>
    <row r="2019" spans="2:34" x14ac:dyDescent="0.2">
      <c r="B2019" s="2">
        <f ca="1"/>
        <v>0.86668653944106433</v>
      </c>
      <c r="O2019" s="2">
        <f ca="1"/>
        <v>1.9307350961209566</v>
      </c>
      <c r="X2019" s="2">
        <f ca="1"/>
        <v>83.06722887240646</v>
      </c>
      <c r="AG2019" s="2">
        <f ca="1"/>
        <v>0.46363752593077212</v>
      </c>
      <c r="AH2019" s="2" t="str">
        <f ca="1"/>
        <v>Bad</v>
      </c>
    </row>
    <row r="2020" spans="2:34" x14ac:dyDescent="0.2">
      <c r="B2020" s="2">
        <f ca="1"/>
        <v>3.9378832024217214E-2</v>
      </c>
      <c r="O2020" s="2">
        <f ca="1"/>
        <v>0.78548322808985849</v>
      </c>
      <c r="X2020" s="2">
        <f ca="1"/>
        <v>41.035128270367728</v>
      </c>
      <c r="AG2020" s="2">
        <f ca="1"/>
        <v>0.19354514611791007</v>
      </c>
      <c r="AH2020" s="2" t="str">
        <f ca="1"/>
        <v>OK</v>
      </c>
    </row>
    <row r="2021" spans="2:34" x14ac:dyDescent="0.2">
      <c r="B2021" s="2">
        <f ca="1"/>
        <v>0.10542340122878668</v>
      </c>
      <c r="O2021" s="2">
        <f ca="1"/>
        <v>-0.55173781770787744</v>
      </c>
      <c r="X2021" s="2">
        <f ca="1"/>
        <v>41.116467870975853</v>
      </c>
      <c r="AG2021" s="2">
        <f ca="1"/>
        <v>0.45495492931208759</v>
      </c>
      <c r="AH2021" s="2" t="str">
        <f ca="1"/>
        <v>Bad</v>
      </c>
    </row>
    <row r="2022" spans="2:34" x14ac:dyDescent="0.2">
      <c r="B2022" s="2">
        <f ca="1"/>
        <v>8.938426008284206E-2</v>
      </c>
      <c r="O2022" s="2">
        <f ca="1"/>
        <v>-1.2306072824391492</v>
      </c>
      <c r="X2022" s="2">
        <f ca="1"/>
        <v>98.033180392120585</v>
      </c>
      <c r="AG2022" s="2">
        <f ca="1"/>
        <v>0.2040522900628754</v>
      </c>
      <c r="AH2022" s="2" t="str">
        <f ca="1"/>
        <v>OK</v>
      </c>
    </row>
    <row r="2023" spans="2:34" x14ac:dyDescent="0.2">
      <c r="B2023" s="2">
        <f ca="1"/>
        <v>0.93746745579706725</v>
      </c>
      <c r="O2023" s="2">
        <f ca="1"/>
        <v>-1.0219790360268439</v>
      </c>
      <c r="X2023" s="2">
        <f ca="1"/>
        <v>27.633502414108705</v>
      </c>
      <c r="AG2023" s="2">
        <f ca="1"/>
        <v>0.33818660302946646</v>
      </c>
      <c r="AH2023" s="2" t="str">
        <f ca="1"/>
        <v>OK</v>
      </c>
    </row>
    <row r="2024" spans="2:34" x14ac:dyDescent="0.2">
      <c r="B2024" s="2">
        <f ca="1"/>
        <v>0.19915345269350726</v>
      </c>
      <c r="O2024" s="2">
        <f ca="1"/>
        <v>0.96216219909598022</v>
      </c>
      <c r="X2024" s="2">
        <f ca="1"/>
        <v>70.930801337698185</v>
      </c>
      <c r="AG2024" s="2">
        <f ca="1"/>
        <v>0.28648409139168685</v>
      </c>
      <c r="AH2024" s="2" t="str">
        <f ca="1"/>
        <v>OK</v>
      </c>
    </row>
    <row r="2025" spans="2:34" x14ac:dyDescent="0.2">
      <c r="B2025" s="2">
        <f ca="1"/>
        <v>0.8977383796028453</v>
      </c>
      <c r="O2025" s="2">
        <f ca="1"/>
        <v>-0.17860120389812786</v>
      </c>
      <c r="X2025" s="2">
        <f ca="1"/>
        <v>69.98149136544086</v>
      </c>
      <c r="AG2025" s="2">
        <f ca="1"/>
        <v>0.65566101126915055</v>
      </c>
      <c r="AH2025" s="2" t="str">
        <f ca="1"/>
        <v>Bad</v>
      </c>
    </row>
    <row r="2026" spans="2:34" x14ac:dyDescent="0.2">
      <c r="B2026" s="2">
        <f ca="1"/>
        <v>0.43088898933541642</v>
      </c>
      <c r="O2026" s="2">
        <f ca="1"/>
        <v>3.9250528687298114E-2</v>
      </c>
      <c r="X2026" s="2">
        <f ca="1"/>
        <v>57.107994612828392</v>
      </c>
      <c r="AG2026" s="2">
        <f ca="1"/>
        <v>0.66675014080912942</v>
      </c>
      <c r="AH2026" s="2" t="str">
        <f ca="1"/>
        <v>Bad</v>
      </c>
    </row>
    <row r="2027" spans="2:34" x14ac:dyDescent="0.2">
      <c r="B2027" s="2">
        <f ca="1"/>
        <v>0.64978293119635988</v>
      </c>
      <c r="O2027" s="2">
        <f ca="1"/>
        <v>-1.3043485370805155</v>
      </c>
      <c r="X2027" s="2">
        <f ca="1"/>
        <v>92.072882641526647</v>
      </c>
      <c r="AG2027" s="2">
        <f ca="1"/>
        <v>0.14911578993629093</v>
      </c>
      <c r="AH2027" s="2" t="str">
        <f ca="1"/>
        <v>OK</v>
      </c>
    </row>
    <row r="2028" spans="2:34" x14ac:dyDescent="0.2">
      <c r="B2028" s="2">
        <f ca="1"/>
        <v>1.5786468411624899E-2</v>
      </c>
      <c r="O2028" s="2">
        <f ca="1"/>
        <v>0.60439002131753361</v>
      </c>
      <c r="X2028" s="2">
        <f ca="1"/>
        <v>36.703041376961856</v>
      </c>
      <c r="AG2028" s="2">
        <f ca="1"/>
        <v>0.14871287854927351</v>
      </c>
      <c r="AH2028" s="2" t="str">
        <f ca="1"/>
        <v>OK</v>
      </c>
    </row>
    <row r="2029" spans="2:34" x14ac:dyDescent="0.2">
      <c r="B2029" s="2">
        <f ca="1"/>
        <v>0.64833334399348619</v>
      </c>
      <c r="O2029" s="2">
        <f ca="1"/>
        <v>0.42076934454403997</v>
      </c>
      <c r="X2029" s="2">
        <f ca="1"/>
        <v>88.857402610862181</v>
      </c>
      <c r="AG2029" s="2">
        <f ca="1"/>
        <v>0.34617837234749671</v>
      </c>
      <c r="AH2029" s="2" t="str">
        <f ca="1"/>
        <v>OK</v>
      </c>
    </row>
    <row r="2030" spans="2:34" x14ac:dyDescent="0.2">
      <c r="B2030" s="2">
        <f ca="1"/>
        <v>0.57557634056396756</v>
      </c>
      <c r="O2030" s="2">
        <f ca="1"/>
        <v>0.17686050126019101</v>
      </c>
      <c r="X2030" s="2">
        <f ca="1"/>
        <v>52.461167382293723</v>
      </c>
      <c r="AG2030" s="2">
        <f ca="1"/>
        <v>0.39848658552841765</v>
      </c>
      <c r="AH2030" s="2" t="str">
        <f ca="1"/>
        <v>OK</v>
      </c>
    </row>
    <row r="2031" spans="2:34" x14ac:dyDescent="0.2">
      <c r="B2031" s="2">
        <f ca="1"/>
        <v>0.6275865165886243</v>
      </c>
      <c r="O2031" s="2">
        <f ca="1"/>
        <v>0.39054280374185313</v>
      </c>
      <c r="X2031" s="2">
        <f ca="1"/>
        <v>59.227143343523643</v>
      </c>
      <c r="AG2031" s="2">
        <f ca="1"/>
        <v>0.42786117928282152</v>
      </c>
      <c r="AH2031" s="2" t="str">
        <f ca="1"/>
        <v>Bad</v>
      </c>
    </row>
    <row r="2032" spans="2:34" x14ac:dyDescent="0.2">
      <c r="B2032" s="2">
        <f ca="1"/>
        <v>0.7191841060639399</v>
      </c>
      <c r="O2032" s="2">
        <f ca="1"/>
        <v>-4.7080828229902588E-2</v>
      </c>
      <c r="X2032" s="2">
        <f ca="1"/>
        <v>59.498388079214777</v>
      </c>
      <c r="AG2032" s="2">
        <f ca="1"/>
        <v>0.47847312675449483</v>
      </c>
      <c r="AH2032" s="2" t="str">
        <f ca="1"/>
        <v>Bad</v>
      </c>
    </row>
    <row r="2033" spans="2:34" x14ac:dyDescent="0.2">
      <c r="B2033" s="2">
        <f ca="1"/>
        <v>0.5114862317880835</v>
      </c>
      <c r="O2033" s="2">
        <f ca="1"/>
        <v>0.53946209316846816</v>
      </c>
      <c r="X2033" s="2">
        <f ca="1"/>
        <v>41.322546187688864</v>
      </c>
      <c r="AG2033" s="2">
        <f ca="1"/>
        <v>0.5953557267992553</v>
      </c>
      <c r="AH2033" s="2" t="str">
        <f ca="1"/>
        <v>Bad</v>
      </c>
    </row>
    <row r="2034" spans="2:34" x14ac:dyDescent="0.2">
      <c r="B2034" s="2">
        <f ca="1"/>
        <v>0.74301847058431592</v>
      </c>
      <c r="O2034" s="2">
        <f ca="1"/>
        <v>0.63931741338233972</v>
      </c>
      <c r="X2034" s="2">
        <f ca="1"/>
        <v>47.121531603007121</v>
      </c>
      <c r="AG2034" s="2">
        <f ca="1"/>
        <v>0.38926996871632547</v>
      </c>
      <c r="AH2034" s="2" t="str">
        <f ca="1"/>
        <v>OK</v>
      </c>
    </row>
    <row r="2035" spans="2:34" x14ac:dyDescent="0.2">
      <c r="B2035" s="2">
        <f ca="1"/>
        <v>0.35517203086040716</v>
      </c>
      <c r="O2035" s="2">
        <f ca="1"/>
        <v>-0.74089710156485067</v>
      </c>
      <c r="X2035" s="2">
        <f ca="1"/>
        <v>50.044127724169734</v>
      </c>
      <c r="AG2035" s="2">
        <f ca="1"/>
        <v>0.13374402365640758</v>
      </c>
      <c r="AH2035" s="2" t="str">
        <f ca="1"/>
        <v>OK</v>
      </c>
    </row>
    <row r="2036" spans="2:34" x14ac:dyDescent="0.2">
      <c r="B2036" s="2">
        <f ca="1"/>
        <v>0.8922124302157759</v>
      </c>
      <c r="O2036" s="2">
        <f ca="1"/>
        <v>2.1559980619230475E-2</v>
      </c>
      <c r="X2036" s="2">
        <f ca="1"/>
        <v>30.724040565023664</v>
      </c>
      <c r="AG2036" s="2">
        <f ca="1"/>
        <v>0.32138566672069624</v>
      </c>
      <c r="AH2036" s="2" t="str">
        <f ca="1"/>
        <v>OK</v>
      </c>
    </row>
    <row r="2037" spans="2:34" x14ac:dyDescent="0.2">
      <c r="B2037" s="2">
        <f ca="1"/>
        <v>0.59799175864060694</v>
      </c>
      <c r="O2037" s="2">
        <f ca="1"/>
        <v>1.5560559443668986</v>
      </c>
      <c r="X2037" s="2">
        <f ca="1"/>
        <v>62.448942573901959</v>
      </c>
      <c r="AG2037" s="2">
        <f ca="1"/>
        <v>0.74488146259339461</v>
      </c>
      <c r="AH2037" s="2" t="str">
        <f ca="1"/>
        <v>Bad</v>
      </c>
    </row>
    <row r="2038" spans="2:34" x14ac:dyDescent="0.2">
      <c r="B2038" s="2">
        <f ca="1"/>
        <v>0.49648638952538149</v>
      </c>
      <c r="O2038" s="2">
        <f ca="1"/>
        <v>-2.0016867446217059</v>
      </c>
      <c r="X2038" s="2">
        <f ca="1"/>
        <v>33.752998644979066</v>
      </c>
      <c r="AG2038" s="2">
        <f ca="1"/>
        <v>0.9594837966615517</v>
      </c>
      <c r="AH2038" s="2" t="str">
        <f ca="1"/>
        <v>Bad</v>
      </c>
    </row>
    <row r="2039" spans="2:34" x14ac:dyDescent="0.2">
      <c r="B2039" s="2">
        <f ca="1"/>
        <v>0.135247672209722</v>
      </c>
      <c r="O2039" s="2">
        <f ca="1"/>
        <v>0.1347938585707005</v>
      </c>
      <c r="X2039" s="2">
        <f ca="1"/>
        <v>59.672729839748158</v>
      </c>
      <c r="AG2039" s="2">
        <f ca="1"/>
        <v>0.79983229159427549</v>
      </c>
      <c r="AH2039" s="2" t="str">
        <f ca="1"/>
        <v>Bad</v>
      </c>
    </row>
    <row r="2040" spans="2:34" x14ac:dyDescent="0.2">
      <c r="B2040" s="2">
        <f ca="1"/>
        <v>0.46915235487302875</v>
      </c>
      <c r="O2040" s="2">
        <f ca="1"/>
        <v>0.66238405704246139</v>
      </c>
      <c r="X2040" s="2">
        <f ca="1"/>
        <v>60.05162335652642</v>
      </c>
      <c r="AG2040" s="2">
        <f ca="1"/>
        <v>0.33302924250137544</v>
      </c>
      <c r="AH2040" s="2" t="str">
        <f ca="1"/>
        <v>OK</v>
      </c>
    </row>
    <row r="2041" spans="2:34" x14ac:dyDescent="0.2">
      <c r="B2041" s="2">
        <f ca="1"/>
        <v>0.34538928824067949</v>
      </c>
      <c r="O2041" s="2">
        <f ca="1"/>
        <v>-5.1731259968125056E-3</v>
      </c>
      <c r="X2041" s="2">
        <f ca="1"/>
        <v>51.354442473737095</v>
      </c>
      <c r="AG2041" s="2">
        <f ca="1"/>
        <v>0.37599071218894298</v>
      </c>
      <c r="AH2041" s="2" t="str">
        <f ca="1"/>
        <v>OK</v>
      </c>
    </row>
    <row r="2042" spans="2:34" x14ac:dyDescent="0.2">
      <c r="B2042" s="2">
        <f ca="1"/>
        <v>0.57919116612649213</v>
      </c>
      <c r="O2042" s="2">
        <f ca="1"/>
        <v>1.6488971926933733</v>
      </c>
      <c r="X2042" s="2">
        <f ca="1"/>
        <v>34.243242497815935</v>
      </c>
      <c r="AG2042" s="2">
        <f ca="1"/>
        <v>0.42848144179188918</v>
      </c>
      <c r="AH2042" s="2" t="str">
        <f ca="1"/>
        <v>Bad</v>
      </c>
    </row>
    <row r="2043" spans="2:34" x14ac:dyDescent="0.2">
      <c r="B2043" s="2">
        <f ca="1"/>
        <v>0.73455742982562144</v>
      </c>
      <c r="O2043" s="2">
        <f ca="1"/>
        <v>-1.3055181512333085</v>
      </c>
      <c r="X2043" s="2">
        <f ca="1"/>
        <v>59.905475814020654</v>
      </c>
      <c r="AG2043" s="2">
        <f ca="1"/>
        <v>0.79407377950831792</v>
      </c>
      <c r="AH2043" s="2" t="str">
        <f ca="1"/>
        <v>Bad</v>
      </c>
    </row>
    <row r="2044" spans="2:34" x14ac:dyDescent="0.2">
      <c r="B2044" s="2">
        <f ca="1"/>
        <v>0.25271569755520251</v>
      </c>
      <c r="O2044" s="2">
        <f ca="1"/>
        <v>-1.4246299489692702</v>
      </c>
      <c r="X2044" s="2">
        <f ca="1"/>
        <v>57.366783822030598</v>
      </c>
      <c r="AG2044" s="2">
        <f ca="1"/>
        <v>0.80807851935803865</v>
      </c>
      <c r="AH2044" s="2" t="str">
        <f ca="1"/>
        <v>Bad</v>
      </c>
    </row>
    <row r="2045" spans="2:34" x14ac:dyDescent="0.2">
      <c r="B2045" s="2">
        <f ca="1"/>
        <v>8.6940116220546315E-2</v>
      </c>
      <c r="O2045" s="2">
        <f ca="1"/>
        <v>0.77663489431518684</v>
      </c>
      <c r="X2045" s="2">
        <f ca="1"/>
        <v>65.986127715881594</v>
      </c>
      <c r="AG2045" s="2">
        <f ca="1"/>
        <v>0.19807272737002357</v>
      </c>
      <c r="AH2045" s="2" t="str">
        <f ca="1"/>
        <v>OK</v>
      </c>
    </row>
    <row r="2046" spans="2:34" x14ac:dyDescent="0.2">
      <c r="B2046" s="2">
        <f ca="1"/>
        <v>0.98766315182618203</v>
      </c>
      <c r="O2046" s="2">
        <f ca="1"/>
        <v>1.5931584163978298</v>
      </c>
      <c r="X2046" s="2">
        <f ca="1"/>
        <v>31.663948747920898</v>
      </c>
      <c r="AG2046" s="2">
        <f ca="1"/>
        <v>0.93535531084569046</v>
      </c>
      <c r="AH2046" s="2" t="str">
        <f ca="1"/>
        <v>Bad</v>
      </c>
    </row>
    <row r="2047" spans="2:34" x14ac:dyDescent="0.2">
      <c r="B2047" s="2">
        <f ca="1"/>
        <v>0.83505690589108905</v>
      </c>
      <c r="O2047" s="2">
        <f ca="1"/>
        <v>-0.65883682317915193</v>
      </c>
      <c r="X2047" s="2">
        <f ca="1"/>
        <v>83.504878160763298</v>
      </c>
      <c r="AG2047" s="2">
        <f ca="1"/>
        <v>0.11868252773863719</v>
      </c>
      <c r="AH2047" s="2" t="str">
        <f ca="1"/>
        <v>OK</v>
      </c>
    </row>
    <row r="2048" spans="2:34" x14ac:dyDescent="0.2">
      <c r="B2048" s="2">
        <f ca="1"/>
        <v>0.19821964574219053</v>
      </c>
      <c r="O2048" s="2">
        <f ca="1"/>
        <v>-0.42561783042001938</v>
      </c>
      <c r="X2048" s="2">
        <f ca="1"/>
        <v>58.501003398730006</v>
      </c>
      <c r="AG2048" s="2">
        <f ca="1"/>
        <v>0.18922373316079599</v>
      </c>
      <c r="AH2048" s="2" t="str">
        <f ca="1"/>
        <v>OK</v>
      </c>
    </row>
    <row r="2049" spans="2:34" x14ac:dyDescent="0.2">
      <c r="B2049" s="2">
        <f ca="1"/>
        <v>0.58858458819753978</v>
      </c>
      <c r="O2049" s="2">
        <f ca="1"/>
        <v>0.37981037487485086</v>
      </c>
      <c r="X2049" s="2">
        <f ca="1"/>
        <v>53.792150707597045</v>
      </c>
      <c r="AG2049" s="2">
        <f ca="1"/>
        <v>0.966502036721816</v>
      </c>
      <c r="AH2049" s="2" t="str">
        <f ca="1"/>
        <v>Bad</v>
      </c>
    </row>
    <row r="2050" spans="2:34" x14ac:dyDescent="0.2">
      <c r="B2050" s="2">
        <f ca="1"/>
        <v>0.1935458277672415</v>
      </c>
      <c r="O2050" s="2">
        <f ca="1"/>
        <v>1.3736010760237938</v>
      </c>
      <c r="X2050" s="2">
        <f ca="1"/>
        <v>27.036935096233954</v>
      </c>
      <c r="AG2050" s="2">
        <f ca="1"/>
        <v>0.977756645455645</v>
      </c>
      <c r="AH2050" s="2" t="str">
        <f ca="1"/>
        <v>Bad</v>
      </c>
    </row>
    <row r="2051" spans="2:34" x14ac:dyDescent="0.2">
      <c r="B2051" s="2">
        <f ca="1"/>
        <v>0.81665897865211412</v>
      </c>
      <c r="O2051" s="2">
        <f ca="1"/>
        <v>-1.4469498893372104</v>
      </c>
      <c r="X2051" s="2">
        <f ca="1"/>
        <v>90.54582833932065</v>
      </c>
      <c r="AG2051" s="2">
        <f ca="1"/>
        <v>0.1786999693531639</v>
      </c>
      <c r="AH2051" s="2" t="str">
        <f ca="1"/>
        <v>OK</v>
      </c>
    </row>
    <row r="2052" spans="2:34" x14ac:dyDescent="0.2">
      <c r="B2052" s="2">
        <f ca="1"/>
        <v>0.25907689741994666</v>
      </c>
      <c r="O2052" s="2">
        <f ca="1"/>
        <v>0.10470685988962947</v>
      </c>
      <c r="X2052" s="2">
        <f ca="1"/>
        <v>27.923067135947264</v>
      </c>
      <c r="AG2052" s="2">
        <f ca="1"/>
        <v>0.90762962220367061</v>
      </c>
      <c r="AH2052" s="2" t="str">
        <f ca="1"/>
        <v>Bad</v>
      </c>
    </row>
    <row r="2053" spans="2:34" x14ac:dyDescent="0.2">
      <c r="B2053" s="2">
        <f ca="1"/>
        <v>0.38037272646362874</v>
      </c>
      <c r="O2053" s="2">
        <f ca="1"/>
        <v>1.8132894529965708</v>
      </c>
      <c r="X2053" s="2">
        <f ca="1"/>
        <v>31.462547732718772</v>
      </c>
      <c r="AG2053" s="2">
        <f ca="1"/>
        <v>0.80245065447801345</v>
      </c>
      <c r="AH2053" s="2" t="str">
        <f ca="1"/>
        <v>Bad</v>
      </c>
    </row>
    <row r="2054" spans="2:34" x14ac:dyDescent="0.2">
      <c r="B2054" s="2">
        <f ca="1"/>
        <v>0.71994094146380783</v>
      </c>
      <c r="O2054" s="2">
        <f ca="1"/>
        <v>1.5605759954209275</v>
      </c>
      <c r="X2054" s="2">
        <f ca="1"/>
        <v>57.333223048865264</v>
      </c>
      <c r="AG2054" s="2">
        <f ca="1"/>
        <v>0.47795537055187798</v>
      </c>
      <c r="AH2054" s="2" t="str">
        <f ca="1"/>
        <v>Bad</v>
      </c>
    </row>
    <row r="2055" spans="2:34" x14ac:dyDescent="0.2">
      <c r="B2055" s="2">
        <f ca="1"/>
        <v>7.7306052998310726E-2</v>
      </c>
      <c r="O2055" s="2">
        <f ca="1"/>
        <v>0.42943949315588731</v>
      </c>
      <c r="X2055" s="2">
        <f ca="1"/>
        <v>36.487009997778607</v>
      </c>
      <c r="AG2055" s="2">
        <f ca="1"/>
        <v>0.16204056842598424</v>
      </c>
      <c r="AH2055" s="2" t="str">
        <f ca="1"/>
        <v>OK</v>
      </c>
    </row>
    <row r="2056" spans="2:34" x14ac:dyDescent="0.2">
      <c r="B2056" s="2">
        <f ca="1"/>
        <v>0.73043322722600967</v>
      </c>
      <c r="O2056" s="2">
        <f ca="1"/>
        <v>-0.78784934663784256</v>
      </c>
      <c r="X2056" s="2">
        <f ca="1"/>
        <v>24.628684586152005</v>
      </c>
      <c r="AG2056" s="2">
        <f ca="1"/>
        <v>0.93654799374667408</v>
      </c>
      <c r="AH2056" s="2" t="str">
        <f ca="1"/>
        <v>Bad</v>
      </c>
    </row>
    <row r="2057" spans="2:34" x14ac:dyDescent="0.2">
      <c r="B2057" s="2">
        <f ca="1"/>
        <v>0.83499585922675368</v>
      </c>
      <c r="O2057" s="2">
        <f ca="1"/>
        <v>-0.34974785068707437</v>
      </c>
      <c r="X2057" s="2">
        <f ca="1"/>
        <v>72.630673115877102</v>
      </c>
      <c r="AG2057" s="2">
        <f ca="1"/>
        <v>0.8849504799575838</v>
      </c>
      <c r="AH2057" s="2" t="str">
        <f ca="1"/>
        <v>Bad</v>
      </c>
    </row>
    <row r="2058" spans="2:34" x14ac:dyDescent="0.2">
      <c r="B2058" s="2">
        <f ca="1"/>
        <v>0.70570455811507604</v>
      </c>
      <c r="O2058" s="2">
        <f ca="1"/>
        <v>0.22313589431902153</v>
      </c>
      <c r="X2058" s="2">
        <f ca="1"/>
        <v>66.982063148526294</v>
      </c>
      <c r="AG2058" s="2">
        <f ca="1"/>
        <v>0.13553794378409023</v>
      </c>
      <c r="AH2058" s="2" t="str">
        <f ca="1"/>
        <v>OK</v>
      </c>
    </row>
    <row r="2059" spans="2:34" x14ac:dyDescent="0.2">
      <c r="B2059" s="2">
        <f ca="1"/>
        <v>0.45066288785608921</v>
      </c>
      <c r="O2059" s="2">
        <f ca="1"/>
        <v>8.0377625901469948E-2</v>
      </c>
      <c r="X2059" s="2">
        <f ca="1"/>
        <v>57.843058026987961</v>
      </c>
      <c r="AG2059" s="2">
        <f ca="1"/>
        <v>0.90328809383436703</v>
      </c>
      <c r="AH2059" s="2" t="str">
        <f ca="1"/>
        <v>Bad</v>
      </c>
    </row>
    <row r="2060" spans="2:34" x14ac:dyDescent="0.2">
      <c r="B2060" s="2">
        <f ca="1"/>
        <v>0.76894581239225657</v>
      </c>
      <c r="O2060" s="2">
        <f ca="1"/>
        <v>0.64432881168414402</v>
      </c>
      <c r="X2060" s="2">
        <f ca="1"/>
        <v>70.912961114903666</v>
      </c>
      <c r="AG2060" s="2">
        <f ca="1"/>
        <v>0.52691517787729247</v>
      </c>
      <c r="AH2060" s="2" t="str">
        <f ca="1"/>
        <v>Bad</v>
      </c>
    </row>
    <row r="2061" spans="2:34" x14ac:dyDescent="0.2">
      <c r="B2061" s="2">
        <f ca="1"/>
        <v>0.42249457116434774</v>
      </c>
      <c r="O2061" s="2">
        <f ca="1"/>
        <v>-1.1765151389618365</v>
      </c>
      <c r="X2061" s="2">
        <f ca="1"/>
        <v>46.975408844400413</v>
      </c>
      <c r="AG2061" s="2">
        <f ca="1"/>
        <v>0.50845026498454171</v>
      </c>
      <c r="AH2061" s="2" t="str">
        <f ca="1"/>
        <v>Bad</v>
      </c>
    </row>
    <row r="2062" spans="2:34" x14ac:dyDescent="0.2">
      <c r="B2062" s="2">
        <f ca="1"/>
        <v>0.50128356841187194</v>
      </c>
      <c r="O2062" s="2">
        <f ca="1"/>
        <v>0.91398983490683472</v>
      </c>
      <c r="X2062" s="2">
        <f ca="1"/>
        <v>59.054072414419281</v>
      </c>
      <c r="AG2062" s="2">
        <f ca="1"/>
        <v>0.64691165303179132</v>
      </c>
      <c r="AH2062" s="2" t="str">
        <f ca="1"/>
        <v>Bad</v>
      </c>
    </row>
    <row r="2063" spans="2:34" x14ac:dyDescent="0.2">
      <c r="B2063" s="2">
        <f ca="1"/>
        <v>0.74606535460227219</v>
      </c>
      <c r="O2063" s="2">
        <f ca="1"/>
        <v>0.34723635218138116</v>
      </c>
      <c r="X2063" s="2">
        <f ca="1"/>
        <v>54.91525860936904</v>
      </c>
      <c r="AG2063" s="2">
        <f ca="1"/>
        <v>0.99950506550552243</v>
      </c>
      <c r="AH2063" s="2" t="str">
        <f ca="1"/>
        <v>Bad</v>
      </c>
    </row>
    <row r="2064" spans="2:34" x14ac:dyDescent="0.2">
      <c r="B2064" s="2">
        <f ca="1"/>
        <v>0.99238571265263498</v>
      </c>
      <c r="O2064" s="2">
        <f ca="1"/>
        <v>1.6303916839546071</v>
      </c>
      <c r="X2064" s="2">
        <f ca="1"/>
        <v>52.107161214882652</v>
      </c>
      <c r="AG2064" s="2">
        <f ca="1"/>
        <v>0.10198681150385203</v>
      </c>
      <c r="AH2064" s="2" t="str">
        <f ca="1"/>
        <v>OK</v>
      </c>
    </row>
    <row r="2065" spans="2:34" x14ac:dyDescent="0.2">
      <c r="B2065" s="2">
        <f ca="1"/>
        <v>0.7943619781101936</v>
      </c>
      <c r="O2065" s="2">
        <f ca="1"/>
        <v>-1.9082211873284127E-2</v>
      </c>
      <c r="X2065" s="2">
        <f ca="1"/>
        <v>53.301965654434184</v>
      </c>
      <c r="AG2065" s="2">
        <f ca="1"/>
        <v>0.82917161115440607</v>
      </c>
      <c r="AH2065" s="2" t="str">
        <f ca="1"/>
        <v>Bad</v>
      </c>
    </row>
    <row r="2066" spans="2:34" x14ac:dyDescent="0.2">
      <c r="B2066" s="2">
        <f ca="1"/>
        <v>0.30030433692727887</v>
      </c>
      <c r="O2066" s="2">
        <f ca="1"/>
        <v>-0.63224156497395612</v>
      </c>
      <c r="X2066" s="2">
        <f ca="1"/>
        <v>73.923823817089982</v>
      </c>
      <c r="AG2066" s="2">
        <f ca="1"/>
        <v>0.24942425259121825</v>
      </c>
      <c r="AH2066" s="2" t="str">
        <f ca="1"/>
        <v>OK</v>
      </c>
    </row>
    <row r="2067" spans="2:34" x14ac:dyDescent="0.2">
      <c r="B2067" s="2">
        <f ca="1"/>
        <v>0.86112360461534099</v>
      </c>
      <c r="O2067" s="2">
        <f ca="1"/>
        <v>1.3130363560319753</v>
      </c>
      <c r="X2067" s="2">
        <f ca="1"/>
        <v>40.068255446356062</v>
      </c>
      <c r="AG2067" s="2">
        <f ca="1"/>
        <v>5.6176775080487573E-3</v>
      </c>
      <c r="AH2067" s="2" t="str">
        <f ca="1"/>
        <v>Good</v>
      </c>
    </row>
    <row r="2068" spans="2:34" x14ac:dyDescent="0.2">
      <c r="B2068" s="2">
        <f ca="1"/>
        <v>0.37659219994955562</v>
      </c>
      <c r="O2068" s="2">
        <f ca="1"/>
        <v>-0.19250301524236987</v>
      </c>
      <c r="X2068" s="2">
        <f ca="1"/>
        <v>27.34421826331587</v>
      </c>
      <c r="AG2068" s="2">
        <f ca="1"/>
        <v>5.3260429108512586E-2</v>
      </c>
      <c r="AH2068" s="2" t="str">
        <f ca="1"/>
        <v>OK</v>
      </c>
    </row>
    <row r="2069" spans="2:34" x14ac:dyDescent="0.2">
      <c r="B2069" s="2">
        <f ca="1"/>
        <v>0.96555008435225531</v>
      </c>
      <c r="O2069" s="2">
        <f ca="1"/>
        <v>-0.66045463759685674</v>
      </c>
      <c r="X2069" s="2">
        <f ca="1"/>
        <v>53.565669022454628</v>
      </c>
      <c r="AG2069" s="2">
        <f ca="1"/>
        <v>0.75112176431855349</v>
      </c>
      <c r="AH2069" s="2" t="str">
        <f ca="1"/>
        <v>Bad</v>
      </c>
    </row>
    <row r="2070" spans="2:34" x14ac:dyDescent="0.2">
      <c r="B2070" s="2">
        <f ca="1"/>
        <v>0.31690665654256889</v>
      </c>
      <c r="O2070" s="2">
        <f ca="1"/>
        <v>0.89500155667474335</v>
      </c>
      <c r="X2070" s="2">
        <f ca="1"/>
        <v>58.193176041238914</v>
      </c>
      <c r="AG2070" s="2">
        <f ca="1"/>
        <v>0.79366054837688549</v>
      </c>
      <c r="AH2070" s="2" t="str">
        <f ca="1"/>
        <v>Bad</v>
      </c>
    </row>
    <row r="2071" spans="2:34" x14ac:dyDescent="0.2">
      <c r="B2071" s="2">
        <f ca="1"/>
        <v>0.68484027632574018</v>
      </c>
      <c r="O2071" s="2">
        <f ca="1"/>
        <v>0.7430163259340371</v>
      </c>
      <c r="X2071" s="2">
        <f ca="1"/>
        <v>58.45387449414784</v>
      </c>
      <c r="AG2071" s="2">
        <f ca="1"/>
        <v>0.28373350482741855</v>
      </c>
      <c r="AH2071" s="2" t="str">
        <f ca="1"/>
        <v>OK</v>
      </c>
    </row>
    <row r="2072" spans="2:34" x14ac:dyDescent="0.2">
      <c r="B2072" s="2">
        <f ca="1"/>
        <v>1.1188564038870252E-2</v>
      </c>
      <c r="O2072" s="2">
        <f ca="1"/>
        <v>2.1035051805583413</v>
      </c>
      <c r="X2072" s="2">
        <f ca="1"/>
        <v>79.301410830278499</v>
      </c>
      <c r="AG2072" s="2">
        <f ca="1"/>
        <v>0.15085134158740199</v>
      </c>
      <c r="AH2072" s="2" t="str">
        <f ca="1"/>
        <v>OK</v>
      </c>
    </row>
    <row r="2073" spans="2:34" x14ac:dyDescent="0.2">
      <c r="B2073" s="2">
        <f ca="1"/>
        <v>0.69877044943846989</v>
      </c>
      <c r="O2073" s="2">
        <f ca="1"/>
        <v>0.24861682355531226</v>
      </c>
      <c r="X2073" s="2">
        <f ca="1"/>
        <v>41.848190398432095</v>
      </c>
      <c r="AG2073" s="2">
        <f ca="1"/>
        <v>0.28069807933411783</v>
      </c>
      <c r="AH2073" s="2" t="str">
        <f ca="1"/>
        <v>OK</v>
      </c>
    </row>
    <row r="2074" spans="2:34" x14ac:dyDescent="0.2">
      <c r="B2074" s="2">
        <f ca="1"/>
        <v>0.65143225903869206</v>
      </c>
      <c r="O2074" s="2">
        <f ca="1"/>
        <v>1.22009357341205E-2</v>
      </c>
      <c r="X2074" s="2">
        <f ca="1"/>
        <v>52.886536289702221</v>
      </c>
      <c r="AG2074" s="2">
        <f ca="1"/>
        <v>0.71768551905431299</v>
      </c>
      <c r="AH2074" s="2" t="str">
        <f ca="1"/>
        <v>Bad</v>
      </c>
    </row>
    <row r="2075" spans="2:34" x14ac:dyDescent="0.2">
      <c r="B2075" s="2">
        <f ca="1"/>
        <v>0.39984350262596369</v>
      </c>
      <c r="O2075" s="2">
        <f ca="1"/>
        <v>0.64844670590313591</v>
      </c>
      <c r="X2075" s="2">
        <f ca="1"/>
        <v>29.305597635740757</v>
      </c>
      <c r="AG2075" s="2">
        <f ca="1"/>
        <v>0.42767256056814107</v>
      </c>
      <c r="AH2075" s="2" t="str">
        <f ca="1"/>
        <v>Bad</v>
      </c>
    </row>
    <row r="2076" spans="2:34" x14ac:dyDescent="0.2">
      <c r="B2076" s="2">
        <f ca="1"/>
        <v>0.90277724648591962</v>
      </c>
      <c r="O2076" s="2">
        <f ca="1"/>
        <v>-2.3220112352000748</v>
      </c>
      <c r="X2076" s="2">
        <f ca="1"/>
        <v>30.27908779910231</v>
      </c>
      <c r="AG2076" s="2">
        <f ca="1"/>
        <v>0.17153913433533297</v>
      </c>
      <c r="AH2076" s="2" t="str">
        <f ca="1"/>
        <v>OK</v>
      </c>
    </row>
    <row r="2077" spans="2:34" x14ac:dyDescent="0.2">
      <c r="B2077" s="2">
        <f ca="1"/>
        <v>0.38097541140060986</v>
      </c>
      <c r="O2077" s="2">
        <f ca="1"/>
        <v>0.25970184337377161</v>
      </c>
      <c r="X2077" s="2">
        <f ca="1"/>
        <v>38.580863832383457</v>
      </c>
      <c r="AG2077" s="2">
        <f ca="1"/>
        <v>0.36677347575367603</v>
      </c>
      <c r="AH2077" s="2" t="str">
        <f ca="1"/>
        <v>OK</v>
      </c>
    </row>
    <row r="2078" spans="2:34" x14ac:dyDescent="0.2">
      <c r="B2078" s="2">
        <f ca="1"/>
        <v>0.53993422162769011</v>
      </c>
      <c r="O2078" s="2">
        <f ca="1"/>
        <v>-0.5483593761057568</v>
      </c>
      <c r="X2078" s="2">
        <f ca="1"/>
        <v>42.9103910168417</v>
      </c>
      <c r="AG2078" s="2">
        <f ca="1"/>
        <v>0.33075285324218706</v>
      </c>
      <c r="AH2078" s="2" t="str">
        <f ca="1"/>
        <v>OK</v>
      </c>
    </row>
    <row r="2079" spans="2:34" x14ac:dyDescent="0.2">
      <c r="B2079" s="2">
        <f ca="1"/>
        <v>0.51994865096667353</v>
      </c>
      <c r="O2079" s="2">
        <f ca="1"/>
        <v>-0.15407948233770644</v>
      </c>
      <c r="X2079" s="2">
        <f ca="1"/>
        <v>50.523766947729733</v>
      </c>
      <c r="AG2079" s="2">
        <f ca="1"/>
        <v>0.60740564240102835</v>
      </c>
      <c r="AH2079" s="2" t="str">
        <f ca="1"/>
        <v>Bad</v>
      </c>
    </row>
    <row r="2080" spans="2:34" x14ac:dyDescent="0.2">
      <c r="B2080" s="2">
        <f ca="1"/>
        <v>0.45987780148080026</v>
      </c>
      <c r="O2080" s="2">
        <f ca="1"/>
        <v>-0.7554595385242614</v>
      </c>
      <c r="X2080" s="2">
        <f ca="1"/>
        <v>39.421688251787543</v>
      </c>
      <c r="AG2080" s="2">
        <f ca="1"/>
        <v>0.94121754710027417</v>
      </c>
      <c r="AH2080" s="2" t="str">
        <f ca="1"/>
        <v>Bad</v>
      </c>
    </row>
    <row r="2081" spans="2:34" x14ac:dyDescent="0.2">
      <c r="B2081" s="2">
        <f ca="1"/>
        <v>0.5159583480473815</v>
      </c>
      <c r="O2081" s="2">
        <f ca="1"/>
        <v>1.1768117110492184</v>
      </c>
      <c r="X2081" s="2">
        <f ca="1"/>
        <v>53.030130667642993</v>
      </c>
      <c r="AG2081" s="2">
        <f ca="1"/>
        <v>0.19356126652905248</v>
      </c>
      <c r="AH2081" s="2" t="str">
        <f ca="1"/>
        <v>OK</v>
      </c>
    </row>
    <row r="2082" spans="2:34" x14ac:dyDescent="0.2">
      <c r="B2082" s="2">
        <f ca="1"/>
        <v>0.72121458557352391</v>
      </c>
      <c r="O2082" s="2">
        <f ca="1"/>
        <v>-2.444067574856001</v>
      </c>
      <c r="X2082" s="2">
        <f ca="1"/>
        <v>55.392652562228122</v>
      </c>
      <c r="AG2082" s="2">
        <f ca="1"/>
        <v>0.26753881265616197</v>
      </c>
      <c r="AH2082" s="2" t="str">
        <f ca="1"/>
        <v>OK</v>
      </c>
    </row>
    <row r="2083" spans="2:34" x14ac:dyDescent="0.2">
      <c r="B2083" s="2">
        <f ca="1"/>
        <v>0.48685152184640268</v>
      </c>
      <c r="O2083" s="2">
        <f ca="1"/>
        <v>0.88056841377151363</v>
      </c>
      <c r="X2083" s="2">
        <f ca="1"/>
        <v>33.804069159065236</v>
      </c>
      <c r="AG2083" s="2">
        <f ca="1"/>
        <v>0.71870387239429534</v>
      </c>
      <c r="AH2083" s="2" t="str">
        <f ca="1"/>
        <v>Bad</v>
      </c>
    </row>
    <row r="2084" spans="2:34" x14ac:dyDescent="0.2">
      <c r="B2084" s="2">
        <f ca="1"/>
        <v>8.1153539154581678E-2</v>
      </c>
      <c r="O2084" s="2">
        <f ca="1"/>
        <v>-0.47577987285893436</v>
      </c>
      <c r="X2084" s="2">
        <f ca="1"/>
        <v>69.654738292422294</v>
      </c>
      <c r="AG2084" s="2">
        <f ca="1"/>
        <v>6.7149468420457437E-2</v>
      </c>
      <c r="AH2084" s="2" t="str">
        <f ca="1"/>
        <v>OK</v>
      </c>
    </row>
    <row r="2085" spans="2:34" x14ac:dyDescent="0.2">
      <c r="B2085" s="2">
        <f ca="1"/>
        <v>0.6264808417230705</v>
      </c>
      <c r="O2085" s="2">
        <f ca="1"/>
        <v>-1.1548056711948085</v>
      </c>
      <c r="X2085" s="2">
        <f ca="1"/>
        <v>55.971581811864645</v>
      </c>
      <c r="AG2085" s="2">
        <f ca="1"/>
        <v>0.38740638784490899</v>
      </c>
      <c r="AH2085" s="2" t="str">
        <f ca="1"/>
        <v>OK</v>
      </c>
    </row>
    <row r="2086" spans="2:34" x14ac:dyDescent="0.2">
      <c r="B2086" s="2">
        <f ca="1"/>
        <v>0.9543222151166173</v>
      </c>
      <c r="O2086" s="2">
        <f ca="1"/>
        <v>0.17466506971268858</v>
      </c>
      <c r="X2086" s="2">
        <f ca="1"/>
        <v>30.792993319121678</v>
      </c>
      <c r="AG2086" s="2">
        <f ca="1"/>
        <v>0.47582476884304348</v>
      </c>
      <c r="AH2086" s="2" t="str">
        <f ca="1"/>
        <v>Bad</v>
      </c>
    </row>
    <row r="2087" spans="2:34" x14ac:dyDescent="0.2">
      <c r="B2087" s="2">
        <f ca="1"/>
        <v>0.17797621483067916</v>
      </c>
      <c r="O2087" s="2">
        <f ca="1"/>
        <v>0.81833399406884777</v>
      </c>
      <c r="X2087" s="2">
        <f ca="1"/>
        <v>22.999718213905869</v>
      </c>
      <c r="AG2087" s="2">
        <f ca="1"/>
        <v>0.29391075684041867</v>
      </c>
      <c r="AH2087" s="2" t="str">
        <f ca="1"/>
        <v>OK</v>
      </c>
    </row>
    <row r="2088" spans="2:34" x14ac:dyDescent="0.2">
      <c r="B2088" s="2">
        <f ca="1"/>
        <v>0.68029891505842466</v>
      </c>
      <c r="O2088" s="2">
        <f ca="1"/>
        <v>0.78405700206912443</v>
      </c>
      <c r="X2088" s="2">
        <f ca="1"/>
        <v>54.907044382589802</v>
      </c>
      <c r="AG2088" s="2">
        <f ca="1"/>
        <v>0.62717077338270055</v>
      </c>
      <c r="AH2088" s="2" t="str">
        <f ca="1"/>
        <v>Bad</v>
      </c>
    </row>
    <row r="2089" spans="2:34" x14ac:dyDescent="0.2">
      <c r="B2089" s="2">
        <f ca="1"/>
        <v>0.25411466279326622</v>
      </c>
      <c r="O2089" s="2">
        <f ca="1"/>
        <v>-0.26236020395454174</v>
      </c>
      <c r="X2089" s="2">
        <f ca="1"/>
        <v>58.793943998003698</v>
      </c>
      <c r="AG2089" s="2">
        <f ca="1"/>
        <v>7.3138858871102386E-3</v>
      </c>
      <c r="AH2089" s="2" t="str">
        <f ca="1"/>
        <v>Good</v>
      </c>
    </row>
    <row r="2090" spans="2:34" x14ac:dyDescent="0.2">
      <c r="B2090" s="2">
        <f ca="1"/>
        <v>0.56648633316234509</v>
      </c>
      <c r="O2090" s="2">
        <f ca="1"/>
        <v>-1.7921350907263869</v>
      </c>
      <c r="X2090" s="2">
        <f ca="1"/>
        <v>37.074630617186571</v>
      </c>
      <c r="AG2090" s="2">
        <f ca="1"/>
        <v>0.2417303665391739</v>
      </c>
      <c r="AH2090" s="2" t="str">
        <f ca="1"/>
        <v>OK</v>
      </c>
    </row>
    <row r="2091" spans="2:34" x14ac:dyDescent="0.2">
      <c r="B2091" s="2">
        <f ca="1"/>
        <v>0.30419849117594078</v>
      </c>
      <c r="O2091" s="2">
        <f ca="1"/>
        <v>-0.18636244834729165</v>
      </c>
      <c r="X2091" s="2">
        <f ca="1"/>
        <v>23.485994953156954</v>
      </c>
      <c r="AG2091" s="2">
        <f ca="1"/>
        <v>0.61635569535228085</v>
      </c>
      <c r="AH2091" s="2" t="str">
        <f ca="1"/>
        <v>Bad</v>
      </c>
    </row>
    <row r="2092" spans="2:34" x14ac:dyDescent="0.2">
      <c r="B2092" s="2">
        <f ca="1"/>
        <v>0.60107462595496486</v>
      </c>
      <c r="O2092" s="2">
        <f ca="1"/>
        <v>-1.2349199066339038</v>
      </c>
      <c r="X2092" s="2">
        <f ca="1"/>
        <v>43.470180785130012</v>
      </c>
      <c r="AG2092" s="2">
        <f ca="1"/>
        <v>0.45484547745790915</v>
      </c>
      <c r="AH2092" s="2" t="str">
        <f ca="1"/>
        <v>Bad</v>
      </c>
    </row>
    <row r="2093" spans="2:34" x14ac:dyDescent="0.2">
      <c r="B2093" s="2">
        <f ca="1"/>
        <v>0.10242605401053195</v>
      </c>
      <c r="O2093" s="2">
        <f ca="1"/>
        <v>0.75573543785427566</v>
      </c>
      <c r="X2093" s="2">
        <f ca="1"/>
        <v>42.98533446057575</v>
      </c>
      <c r="AG2093" s="2">
        <f ca="1"/>
        <v>0.55746871450259072</v>
      </c>
      <c r="AH2093" s="2" t="str">
        <f ca="1"/>
        <v>Bad</v>
      </c>
    </row>
    <row r="2094" spans="2:34" x14ac:dyDescent="0.2">
      <c r="B2094" s="2">
        <f ca="1"/>
        <v>0.43057336249233624</v>
      </c>
      <c r="O2094" s="2">
        <f ca="1"/>
        <v>1.9526957844654849</v>
      </c>
      <c r="X2094" s="2">
        <f ca="1"/>
        <v>50.326501332870663</v>
      </c>
      <c r="AG2094" s="2">
        <f ca="1"/>
        <v>0.65446293494410313</v>
      </c>
      <c r="AH2094" s="2" t="str">
        <f ca="1"/>
        <v>Bad</v>
      </c>
    </row>
    <row r="2095" spans="2:34" x14ac:dyDescent="0.2">
      <c r="B2095" s="2">
        <f ca="1"/>
        <v>0.23545155738908763</v>
      </c>
      <c r="O2095" s="2">
        <f ca="1"/>
        <v>-0.56023757398642382</v>
      </c>
      <c r="X2095" s="2">
        <f ca="1"/>
        <v>57.929916892740579</v>
      </c>
      <c r="AG2095" s="2">
        <f ca="1"/>
        <v>0.83884954875304829</v>
      </c>
      <c r="AH2095" s="2" t="str">
        <f ca="1"/>
        <v>Bad</v>
      </c>
    </row>
    <row r="2096" spans="2:34" x14ac:dyDescent="0.2">
      <c r="B2096" s="2">
        <f ca="1"/>
        <v>0.60056526286549827</v>
      </c>
      <c r="O2096" s="2">
        <f ca="1"/>
        <v>0.6885147855164343</v>
      </c>
      <c r="X2096" s="2">
        <f ca="1"/>
        <v>37.900358439219282</v>
      </c>
      <c r="AG2096" s="2">
        <f ca="1"/>
        <v>0.24089021857020843</v>
      </c>
      <c r="AH2096" s="2" t="str">
        <f ca="1"/>
        <v>OK</v>
      </c>
    </row>
    <row r="2097" spans="2:34" x14ac:dyDescent="0.2">
      <c r="B2097" s="2">
        <f ca="1"/>
        <v>1.685904582008324E-2</v>
      </c>
      <c r="O2097" s="2">
        <f ca="1"/>
        <v>-0.62845742437950058</v>
      </c>
      <c r="X2097" s="2">
        <f ca="1"/>
        <v>61.034185355861588</v>
      </c>
      <c r="AG2097" s="2">
        <f ca="1"/>
        <v>0.96889458688436991</v>
      </c>
      <c r="AH2097" s="2" t="str">
        <f ca="1"/>
        <v>Bad</v>
      </c>
    </row>
    <row r="2098" spans="2:34" x14ac:dyDescent="0.2">
      <c r="B2098" s="2">
        <f ca="1"/>
        <v>0.13412283798720925</v>
      </c>
      <c r="O2098" s="2">
        <f ca="1"/>
        <v>1.1347404224478757</v>
      </c>
      <c r="X2098" s="2">
        <f ca="1"/>
        <v>66.337120692426765</v>
      </c>
      <c r="AG2098" s="2">
        <f ca="1"/>
        <v>0.63073653589892076</v>
      </c>
      <c r="AH2098" s="2" t="str">
        <f ca="1"/>
        <v>Bad</v>
      </c>
    </row>
    <row r="2099" spans="2:34" x14ac:dyDescent="0.2">
      <c r="B2099" s="2">
        <f ca="1"/>
        <v>0.92305731773734467</v>
      </c>
      <c r="O2099" s="2">
        <f ca="1"/>
        <v>0.22365892940934698</v>
      </c>
      <c r="X2099" s="2">
        <f ca="1"/>
        <v>47.836885801102518</v>
      </c>
      <c r="AG2099" s="2">
        <f ca="1"/>
        <v>0.43360450866192912</v>
      </c>
      <c r="AH2099" s="2" t="str">
        <f ca="1"/>
        <v>Bad</v>
      </c>
    </row>
    <row r="2100" spans="2:34" x14ac:dyDescent="0.2">
      <c r="B2100" s="2">
        <f ca="1"/>
        <v>0.20272081261796449</v>
      </c>
      <c r="O2100" s="2">
        <f ca="1"/>
        <v>0.15030079488473749</v>
      </c>
      <c r="X2100" s="2">
        <f ca="1"/>
        <v>39.561188841510905</v>
      </c>
      <c r="AG2100" s="2">
        <f ca="1"/>
        <v>0.52807954445838323</v>
      </c>
      <c r="AH2100" s="2" t="str">
        <f ca="1"/>
        <v>Bad</v>
      </c>
    </row>
    <row r="2101" spans="2:34" x14ac:dyDescent="0.2">
      <c r="B2101" s="2">
        <f ca="1"/>
        <v>0.48017159786671826</v>
      </c>
      <c r="O2101" s="2">
        <f ca="1"/>
        <v>-1.4546745723321648</v>
      </c>
      <c r="X2101" s="2">
        <f ca="1"/>
        <v>38.182775354572371</v>
      </c>
      <c r="AG2101" s="2">
        <f ca="1"/>
        <v>0.88449618972450406</v>
      </c>
      <c r="AH2101" s="2" t="str">
        <f ca="1"/>
        <v>Bad</v>
      </c>
    </row>
    <row r="2102" spans="2:34" x14ac:dyDescent="0.2">
      <c r="B2102" s="2">
        <f ca="1"/>
        <v>0.66126301857746483</v>
      </c>
      <c r="O2102" s="2">
        <f ca="1"/>
        <v>-1.1657565523427527</v>
      </c>
      <c r="X2102" s="2">
        <f ca="1"/>
        <v>43.750161698262346</v>
      </c>
      <c r="AG2102" s="2">
        <f ca="1"/>
        <v>0.62065164237236514</v>
      </c>
      <c r="AH2102" s="2" t="str">
        <f ca="1"/>
        <v>Bad</v>
      </c>
    </row>
    <row r="2103" spans="2:34" x14ac:dyDescent="0.2">
      <c r="B2103" s="2">
        <f ca="1"/>
        <v>0.85048827958809969</v>
      </c>
      <c r="O2103" s="2">
        <f ca="1"/>
        <v>0.50043952462872088</v>
      </c>
      <c r="X2103" s="2">
        <f ca="1"/>
        <v>64.380900410763061</v>
      </c>
      <c r="AG2103" s="2">
        <f ca="1"/>
        <v>0.42480458220782524</v>
      </c>
      <c r="AH2103" s="2" t="str">
        <f ca="1"/>
        <v>Bad</v>
      </c>
    </row>
    <row r="2104" spans="2:34" x14ac:dyDescent="0.2">
      <c r="B2104" s="2">
        <f ca="1"/>
        <v>8.0721087045727558E-3</v>
      </c>
      <c r="O2104" s="2">
        <f ca="1"/>
        <v>0.53023603534644781</v>
      </c>
      <c r="X2104" s="2">
        <f ca="1"/>
        <v>43.405879999466819</v>
      </c>
      <c r="AG2104" s="2">
        <f ca="1"/>
        <v>0.54674792774273184</v>
      </c>
      <c r="AH2104" s="2" t="str">
        <f ca="1"/>
        <v>Bad</v>
      </c>
    </row>
    <row r="2105" spans="2:34" x14ac:dyDescent="0.2">
      <c r="B2105" s="2">
        <f ca="1"/>
        <v>0.30358577950393806</v>
      </c>
      <c r="O2105" s="2">
        <f ca="1"/>
        <v>-2.9925534447672958E-2</v>
      </c>
      <c r="X2105" s="2">
        <f ca="1"/>
        <v>72.657590274447898</v>
      </c>
      <c r="AG2105" s="2">
        <f ca="1"/>
        <v>0.97115302965988493</v>
      </c>
      <c r="AH2105" s="2" t="str">
        <f ca="1"/>
        <v>Bad</v>
      </c>
    </row>
    <row r="2106" spans="2:34" x14ac:dyDescent="0.2">
      <c r="B2106" s="2">
        <f ca="1"/>
        <v>0.23951597736086194</v>
      </c>
      <c r="O2106" s="2">
        <f ca="1"/>
        <v>-0.43887593611318437</v>
      </c>
      <c r="X2106" s="2">
        <f ca="1"/>
        <v>43.563971860084806</v>
      </c>
      <c r="AG2106" s="2">
        <f ca="1"/>
        <v>0.72576489354774298</v>
      </c>
      <c r="AH2106" s="2" t="str">
        <f ca="1"/>
        <v>Bad</v>
      </c>
    </row>
    <row r="2107" spans="2:34" x14ac:dyDescent="0.2">
      <c r="B2107" s="2">
        <f ca="1"/>
        <v>0.40859960991067457</v>
      </c>
      <c r="O2107" s="2">
        <f ca="1"/>
        <v>-1.1080726788367712</v>
      </c>
      <c r="X2107" s="2">
        <f ca="1"/>
        <v>49.330979198229329</v>
      </c>
      <c r="AG2107" s="2">
        <f ca="1"/>
        <v>9.7799351277994218E-2</v>
      </c>
      <c r="AH2107" s="2" t="str">
        <f ca="1"/>
        <v>OK</v>
      </c>
    </row>
    <row r="2108" spans="2:34" x14ac:dyDescent="0.2">
      <c r="B2108" s="2">
        <f ca="1"/>
        <v>0.24598187887762646</v>
      </c>
      <c r="O2108" s="2">
        <f ca="1"/>
        <v>0.64726590177556442</v>
      </c>
      <c r="X2108" s="2">
        <f ca="1"/>
        <v>54.078636695924558</v>
      </c>
      <c r="AG2108" s="2">
        <f ca="1"/>
        <v>0.24008363558873325</v>
      </c>
      <c r="AH2108" s="2" t="str">
        <f ca="1"/>
        <v>OK</v>
      </c>
    </row>
    <row r="2109" spans="2:34" x14ac:dyDescent="0.2">
      <c r="B2109" s="2">
        <f ca="1"/>
        <v>1.6473013308857309E-2</v>
      </c>
      <c r="O2109" s="2">
        <f ca="1"/>
        <v>-1.6398891395966748</v>
      </c>
      <c r="X2109" s="2">
        <f ca="1"/>
        <v>60.547894337343891</v>
      </c>
      <c r="AG2109" s="2">
        <f ca="1"/>
        <v>0.42867456377715296</v>
      </c>
      <c r="AH2109" s="2" t="str">
        <f ca="1"/>
        <v>Bad</v>
      </c>
    </row>
    <row r="2110" spans="2:34" x14ac:dyDescent="0.2">
      <c r="B2110" s="2">
        <f ca="1"/>
        <v>0.38650169256982281</v>
      </c>
      <c r="O2110" s="2">
        <f ca="1"/>
        <v>2.7497722482257285</v>
      </c>
      <c r="X2110" s="2">
        <f ca="1"/>
        <v>58.153699038051244</v>
      </c>
      <c r="AG2110" s="2">
        <f ca="1"/>
        <v>0.68945146508455091</v>
      </c>
      <c r="AH2110" s="2" t="str">
        <f ca="1"/>
        <v>Bad</v>
      </c>
    </row>
    <row r="2111" spans="2:34" x14ac:dyDescent="0.2">
      <c r="B2111" s="2">
        <f ca="1"/>
        <v>0.35316181213324205</v>
      </c>
      <c r="O2111" s="2">
        <f ca="1"/>
        <v>0.90353880264983855</v>
      </c>
      <c r="X2111" s="2">
        <f ca="1"/>
        <v>72.873367147455099</v>
      </c>
      <c r="AG2111" s="2">
        <f ca="1"/>
        <v>0.89601303157027612</v>
      </c>
      <c r="AH2111" s="2" t="str">
        <f ca="1"/>
        <v>Bad</v>
      </c>
    </row>
    <row r="2112" spans="2:34" x14ac:dyDescent="0.2">
      <c r="B2112" s="2">
        <f ca="1"/>
        <v>0.2776827466304117</v>
      </c>
      <c r="O2112" s="2">
        <f ca="1"/>
        <v>-1.3354442850006798</v>
      </c>
      <c r="X2112" s="2">
        <f ca="1"/>
        <v>57.056952204084993</v>
      </c>
      <c r="AG2112" s="2">
        <f ca="1"/>
        <v>0.77441632898219392</v>
      </c>
      <c r="AH2112" s="2" t="str">
        <f ca="1"/>
        <v>Bad</v>
      </c>
    </row>
    <row r="2113" spans="2:34" x14ac:dyDescent="0.2">
      <c r="B2113" s="2">
        <f ca="1"/>
        <v>0.95955387042128359</v>
      </c>
      <c r="O2113" s="2">
        <f ca="1"/>
        <v>-0.343786129752014</v>
      </c>
      <c r="X2113" s="2">
        <f ca="1"/>
        <v>40.631786365383533</v>
      </c>
      <c r="AG2113" s="2">
        <f ca="1"/>
        <v>0.31973105275189861</v>
      </c>
      <c r="AH2113" s="2" t="str">
        <f ca="1"/>
        <v>OK</v>
      </c>
    </row>
    <row r="2114" spans="2:34" x14ac:dyDescent="0.2">
      <c r="B2114" s="2">
        <f ca="1"/>
        <v>3.8999047229051564E-2</v>
      </c>
      <c r="O2114" s="2">
        <f ca="1"/>
        <v>-0.97803669926847703</v>
      </c>
      <c r="X2114" s="2">
        <f ca="1"/>
        <v>38.372528203796271</v>
      </c>
      <c r="AG2114" s="2">
        <f ca="1"/>
        <v>0.4482540589064512</v>
      </c>
      <c r="AH2114" s="2" t="str">
        <f ca="1"/>
        <v>Bad</v>
      </c>
    </row>
    <row r="2115" spans="2:34" x14ac:dyDescent="0.2">
      <c r="B2115" s="2">
        <f ca="1"/>
        <v>0.35140954785940481</v>
      </c>
      <c r="O2115" s="2">
        <f ca="1"/>
        <v>-0.96906612532743275</v>
      </c>
      <c r="X2115" s="2">
        <f ca="1"/>
        <v>66.688620922730991</v>
      </c>
      <c r="AG2115" s="2">
        <f ca="1"/>
        <v>0.88589458151972966</v>
      </c>
      <c r="AH2115" s="2" t="str">
        <f ca="1"/>
        <v>Bad</v>
      </c>
    </row>
    <row r="2116" spans="2:34" x14ac:dyDescent="0.2">
      <c r="B2116" s="2">
        <f ca="1"/>
        <v>0.92510071105871949</v>
      </c>
      <c r="O2116" s="2">
        <f ca="1"/>
        <v>-1.062940691836014</v>
      </c>
      <c r="X2116" s="2">
        <f ca="1"/>
        <v>43.45647290557423</v>
      </c>
      <c r="AG2116" s="2">
        <f ca="1"/>
        <v>0.84568401966288964</v>
      </c>
      <c r="AH2116" s="2" t="str">
        <f ca="1"/>
        <v>Bad</v>
      </c>
    </row>
    <row r="2117" spans="2:34" x14ac:dyDescent="0.2">
      <c r="B2117" s="2">
        <f ca="1"/>
        <v>0.19602493454778935</v>
      </c>
      <c r="O2117" s="2">
        <f ca="1"/>
        <v>0.28805908013345455</v>
      </c>
      <c r="X2117" s="2">
        <f ca="1"/>
        <v>67.032112807076885</v>
      </c>
      <c r="AG2117" s="2">
        <f ca="1"/>
        <v>0.96652270867869472</v>
      </c>
      <c r="AH2117" s="2" t="str">
        <f ca="1"/>
        <v>Bad</v>
      </c>
    </row>
    <row r="2118" spans="2:34" x14ac:dyDescent="0.2">
      <c r="B2118" s="2">
        <f ca="1"/>
        <v>0.49011181551671967</v>
      </c>
      <c r="O2118" s="2">
        <f ca="1"/>
        <v>0.72353654857521266</v>
      </c>
      <c r="X2118" s="2">
        <f ca="1"/>
        <v>43.36805268359295</v>
      </c>
      <c r="AG2118" s="2">
        <f ca="1"/>
        <v>0.17844797732759354</v>
      </c>
      <c r="AH2118" s="2" t="str">
        <f ca="1"/>
        <v>OK</v>
      </c>
    </row>
    <row r="2119" spans="2:34" x14ac:dyDescent="0.2">
      <c r="B2119" s="2">
        <f ca="1"/>
        <v>0.76995541437525072</v>
      </c>
      <c r="O2119" s="2">
        <f ca="1"/>
        <v>1.0027790255897229</v>
      </c>
      <c r="X2119" s="2">
        <f ca="1"/>
        <v>30.555551965922927</v>
      </c>
      <c r="AG2119" s="2">
        <f ca="1"/>
        <v>0.71033376917324009</v>
      </c>
      <c r="AH2119" s="2" t="str">
        <f ca="1"/>
        <v>Bad</v>
      </c>
    </row>
    <row r="2120" spans="2:34" x14ac:dyDescent="0.2">
      <c r="B2120" s="2">
        <f ca="1"/>
        <v>0.74445726720208727</v>
      </c>
      <c r="O2120" s="2">
        <f ca="1"/>
        <v>0.75931310700241172</v>
      </c>
      <c r="X2120" s="2">
        <f ca="1"/>
        <v>56.267506139017499</v>
      </c>
      <c r="AG2120" s="2">
        <f ca="1"/>
        <v>3.77535608622801E-2</v>
      </c>
      <c r="AH2120" s="2" t="str">
        <f ca="1"/>
        <v>Good</v>
      </c>
    </row>
    <row r="2121" spans="2:34" x14ac:dyDescent="0.2">
      <c r="B2121" s="2">
        <f ca="1"/>
        <v>0.90626041458908402</v>
      </c>
      <c r="O2121" s="2">
        <f ca="1"/>
        <v>0.27379576170598646</v>
      </c>
      <c r="X2121" s="2">
        <f ca="1"/>
        <v>43.234994035532573</v>
      </c>
      <c r="AG2121" s="2">
        <f ca="1"/>
        <v>0.45581344792442202</v>
      </c>
      <c r="AH2121" s="2" t="str">
        <f ca="1"/>
        <v>Bad</v>
      </c>
    </row>
    <row r="2122" spans="2:34" x14ac:dyDescent="0.2">
      <c r="B2122" s="2">
        <f ca="1"/>
        <v>3.7604702867247042E-2</v>
      </c>
      <c r="O2122" s="2">
        <f ca="1"/>
        <v>0.68867428804739717</v>
      </c>
      <c r="X2122" s="2">
        <f ca="1"/>
        <v>61.546676698567786</v>
      </c>
      <c r="AG2122" s="2">
        <f ca="1"/>
        <v>0.35955934823747548</v>
      </c>
      <c r="AH2122" s="2" t="str">
        <f ca="1"/>
        <v>OK</v>
      </c>
    </row>
    <row r="2123" spans="2:34" x14ac:dyDescent="0.2">
      <c r="B2123" s="2">
        <f ca="1"/>
        <v>0.10725000282231067</v>
      </c>
      <c r="O2123" s="2">
        <f ca="1"/>
        <v>-1.8575154289598204</v>
      </c>
      <c r="X2123" s="2">
        <f ca="1"/>
        <v>79.465245406525639</v>
      </c>
      <c r="AG2123" s="2">
        <f ca="1"/>
        <v>0.11183972411669707</v>
      </c>
      <c r="AH2123" s="2" t="str">
        <f ca="1"/>
        <v>OK</v>
      </c>
    </row>
    <row r="2124" spans="2:34" x14ac:dyDescent="0.2">
      <c r="B2124" s="2">
        <f ca="1"/>
        <v>0.14236040177893372</v>
      </c>
      <c r="O2124" s="2">
        <f ca="1"/>
        <v>0.31787315823466272</v>
      </c>
      <c r="X2124" s="2">
        <f ca="1"/>
        <v>48.435844445846008</v>
      </c>
      <c r="AG2124" s="2">
        <f ca="1"/>
        <v>0.4426858921403749</v>
      </c>
      <c r="AH2124" s="2" t="str">
        <f ca="1"/>
        <v>Bad</v>
      </c>
    </row>
    <row r="2125" spans="2:34" x14ac:dyDescent="0.2">
      <c r="B2125" s="2">
        <f ca="1"/>
        <v>0.59122730182558492</v>
      </c>
      <c r="O2125" s="2">
        <f ca="1"/>
        <v>-8.075326731638971E-2</v>
      </c>
      <c r="X2125" s="2">
        <f ca="1"/>
        <v>22.668540669639164</v>
      </c>
      <c r="AG2125" s="2">
        <f ca="1"/>
        <v>0.26115936396785711</v>
      </c>
      <c r="AH2125" s="2" t="str">
        <f ca="1"/>
        <v>OK</v>
      </c>
    </row>
    <row r="2126" spans="2:34" x14ac:dyDescent="0.2">
      <c r="B2126" s="2">
        <f ca="1"/>
        <v>7.5008865274966752E-2</v>
      </c>
      <c r="O2126" s="2">
        <f ca="1"/>
        <v>-0.863468243996527</v>
      </c>
      <c r="X2126" s="2">
        <f ca="1"/>
        <v>55.068500595766622</v>
      </c>
      <c r="AG2126" s="2">
        <f ca="1"/>
        <v>0.62935203643241922</v>
      </c>
      <c r="AH2126" s="2" t="str">
        <f ca="1"/>
        <v>Bad</v>
      </c>
    </row>
    <row r="2127" spans="2:34" x14ac:dyDescent="0.2">
      <c r="B2127" s="2">
        <f ca="1"/>
        <v>0.36610179442955926</v>
      </c>
      <c r="O2127" s="2">
        <f ca="1"/>
        <v>0.63646923008165801</v>
      </c>
      <c r="X2127" s="2">
        <f ca="1"/>
        <v>57.335318125500507</v>
      </c>
      <c r="AG2127" s="2">
        <f ca="1"/>
        <v>9.9790185368179962E-2</v>
      </c>
      <c r="AH2127" s="2" t="str">
        <f ca="1"/>
        <v>OK</v>
      </c>
    </row>
    <row r="2128" spans="2:34" x14ac:dyDescent="0.2">
      <c r="B2128" s="2">
        <f ca="1"/>
        <v>0.59271141974207819</v>
      </c>
      <c r="O2128" s="2">
        <f ca="1"/>
        <v>-0.80622973106472573</v>
      </c>
      <c r="X2128" s="2">
        <f ca="1"/>
        <v>57.640366702678733</v>
      </c>
      <c r="AG2128" s="2">
        <f ca="1"/>
        <v>0.10495390472999722</v>
      </c>
      <c r="AH2128" s="2" t="str">
        <f ca="1"/>
        <v>OK</v>
      </c>
    </row>
    <row r="2129" spans="2:34" x14ac:dyDescent="0.2">
      <c r="B2129" s="2">
        <f ca="1"/>
        <v>2.681515951306368E-2</v>
      </c>
      <c r="O2129" s="2">
        <f ca="1"/>
        <v>0.41394125044768709</v>
      </c>
      <c r="X2129" s="2">
        <f ca="1"/>
        <v>53.394984087124733</v>
      </c>
      <c r="AG2129" s="2">
        <f ca="1"/>
        <v>7.1493708389684718E-2</v>
      </c>
      <c r="AH2129" s="2" t="str">
        <f ca="1"/>
        <v>OK</v>
      </c>
    </row>
    <row r="2130" spans="2:34" x14ac:dyDescent="0.2">
      <c r="B2130" s="2">
        <f ca="1"/>
        <v>0.17808046839122582</v>
      </c>
      <c r="O2130" s="2">
        <f ca="1"/>
        <v>-0.10012711947266519</v>
      </c>
      <c r="X2130" s="2">
        <f ca="1"/>
        <v>54.223743711367689</v>
      </c>
      <c r="AG2130" s="2">
        <f ca="1"/>
        <v>1.6406223585588853E-2</v>
      </c>
      <c r="AH2130" s="2" t="str">
        <f ca="1"/>
        <v>Good</v>
      </c>
    </row>
    <row r="2131" spans="2:34" x14ac:dyDescent="0.2">
      <c r="B2131" s="2">
        <f ca="1"/>
        <v>0.45941628378704857</v>
      </c>
      <c r="O2131" s="2">
        <f ca="1"/>
        <v>1.1601398119207034</v>
      </c>
      <c r="X2131" s="2">
        <f ca="1"/>
        <v>39.982966130876406</v>
      </c>
      <c r="AG2131" s="2">
        <f ca="1"/>
        <v>0.42805915572543007</v>
      </c>
      <c r="AH2131" s="2" t="str">
        <f ca="1"/>
        <v>Bad</v>
      </c>
    </row>
    <row r="2132" spans="2:34" x14ac:dyDescent="0.2">
      <c r="B2132" s="2">
        <f ca="1"/>
        <v>0.39487748506815978</v>
      </c>
      <c r="O2132" s="2">
        <f ca="1"/>
        <v>-1.8682723831609667</v>
      </c>
      <c r="X2132" s="2">
        <f ca="1"/>
        <v>24.41827275041193</v>
      </c>
      <c r="AG2132" s="2">
        <f ca="1"/>
        <v>1.2832034977477313E-2</v>
      </c>
      <c r="AH2132" s="2" t="str">
        <f ca="1"/>
        <v>Good</v>
      </c>
    </row>
    <row r="2133" spans="2:34" x14ac:dyDescent="0.2">
      <c r="B2133" s="2">
        <f ca="1"/>
        <v>0.39724965513380184</v>
      </c>
      <c r="O2133" s="2">
        <f ca="1"/>
        <v>2.2337548249451781E-2</v>
      </c>
      <c r="X2133" s="2">
        <f ca="1"/>
        <v>49.105689498313637</v>
      </c>
      <c r="AG2133" s="2">
        <f ca="1"/>
        <v>0.27274413281941068</v>
      </c>
      <c r="AH2133" s="2" t="str">
        <f ca="1"/>
        <v>OK</v>
      </c>
    </row>
    <row r="2134" spans="2:34" x14ac:dyDescent="0.2">
      <c r="B2134" s="2">
        <f ca="1"/>
        <v>0.73500893358337493</v>
      </c>
      <c r="O2134" s="2">
        <f ca="1"/>
        <v>0.26849405065802706</v>
      </c>
      <c r="X2134" s="2">
        <f ca="1"/>
        <v>61.686650482454354</v>
      </c>
      <c r="AG2134" s="2">
        <f ca="1"/>
        <v>0.50780910498934317</v>
      </c>
      <c r="AH2134" s="2" t="str">
        <f ca="1"/>
        <v>Bad</v>
      </c>
    </row>
    <row r="2135" spans="2:34" x14ac:dyDescent="0.2">
      <c r="B2135" s="2">
        <f ca="1"/>
        <v>0.86571063140744831</v>
      </c>
      <c r="O2135" s="2">
        <f ca="1"/>
        <v>1.0275245408050484</v>
      </c>
      <c r="X2135" s="2">
        <f ca="1"/>
        <v>94.925177910152399</v>
      </c>
      <c r="AG2135" s="2">
        <f ca="1"/>
        <v>0.60816971056819891</v>
      </c>
      <c r="AH2135" s="2" t="str">
        <f ca="1"/>
        <v>Bad</v>
      </c>
    </row>
    <row r="2136" spans="2:34" x14ac:dyDescent="0.2">
      <c r="B2136" s="2">
        <f ca="1"/>
        <v>0.52515888190443016</v>
      </c>
      <c r="O2136" s="2">
        <f ca="1"/>
        <v>-0.51610267478910765</v>
      </c>
      <c r="X2136" s="2">
        <f ca="1"/>
        <v>79.530531010935562</v>
      </c>
      <c r="AG2136" s="2">
        <f ca="1"/>
        <v>0.21690455307056644</v>
      </c>
      <c r="AH2136" s="2" t="str">
        <f ca="1"/>
        <v>OK</v>
      </c>
    </row>
    <row r="2137" spans="2:34" x14ac:dyDescent="0.2">
      <c r="B2137" s="2">
        <f ca="1"/>
        <v>0.31510818945833785</v>
      </c>
      <c r="O2137" s="2">
        <f ca="1"/>
        <v>1.2358561899446112</v>
      </c>
      <c r="X2137" s="2">
        <f ca="1"/>
        <v>26.981677577236177</v>
      </c>
      <c r="AG2137" s="2">
        <f ca="1"/>
        <v>0.28387470259206604</v>
      </c>
      <c r="AH2137" s="2" t="str">
        <f ca="1"/>
        <v>OK</v>
      </c>
    </row>
    <row r="2138" spans="2:34" x14ac:dyDescent="0.2">
      <c r="B2138" s="2">
        <f ca="1"/>
        <v>0.33148775087753646</v>
      </c>
      <c r="O2138" s="2">
        <f ca="1"/>
        <v>1.0144513248251539</v>
      </c>
      <c r="X2138" s="2">
        <f ca="1"/>
        <v>58.230896592554544</v>
      </c>
      <c r="AG2138" s="2">
        <f ca="1"/>
        <v>0.28519054831924473</v>
      </c>
      <c r="AH2138" s="2" t="str">
        <f ca="1"/>
        <v>OK</v>
      </c>
    </row>
    <row r="2139" spans="2:34" x14ac:dyDescent="0.2">
      <c r="B2139" s="2">
        <f ca="1"/>
        <v>0.83903811522243243</v>
      </c>
      <c r="O2139" s="2">
        <f ca="1"/>
        <v>0.66566823987605828</v>
      </c>
      <c r="X2139" s="2">
        <f ca="1"/>
        <v>48.05880718012488</v>
      </c>
      <c r="AG2139" s="2">
        <f ca="1"/>
        <v>0.38796150337761293</v>
      </c>
      <c r="AH2139" s="2" t="str">
        <f ca="1"/>
        <v>OK</v>
      </c>
    </row>
    <row r="2140" spans="2:34" x14ac:dyDescent="0.2">
      <c r="B2140" s="2">
        <f ca="1"/>
        <v>0.88458650961714613</v>
      </c>
      <c r="O2140" s="2">
        <f ca="1"/>
        <v>1.4054840561072313</v>
      </c>
      <c r="X2140" s="2">
        <f ca="1"/>
        <v>50.243233627795327</v>
      </c>
      <c r="AG2140" s="2">
        <f ca="1"/>
        <v>0.27803279796908709</v>
      </c>
      <c r="AH2140" s="2" t="str">
        <f ca="1"/>
        <v>OK</v>
      </c>
    </row>
    <row r="2141" spans="2:34" x14ac:dyDescent="0.2">
      <c r="B2141" s="2">
        <f ca="1"/>
        <v>0.53028214500278659</v>
      </c>
      <c r="O2141" s="2">
        <f ca="1"/>
        <v>0.58442333082367059</v>
      </c>
      <c r="X2141" s="2">
        <f ca="1"/>
        <v>54.737968243057523</v>
      </c>
      <c r="AG2141" s="2">
        <f ca="1"/>
        <v>0.63574955264195121</v>
      </c>
      <c r="AH2141" s="2" t="str">
        <f ca="1"/>
        <v>Bad</v>
      </c>
    </row>
    <row r="2142" spans="2:34" x14ac:dyDescent="0.2">
      <c r="B2142" s="2">
        <f ca="1"/>
        <v>0.79554602759923032</v>
      </c>
      <c r="O2142" s="2">
        <f ca="1"/>
        <v>0.32533154950427196</v>
      </c>
      <c r="X2142" s="2">
        <f ca="1"/>
        <v>88.63434267060525</v>
      </c>
      <c r="AG2142" s="2">
        <f ca="1"/>
        <v>0.25864915291726032</v>
      </c>
      <c r="AH2142" s="2" t="str">
        <f ca="1"/>
        <v>OK</v>
      </c>
    </row>
    <row r="2143" spans="2:34" x14ac:dyDescent="0.2">
      <c r="B2143" s="2">
        <f ca="1"/>
        <v>0.27579874017386619</v>
      </c>
      <c r="O2143" s="2">
        <f ca="1"/>
        <v>0.9865230912113413</v>
      </c>
      <c r="X2143" s="2">
        <f ca="1"/>
        <v>49.479358113710717</v>
      </c>
      <c r="AG2143" s="2">
        <f ca="1"/>
        <v>0.83768571648204615</v>
      </c>
      <c r="AH2143" s="2" t="str">
        <f ca="1"/>
        <v>Bad</v>
      </c>
    </row>
    <row r="2144" spans="2:34" x14ac:dyDescent="0.2">
      <c r="B2144" s="2">
        <f ca="1"/>
        <v>0.62892793490584786</v>
      </c>
      <c r="O2144" s="2">
        <f ca="1"/>
        <v>-1.3263065619040828</v>
      </c>
      <c r="X2144" s="2">
        <f ca="1"/>
        <v>45.422596504463506</v>
      </c>
      <c r="AG2144" s="2">
        <f ca="1"/>
        <v>0.59816427392461802</v>
      </c>
      <c r="AH2144" s="2" t="str">
        <f ca="1"/>
        <v>Bad</v>
      </c>
    </row>
    <row r="2145" spans="2:34" x14ac:dyDescent="0.2">
      <c r="B2145" s="2">
        <f ca="1"/>
        <v>0.99731588005925276</v>
      </c>
      <c r="O2145" s="2">
        <f ca="1"/>
        <v>1.0869554622354853</v>
      </c>
      <c r="X2145" s="2">
        <f ca="1"/>
        <v>65.477092712007959</v>
      </c>
      <c r="AG2145" s="2">
        <f ca="1"/>
        <v>0.86543520698181498</v>
      </c>
      <c r="AH2145" s="2" t="str">
        <f ca="1"/>
        <v>Bad</v>
      </c>
    </row>
    <row r="2146" spans="2:34" x14ac:dyDescent="0.2">
      <c r="B2146" s="2">
        <f ca="1"/>
        <v>6.6391987986679668E-2</v>
      </c>
      <c r="O2146" s="2">
        <f ca="1"/>
        <v>-0.82079163356696327</v>
      </c>
      <c r="X2146" s="2">
        <f ca="1"/>
        <v>82.403772030162258</v>
      </c>
      <c r="AG2146" s="2">
        <f ca="1"/>
        <v>0.33885194546805142</v>
      </c>
      <c r="AH2146" s="2" t="str">
        <f ca="1"/>
        <v>OK</v>
      </c>
    </row>
    <row r="2147" spans="2:34" x14ac:dyDescent="0.2">
      <c r="B2147" s="2">
        <f ca="1"/>
        <v>0.66237800318889484</v>
      </c>
      <c r="O2147" s="2">
        <f ca="1"/>
        <v>-1.0987275558237588</v>
      </c>
      <c r="X2147" s="2">
        <f ca="1"/>
        <v>57.872419366246881</v>
      </c>
      <c r="AG2147" s="2">
        <f ca="1"/>
        <v>4.6160403832518071E-3</v>
      </c>
      <c r="AH2147" s="2" t="str">
        <f ca="1"/>
        <v>Good</v>
      </c>
    </row>
    <row r="2148" spans="2:34" x14ac:dyDescent="0.2">
      <c r="B2148" s="2">
        <f ca="1"/>
        <v>0.42911822591760629</v>
      </c>
      <c r="O2148" s="2">
        <f ca="1"/>
        <v>0.55111865848836161</v>
      </c>
      <c r="X2148" s="2">
        <f ca="1"/>
        <v>76.301069561522269</v>
      </c>
      <c r="AG2148" s="2">
        <f ca="1"/>
        <v>0.65494427568157998</v>
      </c>
      <c r="AH2148" s="2" t="str">
        <f ca="1"/>
        <v>Bad</v>
      </c>
    </row>
    <row r="2149" spans="2:34" x14ac:dyDescent="0.2">
      <c r="B2149" s="2">
        <f ca="1"/>
        <v>0.62012740749953488</v>
      </c>
      <c r="O2149" s="2">
        <f ca="1"/>
        <v>-1.5768740641255516</v>
      </c>
      <c r="X2149" s="2">
        <f ca="1"/>
        <v>43.144302332084393</v>
      </c>
      <c r="AG2149" s="2">
        <f ca="1"/>
        <v>0.6110785944319832</v>
      </c>
      <c r="AH2149" s="2" t="str">
        <f ca="1"/>
        <v>Bad</v>
      </c>
    </row>
    <row r="2150" spans="2:34" x14ac:dyDescent="0.2">
      <c r="B2150" s="2">
        <f ca="1"/>
        <v>0.12440294165379751</v>
      </c>
      <c r="O2150" s="2">
        <f ca="1"/>
        <v>0.9345555021122961</v>
      </c>
      <c r="X2150" s="2">
        <f ca="1"/>
        <v>44.906196776996801</v>
      </c>
      <c r="AG2150" s="2">
        <f ca="1"/>
        <v>0.79482571720137929</v>
      </c>
      <c r="AH2150" s="2" t="str">
        <f ca="1"/>
        <v>Bad</v>
      </c>
    </row>
    <row r="2151" spans="2:34" x14ac:dyDescent="0.2">
      <c r="B2151" s="2">
        <f ca="1"/>
        <v>0.33099887468653622</v>
      </c>
      <c r="O2151" s="2">
        <f ca="1"/>
        <v>-8.1005399069518466E-2</v>
      </c>
      <c r="X2151" s="2">
        <f ca="1"/>
        <v>62.131820889177718</v>
      </c>
      <c r="AG2151" s="2">
        <f ca="1"/>
        <v>0.16552976345759962</v>
      </c>
      <c r="AH2151" s="2" t="str">
        <f ca="1"/>
        <v>OK</v>
      </c>
    </row>
    <row r="2152" spans="2:34" x14ac:dyDescent="0.2">
      <c r="B2152" s="2">
        <f ca="1"/>
        <v>0.50836796983590005</v>
      </c>
      <c r="O2152" s="2">
        <f ca="1"/>
        <v>-1.3748016770184943</v>
      </c>
      <c r="X2152" s="2">
        <f ca="1"/>
        <v>41.504272309342404</v>
      </c>
      <c r="AG2152" s="2">
        <f ca="1"/>
        <v>0.1793203790931277</v>
      </c>
      <c r="AH2152" s="2" t="str">
        <f ca="1"/>
        <v>OK</v>
      </c>
    </row>
    <row r="2153" spans="2:34" x14ac:dyDescent="0.2">
      <c r="B2153" s="2">
        <f ca="1"/>
        <v>9.846284856342491E-2</v>
      </c>
      <c r="O2153" s="2">
        <f ca="1"/>
        <v>-1.1352235270015949</v>
      </c>
      <c r="X2153" s="2">
        <f ca="1"/>
        <v>56.612784586923546</v>
      </c>
      <c r="AG2153" s="2">
        <f ca="1"/>
        <v>0.78665674858801604</v>
      </c>
      <c r="AH2153" s="2" t="str">
        <f ca="1"/>
        <v>Bad</v>
      </c>
    </row>
    <row r="2154" spans="2:34" x14ac:dyDescent="0.2">
      <c r="B2154" s="2">
        <f ca="1"/>
        <v>0.33186468911805678</v>
      </c>
      <c r="O2154" s="2">
        <f ca="1"/>
        <v>0.12577569427093452</v>
      </c>
      <c r="X2154" s="2">
        <f ca="1"/>
        <v>32.244420266075849</v>
      </c>
      <c r="AG2154" s="2">
        <f ca="1"/>
        <v>5.1562881921640935E-2</v>
      </c>
      <c r="AH2154" s="2" t="str">
        <f ca="1"/>
        <v>OK</v>
      </c>
    </row>
    <row r="2155" spans="2:34" x14ac:dyDescent="0.2">
      <c r="B2155" s="2">
        <f ca="1"/>
        <v>0.96557992226827483</v>
      </c>
      <c r="O2155" s="2">
        <f ca="1"/>
        <v>-0.78937672681767668</v>
      </c>
      <c r="X2155" s="2">
        <f ca="1"/>
        <v>23.509929858094708</v>
      </c>
      <c r="AG2155" s="2">
        <f ca="1"/>
        <v>0.52282392651832255</v>
      </c>
      <c r="AH2155" s="2" t="str">
        <f ca="1"/>
        <v>Bad</v>
      </c>
    </row>
    <row r="2156" spans="2:34" x14ac:dyDescent="0.2">
      <c r="B2156" s="2">
        <f ca="1"/>
        <v>0.92045453659933951</v>
      </c>
      <c r="O2156" s="2">
        <f ca="1"/>
        <v>-1.3762210528957239</v>
      </c>
      <c r="X2156" s="2">
        <f ca="1"/>
        <v>54.779974932021986</v>
      </c>
      <c r="AG2156" s="2">
        <f ca="1"/>
        <v>0.96011178988358914</v>
      </c>
      <c r="AH2156" s="2" t="str">
        <f ca="1"/>
        <v>Bad</v>
      </c>
    </row>
    <row r="2157" spans="2:34" x14ac:dyDescent="0.2">
      <c r="B2157" s="2">
        <f ca="1"/>
        <v>0.92304866033532473</v>
      </c>
      <c r="O2157" s="2">
        <f ca="1"/>
        <v>-0.20198929072762753</v>
      </c>
      <c r="X2157" s="2">
        <f ca="1"/>
        <v>43.749765733361208</v>
      </c>
      <c r="AG2157" s="2">
        <f ca="1"/>
        <v>0.84385387292515968</v>
      </c>
      <c r="AH2157" s="2" t="str">
        <f ca="1"/>
        <v>Bad</v>
      </c>
    </row>
    <row r="2158" spans="2:34" x14ac:dyDescent="0.2">
      <c r="B2158" s="2">
        <f ca="1"/>
        <v>0.47082324007569176</v>
      </c>
      <c r="O2158" s="2">
        <f ca="1"/>
        <v>0.97545766707263426</v>
      </c>
      <c r="X2158" s="2">
        <f ca="1"/>
        <v>75.449355950891118</v>
      </c>
      <c r="AG2158" s="2">
        <f ca="1"/>
        <v>0.110139819563144</v>
      </c>
      <c r="AH2158" s="2" t="str">
        <f ca="1"/>
        <v>OK</v>
      </c>
    </row>
    <row r="2159" spans="2:34" x14ac:dyDescent="0.2">
      <c r="B2159" s="2">
        <f ca="1"/>
        <v>0.74514672850764585</v>
      </c>
      <c r="O2159" s="2">
        <f ca="1"/>
        <v>-1.8681528209765077</v>
      </c>
      <c r="X2159" s="2">
        <f ca="1"/>
        <v>32.306731834463271</v>
      </c>
      <c r="AG2159" s="2">
        <f ca="1"/>
        <v>0.62823024978855102</v>
      </c>
      <c r="AH2159" s="2" t="str">
        <f ca="1"/>
        <v>Bad</v>
      </c>
    </row>
    <row r="2160" spans="2:34" x14ac:dyDescent="0.2">
      <c r="B2160" s="2">
        <f ca="1"/>
        <v>0.62096625625932056</v>
      </c>
      <c r="O2160" s="2">
        <f ca="1"/>
        <v>-0.70502911701446824</v>
      </c>
      <c r="X2160" s="2">
        <f ca="1"/>
        <v>33.186919723336231</v>
      </c>
      <c r="AG2160" s="2">
        <f ca="1"/>
        <v>0.9010377741647857</v>
      </c>
      <c r="AH2160" s="2" t="str">
        <f ca="1"/>
        <v>Bad</v>
      </c>
    </row>
    <row r="2161" spans="2:34" x14ac:dyDescent="0.2">
      <c r="B2161" s="2">
        <f ca="1"/>
        <v>0.16219408954858916</v>
      </c>
      <c r="O2161" s="2">
        <f ca="1"/>
        <v>1.2693584226794685</v>
      </c>
      <c r="X2161" s="2">
        <f ca="1"/>
        <v>24.024239099538811</v>
      </c>
      <c r="AG2161" s="2">
        <f ca="1"/>
        <v>0.66461373655704969</v>
      </c>
      <c r="AH2161" s="2" t="str">
        <f ca="1"/>
        <v>Bad</v>
      </c>
    </row>
    <row r="2162" spans="2:34" x14ac:dyDescent="0.2">
      <c r="B2162" s="2">
        <f ca="1"/>
        <v>0.57216238290890775</v>
      </c>
      <c r="O2162" s="2">
        <f ca="1"/>
        <v>2.0899246336163535</v>
      </c>
      <c r="X2162" s="2">
        <f ca="1"/>
        <v>34.481048002010539</v>
      </c>
      <c r="AG2162" s="2">
        <f ca="1"/>
        <v>0.58576845765294872</v>
      </c>
      <c r="AH2162" s="2" t="str">
        <f ca="1"/>
        <v>Bad</v>
      </c>
    </row>
    <row r="2163" spans="2:34" x14ac:dyDescent="0.2">
      <c r="B2163" s="2">
        <f ca="1"/>
        <v>0.11709077186403816</v>
      </c>
      <c r="O2163" s="2">
        <f ca="1"/>
        <v>-1.4513051924223748</v>
      </c>
      <c r="X2163" s="2">
        <f ca="1"/>
        <v>47.696046580417601</v>
      </c>
      <c r="AG2163" s="2">
        <f ca="1"/>
        <v>2.6306057872040212E-2</v>
      </c>
      <c r="AH2163" s="2" t="str">
        <f ca="1"/>
        <v>Good</v>
      </c>
    </row>
    <row r="2164" spans="2:34" x14ac:dyDescent="0.2">
      <c r="B2164" s="2">
        <f ca="1"/>
        <v>0.43623130234398189</v>
      </c>
      <c r="O2164" s="2">
        <f ca="1"/>
        <v>1.8878545307677894</v>
      </c>
      <c r="X2164" s="2">
        <f ca="1"/>
        <v>65.818293905998246</v>
      </c>
      <c r="AG2164" s="2">
        <f ca="1"/>
        <v>0.71870852384455364</v>
      </c>
      <c r="AH2164" s="2" t="str">
        <f ca="1"/>
        <v>Bad</v>
      </c>
    </row>
    <row r="2165" spans="2:34" x14ac:dyDescent="0.2">
      <c r="B2165" s="2">
        <f ca="1"/>
        <v>0.24029890074833538</v>
      </c>
      <c r="O2165" s="2">
        <f ca="1"/>
        <v>-2.4200372671938046</v>
      </c>
      <c r="X2165" s="2">
        <f ca="1"/>
        <v>33.574244867155521</v>
      </c>
      <c r="AG2165" s="2">
        <f ca="1"/>
        <v>0.18527943174229899</v>
      </c>
      <c r="AH2165" s="2" t="str">
        <f ca="1"/>
        <v>OK</v>
      </c>
    </row>
    <row r="2166" spans="2:34" x14ac:dyDescent="0.2">
      <c r="B2166" s="2">
        <f ca="1"/>
        <v>0.16098193408646511</v>
      </c>
      <c r="O2166" s="2">
        <f ca="1"/>
        <v>-0.6686205148799006</v>
      </c>
      <c r="X2166" s="2">
        <f ca="1"/>
        <v>46.385558379542061</v>
      </c>
      <c r="AG2166" s="2">
        <f ca="1"/>
        <v>0.29635157407220691</v>
      </c>
      <c r="AH2166" s="2" t="str">
        <f ca="1"/>
        <v>OK</v>
      </c>
    </row>
    <row r="2167" spans="2:34" x14ac:dyDescent="0.2">
      <c r="B2167" s="2">
        <f ca="1"/>
        <v>0.14533305260138762</v>
      </c>
      <c r="O2167" s="2">
        <f ca="1"/>
        <v>-0.50027520255973967</v>
      </c>
      <c r="X2167" s="2">
        <f ca="1"/>
        <v>72.723167252287794</v>
      </c>
      <c r="AG2167" s="2">
        <f ca="1"/>
        <v>0.80263499961933338</v>
      </c>
      <c r="AH2167" s="2" t="str">
        <f ca="1"/>
        <v>Bad</v>
      </c>
    </row>
    <row r="2168" spans="2:34" x14ac:dyDescent="0.2">
      <c r="B2168" s="2">
        <f ca="1"/>
        <v>0.82956966882096772</v>
      </c>
      <c r="O2168" s="2">
        <f ca="1"/>
        <v>0.9830030959490097</v>
      </c>
      <c r="X2168" s="2">
        <f ca="1"/>
        <v>60.108053162042275</v>
      </c>
      <c r="AG2168" s="2">
        <f ca="1"/>
        <v>0.79100972846224438</v>
      </c>
      <c r="AH2168" s="2" t="str">
        <f ca="1"/>
        <v>Bad</v>
      </c>
    </row>
    <row r="2169" spans="2:34" x14ac:dyDescent="0.2">
      <c r="B2169" s="2">
        <f ca="1"/>
        <v>0.17213975334111264</v>
      </c>
      <c r="O2169" s="2">
        <f ca="1"/>
        <v>-0.67020118866682421</v>
      </c>
      <c r="X2169" s="2">
        <f ca="1"/>
        <v>52.689194054297758</v>
      </c>
      <c r="AG2169" s="2">
        <f ca="1"/>
        <v>0.36975589696090072</v>
      </c>
      <c r="AH2169" s="2" t="str">
        <f ca="1"/>
        <v>OK</v>
      </c>
    </row>
    <row r="2170" spans="2:34" x14ac:dyDescent="0.2">
      <c r="B2170" s="2">
        <f ca="1"/>
        <v>0.13350296371790416</v>
      </c>
      <c r="O2170" s="2">
        <f ca="1"/>
        <v>1.577081872627945</v>
      </c>
      <c r="X2170" s="2">
        <f ca="1"/>
        <v>53.445254435038585</v>
      </c>
      <c r="AG2170" s="2">
        <f ca="1"/>
        <v>0.62945448715259578</v>
      </c>
      <c r="AH2170" s="2" t="str">
        <f ca="1"/>
        <v>Bad</v>
      </c>
    </row>
    <row r="2171" spans="2:34" x14ac:dyDescent="0.2">
      <c r="B2171" s="2">
        <f ca="1"/>
        <v>0.19113080815188455</v>
      </c>
      <c r="O2171" s="2">
        <f ca="1"/>
        <v>-0.77237276101172792</v>
      </c>
      <c r="X2171" s="2">
        <f ca="1"/>
        <v>51.667465609241233</v>
      </c>
      <c r="AG2171" s="2">
        <f ca="1"/>
        <v>0.42328757709193687</v>
      </c>
      <c r="AH2171" s="2" t="str">
        <f ca="1"/>
        <v>Bad</v>
      </c>
    </row>
    <row r="2172" spans="2:34" x14ac:dyDescent="0.2">
      <c r="B2172" s="2">
        <f ca="1"/>
        <v>0.40522135060599496</v>
      </c>
      <c r="O2172" s="2">
        <f ca="1"/>
        <v>-0.58191391070825749</v>
      </c>
      <c r="X2172" s="2">
        <f ca="1"/>
        <v>45.988987507004737</v>
      </c>
      <c r="AG2172" s="2">
        <f ca="1"/>
        <v>0.22834976213926428</v>
      </c>
      <c r="AH2172" s="2" t="str">
        <f ca="1"/>
        <v>OK</v>
      </c>
    </row>
    <row r="2173" spans="2:34" x14ac:dyDescent="0.2">
      <c r="B2173" s="2">
        <f ca="1"/>
        <v>0.22973109403185132</v>
      </c>
      <c r="O2173" s="2">
        <f ca="1"/>
        <v>-0.46391420883109824</v>
      </c>
      <c r="X2173" s="2">
        <f ca="1"/>
        <v>51.412428349737816</v>
      </c>
      <c r="AG2173" s="2">
        <f ca="1"/>
        <v>3.0681990723793406E-2</v>
      </c>
      <c r="AH2173" s="2" t="str">
        <f ca="1"/>
        <v>Good</v>
      </c>
    </row>
    <row r="2174" spans="2:34" x14ac:dyDescent="0.2">
      <c r="B2174" s="2">
        <f ca="1"/>
        <v>0.21964114979364258</v>
      </c>
      <c r="O2174" s="2">
        <f ca="1"/>
        <v>0.62513346117876156</v>
      </c>
      <c r="X2174" s="2">
        <f ca="1"/>
        <v>51.183356234730084</v>
      </c>
      <c r="AG2174" s="2">
        <f ca="1"/>
        <v>0.4300932901168677</v>
      </c>
      <c r="AH2174" s="2" t="str">
        <f ca="1"/>
        <v>Bad</v>
      </c>
    </row>
    <row r="2175" spans="2:34" x14ac:dyDescent="0.2">
      <c r="B2175" s="2">
        <f ca="1"/>
        <v>0.17091295590302757</v>
      </c>
      <c r="O2175" s="2">
        <f ca="1"/>
        <v>-0.64275107763273298</v>
      </c>
      <c r="X2175" s="2">
        <f ca="1"/>
        <v>12.205489864628587</v>
      </c>
      <c r="AG2175" s="2">
        <f ca="1"/>
        <v>0.75799460937325613</v>
      </c>
      <c r="AH2175" s="2" t="str">
        <f ca="1"/>
        <v>Bad</v>
      </c>
    </row>
    <row r="2176" spans="2:34" x14ac:dyDescent="0.2">
      <c r="B2176" s="2">
        <f ca="1"/>
        <v>9.9866334705957849E-2</v>
      </c>
      <c r="O2176" s="2">
        <f ca="1"/>
        <v>-0.27205652899046012</v>
      </c>
      <c r="X2176" s="2">
        <f ca="1"/>
        <v>22.582093462066656</v>
      </c>
      <c r="AG2176" s="2">
        <f ca="1"/>
        <v>0.1134030289627681</v>
      </c>
      <c r="AH2176" s="2" t="str">
        <f ca="1"/>
        <v>OK</v>
      </c>
    </row>
    <row r="2177" spans="2:34" x14ac:dyDescent="0.2">
      <c r="B2177" s="2">
        <f ca="1"/>
        <v>0.31927504203324286</v>
      </c>
      <c r="O2177" s="2">
        <f ca="1"/>
        <v>1.0410344536871639</v>
      </c>
      <c r="X2177" s="2">
        <f ca="1"/>
        <v>49.95087799377491</v>
      </c>
      <c r="AG2177" s="2">
        <f ca="1"/>
        <v>0.2987497498610705</v>
      </c>
      <c r="AH2177" s="2" t="str">
        <f ca="1"/>
        <v>OK</v>
      </c>
    </row>
    <row r="2178" spans="2:34" x14ac:dyDescent="0.2">
      <c r="B2178" s="2">
        <f ca="1"/>
        <v>0.43554721894399262</v>
      </c>
      <c r="O2178" s="2">
        <f ca="1"/>
        <v>1.2607442740174557</v>
      </c>
      <c r="X2178" s="2">
        <f ca="1"/>
        <v>52.0783150610551</v>
      </c>
      <c r="AG2178" s="2">
        <f ca="1"/>
        <v>0.26614447669630747</v>
      </c>
      <c r="AH2178" s="2" t="str">
        <f ca="1"/>
        <v>OK</v>
      </c>
    </row>
    <row r="2179" spans="2:34" x14ac:dyDescent="0.2">
      <c r="B2179" s="2">
        <f ca="1"/>
        <v>1.2575405162743358E-2</v>
      </c>
      <c r="O2179" s="2">
        <f ca="1"/>
        <v>1.8535609499125678</v>
      </c>
      <c r="X2179" s="2">
        <f ca="1"/>
        <v>76.558552583285319</v>
      </c>
      <c r="AG2179" s="2">
        <f ca="1"/>
        <v>0.89543164514416396</v>
      </c>
      <c r="AH2179" s="2" t="str">
        <f ca="1"/>
        <v>Bad</v>
      </c>
    </row>
    <row r="2180" spans="2:34" x14ac:dyDescent="0.2">
      <c r="B2180" s="2">
        <f ca="1"/>
        <v>0.94415993803356213</v>
      </c>
      <c r="O2180" s="2">
        <f ca="1"/>
        <v>-0.13941457835613738</v>
      </c>
      <c r="X2180" s="2">
        <f ca="1"/>
        <v>32.13437483426388</v>
      </c>
      <c r="AG2180" s="2">
        <f ca="1"/>
        <v>0.10535140768572826</v>
      </c>
      <c r="AH2180" s="2" t="str">
        <f ca="1"/>
        <v>OK</v>
      </c>
    </row>
    <row r="2181" spans="2:34" x14ac:dyDescent="0.2">
      <c r="B2181" s="2">
        <f ca="1"/>
        <v>0.47958471427946403</v>
      </c>
      <c r="O2181" s="2">
        <f ca="1"/>
        <v>-3.1694929942044485</v>
      </c>
      <c r="X2181" s="2">
        <f ca="1"/>
        <v>53.405497779097296</v>
      </c>
      <c r="AG2181" s="2">
        <f ca="1"/>
        <v>0.61733847156646315</v>
      </c>
      <c r="AH2181" s="2" t="str">
        <f ca="1"/>
        <v>Bad</v>
      </c>
    </row>
    <row r="2182" spans="2:34" x14ac:dyDescent="0.2">
      <c r="B2182" s="2">
        <f ca="1"/>
        <v>6.147006935197874E-3</v>
      </c>
      <c r="O2182" s="2">
        <f ca="1"/>
        <v>-0.79808941094227404</v>
      </c>
      <c r="X2182" s="2">
        <f ca="1"/>
        <v>53.539462514589943</v>
      </c>
      <c r="AG2182" s="2">
        <f ca="1"/>
        <v>0.36392060664759418</v>
      </c>
      <c r="AH2182" s="2" t="str">
        <f ca="1"/>
        <v>OK</v>
      </c>
    </row>
    <row r="2183" spans="2:34" x14ac:dyDescent="0.2">
      <c r="B2183" s="2">
        <f ca="1"/>
        <v>0.45385206144995727</v>
      </c>
      <c r="O2183" s="2">
        <f ca="1"/>
        <v>2.4992072983814198</v>
      </c>
      <c r="X2183" s="2">
        <f ca="1"/>
        <v>46.500269916699835</v>
      </c>
      <c r="AG2183" s="2">
        <f ca="1"/>
        <v>0.77302138066195258</v>
      </c>
      <c r="AH2183" s="2" t="str">
        <f ca="1"/>
        <v>Bad</v>
      </c>
    </row>
    <row r="2184" spans="2:34" x14ac:dyDescent="0.2">
      <c r="B2184" s="2">
        <f ca="1"/>
        <v>1.0223655252758146E-2</v>
      </c>
      <c r="O2184" s="2">
        <f ca="1"/>
        <v>0.25411508225837703</v>
      </c>
      <c r="X2184" s="2">
        <f ca="1"/>
        <v>73.009158228599773</v>
      </c>
      <c r="AG2184" s="2">
        <f ca="1"/>
        <v>0.47189194961821146</v>
      </c>
      <c r="AH2184" s="2" t="str">
        <f ca="1"/>
        <v>Bad</v>
      </c>
    </row>
    <row r="2185" spans="2:34" x14ac:dyDescent="0.2">
      <c r="B2185" s="2">
        <f ca="1"/>
        <v>0.1675272350761734</v>
      </c>
      <c r="O2185" s="2">
        <f ca="1"/>
        <v>-1.362732530875401</v>
      </c>
      <c r="X2185" s="2">
        <f ca="1"/>
        <v>45.532820467969742</v>
      </c>
      <c r="AG2185" s="2">
        <f ca="1"/>
        <v>0.65060976517801472</v>
      </c>
      <c r="AH2185" s="2" t="str">
        <f ca="1"/>
        <v>Bad</v>
      </c>
    </row>
    <row r="2186" spans="2:34" x14ac:dyDescent="0.2">
      <c r="B2186" s="2">
        <f ca="1"/>
        <v>0.98197713054293101</v>
      </c>
      <c r="O2186" s="2">
        <f ca="1"/>
        <v>-1.4720498134341606</v>
      </c>
      <c r="X2186" s="2">
        <f ca="1"/>
        <v>44.850475743254002</v>
      </c>
      <c r="AG2186" s="2">
        <f ca="1"/>
        <v>0.73775084629923127</v>
      </c>
      <c r="AH2186" s="2" t="str">
        <f ca="1"/>
        <v>Bad</v>
      </c>
    </row>
    <row r="2187" spans="2:34" x14ac:dyDescent="0.2">
      <c r="B2187" s="2">
        <f ca="1"/>
        <v>0.35323869485956094</v>
      </c>
      <c r="O2187" s="2">
        <f ca="1"/>
        <v>-0.25741466531202473</v>
      </c>
      <c r="X2187" s="2">
        <f ca="1"/>
        <v>45.464226650497899</v>
      </c>
      <c r="AG2187" s="2">
        <f ca="1"/>
        <v>0.44793771652497516</v>
      </c>
      <c r="AH2187" s="2" t="str">
        <f ca="1"/>
        <v>Bad</v>
      </c>
    </row>
    <row r="2188" spans="2:34" x14ac:dyDescent="0.2">
      <c r="B2188" s="2">
        <f ca="1"/>
        <v>0.84338080139145921</v>
      </c>
      <c r="O2188" s="2">
        <f ca="1"/>
        <v>0.88762776558056034</v>
      </c>
      <c r="X2188" s="2">
        <f ca="1"/>
        <v>52.160982669960212</v>
      </c>
      <c r="AG2188" s="2">
        <f ca="1"/>
        <v>8.6563428679659493E-2</v>
      </c>
      <c r="AH2188" s="2" t="str">
        <f ca="1"/>
        <v>OK</v>
      </c>
    </row>
    <row r="2189" spans="2:34" x14ac:dyDescent="0.2">
      <c r="B2189" s="2">
        <f ca="1"/>
        <v>0.95504571424948081</v>
      </c>
      <c r="O2189" s="2">
        <f ca="1"/>
        <v>-0.57836972977715406</v>
      </c>
      <c r="X2189" s="2">
        <f ca="1"/>
        <v>32.883097009254875</v>
      </c>
      <c r="AG2189" s="2">
        <f ca="1"/>
        <v>0.11272538717980773</v>
      </c>
      <c r="AH2189" s="2" t="str">
        <f ca="1"/>
        <v>OK</v>
      </c>
    </row>
    <row r="2190" spans="2:34" x14ac:dyDescent="0.2">
      <c r="B2190" s="2">
        <f ca="1"/>
        <v>0.85744235485418141</v>
      </c>
      <c r="O2190" s="2">
        <f ca="1"/>
        <v>-0.16090119059151589</v>
      </c>
      <c r="X2190" s="2">
        <f ca="1"/>
        <v>39.664113200449755</v>
      </c>
      <c r="AG2190" s="2">
        <f ca="1"/>
        <v>0.21795570528469166</v>
      </c>
      <c r="AH2190" s="2" t="str">
        <f ca="1"/>
        <v>OK</v>
      </c>
    </row>
    <row r="2191" spans="2:34" x14ac:dyDescent="0.2">
      <c r="B2191" s="2">
        <f ca="1"/>
        <v>0.51942350351573818</v>
      </c>
      <c r="O2191" s="2">
        <f ca="1"/>
        <v>0.12373291387764611</v>
      </c>
      <c r="X2191" s="2">
        <f ca="1"/>
        <v>58.514480681102498</v>
      </c>
      <c r="AG2191" s="2">
        <f ca="1"/>
        <v>0.15103111991290463</v>
      </c>
      <c r="AH2191" s="2" t="str">
        <f ca="1"/>
        <v>OK</v>
      </c>
    </row>
    <row r="2192" spans="2:34" x14ac:dyDescent="0.2">
      <c r="B2192" s="2">
        <f ca="1"/>
        <v>0.87251995062101062</v>
      </c>
      <c r="O2192" s="2">
        <f ca="1"/>
        <v>1.5304962974902769</v>
      </c>
      <c r="X2192" s="2">
        <f ca="1"/>
        <v>70.96392340011343</v>
      </c>
      <c r="AG2192" s="2">
        <f ca="1"/>
        <v>0.48821070988231474</v>
      </c>
      <c r="AH2192" s="2" t="str">
        <f ca="1"/>
        <v>Bad</v>
      </c>
    </row>
    <row r="2193" spans="2:34" x14ac:dyDescent="0.2">
      <c r="B2193" s="2">
        <f ca="1"/>
        <v>0.66035110397167429</v>
      </c>
      <c r="O2193" s="2">
        <f ca="1"/>
        <v>-1.0423786740336904</v>
      </c>
      <c r="X2193" s="2">
        <f ca="1"/>
        <v>69.217010025487753</v>
      </c>
      <c r="AG2193" s="2">
        <f ca="1"/>
        <v>0.13585411169977379</v>
      </c>
      <c r="AH2193" s="2" t="str">
        <f ca="1"/>
        <v>OK</v>
      </c>
    </row>
    <row r="2194" spans="2:34" x14ac:dyDescent="0.2">
      <c r="B2194" s="2">
        <f ca="1"/>
        <v>0.73464784065292998</v>
      </c>
      <c r="O2194" s="2">
        <f ca="1"/>
        <v>0.71958124203840623</v>
      </c>
      <c r="X2194" s="2">
        <f ca="1"/>
        <v>63.270644784827098</v>
      </c>
      <c r="AG2194" s="2">
        <f ca="1"/>
        <v>0.15781887837537822</v>
      </c>
      <c r="AH2194" s="2" t="str">
        <f ca="1"/>
        <v>OK</v>
      </c>
    </row>
    <row r="2195" spans="2:34" x14ac:dyDescent="0.2">
      <c r="B2195" s="2">
        <f ca="1"/>
        <v>0.63089856876800865</v>
      </c>
      <c r="O2195" s="2">
        <f ca="1"/>
        <v>1.7482018067360126</v>
      </c>
      <c r="X2195" s="2">
        <f ca="1"/>
        <v>50.940098428923008</v>
      </c>
      <c r="AG2195" s="2">
        <f ca="1"/>
        <v>0.68418124342182951</v>
      </c>
      <c r="AH2195" s="2" t="str">
        <f ca="1"/>
        <v>Bad</v>
      </c>
    </row>
    <row r="2196" spans="2:34" x14ac:dyDescent="0.2">
      <c r="B2196" s="2">
        <f ca="1"/>
        <v>0.42738872219207846</v>
      </c>
      <c r="O2196" s="2">
        <f ca="1"/>
        <v>1.590283828659913</v>
      </c>
      <c r="X2196" s="2">
        <f ca="1"/>
        <v>79.754321243565087</v>
      </c>
      <c r="AG2196" s="2">
        <f ca="1"/>
        <v>0.56381761446180723</v>
      </c>
      <c r="AH2196" s="2" t="str">
        <f ca="1"/>
        <v>Bad</v>
      </c>
    </row>
    <row r="2197" spans="2:34" x14ac:dyDescent="0.2">
      <c r="B2197" s="2">
        <f ca="1"/>
        <v>0.82646221808076303</v>
      </c>
      <c r="O2197" s="2">
        <f ca="1"/>
        <v>-0.49468987289909427</v>
      </c>
      <c r="X2197" s="2">
        <f ca="1"/>
        <v>36.273551936170691</v>
      </c>
      <c r="AG2197" s="2">
        <f ca="1"/>
        <v>4.5374307843199624E-2</v>
      </c>
      <c r="AH2197" s="2" t="str">
        <f ca="1"/>
        <v>Good</v>
      </c>
    </row>
    <row r="2198" spans="2:34" x14ac:dyDescent="0.2">
      <c r="B2198" s="2">
        <f ca="1"/>
        <v>0.8023661155656483</v>
      </c>
      <c r="O2198" s="2">
        <f ca="1"/>
        <v>-0.7992637797961154</v>
      </c>
      <c r="X2198" s="2">
        <f ca="1"/>
        <v>62.028688075001249</v>
      </c>
      <c r="AG2198" s="2">
        <f ca="1"/>
        <v>0.78414188200223411</v>
      </c>
      <c r="AH2198" s="2" t="str">
        <f ca="1"/>
        <v>Bad</v>
      </c>
    </row>
    <row r="2199" spans="2:34" x14ac:dyDescent="0.2">
      <c r="B2199" s="2">
        <f ca="1"/>
        <v>0.68331602258190061</v>
      </c>
      <c r="O2199" s="2">
        <f ca="1"/>
        <v>-6.339064349693678E-2</v>
      </c>
      <c r="X2199" s="2">
        <f ca="1"/>
        <v>52.30760147156748</v>
      </c>
      <c r="AG2199" s="2">
        <f ca="1"/>
        <v>0.29749989861374448</v>
      </c>
      <c r="AH2199" s="2" t="str">
        <f ca="1"/>
        <v>OK</v>
      </c>
    </row>
    <row r="2200" spans="2:34" x14ac:dyDescent="0.2">
      <c r="B2200" s="2">
        <f ca="1"/>
        <v>0.31646148862759138</v>
      </c>
      <c r="O2200" s="2">
        <f ca="1"/>
        <v>-0.57770191417758432</v>
      </c>
      <c r="X2200" s="2">
        <f ca="1"/>
        <v>48.11874332110807</v>
      </c>
      <c r="AG2200" s="2">
        <f ca="1"/>
        <v>0.22314903907332595</v>
      </c>
      <c r="AH2200" s="2" t="str">
        <f ca="1"/>
        <v>OK</v>
      </c>
    </row>
    <row r="2201" spans="2:34" x14ac:dyDescent="0.2">
      <c r="B2201" s="2">
        <f ca="1"/>
        <v>0.87240463320579997</v>
      </c>
      <c r="O2201" s="2">
        <f ca="1"/>
        <v>-0.28431459126669462</v>
      </c>
      <c r="X2201" s="2">
        <f ca="1"/>
        <v>32.593715626190281</v>
      </c>
      <c r="AG2201" s="2">
        <f ca="1"/>
        <v>0.93322252590313526</v>
      </c>
      <c r="AH2201" s="2" t="str">
        <f ca="1"/>
        <v>Bad</v>
      </c>
    </row>
    <row r="2202" spans="2:34" x14ac:dyDescent="0.2">
      <c r="B2202" s="2">
        <f ca="1"/>
        <v>6.5574771358953843E-2</v>
      </c>
      <c r="O2202" s="2">
        <f ca="1"/>
        <v>-1.2255471094165313</v>
      </c>
      <c r="X2202" s="2">
        <f ca="1"/>
        <v>43.162395827910245</v>
      </c>
      <c r="AG2202" s="2">
        <f ca="1"/>
        <v>0.68029197611478343</v>
      </c>
      <c r="AH2202" s="2" t="str">
        <f ca="1"/>
        <v>Bad</v>
      </c>
    </row>
    <row r="2203" spans="2:34" x14ac:dyDescent="0.2">
      <c r="B2203" s="2">
        <f ca="1"/>
        <v>0.28056524930876403</v>
      </c>
      <c r="O2203" s="2">
        <f ca="1"/>
        <v>-0.70771109940949839</v>
      </c>
      <c r="X2203" s="2">
        <f ca="1"/>
        <v>36.909066559302325</v>
      </c>
      <c r="AG2203" s="2">
        <f ca="1"/>
        <v>1.4918075318888446E-2</v>
      </c>
      <c r="AH2203" s="2" t="str">
        <f ca="1"/>
        <v>Good</v>
      </c>
    </row>
    <row r="2204" spans="2:34" x14ac:dyDescent="0.2">
      <c r="B2204" s="2">
        <f ca="1"/>
        <v>0.23083859202314838</v>
      </c>
      <c r="O2204" s="2">
        <f ca="1"/>
        <v>-2.0055311693732718</v>
      </c>
      <c r="X2204" s="2">
        <f ca="1"/>
        <v>61.789661109055785</v>
      </c>
      <c r="AG2204" s="2">
        <f ca="1"/>
        <v>0.97410547044052898</v>
      </c>
      <c r="AH2204" s="2" t="str">
        <f ca="1"/>
        <v>Bad</v>
      </c>
    </row>
    <row r="2205" spans="2:34" x14ac:dyDescent="0.2">
      <c r="B2205" s="2">
        <f ca="1"/>
        <v>0.97165683759546351</v>
      </c>
      <c r="O2205" s="2">
        <f ca="1"/>
        <v>0.28226020426841458</v>
      </c>
      <c r="X2205" s="2">
        <f ca="1"/>
        <v>54.695311455834599</v>
      </c>
      <c r="AG2205" s="2">
        <f ca="1"/>
        <v>0.55597936875924447</v>
      </c>
      <c r="AH2205" s="2" t="str">
        <f ca="1"/>
        <v>Bad</v>
      </c>
    </row>
    <row r="2206" spans="2:34" x14ac:dyDescent="0.2">
      <c r="B2206" s="2">
        <f ca="1"/>
        <v>0.93820382407337166</v>
      </c>
      <c r="O2206" s="2">
        <f ca="1"/>
        <v>-0.13986831395800481</v>
      </c>
      <c r="X2206" s="2">
        <f ca="1"/>
        <v>84.695776069363191</v>
      </c>
      <c r="AG2206" s="2">
        <f ca="1"/>
        <v>0.83539531696665215</v>
      </c>
      <c r="AH2206" s="2" t="str">
        <f ca="1"/>
        <v>Bad</v>
      </c>
    </row>
    <row r="2207" spans="2:34" x14ac:dyDescent="0.2">
      <c r="B2207" s="2">
        <f ca="1"/>
        <v>2.0468519150783626E-2</v>
      </c>
      <c r="O2207" s="2">
        <f ca="1"/>
        <v>-0.74647541853163446</v>
      </c>
      <c r="X2207" s="2">
        <f ca="1"/>
        <v>92.6286946201879</v>
      </c>
      <c r="AG2207" s="2">
        <f ca="1"/>
        <v>0.50724716703092243</v>
      </c>
      <c r="AH2207" s="2" t="str">
        <f ca="1"/>
        <v>Bad</v>
      </c>
    </row>
    <row r="2208" spans="2:34" x14ac:dyDescent="0.2">
      <c r="B2208" s="2">
        <f ca="1"/>
        <v>0.16855685863409042</v>
      </c>
      <c r="O2208" s="2">
        <f ca="1"/>
        <v>-8.1198290915585239E-2</v>
      </c>
      <c r="X2208" s="2">
        <f ca="1"/>
        <v>52.033480472693967</v>
      </c>
      <c r="AG2208" s="2">
        <f ca="1"/>
        <v>0.71498440480453862</v>
      </c>
      <c r="AH2208" s="2" t="str">
        <f ca="1"/>
        <v>Bad</v>
      </c>
    </row>
    <row r="2209" spans="2:34" x14ac:dyDescent="0.2">
      <c r="B2209" s="2">
        <f ca="1"/>
        <v>0.22087704428297039</v>
      </c>
      <c r="O2209" s="2">
        <f ca="1"/>
        <v>-0.21342493037523214</v>
      </c>
      <c r="X2209" s="2">
        <f ca="1"/>
        <v>28.199398799200633</v>
      </c>
      <c r="AG2209" s="2">
        <f ca="1"/>
        <v>0.78932514377525598</v>
      </c>
      <c r="AH2209" s="2" t="str">
        <f ca="1"/>
        <v>Bad</v>
      </c>
    </row>
    <row r="2210" spans="2:34" x14ac:dyDescent="0.2">
      <c r="B2210" s="2">
        <f ca="1"/>
        <v>0.94385608250700037</v>
      </c>
      <c r="O2210" s="2">
        <f ca="1"/>
        <v>0.97160145504703421</v>
      </c>
      <c r="X2210" s="2">
        <f ca="1"/>
        <v>48.614955326187719</v>
      </c>
      <c r="AG2210" s="2">
        <f ca="1"/>
        <v>0.83073550731994561</v>
      </c>
      <c r="AH2210" s="2" t="str">
        <f ca="1"/>
        <v>Bad</v>
      </c>
    </row>
    <row r="2211" spans="2:34" x14ac:dyDescent="0.2">
      <c r="B2211" s="2">
        <f ca="1"/>
        <v>0.7430698542431573</v>
      </c>
      <c r="O2211" s="2">
        <f ca="1"/>
        <v>-0.43727448306579497</v>
      </c>
      <c r="X2211" s="2">
        <f ca="1"/>
        <v>66.394151289586347</v>
      </c>
      <c r="AG2211" s="2">
        <f ca="1"/>
        <v>0.85934964416590542</v>
      </c>
      <c r="AH2211" s="2" t="str">
        <f ca="1"/>
        <v>Bad</v>
      </c>
    </row>
    <row r="2212" spans="2:34" x14ac:dyDescent="0.2">
      <c r="B2212" s="2">
        <f ca="1"/>
        <v>0.96824392720548702</v>
      </c>
      <c r="O2212" s="2">
        <f ca="1"/>
        <v>0.83464379771294339</v>
      </c>
      <c r="X2212" s="2">
        <f ca="1"/>
        <v>30.604052900725065</v>
      </c>
      <c r="AG2212" s="2">
        <f ca="1"/>
        <v>0.77679184080975872</v>
      </c>
      <c r="AH2212" s="2" t="str">
        <f ca="1"/>
        <v>Bad</v>
      </c>
    </row>
    <row r="2213" spans="2:34" x14ac:dyDescent="0.2">
      <c r="B2213" s="2">
        <f ca="1"/>
        <v>0.12382004413941439</v>
      </c>
      <c r="O2213" s="2">
        <f ca="1"/>
        <v>-1.5437878475594987E-2</v>
      </c>
      <c r="X2213" s="2">
        <f ca="1"/>
        <v>56.063829802035478</v>
      </c>
      <c r="AG2213" s="2">
        <f ca="1"/>
        <v>0.94120792293704558</v>
      </c>
      <c r="AH2213" s="2" t="str">
        <f ca="1"/>
        <v>Bad</v>
      </c>
    </row>
    <row r="2214" spans="2:34" x14ac:dyDescent="0.2">
      <c r="B2214" s="2">
        <f ca="1"/>
        <v>0.32626674472448913</v>
      </c>
      <c r="O2214" s="2">
        <f ca="1"/>
        <v>1.7318130963805889</v>
      </c>
      <c r="X2214" s="2">
        <f ca="1"/>
        <v>52.293653491154217</v>
      </c>
      <c r="AG2214" s="2">
        <f ca="1"/>
        <v>0.67033331775373672</v>
      </c>
      <c r="AH2214" s="2" t="str">
        <f ca="1"/>
        <v>Bad</v>
      </c>
    </row>
    <row r="2215" spans="2:34" x14ac:dyDescent="0.2">
      <c r="B2215" s="2">
        <f ca="1"/>
        <v>2.6584647142855689E-2</v>
      </c>
      <c r="O2215" s="2">
        <f ca="1"/>
        <v>-5.4686501626630947E-2</v>
      </c>
      <c r="X2215" s="2">
        <f ca="1"/>
        <v>48.365490513541538</v>
      </c>
      <c r="AG2215" s="2">
        <f ca="1"/>
        <v>0.36149705186609782</v>
      </c>
      <c r="AH2215" s="2" t="str">
        <f ca="1"/>
        <v>OK</v>
      </c>
    </row>
    <row r="2216" spans="2:34" x14ac:dyDescent="0.2">
      <c r="B2216" s="2">
        <f ca="1"/>
        <v>0.73612990650182009</v>
      </c>
      <c r="O2216" s="2">
        <f ca="1"/>
        <v>0.29855759280199684</v>
      </c>
      <c r="X2216" s="2">
        <f ca="1"/>
        <v>57.196349084348306</v>
      </c>
      <c r="AG2216" s="2">
        <f ca="1"/>
        <v>0.49286130713093246</v>
      </c>
      <c r="AH2216" s="2" t="str">
        <f ca="1"/>
        <v>Bad</v>
      </c>
    </row>
    <row r="2217" spans="2:34" x14ac:dyDescent="0.2">
      <c r="B2217" s="2">
        <f ca="1"/>
        <v>0.44825289318643824</v>
      </c>
      <c r="O2217" s="2">
        <f ca="1"/>
        <v>-0.79107099405646764</v>
      </c>
      <c r="X2217" s="2">
        <f ca="1"/>
        <v>56.067626757140857</v>
      </c>
      <c r="AG2217" s="2">
        <f ca="1"/>
        <v>3.6051088019291466E-2</v>
      </c>
      <c r="AH2217" s="2" t="str">
        <f ca="1"/>
        <v>Good</v>
      </c>
    </row>
    <row r="2218" spans="2:34" x14ac:dyDescent="0.2">
      <c r="B2218" s="2">
        <f ca="1"/>
        <v>0.59186189173605008</v>
      </c>
      <c r="O2218" s="2">
        <f ca="1"/>
        <v>-0.19163428755582979</v>
      </c>
      <c r="X2218" s="2">
        <f ca="1"/>
        <v>73.383219334727883</v>
      </c>
      <c r="AG2218" s="2">
        <f ca="1"/>
        <v>0.40134676249074475</v>
      </c>
      <c r="AH2218" s="2" t="str">
        <f ca="1"/>
        <v>Bad</v>
      </c>
    </row>
    <row r="2219" spans="2:34" x14ac:dyDescent="0.2">
      <c r="B2219" s="2">
        <f ca="1"/>
        <v>0.85178724268095474</v>
      </c>
      <c r="O2219" s="2">
        <f ca="1"/>
        <v>1.7394258142160663</v>
      </c>
      <c r="X2219" s="2">
        <f ca="1"/>
        <v>53.969657897558811</v>
      </c>
      <c r="AG2219" s="2">
        <f ca="1"/>
        <v>0.73201808725382156</v>
      </c>
      <c r="AH2219" s="2" t="str">
        <f ca="1"/>
        <v>Bad</v>
      </c>
    </row>
    <row r="2220" spans="2:34" x14ac:dyDescent="0.2">
      <c r="B2220" s="2">
        <f ca="1"/>
        <v>3.8335191280889802E-2</v>
      </c>
      <c r="O2220" s="2">
        <f ca="1"/>
        <v>0.45365120992182434</v>
      </c>
      <c r="X2220" s="2">
        <f ca="1"/>
        <v>61.010946357386501</v>
      </c>
      <c r="AG2220" s="2">
        <f ca="1"/>
        <v>0.56853841243203007</v>
      </c>
      <c r="AH2220" s="2" t="str">
        <f ca="1"/>
        <v>Bad</v>
      </c>
    </row>
    <row r="2221" spans="2:34" x14ac:dyDescent="0.2">
      <c r="B2221" s="2">
        <f ca="1"/>
        <v>0.14079519212260561</v>
      </c>
      <c r="O2221" s="2">
        <f ca="1"/>
        <v>1.6571898185354419</v>
      </c>
      <c r="X2221" s="2">
        <f ca="1"/>
        <v>84.224130654366917</v>
      </c>
      <c r="AG2221" s="2">
        <f ca="1"/>
        <v>0.10391589407307311</v>
      </c>
      <c r="AH2221" s="2" t="str">
        <f ca="1"/>
        <v>OK</v>
      </c>
    </row>
    <row r="2222" spans="2:34" x14ac:dyDescent="0.2">
      <c r="B2222" s="2">
        <f ca="1"/>
        <v>0.78436594618138389</v>
      </c>
      <c r="O2222" s="2">
        <f ca="1"/>
        <v>-0.75509700683229297</v>
      </c>
      <c r="X2222" s="2">
        <f ca="1"/>
        <v>64.490022045750806</v>
      </c>
      <c r="AG2222" s="2">
        <f ca="1"/>
        <v>0.5720567103113039</v>
      </c>
      <c r="AH2222" s="2" t="str">
        <f ca="1"/>
        <v>Bad</v>
      </c>
    </row>
    <row r="2223" spans="2:34" x14ac:dyDescent="0.2">
      <c r="B2223" s="2">
        <f ca="1"/>
        <v>0.25515771757618788</v>
      </c>
      <c r="O2223" s="2">
        <f ca="1"/>
        <v>-0.88937061806175666</v>
      </c>
      <c r="X2223" s="2">
        <f ca="1"/>
        <v>34.285209997463618</v>
      </c>
      <c r="AG2223" s="2">
        <f ca="1"/>
        <v>0.90273544289704599</v>
      </c>
      <c r="AH2223" s="2" t="str">
        <f ca="1"/>
        <v>Bad</v>
      </c>
    </row>
    <row r="2224" spans="2:34" x14ac:dyDescent="0.2">
      <c r="B2224" s="2">
        <f ca="1"/>
        <v>0.85462216052964868</v>
      </c>
      <c r="O2224" s="2">
        <f ca="1"/>
        <v>1.5959312222494313</v>
      </c>
      <c r="X2224" s="2">
        <f ca="1"/>
        <v>47.442931493941067</v>
      </c>
      <c r="AG2224" s="2">
        <f ca="1"/>
        <v>0.5394381456579147</v>
      </c>
      <c r="AH2224" s="2" t="str">
        <f ca="1"/>
        <v>Bad</v>
      </c>
    </row>
    <row r="2225" spans="2:34" x14ac:dyDescent="0.2">
      <c r="B2225" s="2">
        <f ca="1"/>
        <v>0.44793453478944389</v>
      </c>
      <c r="O2225" s="2">
        <f ca="1"/>
        <v>2.5957949305673328E-2</v>
      </c>
      <c r="X2225" s="2">
        <f ca="1"/>
        <v>29.380432396660972</v>
      </c>
      <c r="AG2225" s="2">
        <f ca="1"/>
        <v>0.80664440429200468</v>
      </c>
      <c r="AH2225" s="2" t="str">
        <f ca="1"/>
        <v>Bad</v>
      </c>
    </row>
    <row r="2226" spans="2:34" x14ac:dyDescent="0.2">
      <c r="B2226" s="2">
        <f ca="1"/>
        <v>0.71206614203438123</v>
      </c>
      <c r="O2226" s="2">
        <f ca="1"/>
        <v>0.88398216537405305</v>
      </c>
      <c r="X2226" s="2">
        <f ca="1"/>
        <v>47.487445981444097</v>
      </c>
      <c r="AG2226" s="2">
        <f ca="1"/>
        <v>0.67931927750571708</v>
      </c>
      <c r="AH2226" s="2" t="str">
        <f ca="1"/>
        <v>Bad</v>
      </c>
    </row>
    <row r="2227" spans="2:34" x14ac:dyDescent="0.2">
      <c r="B2227" s="2">
        <f ca="1"/>
        <v>0.15763694385312887</v>
      </c>
      <c r="O2227" s="2">
        <f ca="1"/>
        <v>1.5568091869883935</v>
      </c>
      <c r="X2227" s="2">
        <f ca="1"/>
        <v>25.387672717875965</v>
      </c>
      <c r="AG2227" s="2">
        <f ca="1"/>
        <v>0.11577507431337741</v>
      </c>
      <c r="AH2227" s="2" t="str">
        <f ca="1"/>
        <v>OK</v>
      </c>
    </row>
    <row r="2228" spans="2:34" x14ac:dyDescent="0.2">
      <c r="B2228" s="2">
        <f ca="1"/>
        <v>0.19389156309815414</v>
      </c>
      <c r="O2228" s="2">
        <f ca="1"/>
        <v>-0.23508994507317177</v>
      </c>
      <c r="X2228" s="2">
        <f ca="1"/>
        <v>41.338065154326785</v>
      </c>
      <c r="AG2228" s="2">
        <f ca="1"/>
        <v>0.99365120627232417</v>
      </c>
      <c r="AH2228" s="2" t="str">
        <f ca="1"/>
        <v>Bad</v>
      </c>
    </row>
    <row r="2229" spans="2:34" x14ac:dyDescent="0.2">
      <c r="B2229" s="2">
        <f ca="1"/>
        <v>0.90013075474675674</v>
      </c>
      <c r="O2229" s="2">
        <f ca="1"/>
        <v>-0.26390861341077193</v>
      </c>
      <c r="X2229" s="2">
        <f ca="1"/>
        <v>36.760883353378233</v>
      </c>
      <c r="AG2229" s="2">
        <f ca="1"/>
        <v>0.68284120729460129</v>
      </c>
      <c r="AH2229" s="2" t="str">
        <f ca="1"/>
        <v>Bad</v>
      </c>
    </row>
    <row r="2230" spans="2:34" x14ac:dyDescent="0.2">
      <c r="B2230" s="2">
        <f ca="1"/>
        <v>0.76317058622787726</v>
      </c>
      <c r="O2230" s="2">
        <f ca="1"/>
        <v>0.14927749461536069</v>
      </c>
      <c r="X2230" s="2">
        <f ca="1"/>
        <v>41.867256041485632</v>
      </c>
      <c r="AG2230" s="2">
        <f ca="1"/>
        <v>0.94104207786873673</v>
      </c>
      <c r="AH2230" s="2" t="str">
        <f ca="1"/>
        <v>Bad</v>
      </c>
    </row>
    <row r="2231" spans="2:34" x14ac:dyDescent="0.2">
      <c r="B2231" s="2">
        <f ca="1"/>
        <v>0.99023274662618732</v>
      </c>
      <c r="O2231" s="2">
        <f ca="1"/>
        <v>0.44224487645008487</v>
      </c>
      <c r="X2231" s="2">
        <f ca="1"/>
        <v>69.235283383600219</v>
      </c>
      <c r="AG2231" s="2">
        <f ca="1"/>
        <v>0.4427320860889985</v>
      </c>
      <c r="AH2231" s="2" t="str">
        <f ca="1"/>
        <v>Bad</v>
      </c>
    </row>
    <row r="2232" spans="2:34" x14ac:dyDescent="0.2">
      <c r="B2232" s="2">
        <f ca="1"/>
        <v>0.35893805093328135</v>
      </c>
      <c r="O2232" s="2">
        <f ca="1"/>
        <v>-1.0888478383963891</v>
      </c>
      <c r="X2232" s="2">
        <f ca="1"/>
        <v>58.02962089654023</v>
      </c>
      <c r="AG2232" s="2">
        <f ca="1"/>
        <v>0.5213105459800873</v>
      </c>
      <c r="AH2232" s="2" t="str">
        <f ca="1"/>
        <v>Bad</v>
      </c>
    </row>
    <row r="2233" spans="2:34" x14ac:dyDescent="0.2">
      <c r="B2233" s="2">
        <f ca="1"/>
        <v>0.40142989363102433</v>
      </c>
      <c r="O2233" s="2">
        <f ca="1"/>
        <v>0.1372688203406682</v>
      </c>
      <c r="X2233" s="2">
        <f ca="1"/>
        <v>34.984431854194895</v>
      </c>
      <c r="AG2233" s="2">
        <f ca="1"/>
        <v>0.86955534417160352</v>
      </c>
      <c r="AH2233" s="2" t="str">
        <f ca="1"/>
        <v>Bad</v>
      </c>
    </row>
    <row r="2234" spans="2:34" x14ac:dyDescent="0.2">
      <c r="B2234" s="2">
        <f ca="1"/>
        <v>6.3421764303406292E-5</v>
      </c>
      <c r="O2234" s="2">
        <f ca="1"/>
        <v>1.0693004659523417</v>
      </c>
      <c r="X2234" s="2">
        <f ca="1"/>
        <v>50.646919143694788</v>
      </c>
      <c r="AG2234" s="2">
        <f ca="1"/>
        <v>0.70652347408388705</v>
      </c>
      <c r="AH2234" s="2" t="str">
        <f ca="1"/>
        <v>Bad</v>
      </c>
    </row>
    <row r="2235" spans="2:34" x14ac:dyDescent="0.2">
      <c r="B2235" s="2">
        <f ca="1"/>
        <v>0.99678009436286419</v>
      </c>
      <c r="O2235" s="2">
        <f ca="1"/>
        <v>0.24466097842802337</v>
      </c>
      <c r="X2235" s="2">
        <f ca="1"/>
        <v>65.852697497210258</v>
      </c>
      <c r="AG2235" s="2">
        <f ca="1"/>
        <v>0.51638530322543286</v>
      </c>
      <c r="AH2235" s="2" t="str">
        <f ca="1"/>
        <v>Bad</v>
      </c>
    </row>
    <row r="2236" spans="2:34" x14ac:dyDescent="0.2">
      <c r="B2236" s="2">
        <f ca="1"/>
        <v>0.64736396719123435</v>
      </c>
      <c r="O2236" s="2">
        <f ca="1"/>
        <v>-0.48369454188908712</v>
      </c>
      <c r="X2236" s="2">
        <f ca="1"/>
        <v>39.520125711195625</v>
      </c>
      <c r="AG2236" s="2">
        <f ca="1"/>
        <v>0.98351699166792494</v>
      </c>
      <c r="AH2236" s="2" t="str">
        <f ca="1"/>
        <v>Bad</v>
      </c>
    </row>
    <row r="2237" spans="2:34" x14ac:dyDescent="0.2">
      <c r="B2237" s="2">
        <f ca="1"/>
        <v>0.6728476039912008</v>
      </c>
      <c r="O2237" s="2">
        <f ca="1"/>
        <v>-1.4380035348599436</v>
      </c>
      <c r="X2237" s="2">
        <f ca="1"/>
        <v>36.700397501666522</v>
      </c>
      <c r="AG2237" s="2">
        <f ca="1"/>
        <v>0.55777320828859778</v>
      </c>
      <c r="AH2237" s="2" t="str">
        <f ca="1"/>
        <v>Bad</v>
      </c>
    </row>
    <row r="2238" spans="2:34" x14ac:dyDescent="0.2">
      <c r="B2238" s="2">
        <f ca="1"/>
        <v>0.36446867287518248</v>
      </c>
      <c r="O2238" s="2">
        <f ca="1"/>
        <v>0.67881323675432748</v>
      </c>
      <c r="X2238" s="2">
        <f ca="1"/>
        <v>82.212443026695198</v>
      </c>
      <c r="AG2238" s="2">
        <f ca="1"/>
        <v>0.77145682590958531</v>
      </c>
      <c r="AH2238" s="2" t="str">
        <f ca="1"/>
        <v>Bad</v>
      </c>
    </row>
    <row r="2239" spans="2:34" x14ac:dyDescent="0.2">
      <c r="B2239" s="2">
        <f ca="1"/>
        <v>0.87831087864926771</v>
      </c>
      <c r="O2239" s="2">
        <f ca="1"/>
        <v>0.4800829561562821</v>
      </c>
      <c r="X2239" s="2">
        <f ca="1"/>
        <v>34.58621174472691</v>
      </c>
      <c r="AG2239" s="2">
        <f ca="1"/>
        <v>0.40101996747354285</v>
      </c>
      <c r="AH2239" s="2" t="str">
        <f ca="1"/>
        <v>Bad</v>
      </c>
    </row>
    <row r="2240" spans="2:34" x14ac:dyDescent="0.2">
      <c r="B2240" s="2">
        <f ca="1"/>
        <v>0.98012604950912041</v>
      </c>
      <c r="O2240" s="2">
        <f ca="1"/>
        <v>-1.5639328678295863</v>
      </c>
      <c r="X2240" s="2">
        <f ca="1"/>
        <v>40.891287131405285</v>
      </c>
      <c r="AG2240" s="2">
        <f ca="1"/>
        <v>0.87591843236208344</v>
      </c>
      <c r="AH2240" s="2" t="str">
        <f ca="1"/>
        <v>Bad</v>
      </c>
    </row>
    <row r="2241" spans="2:34" x14ac:dyDescent="0.2">
      <c r="B2241" s="2">
        <f ca="1"/>
        <v>0.96778404250590189</v>
      </c>
      <c r="O2241" s="2">
        <f ca="1"/>
        <v>-0.13794851290955337</v>
      </c>
      <c r="X2241" s="2">
        <f ca="1"/>
        <v>100.98187667089843</v>
      </c>
      <c r="AG2241" s="2">
        <f ca="1"/>
        <v>0.53810145704630141</v>
      </c>
      <c r="AH2241" s="2" t="str">
        <f ca="1"/>
        <v>Bad</v>
      </c>
    </row>
    <row r="2242" spans="2:34" x14ac:dyDescent="0.2">
      <c r="B2242" s="2">
        <f ca="1"/>
        <v>0.14779144697770019</v>
      </c>
      <c r="O2242" s="2">
        <f ca="1"/>
        <v>-0.77528321522549437</v>
      </c>
      <c r="X2242" s="2">
        <f ca="1"/>
        <v>51.449533000581667</v>
      </c>
      <c r="AG2242" s="2">
        <f ca="1"/>
        <v>0.67437580529794117</v>
      </c>
      <c r="AH2242" s="2" t="str">
        <f ca="1"/>
        <v>Bad</v>
      </c>
    </row>
    <row r="2243" spans="2:34" x14ac:dyDescent="0.2">
      <c r="B2243" s="2">
        <f ca="1"/>
        <v>0.38374511370906061</v>
      </c>
      <c r="O2243" s="2">
        <f ca="1"/>
        <v>0.75324350823217245</v>
      </c>
      <c r="X2243" s="2">
        <f ca="1"/>
        <v>65.390129530910357</v>
      </c>
      <c r="AG2243" s="2">
        <f ca="1"/>
        <v>0.17711748502745839</v>
      </c>
      <c r="AH2243" s="2" t="str">
        <f ca="1"/>
        <v>OK</v>
      </c>
    </row>
    <row r="2244" spans="2:34" x14ac:dyDescent="0.2">
      <c r="B2244" s="2">
        <f ca="1"/>
        <v>0.78489115764980655</v>
      </c>
      <c r="O2244" s="2">
        <f ca="1"/>
        <v>0.25632963488496241</v>
      </c>
      <c r="X2244" s="2">
        <f ca="1"/>
        <v>49.587010525777146</v>
      </c>
      <c r="AG2244" s="2">
        <f ca="1"/>
        <v>0.22127386443190677</v>
      </c>
      <c r="AH2244" s="2" t="str">
        <f ca="1"/>
        <v>OK</v>
      </c>
    </row>
    <row r="2245" spans="2:34" x14ac:dyDescent="0.2">
      <c r="B2245" s="2">
        <f ca="1"/>
        <v>0.27510359412491225</v>
      </c>
      <c r="O2245" s="2">
        <f ca="1"/>
        <v>2.9398144901198808</v>
      </c>
      <c r="X2245" s="2">
        <f ca="1"/>
        <v>44.63926779420656</v>
      </c>
      <c r="AG2245" s="2">
        <f ca="1"/>
        <v>9.360582187999178E-2</v>
      </c>
      <c r="AH2245" s="2" t="str">
        <f ca="1"/>
        <v>OK</v>
      </c>
    </row>
    <row r="2246" spans="2:34" x14ac:dyDescent="0.2">
      <c r="B2246" s="2">
        <f ca="1"/>
        <v>0.28491653952240914</v>
      </c>
      <c r="O2246" s="2">
        <f ca="1"/>
        <v>-0.64520294756226981</v>
      </c>
      <c r="X2246" s="2">
        <f ca="1"/>
        <v>40.086774678120499</v>
      </c>
      <c r="AG2246" s="2">
        <f ca="1"/>
        <v>0.77756691194446481</v>
      </c>
      <c r="AH2246" s="2" t="str">
        <f ca="1"/>
        <v>Bad</v>
      </c>
    </row>
    <row r="2247" spans="2:34" x14ac:dyDescent="0.2">
      <c r="B2247" s="2">
        <f ca="1"/>
        <v>0.94545966728577002</v>
      </c>
      <c r="O2247" s="2">
        <f ca="1"/>
        <v>6.0228154719610447E-2</v>
      </c>
      <c r="X2247" s="2">
        <f ca="1"/>
        <v>59.836705608349675</v>
      </c>
      <c r="AG2247" s="2">
        <f ca="1"/>
        <v>0.75263381525693918</v>
      </c>
      <c r="AH2247" s="2" t="str">
        <f ca="1"/>
        <v>Bad</v>
      </c>
    </row>
    <row r="2248" spans="2:34" x14ac:dyDescent="0.2">
      <c r="B2248" s="2">
        <f ca="1"/>
        <v>0.73506001179458513</v>
      </c>
      <c r="O2248" s="2">
        <f ca="1"/>
        <v>-0.6443869701388224</v>
      </c>
      <c r="X2248" s="2">
        <f ca="1"/>
        <v>63.568550860136824</v>
      </c>
      <c r="AG2248" s="2">
        <f ca="1"/>
        <v>0.23613666050478677</v>
      </c>
      <c r="AH2248" s="2" t="str">
        <f ca="1"/>
        <v>OK</v>
      </c>
    </row>
    <row r="2249" spans="2:34" x14ac:dyDescent="0.2">
      <c r="B2249" s="2">
        <f ca="1"/>
        <v>5.8394332515219194E-2</v>
      </c>
      <c r="O2249" s="2">
        <f ca="1"/>
        <v>0.45039867950229068</v>
      </c>
      <c r="X2249" s="2">
        <f ca="1"/>
        <v>37.197376336038751</v>
      </c>
      <c r="AG2249" s="2">
        <f ca="1"/>
        <v>0.43795355544838355</v>
      </c>
      <c r="AH2249" s="2" t="str">
        <f ca="1"/>
        <v>Bad</v>
      </c>
    </row>
    <row r="2250" spans="2:34" x14ac:dyDescent="0.2">
      <c r="B2250" s="2">
        <f ca="1"/>
        <v>0.76679283403883858</v>
      </c>
      <c r="O2250" s="2">
        <f ca="1"/>
        <v>-0.35856072167999592</v>
      </c>
      <c r="X2250" s="2">
        <f ca="1"/>
        <v>43.33641183002922</v>
      </c>
      <c r="AG2250" s="2">
        <f ca="1"/>
        <v>0.15056291153005219</v>
      </c>
      <c r="AH2250" s="2" t="str">
        <f ca="1"/>
        <v>OK</v>
      </c>
    </row>
    <row r="2251" spans="2:34" x14ac:dyDescent="0.2">
      <c r="B2251" s="2">
        <f ca="1"/>
        <v>0.60095678072687075</v>
      </c>
      <c r="O2251" s="2">
        <f ca="1"/>
        <v>-0.2507588357208278</v>
      </c>
      <c r="X2251" s="2">
        <f ca="1"/>
        <v>53.912210553710224</v>
      </c>
      <c r="AG2251" s="2">
        <f ca="1"/>
        <v>0.17474619882591669</v>
      </c>
      <c r="AH2251" s="2" t="str">
        <f ca="1"/>
        <v>OK</v>
      </c>
    </row>
    <row r="2252" spans="2:34" x14ac:dyDescent="0.2">
      <c r="B2252" s="2">
        <f ca="1"/>
        <v>0.40528196209823042</v>
      </c>
      <c r="O2252" s="2">
        <f ca="1"/>
        <v>-1.5953563182232451</v>
      </c>
      <c r="X2252" s="2">
        <f ca="1"/>
        <v>48.754229729500977</v>
      </c>
      <c r="AG2252" s="2">
        <f ca="1"/>
        <v>0.24438813494049105</v>
      </c>
      <c r="AH2252" s="2" t="str">
        <f ca="1"/>
        <v>OK</v>
      </c>
    </row>
    <row r="2253" spans="2:34" x14ac:dyDescent="0.2">
      <c r="B2253" s="2">
        <f ca="1"/>
        <v>0.11500373167548306</v>
      </c>
      <c r="O2253" s="2">
        <f ca="1"/>
        <v>-2.8308534809638961</v>
      </c>
      <c r="X2253" s="2">
        <f ca="1"/>
        <v>54.234197244570964</v>
      </c>
      <c r="AG2253" s="2">
        <f ca="1"/>
        <v>0.24908671616802769</v>
      </c>
      <c r="AH2253" s="2" t="str">
        <f ca="1"/>
        <v>OK</v>
      </c>
    </row>
    <row r="2254" spans="2:34" x14ac:dyDescent="0.2">
      <c r="B2254" s="2">
        <f ca="1"/>
        <v>0.31215481985419458</v>
      </c>
      <c r="O2254" s="2">
        <f ca="1"/>
        <v>-0.2920826219667827</v>
      </c>
      <c r="X2254" s="2">
        <f ca="1"/>
        <v>18.919215119981541</v>
      </c>
      <c r="AG2254" s="2">
        <f ca="1"/>
        <v>0.96720868104872348</v>
      </c>
      <c r="AH2254" s="2" t="str">
        <f ca="1"/>
        <v>Bad</v>
      </c>
    </row>
    <row r="2255" spans="2:34" x14ac:dyDescent="0.2">
      <c r="B2255" s="2">
        <f ca="1"/>
        <v>0.94495949780891397</v>
      </c>
      <c r="O2255" s="2">
        <f ca="1"/>
        <v>-0.14611073692089804</v>
      </c>
      <c r="X2255" s="2">
        <f ca="1"/>
        <v>51.689145251869689</v>
      </c>
      <c r="AG2255" s="2">
        <f ca="1"/>
        <v>0.99820115101129114</v>
      </c>
      <c r="AH2255" s="2" t="str">
        <f ca="1"/>
        <v>Bad</v>
      </c>
    </row>
    <row r="2256" spans="2:34" x14ac:dyDescent="0.2">
      <c r="B2256" s="2">
        <f ca="1"/>
        <v>0.7471445593454431</v>
      </c>
      <c r="O2256" s="2">
        <f ca="1"/>
        <v>0.79951156682088265</v>
      </c>
      <c r="X2256" s="2">
        <f ca="1"/>
        <v>69.258599781834818</v>
      </c>
      <c r="AG2256" s="2">
        <f ca="1"/>
        <v>0.34328012895433058</v>
      </c>
      <c r="AH2256" s="2" t="str">
        <f ca="1"/>
        <v>OK</v>
      </c>
    </row>
    <row r="2257" spans="2:34" x14ac:dyDescent="0.2">
      <c r="B2257" s="2">
        <f ca="1"/>
        <v>0.71164521485518573</v>
      </c>
      <c r="O2257" s="2">
        <f ca="1"/>
        <v>0.86502258316472413</v>
      </c>
      <c r="X2257" s="2">
        <f ca="1"/>
        <v>63.691493087700621</v>
      </c>
      <c r="AG2257" s="2">
        <f ca="1"/>
        <v>0.33750511715885767</v>
      </c>
      <c r="AH2257" s="2" t="str">
        <f ca="1"/>
        <v>OK</v>
      </c>
    </row>
    <row r="2258" spans="2:34" x14ac:dyDescent="0.2">
      <c r="B2258" s="2">
        <f ca="1"/>
        <v>0.95367042203104502</v>
      </c>
      <c r="O2258" s="2">
        <f ca="1"/>
        <v>0.65471146150330162</v>
      </c>
      <c r="X2258" s="2">
        <f ca="1"/>
        <v>55.065794014210205</v>
      </c>
      <c r="AG2258" s="2">
        <f ca="1"/>
        <v>0.24717514309992672</v>
      </c>
      <c r="AH2258" s="2" t="str">
        <f ca="1"/>
        <v>OK</v>
      </c>
    </row>
    <row r="2259" spans="2:34" x14ac:dyDescent="0.2">
      <c r="B2259" s="2">
        <f ca="1"/>
        <v>0.11284246479841964</v>
      </c>
      <c r="O2259" s="2">
        <f ca="1"/>
        <v>-0.84600422995857061</v>
      </c>
      <c r="X2259" s="2">
        <f ca="1"/>
        <v>36.997513571476112</v>
      </c>
      <c r="AG2259" s="2">
        <f ca="1"/>
        <v>0.76663369021146632</v>
      </c>
      <c r="AH2259" s="2" t="str">
        <f ca="1"/>
        <v>Bad</v>
      </c>
    </row>
    <row r="2260" spans="2:34" x14ac:dyDescent="0.2">
      <c r="B2260" s="2">
        <f ca="1"/>
        <v>0.79000984026237697</v>
      </c>
      <c r="O2260" s="2">
        <f ca="1"/>
        <v>-0.67680419812555692</v>
      </c>
      <c r="X2260" s="2">
        <f ca="1"/>
        <v>39.645530405700356</v>
      </c>
      <c r="AG2260" s="2">
        <f ca="1"/>
        <v>0.67470711526117522</v>
      </c>
      <c r="AH2260" s="2" t="str">
        <f ca="1"/>
        <v>Bad</v>
      </c>
    </row>
    <row r="2261" spans="2:34" x14ac:dyDescent="0.2">
      <c r="B2261" s="2">
        <f ca="1"/>
        <v>0.20082587044405176</v>
      </c>
      <c r="O2261" s="2">
        <f ca="1"/>
        <v>-0.29719696057521466</v>
      </c>
      <c r="X2261" s="2">
        <f ca="1"/>
        <v>23.550868147910705</v>
      </c>
      <c r="AG2261" s="2">
        <f ca="1"/>
        <v>0.87742263167373413</v>
      </c>
      <c r="AH2261" s="2" t="str">
        <f ca="1"/>
        <v>Bad</v>
      </c>
    </row>
    <row r="2262" spans="2:34" x14ac:dyDescent="0.2">
      <c r="B2262" s="2">
        <f ca="1"/>
        <v>0.30486222844166511</v>
      </c>
      <c r="O2262" s="2">
        <f ca="1"/>
        <v>-0.39206913912857944</v>
      </c>
      <c r="X2262" s="2">
        <f ca="1"/>
        <v>57.22106679994031</v>
      </c>
      <c r="AG2262" s="2">
        <f ca="1"/>
        <v>0.44477246925747238</v>
      </c>
      <c r="AH2262" s="2" t="str">
        <f ca="1"/>
        <v>Bad</v>
      </c>
    </row>
    <row r="2263" spans="2:34" x14ac:dyDescent="0.2">
      <c r="B2263" s="2">
        <f ca="1"/>
        <v>0.61367389867071465</v>
      </c>
      <c r="O2263" s="2">
        <f ca="1"/>
        <v>-1.974948926139205</v>
      </c>
      <c r="X2263" s="2">
        <f ca="1"/>
        <v>50.014449214423415</v>
      </c>
      <c r="AG2263" s="2">
        <f ca="1"/>
        <v>0.3977683245301582</v>
      </c>
      <c r="AH2263" s="2" t="str">
        <f ca="1"/>
        <v>OK</v>
      </c>
    </row>
    <row r="2264" spans="2:34" x14ac:dyDescent="0.2">
      <c r="B2264" s="2">
        <f ca="1"/>
        <v>0.60601489813692178</v>
      </c>
      <c r="O2264" s="2">
        <f ca="1"/>
        <v>-1.612472105639333</v>
      </c>
      <c r="X2264" s="2">
        <f ca="1"/>
        <v>66.916136498454534</v>
      </c>
      <c r="AG2264" s="2">
        <f ca="1"/>
        <v>1.2967571216065066E-2</v>
      </c>
      <c r="AH2264" s="2" t="str">
        <f ca="1"/>
        <v>Good</v>
      </c>
    </row>
    <row r="2265" spans="2:34" x14ac:dyDescent="0.2">
      <c r="B2265" s="2">
        <f ca="1"/>
        <v>8.9192711941072256E-2</v>
      </c>
      <c r="O2265" s="2">
        <f ca="1"/>
        <v>-0.63203284940248072</v>
      </c>
      <c r="X2265" s="2">
        <f ca="1"/>
        <v>69.258477164264804</v>
      </c>
      <c r="AG2265" s="2">
        <f ca="1"/>
        <v>0.15736423273750266</v>
      </c>
      <c r="AH2265" s="2" t="str">
        <f ca="1"/>
        <v>OK</v>
      </c>
    </row>
    <row r="2266" spans="2:34" x14ac:dyDescent="0.2">
      <c r="B2266" s="2">
        <f ca="1"/>
        <v>0.91431803518741916</v>
      </c>
      <c r="O2266" s="2">
        <f ca="1"/>
        <v>-1.4166306359336123</v>
      </c>
      <c r="X2266" s="2">
        <f ca="1"/>
        <v>66.030521245354592</v>
      </c>
      <c r="AG2266" s="2">
        <f ca="1"/>
        <v>7.8657165214083058E-2</v>
      </c>
      <c r="AH2266" s="2" t="str">
        <f ca="1"/>
        <v>OK</v>
      </c>
    </row>
    <row r="2267" spans="2:34" x14ac:dyDescent="0.2">
      <c r="B2267" s="2">
        <f ca="1"/>
        <v>0.70453813965477052</v>
      </c>
      <c r="O2267" s="2">
        <f ca="1"/>
        <v>-0.47396992360233586</v>
      </c>
      <c r="X2267" s="2">
        <f ca="1"/>
        <v>49.924445287260269</v>
      </c>
      <c r="AG2267" s="2">
        <f ca="1"/>
        <v>8.9479812563749928E-2</v>
      </c>
      <c r="AH2267" s="2" t="str">
        <f ca="1"/>
        <v>OK</v>
      </c>
    </row>
    <row r="2268" spans="2:34" x14ac:dyDescent="0.2">
      <c r="B2268" s="2">
        <f ca="1"/>
        <v>0.19053301652727228</v>
      </c>
      <c r="O2268" s="2">
        <f ca="1"/>
        <v>0.49022140442650103</v>
      </c>
      <c r="X2268" s="2">
        <f ca="1"/>
        <v>43.592430962082148</v>
      </c>
      <c r="AG2268" s="2">
        <f ca="1"/>
        <v>0.80774011693919889</v>
      </c>
      <c r="AH2268" s="2" t="str">
        <f ca="1"/>
        <v>Bad</v>
      </c>
    </row>
    <row r="2269" spans="2:34" x14ac:dyDescent="0.2">
      <c r="B2269" s="2">
        <f ca="1"/>
        <v>0.35180562618064326</v>
      </c>
      <c r="O2269" s="2">
        <f ca="1"/>
        <v>-1.7395738092011888</v>
      </c>
      <c r="X2269" s="2">
        <f ca="1"/>
        <v>32.928935454291768</v>
      </c>
      <c r="AG2269" s="2">
        <f ca="1"/>
        <v>0.30133030453536636</v>
      </c>
      <c r="AH2269" s="2" t="str">
        <f ca="1"/>
        <v>OK</v>
      </c>
    </row>
    <row r="2270" spans="2:34" x14ac:dyDescent="0.2">
      <c r="B2270" s="2">
        <f ca="1"/>
        <v>1.2864917764659811E-2</v>
      </c>
      <c r="O2270" s="2">
        <f ca="1"/>
        <v>2.4823670530979762</v>
      </c>
      <c r="X2270" s="2">
        <f ca="1"/>
        <v>87.850509433356166</v>
      </c>
      <c r="AG2270" s="2">
        <f ca="1"/>
        <v>0.45800059731724563</v>
      </c>
      <c r="AH2270" s="2" t="str">
        <f ca="1"/>
        <v>Bad</v>
      </c>
    </row>
    <row r="2271" spans="2:34" x14ac:dyDescent="0.2">
      <c r="B2271" s="2">
        <f ca="1"/>
        <v>0.11229112417577247</v>
      </c>
      <c r="O2271" s="2">
        <f ca="1"/>
        <v>-1.6299268906500546</v>
      </c>
      <c r="X2271" s="2">
        <f ca="1"/>
        <v>41.122138648847304</v>
      </c>
      <c r="AG2271" s="2">
        <f ca="1"/>
        <v>0.99375797539305344</v>
      </c>
      <c r="AH2271" s="2" t="str">
        <f ca="1"/>
        <v>Bad</v>
      </c>
    </row>
    <row r="2272" spans="2:34" x14ac:dyDescent="0.2">
      <c r="B2272" s="2">
        <f ca="1"/>
        <v>0.82602922097346609</v>
      </c>
      <c r="O2272" s="2">
        <f ca="1"/>
        <v>0.44545663822600595</v>
      </c>
      <c r="X2272" s="2">
        <f ca="1"/>
        <v>76.471242115172686</v>
      </c>
      <c r="AG2272" s="2">
        <f ca="1"/>
        <v>0.71688081078923727</v>
      </c>
      <c r="AH2272" s="2" t="str">
        <f ca="1"/>
        <v>Bad</v>
      </c>
    </row>
    <row r="2273" spans="2:34" x14ac:dyDescent="0.2">
      <c r="B2273" s="2">
        <f ca="1"/>
        <v>0.62310667928373076</v>
      </c>
      <c r="O2273" s="2">
        <f ca="1"/>
        <v>1.0997189294080976</v>
      </c>
      <c r="X2273" s="2">
        <f ca="1"/>
        <v>27.667026985014896</v>
      </c>
      <c r="AG2273" s="2">
        <f ca="1"/>
        <v>0.38959759296500396</v>
      </c>
      <c r="AH2273" s="2" t="str">
        <f ca="1"/>
        <v>OK</v>
      </c>
    </row>
    <row r="2274" spans="2:34" x14ac:dyDescent="0.2">
      <c r="B2274" s="2">
        <f ca="1"/>
        <v>0.36857227167963669</v>
      </c>
      <c r="O2274" s="2">
        <f ca="1"/>
        <v>6.5377583933175276E-2</v>
      </c>
      <c r="X2274" s="2">
        <f ca="1"/>
        <v>50.398852188459173</v>
      </c>
      <c r="AG2274" s="2">
        <f ca="1"/>
        <v>0.50985644023554233</v>
      </c>
      <c r="AH2274" s="2" t="str">
        <f ca="1"/>
        <v>Bad</v>
      </c>
    </row>
    <row r="2275" spans="2:34" x14ac:dyDescent="0.2">
      <c r="B2275" s="2">
        <f ca="1"/>
        <v>0.64787784808588178</v>
      </c>
      <c r="O2275" s="2">
        <f ca="1"/>
        <v>1.0327817956650915</v>
      </c>
      <c r="X2275" s="2">
        <f ca="1"/>
        <v>80.809751732315192</v>
      </c>
      <c r="AG2275" s="2">
        <f ca="1"/>
        <v>3.1500511028577094E-2</v>
      </c>
      <c r="AH2275" s="2" t="str">
        <f ca="1"/>
        <v>Good</v>
      </c>
    </row>
    <row r="2276" spans="2:34" x14ac:dyDescent="0.2">
      <c r="B2276" s="2">
        <f ca="1"/>
        <v>0.6920566298635018</v>
      </c>
      <c r="O2276" s="2">
        <f ca="1"/>
        <v>-1.267602087754502</v>
      </c>
      <c r="X2276" s="2">
        <f ca="1"/>
        <v>38.232479974154778</v>
      </c>
      <c r="AG2276" s="2">
        <f ca="1"/>
        <v>0.86039384175382372</v>
      </c>
      <c r="AH2276" s="2" t="str">
        <f ca="1"/>
        <v>Bad</v>
      </c>
    </row>
    <row r="2277" spans="2:34" x14ac:dyDescent="0.2">
      <c r="B2277" s="2">
        <f ca="1"/>
        <v>0.75548621198035715</v>
      </c>
      <c r="O2277" s="2">
        <f ca="1"/>
        <v>2.0448447470422129</v>
      </c>
      <c r="X2277" s="2">
        <f ca="1"/>
        <v>49.447539417802219</v>
      </c>
      <c r="AG2277" s="2">
        <f ca="1"/>
        <v>2.3496111944687037E-2</v>
      </c>
      <c r="AH2277" s="2" t="str">
        <f ca="1"/>
        <v>Good</v>
      </c>
    </row>
    <row r="2278" spans="2:34" x14ac:dyDescent="0.2">
      <c r="B2278" s="2">
        <f ca="1"/>
        <v>9.7961564518261213E-2</v>
      </c>
      <c r="O2278" s="2">
        <f ca="1"/>
        <v>-1.0888060018389297E-2</v>
      </c>
      <c r="X2278" s="2">
        <f ca="1"/>
        <v>42.325684189849319</v>
      </c>
      <c r="AG2278" s="2">
        <f ca="1"/>
        <v>0.50978445473572864</v>
      </c>
      <c r="AH2278" s="2" t="str">
        <f ca="1"/>
        <v>Bad</v>
      </c>
    </row>
    <row r="2279" spans="2:34" x14ac:dyDescent="0.2">
      <c r="B2279" s="2">
        <f ca="1"/>
        <v>0.37287119385370304</v>
      </c>
      <c r="O2279" s="2">
        <f ca="1"/>
        <v>-0.32505669339148385</v>
      </c>
      <c r="X2279" s="2">
        <f ca="1"/>
        <v>42.76863390849666</v>
      </c>
      <c r="AG2279" s="2">
        <f ca="1"/>
        <v>0.86090063754331303</v>
      </c>
      <c r="AH2279" s="2" t="str">
        <f ca="1"/>
        <v>Bad</v>
      </c>
    </row>
    <row r="2280" spans="2:34" x14ac:dyDescent="0.2">
      <c r="B2280" s="2">
        <f ca="1"/>
        <v>0.1950347161126702</v>
      </c>
      <c r="O2280" s="2">
        <f ca="1"/>
        <v>1.0213047265947783</v>
      </c>
      <c r="X2280" s="2">
        <f ca="1"/>
        <v>75.055388304356399</v>
      </c>
      <c r="AG2280" s="2">
        <f ca="1"/>
        <v>0.45388421895797415</v>
      </c>
      <c r="AH2280" s="2" t="str">
        <f ca="1"/>
        <v>Bad</v>
      </c>
    </row>
    <row r="2281" spans="2:34" x14ac:dyDescent="0.2">
      <c r="B2281" s="2">
        <f ca="1"/>
        <v>0.50322621131915457</v>
      </c>
      <c r="O2281" s="2">
        <f ca="1"/>
        <v>1.8770862743278678</v>
      </c>
      <c r="X2281" s="2">
        <f ca="1"/>
        <v>54.098665508193378</v>
      </c>
      <c r="AG2281" s="2">
        <f ca="1"/>
        <v>0.14704314213691982</v>
      </c>
      <c r="AH2281" s="2" t="str">
        <f ca="1"/>
        <v>OK</v>
      </c>
    </row>
    <row r="2282" spans="2:34" x14ac:dyDescent="0.2">
      <c r="B2282" s="2">
        <f ca="1"/>
        <v>0.20692492082577751</v>
      </c>
      <c r="O2282" s="2">
        <f ca="1"/>
        <v>0.30553734887259087</v>
      </c>
      <c r="X2282" s="2">
        <f ca="1"/>
        <v>65.581646481318842</v>
      </c>
      <c r="AG2282" s="2">
        <f ca="1"/>
        <v>3.8446609543796972E-2</v>
      </c>
      <c r="AH2282" s="2" t="str">
        <f ca="1"/>
        <v>Good</v>
      </c>
    </row>
    <row r="2283" spans="2:34" x14ac:dyDescent="0.2">
      <c r="B2283" s="2">
        <f ca="1"/>
        <v>0.65903334208645736</v>
      </c>
      <c r="O2283" s="2">
        <f ca="1"/>
        <v>4.8547738925407971E-3</v>
      </c>
      <c r="X2283" s="2">
        <f ca="1"/>
        <v>57.602062712630975</v>
      </c>
      <c r="AG2283" s="2">
        <f ca="1"/>
        <v>0.34765253832282683</v>
      </c>
      <c r="AH2283" s="2" t="str">
        <f ca="1"/>
        <v>OK</v>
      </c>
    </row>
    <row r="2284" spans="2:34" x14ac:dyDescent="0.2">
      <c r="B2284" s="2">
        <f ca="1"/>
        <v>0.44913639852208087</v>
      </c>
      <c r="O2284" s="2">
        <f ca="1"/>
        <v>1.5548802212707657</v>
      </c>
      <c r="X2284" s="2">
        <f ca="1"/>
        <v>52.869623498222786</v>
      </c>
      <c r="AG2284" s="2">
        <f ca="1"/>
        <v>0.15492251418849179</v>
      </c>
      <c r="AH2284" s="2" t="str">
        <f ca="1"/>
        <v>OK</v>
      </c>
    </row>
    <row r="2285" spans="2:34" x14ac:dyDescent="0.2">
      <c r="B2285" s="2">
        <f ca="1"/>
        <v>0.69939965367521673</v>
      </c>
      <c r="O2285" s="2">
        <f ca="1"/>
        <v>-0.65707425572659139</v>
      </c>
      <c r="X2285" s="2">
        <f ca="1"/>
        <v>46.762901428462882</v>
      </c>
      <c r="AG2285" s="2">
        <f ca="1"/>
        <v>0.36035106070232503</v>
      </c>
      <c r="AH2285" s="2" t="str">
        <f ca="1"/>
        <v>OK</v>
      </c>
    </row>
    <row r="2286" spans="2:34" x14ac:dyDescent="0.2">
      <c r="B2286" s="2">
        <f ca="1"/>
        <v>0.5712457631363308</v>
      </c>
      <c r="O2286" s="2">
        <f ca="1"/>
        <v>0.2302484260576339</v>
      </c>
      <c r="X2286" s="2">
        <f ca="1"/>
        <v>87.919793832934374</v>
      </c>
      <c r="AG2286" s="2">
        <f ca="1"/>
        <v>0.84841168389071941</v>
      </c>
      <c r="AH2286" s="2" t="str">
        <f ca="1"/>
        <v>Bad</v>
      </c>
    </row>
    <row r="2287" spans="2:34" x14ac:dyDescent="0.2">
      <c r="B2287" s="2">
        <f ca="1"/>
        <v>0.80921105852239172</v>
      </c>
      <c r="O2287" s="2">
        <f ca="1"/>
        <v>2.1324371925371985</v>
      </c>
      <c r="X2287" s="2">
        <f ca="1"/>
        <v>52.824073072674473</v>
      </c>
      <c r="AG2287" s="2">
        <f ca="1"/>
        <v>0.33064812090677265</v>
      </c>
      <c r="AH2287" s="2" t="str">
        <f ca="1"/>
        <v>OK</v>
      </c>
    </row>
    <row r="2288" spans="2:34" x14ac:dyDescent="0.2">
      <c r="B2288" s="2">
        <f ca="1"/>
        <v>0.95797609763455727</v>
      </c>
      <c r="O2288" s="2">
        <f ca="1"/>
        <v>1.9090496614999908</v>
      </c>
      <c r="X2288" s="2">
        <f ca="1"/>
        <v>46.212476115923067</v>
      </c>
      <c r="AG2288" s="2">
        <f ca="1"/>
        <v>0.13354399292912755</v>
      </c>
      <c r="AH2288" s="2" t="str">
        <f ca="1"/>
        <v>OK</v>
      </c>
    </row>
    <row r="2289" spans="2:34" x14ac:dyDescent="0.2">
      <c r="B2289" s="2">
        <f ca="1"/>
        <v>9.8395799980645737E-2</v>
      </c>
      <c r="O2289" s="2">
        <f ca="1"/>
        <v>-1.0873145711637453</v>
      </c>
      <c r="X2289" s="2">
        <f ca="1"/>
        <v>49.570215160956472</v>
      </c>
      <c r="AG2289" s="2">
        <f ca="1"/>
        <v>0.82986533911070248</v>
      </c>
      <c r="AH2289" s="2" t="str">
        <f ca="1"/>
        <v>Bad</v>
      </c>
    </row>
    <row r="2290" spans="2:34" x14ac:dyDescent="0.2">
      <c r="B2290" s="2">
        <f ca="1"/>
        <v>0.71246284553503081</v>
      </c>
      <c r="O2290" s="2">
        <f ca="1"/>
        <v>2.8925921633403524</v>
      </c>
      <c r="X2290" s="2">
        <f ca="1"/>
        <v>36.160783359034582</v>
      </c>
      <c r="AG2290" s="2">
        <f ca="1"/>
        <v>0.8189669886936104</v>
      </c>
      <c r="AH2290" s="2" t="str">
        <f ca="1"/>
        <v>Bad</v>
      </c>
    </row>
    <row r="2291" spans="2:34" x14ac:dyDescent="0.2">
      <c r="B2291" s="2">
        <f ca="1"/>
        <v>0.79958190643844063</v>
      </c>
      <c r="O2291" s="2">
        <f ca="1"/>
        <v>-1.0099785324683914</v>
      </c>
      <c r="X2291" s="2">
        <f ca="1"/>
        <v>55.209871007521372</v>
      </c>
      <c r="AG2291" s="2">
        <f ca="1"/>
        <v>0.6283453372946699</v>
      </c>
      <c r="AH2291" s="2" t="str">
        <f ca="1"/>
        <v>Bad</v>
      </c>
    </row>
    <row r="2292" spans="2:34" x14ac:dyDescent="0.2">
      <c r="B2292" s="2">
        <f ca="1"/>
        <v>0.31219024151412555</v>
      </c>
      <c r="O2292" s="2">
        <f ca="1"/>
        <v>-0.54922434542793741</v>
      </c>
      <c r="X2292" s="2">
        <f ca="1"/>
        <v>32.988659611617031</v>
      </c>
      <c r="AG2292" s="2">
        <f ca="1"/>
        <v>0.97762754184278178</v>
      </c>
      <c r="AH2292" s="2" t="str">
        <f ca="1"/>
        <v>Bad</v>
      </c>
    </row>
    <row r="2293" spans="2:34" x14ac:dyDescent="0.2">
      <c r="B2293" s="2">
        <f ca="1"/>
        <v>0.4612107625589108</v>
      </c>
      <c r="O2293" s="2">
        <f ca="1"/>
        <v>-0.68501615299695506</v>
      </c>
      <c r="X2293" s="2">
        <f ca="1"/>
        <v>66.224471764296325</v>
      </c>
      <c r="AG2293" s="2">
        <f ca="1"/>
        <v>0.40697300625234689</v>
      </c>
      <c r="AH2293" s="2" t="str">
        <f ca="1"/>
        <v>Bad</v>
      </c>
    </row>
    <row r="2294" spans="2:34" x14ac:dyDescent="0.2">
      <c r="B2294" s="2">
        <f ca="1"/>
        <v>0.56341515793827024</v>
      </c>
      <c r="O2294" s="2">
        <f ca="1"/>
        <v>0.14450932194246158</v>
      </c>
      <c r="X2294" s="2">
        <f ca="1"/>
        <v>59.696207987746739</v>
      </c>
      <c r="AG2294" s="2">
        <f ca="1"/>
        <v>0.87399340009241411</v>
      </c>
      <c r="AH2294" s="2" t="str">
        <f ca="1"/>
        <v>Bad</v>
      </c>
    </row>
    <row r="2295" spans="2:34" x14ac:dyDescent="0.2">
      <c r="B2295" s="2">
        <f ca="1"/>
        <v>0.72632629568619178</v>
      </c>
      <c r="O2295" s="2">
        <f ca="1"/>
        <v>1.8565079704581986</v>
      </c>
      <c r="X2295" s="2">
        <f ca="1"/>
        <v>50.231308658221678</v>
      </c>
      <c r="AG2295" s="2">
        <f ca="1"/>
        <v>1.3496854907653955E-2</v>
      </c>
      <c r="AH2295" s="2" t="str">
        <f ca="1"/>
        <v>Good</v>
      </c>
    </row>
    <row r="2296" spans="2:34" x14ac:dyDescent="0.2">
      <c r="B2296" s="2">
        <f ca="1"/>
        <v>0.36219173743311428</v>
      </c>
      <c r="O2296" s="2">
        <f ca="1"/>
        <v>1.7941072670220699</v>
      </c>
      <c r="X2296" s="2">
        <f ca="1"/>
        <v>39.082920161871655</v>
      </c>
      <c r="AG2296" s="2">
        <f ca="1"/>
        <v>0.32489648602364252</v>
      </c>
      <c r="AH2296" s="2" t="str">
        <f ca="1"/>
        <v>OK</v>
      </c>
    </row>
    <row r="2297" spans="2:34" x14ac:dyDescent="0.2">
      <c r="B2297" s="2">
        <f ca="1"/>
        <v>0.20206368382830364</v>
      </c>
      <c r="O2297" s="2">
        <f ca="1"/>
        <v>1.1400820680801567</v>
      </c>
      <c r="X2297" s="2">
        <f ca="1"/>
        <v>90.675200523393116</v>
      </c>
      <c r="AG2297" s="2">
        <f ca="1"/>
        <v>0.17900683512566729</v>
      </c>
      <c r="AH2297" s="2" t="str">
        <f ca="1"/>
        <v>OK</v>
      </c>
    </row>
    <row r="2298" spans="2:34" x14ac:dyDescent="0.2">
      <c r="B2298" s="2">
        <f ca="1"/>
        <v>0.54772863939674754</v>
      </c>
      <c r="O2298" s="2">
        <f ca="1"/>
        <v>0.31637262159534213</v>
      </c>
      <c r="X2298" s="2">
        <f ca="1"/>
        <v>67.72268127761123</v>
      </c>
      <c r="AG2298" s="2">
        <f ca="1"/>
        <v>0.8546973240450999</v>
      </c>
      <c r="AH2298" s="2" t="str">
        <f ca="1"/>
        <v>Bad</v>
      </c>
    </row>
    <row r="2299" spans="2:34" x14ac:dyDescent="0.2">
      <c r="B2299" s="2">
        <f ca="1"/>
        <v>4.6490389003795762E-2</v>
      </c>
      <c r="O2299" s="2">
        <f ca="1"/>
        <v>-0.16180018627917434</v>
      </c>
      <c r="X2299" s="2">
        <f ca="1"/>
        <v>22.349983000712793</v>
      </c>
      <c r="AG2299" s="2">
        <f ca="1"/>
        <v>0.97826445402644047</v>
      </c>
      <c r="AH2299" s="2" t="str">
        <f ca="1"/>
        <v>Bad</v>
      </c>
    </row>
    <row r="2300" spans="2:34" x14ac:dyDescent="0.2">
      <c r="B2300" s="2">
        <f ca="1"/>
        <v>0.28971318530417323</v>
      </c>
      <c r="O2300" s="2">
        <f ca="1"/>
        <v>-0.67290442678224593</v>
      </c>
      <c r="X2300" s="2">
        <f ca="1"/>
        <v>51.575243613871052</v>
      </c>
      <c r="AG2300" s="2">
        <f ca="1"/>
        <v>1.5962993352149235E-2</v>
      </c>
      <c r="AH2300" s="2" t="str">
        <f ca="1"/>
        <v>Good</v>
      </c>
    </row>
    <row r="2301" spans="2:34" x14ac:dyDescent="0.2">
      <c r="B2301" s="2">
        <f ca="1"/>
        <v>0.86144703998692784</v>
      </c>
      <c r="O2301" s="2">
        <f ca="1"/>
        <v>0.58918470037636361</v>
      </c>
      <c r="X2301" s="2">
        <f ca="1"/>
        <v>40.639844437414325</v>
      </c>
      <c r="AG2301" s="2">
        <f ca="1"/>
        <v>0.39965956643288791</v>
      </c>
      <c r="AH2301" s="2" t="str">
        <f ca="1"/>
        <v>OK</v>
      </c>
    </row>
    <row r="2302" spans="2:34" x14ac:dyDescent="0.2">
      <c r="B2302" s="2">
        <f ca="1"/>
        <v>0.58769056606555092</v>
      </c>
      <c r="O2302" s="2">
        <f ca="1"/>
        <v>-0.20216210080568334</v>
      </c>
      <c r="X2302" s="2">
        <f ca="1"/>
        <v>25.099065412932315</v>
      </c>
      <c r="AG2302" s="2">
        <f ca="1"/>
        <v>0.27660730081984064</v>
      </c>
      <c r="AH2302" s="2" t="str">
        <f ca="1"/>
        <v>OK</v>
      </c>
    </row>
    <row r="2303" spans="2:34" x14ac:dyDescent="0.2">
      <c r="B2303" s="2">
        <f ca="1"/>
        <v>0.6885301494683449</v>
      </c>
      <c r="O2303" s="2">
        <f ca="1"/>
        <v>0.49919431668803521</v>
      </c>
      <c r="X2303" s="2">
        <f ca="1"/>
        <v>47.459082711074416</v>
      </c>
      <c r="AG2303" s="2">
        <f ca="1"/>
        <v>0.64227917226905396</v>
      </c>
      <c r="AH2303" s="2" t="str">
        <f ca="1"/>
        <v>Bad</v>
      </c>
    </row>
    <row r="2304" spans="2:34" x14ac:dyDescent="0.2">
      <c r="B2304" s="2">
        <f ca="1"/>
        <v>0.65618212960852373</v>
      </c>
      <c r="O2304" s="2">
        <f ca="1"/>
        <v>0.34274829487792646</v>
      </c>
      <c r="X2304" s="2">
        <f ca="1"/>
        <v>80.763991874075444</v>
      </c>
      <c r="AG2304" s="2">
        <f ca="1"/>
        <v>0.93844314792828976</v>
      </c>
      <c r="AH2304" s="2" t="str">
        <f ca="1"/>
        <v>Bad</v>
      </c>
    </row>
    <row r="2305" spans="2:34" x14ac:dyDescent="0.2">
      <c r="B2305" s="2">
        <f ca="1"/>
        <v>0.53043174667698301</v>
      </c>
      <c r="O2305" s="2">
        <f ca="1"/>
        <v>-0.12176318925489876</v>
      </c>
      <c r="X2305" s="2">
        <f ca="1"/>
        <v>65.413402821077085</v>
      </c>
      <c r="AG2305" s="2">
        <f ca="1"/>
        <v>0.48891773863418542</v>
      </c>
      <c r="AH2305" s="2" t="str">
        <f ca="1"/>
        <v>Bad</v>
      </c>
    </row>
    <row r="2306" spans="2:34" x14ac:dyDescent="0.2">
      <c r="B2306" s="2">
        <f ca="1"/>
        <v>2.0848334760920961E-2</v>
      </c>
      <c r="O2306" s="2">
        <f ca="1"/>
        <v>-0.74921552437952843</v>
      </c>
      <c r="X2306" s="2">
        <f ca="1"/>
        <v>27.380527050573935</v>
      </c>
      <c r="AG2306" s="2">
        <f ca="1"/>
        <v>0.70227198124935208</v>
      </c>
      <c r="AH2306" s="2" t="str">
        <f ca="1"/>
        <v>Bad</v>
      </c>
    </row>
    <row r="2307" spans="2:34" x14ac:dyDescent="0.2">
      <c r="B2307" s="2">
        <f ca="1"/>
        <v>0.85391288529062814</v>
      </c>
      <c r="O2307" s="2">
        <f ca="1"/>
        <v>1.9359742516716789</v>
      </c>
      <c r="X2307" s="2">
        <f ca="1"/>
        <v>45.654696916737279</v>
      </c>
      <c r="AG2307" s="2">
        <f ca="1"/>
        <v>0.23037033249595074</v>
      </c>
      <c r="AH2307" s="2" t="str">
        <f ca="1"/>
        <v>OK</v>
      </c>
    </row>
    <row r="2308" spans="2:34" x14ac:dyDescent="0.2">
      <c r="B2308" s="2">
        <f ca="1"/>
        <v>0.1734907048610439</v>
      </c>
      <c r="O2308" s="2">
        <f ca="1"/>
        <v>-2.3377579699458174E-2</v>
      </c>
      <c r="X2308" s="2">
        <f ca="1"/>
        <v>68.957784429646324</v>
      </c>
      <c r="AG2308" s="2">
        <f ca="1"/>
        <v>0.12878288993880793</v>
      </c>
      <c r="AH2308" s="2" t="str">
        <f ca="1"/>
        <v>OK</v>
      </c>
    </row>
    <row r="2309" spans="2:34" x14ac:dyDescent="0.2">
      <c r="B2309" s="2">
        <f ca="1"/>
        <v>7.7129719239682704E-2</v>
      </c>
      <c r="O2309" s="2">
        <f ca="1"/>
        <v>-0.9069545626411355</v>
      </c>
      <c r="X2309" s="2">
        <f ca="1"/>
        <v>55.766121346394556</v>
      </c>
      <c r="AG2309" s="2">
        <f ca="1"/>
        <v>4.5026449533075441E-2</v>
      </c>
      <c r="AH2309" s="2" t="str">
        <f ca="1"/>
        <v>Good</v>
      </c>
    </row>
    <row r="2310" spans="2:34" x14ac:dyDescent="0.2">
      <c r="B2310" s="2">
        <f ca="1"/>
        <v>0.75962080322699421</v>
      </c>
      <c r="O2310" s="2">
        <f ca="1"/>
        <v>-0.82841800173865099</v>
      </c>
      <c r="X2310" s="2">
        <f ca="1"/>
        <v>61.122626863258461</v>
      </c>
      <c r="AG2310" s="2">
        <f ca="1"/>
        <v>0.55133684635106217</v>
      </c>
      <c r="AH2310" s="2" t="str">
        <f ca="1"/>
        <v>Bad</v>
      </c>
    </row>
    <row r="2311" spans="2:34" x14ac:dyDescent="0.2">
      <c r="B2311" s="2">
        <f ca="1"/>
        <v>0.85546529514055059</v>
      </c>
      <c r="O2311" s="2">
        <f ca="1"/>
        <v>0.22324703037935145</v>
      </c>
      <c r="X2311" s="2">
        <f ca="1"/>
        <v>67.778790102348239</v>
      </c>
      <c r="AG2311" s="2">
        <f ca="1"/>
        <v>0.94459228641471937</v>
      </c>
      <c r="AH2311" s="2" t="str">
        <f ca="1"/>
        <v>Bad</v>
      </c>
    </row>
    <row r="2312" spans="2:34" x14ac:dyDescent="0.2">
      <c r="B2312" s="2">
        <f ca="1"/>
        <v>0.50203543435286235</v>
      </c>
      <c r="O2312" s="2">
        <f ca="1"/>
        <v>-0.35332495326957797</v>
      </c>
      <c r="X2312" s="2">
        <f ca="1"/>
        <v>46.204878810433733</v>
      </c>
      <c r="AG2312" s="2">
        <f ca="1"/>
        <v>0.63785243468953867</v>
      </c>
      <c r="AH2312" s="2" t="str">
        <f ca="1"/>
        <v>Bad</v>
      </c>
    </row>
    <row r="2313" spans="2:34" x14ac:dyDescent="0.2">
      <c r="B2313" s="2">
        <f ca="1"/>
        <v>0.60684797809182456</v>
      </c>
      <c r="O2313" s="2">
        <f ca="1"/>
        <v>0.22573430167204517</v>
      </c>
      <c r="X2313" s="2">
        <f ca="1"/>
        <v>46.573320992901593</v>
      </c>
      <c r="AG2313" s="2">
        <f ca="1"/>
        <v>0.63711813200406864</v>
      </c>
      <c r="AH2313" s="2" t="str">
        <f ca="1"/>
        <v>Bad</v>
      </c>
    </row>
    <row r="2314" spans="2:34" x14ac:dyDescent="0.2">
      <c r="B2314" s="2">
        <f ca="1"/>
        <v>0.86067206950731268</v>
      </c>
      <c r="O2314" s="2">
        <f ca="1"/>
        <v>-0.34210966043913027</v>
      </c>
      <c r="X2314" s="2">
        <f ca="1"/>
        <v>37.555854389990166</v>
      </c>
      <c r="AG2314" s="2">
        <f ca="1"/>
        <v>0.59262084369683476</v>
      </c>
      <c r="AH2314" s="2" t="str">
        <f ca="1"/>
        <v>Bad</v>
      </c>
    </row>
    <row r="2315" spans="2:34" x14ac:dyDescent="0.2">
      <c r="B2315" s="2">
        <f ca="1"/>
        <v>0.30055171401335334</v>
      </c>
      <c r="O2315" s="2">
        <f ca="1"/>
        <v>0.15064844591844082</v>
      </c>
      <c r="X2315" s="2">
        <f ca="1"/>
        <v>57.764425849465482</v>
      </c>
      <c r="AG2315" s="2">
        <f ca="1"/>
        <v>0.19701032057979484</v>
      </c>
      <c r="AH2315" s="2" t="str">
        <f ca="1"/>
        <v>OK</v>
      </c>
    </row>
    <row r="2316" spans="2:34" x14ac:dyDescent="0.2">
      <c r="B2316" s="2">
        <f ca="1"/>
        <v>0.4551572018622283</v>
      </c>
      <c r="O2316" s="2">
        <f ca="1"/>
        <v>0.6382721768126437</v>
      </c>
      <c r="X2316" s="2">
        <f ca="1"/>
        <v>55.849396859713345</v>
      </c>
      <c r="AG2316" s="2">
        <f ca="1"/>
        <v>0.389815484230011</v>
      </c>
      <c r="AH2316" s="2" t="str">
        <f ca="1"/>
        <v>OK</v>
      </c>
    </row>
    <row r="2317" spans="2:34" x14ac:dyDescent="0.2">
      <c r="B2317" s="2">
        <f ca="1"/>
        <v>5.3353451210764069E-2</v>
      </c>
      <c r="O2317" s="2">
        <f ca="1"/>
        <v>2.8682489983355718E-2</v>
      </c>
      <c r="X2317" s="2">
        <f ca="1"/>
        <v>43.309827145755229</v>
      </c>
      <c r="AG2317" s="2">
        <f ca="1"/>
        <v>0.21277249392123831</v>
      </c>
      <c r="AH2317" s="2" t="str">
        <f ca="1"/>
        <v>OK</v>
      </c>
    </row>
    <row r="2318" spans="2:34" x14ac:dyDescent="0.2">
      <c r="B2318" s="2">
        <f ca="1"/>
        <v>0.18824571163554693</v>
      </c>
      <c r="O2318" s="2">
        <f ca="1"/>
        <v>0.27569402714890706</v>
      </c>
      <c r="X2318" s="2">
        <f ca="1"/>
        <v>66.084826126537379</v>
      </c>
      <c r="AG2318" s="2">
        <f ca="1"/>
        <v>0.14553814697492951</v>
      </c>
      <c r="AH2318" s="2" t="str">
        <f ca="1"/>
        <v>OK</v>
      </c>
    </row>
    <row r="2319" spans="2:34" x14ac:dyDescent="0.2">
      <c r="B2319" s="2">
        <f ca="1"/>
        <v>4.2291945758949234E-2</v>
      </c>
      <c r="O2319" s="2">
        <f ca="1"/>
        <v>0.30279048615989573</v>
      </c>
      <c r="X2319" s="2">
        <f ca="1"/>
        <v>34.888284840043625</v>
      </c>
      <c r="AG2319" s="2">
        <f ca="1"/>
        <v>0.16829251313792204</v>
      </c>
      <c r="AH2319" s="2" t="str">
        <f ca="1"/>
        <v>OK</v>
      </c>
    </row>
    <row r="2320" spans="2:34" x14ac:dyDescent="0.2">
      <c r="B2320" s="2">
        <f ca="1"/>
        <v>0.62998066422684684</v>
      </c>
      <c r="O2320" s="2">
        <f ca="1"/>
        <v>-0.16840348231122701</v>
      </c>
      <c r="X2320" s="2">
        <f ca="1"/>
        <v>79.711918001446961</v>
      </c>
      <c r="AG2320" s="2">
        <f ca="1"/>
        <v>0.37140657520813702</v>
      </c>
      <c r="AH2320" s="2" t="str">
        <f ca="1"/>
        <v>OK</v>
      </c>
    </row>
    <row r="2321" spans="2:34" x14ac:dyDescent="0.2">
      <c r="B2321" s="2">
        <f ca="1"/>
        <v>0.58689134061521053</v>
      </c>
      <c r="O2321" s="2">
        <f ca="1"/>
        <v>-0.85482206508136593</v>
      </c>
      <c r="X2321" s="2">
        <f ca="1"/>
        <v>58.175302948089154</v>
      </c>
      <c r="AG2321" s="2">
        <f ca="1"/>
        <v>0.44336263878764859</v>
      </c>
      <c r="AH2321" s="2" t="str">
        <f ca="1"/>
        <v>Bad</v>
      </c>
    </row>
    <row r="2322" spans="2:34" x14ac:dyDescent="0.2">
      <c r="B2322" s="2">
        <f ca="1"/>
        <v>0.75216056147555954</v>
      </c>
      <c r="O2322" s="2">
        <f ca="1"/>
        <v>-0.26859340673973237</v>
      </c>
      <c r="X2322" s="2">
        <f ca="1"/>
        <v>62.921041988452345</v>
      </c>
      <c r="AG2322" s="2">
        <f ca="1"/>
        <v>3.699893959364009E-2</v>
      </c>
      <c r="AH2322" s="2" t="str">
        <f ca="1"/>
        <v>Good</v>
      </c>
    </row>
    <row r="2323" spans="2:34" x14ac:dyDescent="0.2">
      <c r="B2323" s="2">
        <f ca="1"/>
        <v>0.15478545865247129</v>
      </c>
      <c r="O2323" s="2">
        <f ca="1"/>
        <v>-1.6070326305964036</v>
      </c>
      <c r="X2323" s="2">
        <f ca="1"/>
        <v>48.761865370498356</v>
      </c>
      <c r="AG2323" s="2">
        <f ca="1"/>
        <v>0.27568530068152564</v>
      </c>
      <c r="AH2323" s="2" t="str">
        <f ca="1"/>
        <v>OK</v>
      </c>
    </row>
    <row r="2324" spans="2:34" x14ac:dyDescent="0.2">
      <c r="B2324" s="2">
        <f ca="1"/>
        <v>7.1509159328674521E-2</v>
      </c>
      <c r="O2324" s="2">
        <f ca="1"/>
        <v>0.47445394613455444</v>
      </c>
      <c r="X2324" s="2">
        <f ca="1"/>
        <v>27.934240378926777</v>
      </c>
      <c r="AG2324" s="2">
        <f ca="1"/>
        <v>0.61125264709738847</v>
      </c>
      <c r="AH2324" s="2" t="str">
        <f ca="1"/>
        <v>Bad</v>
      </c>
    </row>
    <row r="2325" spans="2:34" x14ac:dyDescent="0.2">
      <c r="B2325" s="2">
        <f ca="1"/>
        <v>0.16486940612981082</v>
      </c>
      <c r="O2325" s="2">
        <f ca="1"/>
        <v>-0.3003791231805843</v>
      </c>
      <c r="X2325" s="2">
        <f ca="1"/>
        <v>40.165430919489779</v>
      </c>
      <c r="AG2325" s="2">
        <f ca="1"/>
        <v>0.27531460360181081</v>
      </c>
      <c r="AH2325" s="2" t="str">
        <f ca="1"/>
        <v>OK</v>
      </c>
    </row>
    <row r="2326" spans="2:34" x14ac:dyDescent="0.2">
      <c r="B2326" s="2">
        <f ca="1"/>
        <v>0.70478645599595668</v>
      </c>
      <c r="O2326" s="2">
        <f ca="1"/>
        <v>0.46893224549754187</v>
      </c>
      <c r="X2326" s="2">
        <f ca="1"/>
        <v>50.310644725480657</v>
      </c>
      <c r="AG2326" s="2">
        <f ca="1"/>
        <v>0.66227806843211035</v>
      </c>
      <c r="AH2326" s="2" t="str">
        <f ca="1"/>
        <v>Bad</v>
      </c>
    </row>
    <row r="2327" spans="2:34" x14ac:dyDescent="0.2">
      <c r="B2327" s="2">
        <f ca="1"/>
        <v>0.52812015930585798</v>
      </c>
      <c r="O2327" s="2">
        <f ca="1"/>
        <v>0.33762250282806178</v>
      </c>
      <c r="X2327" s="2">
        <f ca="1"/>
        <v>40.029874866902169</v>
      </c>
      <c r="AG2327" s="2">
        <f ca="1"/>
        <v>0.79274274761609109</v>
      </c>
      <c r="AH2327" s="2" t="str">
        <f ca="1"/>
        <v>Bad</v>
      </c>
    </row>
    <row r="2328" spans="2:34" x14ac:dyDescent="0.2">
      <c r="B2328" s="2">
        <f ca="1"/>
        <v>0.1155700377372253</v>
      </c>
      <c r="O2328" s="2">
        <f ca="1"/>
        <v>1.5483302502090004</v>
      </c>
      <c r="X2328" s="2">
        <f ca="1"/>
        <v>49.989797374028527</v>
      </c>
      <c r="AG2328" s="2">
        <f ca="1"/>
        <v>0.5890328148975883</v>
      </c>
      <c r="AH2328" s="2" t="str">
        <f ca="1"/>
        <v>Bad</v>
      </c>
    </row>
    <row r="2329" spans="2:34" x14ac:dyDescent="0.2">
      <c r="B2329" s="2">
        <f ca="1"/>
        <v>0.72268965861108914</v>
      </c>
      <c r="O2329" s="2">
        <f ca="1"/>
        <v>0.85194120094478487</v>
      </c>
      <c r="X2329" s="2">
        <f ca="1"/>
        <v>29.809143443389768</v>
      </c>
      <c r="AG2329" s="2">
        <f ca="1"/>
        <v>0.25624242272171749</v>
      </c>
      <c r="AH2329" s="2" t="str">
        <f ca="1"/>
        <v>OK</v>
      </c>
    </row>
    <row r="2330" spans="2:34" x14ac:dyDescent="0.2">
      <c r="B2330" s="2">
        <f ca="1"/>
        <v>0.93628961589694715</v>
      </c>
      <c r="O2330" s="2">
        <f ca="1"/>
        <v>-1.1878484071724678</v>
      </c>
      <c r="X2330" s="2">
        <f ca="1"/>
        <v>28.018643482083306</v>
      </c>
      <c r="AG2330" s="2">
        <f ca="1"/>
        <v>0.34018200529807241</v>
      </c>
      <c r="AH2330" s="2" t="str">
        <f ca="1"/>
        <v>OK</v>
      </c>
    </row>
    <row r="2331" spans="2:34" x14ac:dyDescent="0.2">
      <c r="B2331" s="2">
        <f ca="1"/>
        <v>0.36073536876828682</v>
      </c>
      <c r="O2331" s="2">
        <f ca="1"/>
        <v>-0.82181128686900873</v>
      </c>
      <c r="X2331" s="2">
        <f ca="1"/>
        <v>52.743626839460489</v>
      </c>
      <c r="AG2331" s="2">
        <f ca="1"/>
        <v>0.60768920677744909</v>
      </c>
      <c r="AH2331" s="2" t="str">
        <f ca="1"/>
        <v>Bad</v>
      </c>
    </row>
    <row r="2332" spans="2:34" x14ac:dyDescent="0.2">
      <c r="B2332" s="2">
        <f ca="1"/>
        <v>0.12319965264280053</v>
      </c>
      <c r="O2332" s="2">
        <f ca="1"/>
        <v>0.40978335195448135</v>
      </c>
      <c r="X2332" s="2">
        <f ca="1"/>
        <v>22.774065672879157</v>
      </c>
      <c r="AG2332" s="2">
        <f ca="1"/>
        <v>0.94065380403088472</v>
      </c>
      <c r="AH2332" s="2" t="str">
        <f ca="1"/>
        <v>Bad</v>
      </c>
    </row>
    <row r="2333" spans="2:34" x14ac:dyDescent="0.2">
      <c r="B2333" s="2">
        <f ca="1"/>
        <v>0.29548725907983586</v>
      </c>
      <c r="O2333" s="2">
        <f ca="1"/>
        <v>-0.88213862387913833</v>
      </c>
      <c r="X2333" s="2">
        <f ca="1"/>
        <v>59.717436512078223</v>
      </c>
      <c r="AG2333" s="2">
        <f ca="1"/>
        <v>0.47209940126089567</v>
      </c>
      <c r="AH2333" s="2" t="str">
        <f ca="1"/>
        <v>Bad</v>
      </c>
    </row>
    <row r="2334" spans="2:34" x14ac:dyDescent="0.2">
      <c r="B2334" s="2">
        <f ca="1"/>
        <v>0.23651810067518353</v>
      </c>
      <c r="O2334" s="2">
        <f ca="1"/>
        <v>1.3791617326090699</v>
      </c>
      <c r="X2334" s="2">
        <f ca="1"/>
        <v>45.541839256494441</v>
      </c>
      <c r="AG2334" s="2">
        <f ca="1"/>
        <v>0.46256071417360323</v>
      </c>
      <c r="AH2334" s="2" t="str">
        <f ca="1"/>
        <v>Bad</v>
      </c>
    </row>
    <row r="2335" spans="2:34" x14ac:dyDescent="0.2">
      <c r="B2335" s="2">
        <f ca="1"/>
        <v>0.40924478937235231</v>
      </c>
      <c r="O2335" s="2">
        <f ca="1"/>
        <v>1.8806237540991448</v>
      </c>
      <c r="X2335" s="2">
        <f ca="1"/>
        <v>44.129134629359413</v>
      </c>
      <c r="AG2335" s="2">
        <f ca="1"/>
        <v>0.52246943912265431</v>
      </c>
      <c r="AH2335" s="2" t="str">
        <f ca="1"/>
        <v>Bad</v>
      </c>
    </row>
    <row r="2336" spans="2:34" x14ac:dyDescent="0.2">
      <c r="B2336" s="2">
        <f ca="1"/>
        <v>0.35692995812630235</v>
      </c>
      <c r="O2336" s="2">
        <f ca="1"/>
        <v>-2.2014725039672642</v>
      </c>
      <c r="X2336" s="2">
        <f ca="1"/>
        <v>33.307083363560736</v>
      </c>
      <c r="AG2336" s="2">
        <f ca="1"/>
        <v>0.32810168597179423</v>
      </c>
      <c r="AH2336" s="2" t="str">
        <f ca="1"/>
        <v>OK</v>
      </c>
    </row>
    <row r="2337" spans="2:34" x14ac:dyDescent="0.2">
      <c r="B2337" s="2">
        <f ca="1"/>
        <v>0.26257403104732879</v>
      </c>
      <c r="O2337" s="2">
        <f ca="1"/>
        <v>0.11521141836171936</v>
      </c>
      <c r="X2337" s="2">
        <f ca="1"/>
        <v>55.218268459580045</v>
      </c>
      <c r="AG2337" s="2">
        <f ca="1"/>
        <v>0.38130421691561422</v>
      </c>
      <c r="AH2337" s="2" t="str">
        <f ca="1"/>
        <v>OK</v>
      </c>
    </row>
    <row r="2338" spans="2:34" x14ac:dyDescent="0.2">
      <c r="B2338" s="2">
        <f ca="1"/>
        <v>0.95790249843979325</v>
      </c>
      <c r="O2338" s="2">
        <f ca="1"/>
        <v>0.22359538338816659</v>
      </c>
      <c r="X2338" s="2">
        <f ca="1"/>
        <v>56.347418557798498</v>
      </c>
      <c r="AG2338" s="2">
        <f ca="1"/>
        <v>0.54171247031456526</v>
      </c>
      <c r="AH2338" s="2" t="str">
        <f ca="1"/>
        <v>Bad</v>
      </c>
    </row>
    <row r="2339" spans="2:34" x14ac:dyDescent="0.2">
      <c r="B2339" s="2">
        <f ca="1"/>
        <v>0.53700062317872455</v>
      </c>
      <c r="O2339" s="2">
        <f ca="1"/>
        <v>0.31454440547659102</v>
      </c>
      <c r="X2339" s="2">
        <f ca="1"/>
        <v>32.652038528840912</v>
      </c>
      <c r="AG2339" s="2">
        <f ca="1"/>
        <v>0.84406377493179408</v>
      </c>
      <c r="AH2339" s="2" t="str">
        <f ca="1"/>
        <v>Bad</v>
      </c>
    </row>
    <row r="2340" spans="2:34" x14ac:dyDescent="0.2">
      <c r="B2340" s="2">
        <f ca="1"/>
        <v>0.20380263630986817</v>
      </c>
      <c r="O2340" s="2">
        <f ca="1"/>
        <v>-0.58767637135357031</v>
      </c>
      <c r="X2340" s="2">
        <f ca="1"/>
        <v>73.406660749763034</v>
      </c>
      <c r="AG2340" s="2">
        <f ca="1"/>
        <v>0.43079497785915266</v>
      </c>
      <c r="AH2340" s="2" t="str">
        <f ca="1"/>
        <v>Bad</v>
      </c>
    </row>
    <row r="2341" spans="2:34" x14ac:dyDescent="0.2">
      <c r="B2341" s="2">
        <f ca="1"/>
        <v>0.8327497441236531</v>
      </c>
      <c r="O2341" s="2">
        <f ca="1"/>
        <v>-1.3356103125794705</v>
      </c>
      <c r="X2341" s="2">
        <f ca="1"/>
        <v>78.476456384692469</v>
      </c>
      <c r="AG2341" s="2">
        <f ca="1"/>
        <v>0.82174679955218366</v>
      </c>
      <c r="AH2341" s="2" t="str">
        <f ca="1"/>
        <v>Bad</v>
      </c>
    </row>
    <row r="2342" spans="2:34" x14ac:dyDescent="0.2">
      <c r="B2342" s="2">
        <f ca="1"/>
        <v>0.47535003670210663</v>
      </c>
      <c r="O2342" s="2">
        <f ca="1"/>
        <v>6.497266450797487E-2</v>
      </c>
      <c r="X2342" s="2">
        <f ca="1"/>
        <v>57.667994312465318</v>
      </c>
      <c r="AG2342" s="2">
        <f ca="1"/>
        <v>0.7910153690513082</v>
      </c>
      <c r="AH2342" s="2" t="str">
        <f ca="1"/>
        <v>Bad</v>
      </c>
    </row>
    <row r="2343" spans="2:34" x14ac:dyDescent="0.2">
      <c r="B2343" s="2">
        <f ca="1"/>
        <v>0.7064594687847614</v>
      </c>
      <c r="O2343" s="2">
        <f ca="1"/>
        <v>-0.41427582634528926</v>
      </c>
      <c r="X2343" s="2">
        <f ca="1"/>
        <v>48.32038655120023</v>
      </c>
      <c r="AG2343" s="2">
        <f ca="1"/>
        <v>0.52543833742487389</v>
      </c>
      <c r="AH2343" s="2" t="str">
        <f ca="1"/>
        <v>Bad</v>
      </c>
    </row>
    <row r="2344" spans="2:34" x14ac:dyDescent="0.2">
      <c r="B2344" s="2">
        <f ca="1"/>
        <v>0.69071374498770122</v>
      </c>
      <c r="O2344" s="2">
        <f ca="1"/>
        <v>-1.7127204701332328</v>
      </c>
      <c r="X2344" s="2">
        <f ca="1"/>
        <v>66.275619522433743</v>
      </c>
      <c r="AG2344" s="2">
        <f ca="1"/>
        <v>0.1625661469261146</v>
      </c>
      <c r="AH2344" s="2" t="str">
        <f ca="1"/>
        <v>OK</v>
      </c>
    </row>
    <row r="2345" spans="2:34" x14ac:dyDescent="0.2">
      <c r="B2345" s="2">
        <f ca="1"/>
        <v>0.9713882195558361</v>
      </c>
      <c r="O2345" s="2">
        <f ca="1"/>
        <v>2.4183822984351471</v>
      </c>
      <c r="X2345" s="2">
        <f ca="1"/>
        <v>38.346603912191611</v>
      </c>
      <c r="AG2345" s="2">
        <f ca="1"/>
        <v>0.69163598351580324</v>
      </c>
      <c r="AH2345" s="2" t="str">
        <f ca="1"/>
        <v>Bad</v>
      </c>
    </row>
    <row r="2346" spans="2:34" x14ac:dyDescent="0.2">
      <c r="B2346" s="2">
        <f ca="1"/>
        <v>0.16038212704412347</v>
      </c>
      <c r="O2346" s="2">
        <f ca="1"/>
        <v>2.5344533059365797</v>
      </c>
      <c r="X2346" s="2">
        <f ca="1"/>
        <v>58.805521674514374</v>
      </c>
      <c r="AG2346" s="2">
        <f ca="1"/>
        <v>0.45150401523540107</v>
      </c>
      <c r="AH2346" s="2" t="str">
        <f ca="1"/>
        <v>Bad</v>
      </c>
    </row>
    <row r="2347" spans="2:34" x14ac:dyDescent="0.2">
      <c r="B2347" s="2">
        <f ca="1"/>
        <v>0.48152152071148269</v>
      </c>
      <c r="O2347" s="2">
        <f ca="1"/>
        <v>0.16300628169842943</v>
      </c>
      <c r="X2347" s="2">
        <f ca="1"/>
        <v>66.211440884115788</v>
      </c>
      <c r="AG2347" s="2">
        <f ca="1"/>
        <v>1.7612737993429439E-2</v>
      </c>
      <c r="AH2347" s="2" t="str">
        <f ca="1"/>
        <v>Good</v>
      </c>
    </row>
    <row r="2348" spans="2:34" x14ac:dyDescent="0.2">
      <c r="B2348" s="2">
        <f ca="1"/>
        <v>0.90014222312589687</v>
      </c>
      <c r="O2348" s="2">
        <f ca="1"/>
        <v>-1.3028429837189142</v>
      </c>
      <c r="X2348" s="2">
        <f ca="1"/>
        <v>49.308804245226163</v>
      </c>
      <c r="AG2348" s="2">
        <f ca="1"/>
        <v>0.7146232083204298</v>
      </c>
      <c r="AH2348" s="2" t="str">
        <f ca="1"/>
        <v>Bad</v>
      </c>
    </row>
    <row r="2349" spans="2:34" x14ac:dyDescent="0.2">
      <c r="B2349" s="2">
        <f ca="1"/>
        <v>0.491119082646847</v>
      </c>
      <c r="O2349" s="2">
        <f ca="1"/>
        <v>0.14530763055853446</v>
      </c>
      <c r="X2349" s="2">
        <f ca="1"/>
        <v>59.561922146470565</v>
      </c>
      <c r="AG2349" s="2">
        <f ca="1"/>
        <v>0.58977425082993395</v>
      </c>
      <c r="AH2349" s="2" t="str">
        <f ca="1"/>
        <v>Bad</v>
      </c>
    </row>
    <row r="2350" spans="2:34" x14ac:dyDescent="0.2">
      <c r="B2350" s="2">
        <f ca="1"/>
        <v>0.21610203948115259</v>
      </c>
      <c r="O2350" s="2">
        <f ca="1"/>
        <v>-6.1411008842780834E-2</v>
      </c>
      <c r="X2350" s="2">
        <f ca="1"/>
        <v>94.365932515816894</v>
      </c>
      <c r="AG2350" s="2">
        <f ca="1"/>
        <v>0.41332733063352034</v>
      </c>
      <c r="AH2350" s="2" t="str">
        <f ca="1"/>
        <v>Bad</v>
      </c>
    </row>
    <row r="2351" spans="2:34" x14ac:dyDescent="0.2">
      <c r="B2351" s="2">
        <f ca="1"/>
        <v>0.36929011437274828</v>
      </c>
      <c r="O2351" s="2">
        <f ca="1"/>
        <v>-0.92464627782639752</v>
      </c>
      <c r="X2351" s="2">
        <f ca="1"/>
        <v>60.243336799535427</v>
      </c>
      <c r="AG2351" s="2">
        <f ca="1"/>
        <v>0.96583225521533733</v>
      </c>
      <c r="AH2351" s="2" t="str">
        <f ca="1"/>
        <v>Bad</v>
      </c>
    </row>
    <row r="2352" spans="2:34" x14ac:dyDescent="0.2">
      <c r="B2352" s="2">
        <f ca="1"/>
        <v>4.2935236783387731E-2</v>
      </c>
      <c r="O2352" s="2">
        <f ca="1"/>
        <v>-0.55402479072986721</v>
      </c>
      <c r="X2352" s="2">
        <f ca="1"/>
        <v>46.624680280365077</v>
      </c>
      <c r="AG2352" s="2">
        <f ca="1"/>
        <v>0.20410694887472136</v>
      </c>
      <c r="AH2352" s="2" t="str">
        <f ca="1"/>
        <v>OK</v>
      </c>
    </row>
    <row r="2353" spans="2:34" x14ac:dyDescent="0.2">
      <c r="B2353" s="2">
        <f ca="1"/>
        <v>0.6653006194765847</v>
      </c>
      <c r="O2353" s="2">
        <f ca="1"/>
        <v>-0.27860830065544534</v>
      </c>
      <c r="X2353" s="2">
        <f ca="1"/>
        <v>64.147118568695461</v>
      </c>
      <c r="AG2353" s="2">
        <f ca="1"/>
        <v>0.29861281979574605</v>
      </c>
      <c r="AH2353" s="2" t="str">
        <f ca="1"/>
        <v>OK</v>
      </c>
    </row>
    <row r="2354" spans="2:34" x14ac:dyDescent="0.2">
      <c r="B2354" s="2">
        <f ca="1"/>
        <v>0.58321715886542425</v>
      </c>
      <c r="O2354" s="2">
        <f ca="1"/>
        <v>0.71297103123994121</v>
      </c>
      <c r="X2354" s="2">
        <f ca="1"/>
        <v>41.854983163411035</v>
      </c>
      <c r="AG2354" s="2">
        <f ca="1"/>
        <v>0.10264153955380539</v>
      </c>
      <c r="AH2354" s="2" t="str">
        <f ca="1"/>
        <v>OK</v>
      </c>
    </row>
    <row r="2355" spans="2:34" x14ac:dyDescent="0.2">
      <c r="B2355" s="2">
        <f ca="1"/>
        <v>0.37435724799210113</v>
      </c>
      <c r="O2355" s="2">
        <f ca="1"/>
        <v>-0.6661773445690784</v>
      </c>
      <c r="X2355" s="2">
        <f ca="1"/>
        <v>38.743827592217073</v>
      </c>
      <c r="AG2355" s="2">
        <f ca="1"/>
        <v>0.29954602638875794</v>
      </c>
      <c r="AH2355" s="2" t="str">
        <f ca="1"/>
        <v>OK</v>
      </c>
    </row>
    <row r="2356" spans="2:34" x14ac:dyDescent="0.2">
      <c r="B2356" s="2">
        <f ca="1"/>
        <v>0.64133651216611542</v>
      </c>
      <c r="O2356" s="2">
        <f ca="1"/>
        <v>1.5010580867644774</v>
      </c>
      <c r="X2356" s="2">
        <f ca="1"/>
        <v>70.319104416850962</v>
      </c>
      <c r="AG2356" s="2">
        <f ca="1"/>
        <v>0.73936603348633678</v>
      </c>
      <c r="AH2356" s="2" t="str">
        <f ca="1"/>
        <v>Bad</v>
      </c>
    </row>
    <row r="2357" spans="2:34" x14ac:dyDescent="0.2">
      <c r="B2357" s="2">
        <f ca="1"/>
        <v>0.99784126942186213</v>
      </c>
      <c r="O2357" s="2">
        <f ca="1"/>
        <v>-0.79333211919204316</v>
      </c>
      <c r="X2357" s="2">
        <f ca="1"/>
        <v>35.484146002584843</v>
      </c>
      <c r="AG2357" s="2">
        <f ca="1"/>
        <v>0.66661299330058488</v>
      </c>
      <c r="AH2357" s="2" t="str">
        <f ca="1"/>
        <v>Bad</v>
      </c>
    </row>
    <row r="2358" spans="2:34" x14ac:dyDescent="0.2">
      <c r="B2358" s="2">
        <f ca="1"/>
        <v>0.96750508617840958</v>
      </c>
      <c r="O2358" s="2">
        <f ca="1"/>
        <v>-1.1003917936803624</v>
      </c>
      <c r="X2358" s="2">
        <f ca="1"/>
        <v>57.980320176666211</v>
      </c>
      <c r="AG2358" s="2">
        <f ca="1"/>
        <v>0.13593297071789845</v>
      </c>
      <c r="AH2358" s="2" t="str">
        <f ca="1"/>
        <v>OK</v>
      </c>
    </row>
    <row r="2359" spans="2:34" x14ac:dyDescent="0.2">
      <c r="B2359" s="2">
        <f ca="1"/>
        <v>0.1955560805190677</v>
      </c>
      <c r="O2359" s="2">
        <f ca="1"/>
        <v>2.7138670442683345E-2</v>
      </c>
      <c r="X2359" s="2">
        <f ca="1"/>
        <v>67.536180668996934</v>
      </c>
      <c r="AG2359" s="2">
        <f ca="1"/>
        <v>0.15059477447752978</v>
      </c>
      <c r="AH2359" s="2" t="str">
        <f ca="1"/>
        <v>OK</v>
      </c>
    </row>
    <row r="2360" spans="2:34" x14ac:dyDescent="0.2">
      <c r="B2360" s="2">
        <f ca="1"/>
        <v>0.13557402350418069</v>
      </c>
      <c r="O2360" s="2">
        <f ca="1"/>
        <v>0.83093822093822634</v>
      </c>
      <c r="X2360" s="2">
        <f ca="1"/>
        <v>52.284660665543626</v>
      </c>
      <c r="AG2360" s="2">
        <f ca="1"/>
        <v>0.90079615605830354</v>
      </c>
      <c r="AH2360" s="2" t="str">
        <f ca="1"/>
        <v>Bad</v>
      </c>
    </row>
    <row r="2361" spans="2:34" x14ac:dyDescent="0.2">
      <c r="B2361" s="2">
        <f ca="1"/>
        <v>0.70138523113266138</v>
      </c>
      <c r="O2361" s="2">
        <f ca="1"/>
        <v>-1.272013003661671</v>
      </c>
      <c r="X2361" s="2">
        <f ca="1"/>
        <v>33.913637008933321</v>
      </c>
      <c r="AG2361" s="2">
        <f ca="1"/>
        <v>0.33211028554571986</v>
      </c>
      <c r="AH2361" s="2" t="str">
        <f ca="1"/>
        <v>OK</v>
      </c>
    </row>
    <row r="2362" spans="2:34" x14ac:dyDescent="0.2">
      <c r="B2362" s="2">
        <f ca="1"/>
        <v>7.9436695600269447E-2</v>
      </c>
      <c r="O2362" s="2">
        <f ca="1"/>
        <v>-0.20722855300497992</v>
      </c>
      <c r="X2362" s="2">
        <f ca="1"/>
        <v>38.673834202218501</v>
      </c>
      <c r="AG2362" s="2">
        <f ca="1"/>
        <v>0.80090709477137989</v>
      </c>
      <c r="AH2362" s="2" t="str">
        <f ca="1"/>
        <v>Bad</v>
      </c>
    </row>
    <row r="2363" spans="2:34" x14ac:dyDescent="0.2">
      <c r="B2363" s="2">
        <f ca="1"/>
        <v>0.14040213990239625</v>
      </c>
      <c r="O2363" s="2">
        <f ca="1"/>
        <v>-0.12970753148628489</v>
      </c>
      <c r="X2363" s="2">
        <f ca="1"/>
        <v>42.299428340118403</v>
      </c>
      <c r="AG2363" s="2">
        <f ca="1"/>
        <v>0.14978798740954224</v>
      </c>
      <c r="AH2363" s="2" t="str">
        <f ca="1"/>
        <v>OK</v>
      </c>
    </row>
    <row r="2364" spans="2:34" x14ac:dyDescent="0.2">
      <c r="B2364" s="2">
        <f ca="1"/>
        <v>0.94334080719164271</v>
      </c>
      <c r="O2364" s="2">
        <f ca="1"/>
        <v>-0.72877054028026489</v>
      </c>
      <c r="X2364" s="2">
        <f ca="1"/>
        <v>41.099098626654779</v>
      </c>
      <c r="AG2364" s="2">
        <f ca="1"/>
        <v>0.92003413619978258</v>
      </c>
      <c r="AH2364" s="2" t="str">
        <f ca="1"/>
        <v>Bad</v>
      </c>
    </row>
    <row r="2365" spans="2:34" x14ac:dyDescent="0.2">
      <c r="B2365" s="2">
        <f ca="1"/>
        <v>0.96801277527284868</v>
      </c>
      <c r="O2365" s="2">
        <f ca="1"/>
        <v>-0.66909444352448622</v>
      </c>
      <c r="X2365" s="2">
        <f ca="1"/>
        <v>66.347887365802734</v>
      </c>
      <c r="AG2365" s="2">
        <f ca="1"/>
        <v>0.71979297208363469</v>
      </c>
      <c r="AH2365" s="2" t="str">
        <f ca="1"/>
        <v>Bad</v>
      </c>
    </row>
    <row r="2366" spans="2:34" x14ac:dyDescent="0.2">
      <c r="B2366" s="2">
        <f ca="1"/>
        <v>0.25621279018780285</v>
      </c>
      <c r="O2366" s="2">
        <f ca="1"/>
        <v>1.9069411529708906</v>
      </c>
      <c r="X2366" s="2">
        <f ca="1"/>
        <v>38.901521619073563</v>
      </c>
      <c r="AG2366" s="2">
        <f ca="1"/>
        <v>2.212339403170116E-3</v>
      </c>
      <c r="AH2366" s="2" t="str">
        <f ca="1"/>
        <v>Good</v>
      </c>
    </row>
    <row r="2367" spans="2:34" x14ac:dyDescent="0.2">
      <c r="B2367" s="2">
        <f ca="1"/>
        <v>0.45687083880554158</v>
      </c>
      <c r="O2367" s="2">
        <f ca="1"/>
        <v>1.6275427551698496</v>
      </c>
      <c r="X2367" s="2">
        <f ca="1"/>
        <v>69.13150627463952</v>
      </c>
      <c r="AG2367" s="2">
        <f ca="1"/>
        <v>0.89325018096643505</v>
      </c>
      <c r="AH2367" s="2" t="str">
        <f ca="1"/>
        <v>Bad</v>
      </c>
    </row>
    <row r="2368" spans="2:34" x14ac:dyDescent="0.2">
      <c r="B2368" s="2">
        <f ca="1"/>
        <v>0.74636246802077633</v>
      </c>
      <c r="O2368" s="2">
        <f ca="1"/>
        <v>0.47236332117486374</v>
      </c>
      <c r="X2368" s="2">
        <f ca="1"/>
        <v>89.389947945177951</v>
      </c>
      <c r="AG2368" s="2">
        <f ca="1"/>
        <v>0.92462296088610363</v>
      </c>
      <c r="AH2368" s="2" t="str">
        <f ca="1"/>
        <v>Bad</v>
      </c>
    </row>
    <row r="2369" spans="2:34" x14ac:dyDescent="0.2">
      <c r="B2369" s="2">
        <f ca="1"/>
        <v>0.13061572393282983</v>
      </c>
      <c r="O2369" s="2">
        <f ca="1"/>
        <v>-0.98119882320384366</v>
      </c>
      <c r="X2369" s="2">
        <f ca="1"/>
        <v>68.71230158373217</v>
      </c>
      <c r="AG2369" s="2">
        <f ca="1"/>
        <v>0.87659724408019146</v>
      </c>
      <c r="AH2369" s="2" t="str">
        <f ca="1"/>
        <v>Bad</v>
      </c>
    </row>
    <row r="2370" spans="2:34" x14ac:dyDescent="0.2">
      <c r="B2370" s="2">
        <f ca="1"/>
        <v>0.39308423248689173</v>
      </c>
      <c r="O2370" s="2">
        <f ca="1"/>
        <v>-1.3350550616662982</v>
      </c>
      <c r="X2370" s="2">
        <f ca="1"/>
        <v>35.11672985860497</v>
      </c>
      <c r="AG2370" s="2">
        <f ca="1"/>
        <v>0.60851805358869182</v>
      </c>
      <c r="AH2370" s="2" t="str">
        <f ca="1"/>
        <v>Bad</v>
      </c>
    </row>
    <row r="2371" spans="2:34" x14ac:dyDescent="0.2">
      <c r="B2371" s="2">
        <f ca="1"/>
        <v>0.54288139368074639</v>
      </c>
      <c r="O2371" s="2">
        <f ca="1"/>
        <v>1.0636169148404311</v>
      </c>
      <c r="X2371" s="2">
        <f ca="1"/>
        <v>41.149278439055905</v>
      </c>
      <c r="AG2371" s="2">
        <f ca="1"/>
        <v>0.49710568545857248</v>
      </c>
      <c r="AH2371" s="2" t="str">
        <f ca="1"/>
        <v>Bad</v>
      </c>
    </row>
    <row r="2372" spans="2:34" x14ac:dyDescent="0.2">
      <c r="B2372" s="2">
        <f ca="1"/>
        <v>0.28019786193168073</v>
      </c>
      <c r="O2372" s="2">
        <f ca="1"/>
        <v>0.57207973278501856</v>
      </c>
      <c r="X2372" s="2">
        <f ca="1"/>
        <v>28.472838056724289</v>
      </c>
      <c r="AG2372" s="2">
        <f ca="1"/>
        <v>0.2415284817794805</v>
      </c>
      <c r="AH2372" s="2" t="str">
        <f ca="1"/>
        <v>OK</v>
      </c>
    </row>
    <row r="2373" spans="2:34" x14ac:dyDescent="0.2">
      <c r="B2373" s="2">
        <f ca="1"/>
        <v>0.12475482741760291</v>
      </c>
      <c r="O2373" s="2">
        <f ca="1"/>
        <v>1.5620955345223233</v>
      </c>
      <c r="X2373" s="2">
        <f ca="1"/>
        <v>77.063396067166167</v>
      </c>
      <c r="AG2373" s="2">
        <f ca="1"/>
        <v>0.73495207979362887</v>
      </c>
      <c r="AH2373" s="2" t="str">
        <f ca="1"/>
        <v>Bad</v>
      </c>
    </row>
    <row r="2374" spans="2:34" x14ac:dyDescent="0.2">
      <c r="B2374" s="2">
        <f ca="1"/>
        <v>0.4149583270168955</v>
      </c>
      <c r="O2374" s="2">
        <f ca="1"/>
        <v>0.60360192251721534</v>
      </c>
      <c r="X2374" s="2">
        <f ca="1"/>
        <v>26.806105936807796</v>
      </c>
      <c r="AG2374" s="2">
        <f ca="1"/>
        <v>0.21738751771840725</v>
      </c>
      <c r="AH2374" s="2" t="str">
        <f ca="1"/>
        <v>OK</v>
      </c>
    </row>
    <row r="2375" spans="2:34" x14ac:dyDescent="0.2">
      <c r="B2375" s="2">
        <f ca="1"/>
        <v>0.63498581246468677</v>
      </c>
      <c r="O2375" s="2">
        <f ca="1"/>
        <v>5.3338305548537739E-2</v>
      </c>
      <c r="X2375" s="2">
        <f ca="1"/>
        <v>95.114295102557207</v>
      </c>
      <c r="AG2375" s="2">
        <f ca="1"/>
        <v>0.93353995253127953</v>
      </c>
      <c r="AH2375" s="2" t="str">
        <f ca="1"/>
        <v>Bad</v>
      </c>
    </row>
    <row r="2376" spans="2:34" x14ac:dyDescent="0.2">
      <c r="B2376" s="2">
        <f ca="1"/>
        <v>0.50350699661687748</v>
      </c>
      <c r="O2376" s="2">
        <f ca="1"/>
        <v>-0.79575328882504381</v>
      </c>
      <c r="X2376" s="2">
        <f ca="1"/>
        <v>59.29222408570314</v>
      </c>
      <c r="AG2376" s="2">
        <f ca="1"/>
        <v>0.46570872748318615</v>
      </c>
      <c r="AH2376" s="2" t="str">
        <f ca="1"/>
        <v>Bad</v>
      </c>
    </row>
    <row r="2377" spans="2:34" x14ac:dyDescent="0.2">
      <c r="B2377" s="2">
        <f ca="1"/>
        <v>0.75213715626987176</v>
      </c>
      <c r="O2377" s="2">
        <f ca="1"/>
        <v>2.2994223441549306</v>
      </c>
      <c r="X2377" s="2">
        <f ca="1"/>
        <v>30.43735964575092</v>
      </c>
      <c r="AG2377" s="2">
        <f ca="1"/>
        <v>6.3071077226016792E-2</v>
      </c>
      <c r="AH2377" s="2" t="str">
        <f ca="1"/>
        <v>OK</v>
      </c>
    </row>
    <row r="2378" spans="2:34" x14ac:dyDescent="0.2">
      <c r="B2378" s="2">
        <f ca="1"/>
        <v>0.3709900142573328</v>
      </c>
      <c r="O2378" s="2">
        <f ca="1"/>
        <v>-1.2718167517774117</v>
      </c>
      <c r="X2378" s="2">
        <f ca="1"/>
        <v>54.494283904918831</v>
      </c>
      <c r="AG2378" s="2">
        <f ca="1"/>
        <v>0.42343029071701088</v>
      </c>
      <c r="AH2378" s="2" t="str">
        <f ca="1"/>
        <v>Bad</v>
      </c>
    </row>
    <row r="2379" spans="2:34" x14ac:dyDescent="0.2">
      <c r="B2379" s="2">
        <f ca="1"/>
        <v>0.55308157497368082</v>
      </c>
      <c r="O2379" s="2">
        <f ca="1"/>
        <v>-1.2173068780419241</v>
      </c>
      <c r="X2379" s="2">
        <f ca="1"/>
        <v>48.808628177927289</v>
      </c>
      <c r="AG2379" s="2">
        <f ca="1"/>
        <v>0.76791916317937914</v>
      </c>
      <c r="AH2379" s="2" t="str">
        <f ca="1"/>
        <v>Bad</v>
      </c>
    </row>
    <row r="2380" spans="2:34" x14ac:dyDescent="0.2">
      <c r="B2380" s="2">
        <f ca="1"/>
        <v>0.51879389987817826</v>
      </c>
      <c r="O2380" s="2">
        <f ca="1"/>
        <v>0.95537277651801167</v>
      </c>
      <c r="X2380" s="2">
        <f ca="1"/>
        <v>27.495401791696509</v>
      </c>
      <c r="AG2380" s="2">
        <f ca="1"/>
        <v>0.18588248554340381</v>
      </c>
      <c r="AH2380" s="2" t="str">
        <f ca="1"/>
        <v>OK</v>
      </c>
    </row>
    <row r="2381" spans="2:34" x14ac:dyDescent="0.2">
      <c r="B2381" s="2">
        <f ca="1"/>
        <v>0.80824044023583674</v>
      </c>
      <c r="O2381" s="2">
        <f ca="1"/>
        <v>-0.6799993232068462</v>
      </c>
      <c r="X2381" s="2">
        <f ca="1"/>
        <v>53.774433812175843</v>
      </c>
      <c r="AG2381" s="2">
        <f ca="1"/>
        <v>0.47214074417707974</v>
      </c>
      <c r="AH2381" s="2" t="str">
        <f ca="1"/>
        <v>Bad</v>
      </c>
    </row>
    <row r="2382" spans="2:34" x14ac:dyDescent="0.2">
      <c r="B2382" s="2">
        <f ca="1"/>
        <v>0.13026800344803813</v>
      </c>
      <c r="O2382" s="2">
        <f ca="1"/>
        <v>1.2675553583553207</v>
      </c>
      <c r="X2382" s="2">
        <f ca="1"/>
        <v>41.915012458989324</v>
      </c>
      <c r="AG2382" s="2">
        <f ca="1"/>
        <v>0.30220827994836341</v>
      </c>
      <c r="AH2382" s="2" t="str">
        <f ca="1"/>
        <v>OK</v>
      </c>
    </row>
    <row r="2383" spans="2:34" x14ac:dyDescent="0.2">
      <c r="B2383" s="2">
        <f ca="1"/>
        <v>0.37081775696924368</v>
      </c>
      <c r="O2383" s="2">
        <f ca="1"/>
        <v>0.36358163048436859</v>
      </c>
      <c r="X2383" s="2">
        <f ca="1"/>
        <v>31.33345311485094</v>
      </c>
      <c r="AG2383" s="2">
        <f ca="1"/>
        <v>0.71091289821127113</v>
      </c>
      <c r="AH2383" s="2" t="str">
        <f ca="1"/>
        <v>Bad</v>
      </c>
    </row>
    <row r="2384" spans="2:34" x14ac:dyDescent="0.2">
      <c r="B2384" s="2">
        <f ca="1"/>
        <v>0.40819342216023591</v>
      </c>
      <c r="O2384" s="2">
        <f ca="1"/>
        <v>0.75148835447716777</v>
      </c>
      <c r="X2384" s="2">
        <f ca="1"/>
        <v>36.830782547613452</v>
      </c>
      <c r="AG2384" s="2">
        <f ca="1"/>
        <v>0.68149222963397338</v>
      </c>
      <c r="AH2384" s="2" t="str">
        <f ca="1"/>
        <v>Bad</v>
      </c>
    </row>
    <row r="2385" spans="2:34" x14ac:dyDescent="0.2">
      <c r="B2385" s="2">
        <f ca="1"/>
        <v>0.51087327694170837</v>
      </c>
      <c r="O2385" s="2">
        <f ca="1"/>
        <v>1.4286887251397422</v>
      </c>
      <c r="X2385" s="2">
        <f ca="1"/>
        <v>27.581675365502534</v>
      </c>
      <c r="AG2385" s="2">
        <f ca="1"/>
        <v>5.3269881162483435E-2</v>
      </c>
      <c r="AH2385" s="2" t="str">
        <f ca="1"/>
        <v>OK</v>
      </c>
    </row>
    <row r="2386" spans="2:34" x14ac:dyDescent="0.2">
      <c r="B2386" s="2">
        <f ca="1"/>
        <v>0.69710440472747992</v>
      </c>
      <c r="O2386" s="2">
        <f ca="1"/>
        <v>1.0248695679171949</v>
      </c>
      <c r="X2386" s="2">
        <f ca="1"/>
        <v>54.014074466352902</v>
      </c>
      <c r="AG2386" s="2">
        <f ca="1"/>
        <v>6.3255610801883577E-2</v>
      </c>
      <c r="AH2386" s="2" t="str">
        <f ca="1"/>
        <v>OK</v>
      </c>
    </row>
    <row r="2387" spans="2:34" x14ac:dyDescent="0.2">
      <c r="B2387" s="2">
        <f ca="1"/>
        <v>0.57455414981091546</v>
      </c>
      <c r="O2387" s="2">
        <f ca="1"/>
        <v>-1.0617778152303528</v>
      </c>
      <c r="X2387" s="2">
        <f ca="1"/>
        <v>61.734022077177443</v>
      </c>
      <c r="AG2387" s="2">
        <f ca="1"/>
        <v>0.29227862744738209</v>
      </c>
      <c r="AH2387" s="2" t="str">
        <f ca="1"/>
        <v>OK</v>
      </c>
    </row>
    <row r="2388" spans="2:34" x14ac:dyDescent="0.2">
      <c r="B2388" s="2">
        <f ca="1"/>
        <v>0.98607320502656681</v>
      </c>
      <c r="O2388" s="2">
        <f ca="1"/>
        <v>2.2149307296799932</v>
      </c>
      <c r="X2388" s="2">
        <f ca="1"/>
        <v>48.932579184857431</v>
      </c>
      <c r="AG2388" s="2">
        <f ca="1"/>
        <v>0.74484276296496721</v>
      </c>
      <c r="AH2388" s="2" t="str">
        <f ca="1"/>
        <v>Bad</v>
      </c>
    </row>
    <row r="2389" spans="2:34" x14ac:dyDescent="0.2">
      <c r="B2389" s="2">
        <f ca="1"/>
        <v>0.3322116554492085</v>
      </c>
      <c r="O2389" s="2">
        <f ca="1"/>
        <v>1.8815452023394026</v>
      </c>
      <c r="X2389" s="2">
        <f ca="1"/>
        <v>28.009898692887401</v>
      </c>
      <c r="AG2389" s="2">
        <f ca="1"/>
        <v>8.1391523494808826E-2</v>
      </c>
      <c r="AH2389" s="2" t="str">
        <f ca="1"/>
        <v>OK</v>
      </c>
    </row>
    <row r="2390" spans="2:34" x14ac:dyDescent="0.2">
      <c r="B2390" s="2">
        <f ca="1"/>
        <v>0.31622339176083791</v>
      </c>
      <c r="O2390" s="2">
        <f ca="1"/>
        <v>-0.55707443679337731</v>
      </c>
      <c r="X2390" s="2">
        <f ca="1"/>
        <v>31.576317755752751</v>
      </c>
      <c r="AG2390" s="2">
        <f ca="1"/>
        <v>0.19824088997515132</v>
      </c>
      <c r="AH2390" s="2" t="str">
        <f ca="1"/>
        <v>OK</v>
      </c>
    </row>
    <row r="2391" spans="2:34" x14ac:dyDescent="0.2">
      <c r="B2391" s="2">
        <f ca="1"/>
        <v>0.90275325368532267</v>
      </c>
      <c r="O2391" s="2">
        <f ca="1"/>
        <v>-0.1780524271090286</v>
      </c>
      <c r="X2391" s="2">
        <f ca="1"/>
        <v>43.512695835966213</v>
      </c>
      <c r="AG2391" s="2">
        <f ca="1"/>
        <v>0.74871239996415873</v>
      </c>
      <c r="AH2391" s="2" t="str">
        <f ca="1"/>
        <v>Bad</v>
      </c>
    </row>
    <row r="2392" spans="2:34" x14ac:dyDescent="0.2">
      <c r="B2392" s="2">
        <f ca="1"/>
        <v>0.17084105328216581</v>
      </c>
      <c r="O2392" s="2">
        <f ca="1"/>
        <v>-1.4322266192792137</v>
      </c>
      <c r="X2392" s="2">
        <f ca="1"/>
        <v>31.965997201663704</v>
      </c>
      <c r="AG2392" s="2">
        <f ca="1"/>
        <v>0.69697926542980504</v>
      </c>
      <c r="AH2392" s="2" t="str">
        <f ca="1"/>
        <v>Bad</v>
      </c>
    </row>
    <row r="2393" spans="2:34" x14ac:dyDescent="0.2">
      <c r="B2393" s="2">
        <f ca="1"/>
        <v>0.38162001907828924</v>
      </c>
      <c r="O2393" s="2">
        <f ca="1"/>
        <v>0.62747063024457672</v>
      </c>
      <c r="X2393" s="2">
        <f ca="1"/>
        <v>42.789625349827539</v>
      </c>
      <c r="AG2393" s="2">
        <f ca="1"/>
        <v>0.46441332527966095</v>
      </c>
      <c r="AH2393" s="2" t="str">
        <f ca="1"/>
        <v>Bad</v>
      </c>
    </row>
    <row r="2394" spans="2:34" x14ac:dyDescent="0.2">
      <c r="B2394" s="2">
        <f ca="1"/>
        <v>0.92313435452492731</v>
      </c>
      <c r="O2394" s="2">
        <f ca="1"/>
        <v>0.64520012757353706</v>
      </c>
      <c r="X2394" s="2">
        <f ca="1"/>
        <v>44.946303452485921</v>
      </c>
      <c r="AG2394" s="2">
        <f ca="1"/>
        <v>0.62323888093629254</v>
      </c>
      <c r="AH2394" s="2" t="str">
        <f ca="1"/>
        <v>Bad</v>
      </c>
    </row>
    <row r="2395" spans="2:34" x14ac:dyDescent="0.2">
      <c r="B2395" s="2">
        <f ca="1"/>
        <v>0.60377504675030313</v>
      </c>
      <c r="O2395" s="2">
        <f ca="1"/>
        <v>-0.85980398118091439</v>
      </c>
      <c r="X2395" s="2">
        <f ca="1"/>
        <v>47.860285499280664</v>
      </c>
      <c r="AG2395" s="2">
        <f ca="1"/>
        <v>0.47551852928329197</v>
      </c>
      <c r="AH2395" s="2" t="str">
        <f ca="1"/>
        <v>Bad</v>
      </c>
    </row>
    <row r="2396" spans="2:34" x14ac:dyDescent="0.2">
      <c r="B2396" s="2">
        <f ca="1"/>
        <v>0.71291265101276124</v>
      </c>
      <c r="O2396" s="2">
        <f ca="1"/>
        <v>-0.31709865384444008</v>
      </c>
      <c r="X2396" s="2">
        <f ca="1"/>
        <v>25.793896314666981</v>
      </c>
      <c r="AG2396" s="2">
        <f ca="1"/>
        <v>4.8579986856213564E-2</v>
      </c>
      <c r="AH2396" s="2" t="str">
        <f ca="1"/>
        <v>Good</v>
      </c>
    </row>
    <row r="2397" spans="2:34" x14ac:dyDescent="0.2">
      <c r="B2397" s="2">
        <f ca="1"/>
        <v>0.18958332917144749</v>
      </c>
      <c r="O2397" s="2">
        <f ca="1"/>
        <v>-1.3059497862891558</v>
      </c>
      <c r="X2397" s="2">
        <f ca="1"/>
        <v>27.613254872407126</v>
      </c>
      <c r="AG2397" s="2">
        <f ca="1"/>
        <v>0.41324316000034722</v>
      </c>
      <c r="AH2397" s="2" t="str">
        <f ca="1"/>
        <v>Bad</v>
      </c>
    </row>
    <row r="2398" spans="2:34" x14ac:dyDescent="0.2">
      <c r="B2398" s="2">
        <f ca="1"/>
        <v>0.82811231002965191</v>
      </c>
      <c r="O2398" s="2">
        <f ca="1"/>
        <v>0.71404719554526186</v>
      </c>
      <c r="X2398" s="2">
        <f ca="1"/>
        <v>33.472307357166386</v>
      </c>
      <c r="AG2398" s="2">
        <f ca="1"/>
        <v>0.98607198104814509</v>
      </c>
      <c r="AH2398" s="2" t="str">
        <f ca="1"/>
        <v>Bad</v>
      </c>
    </row>
    <row r="2399" spans="2:34" x14ac:dyDescent="0.2">
      <c r="B2399" s="2">
        <f ca="1"/>
        <v>0.3469067962236223</v>
      </c>
      <c r="O2399" s="2">
        <f ca="1"/>
        <v>-0.90280867164559786</v>
      </c>
      <c r="X2399" s="2">
        <f ca="1"/>
        <v>41.866871692668042</v>
      </c>
      <c r="AG2399" s="2">
        <f ca="1"/>
        <v>0.13575204313944234</v>
      </c>
      <c r="AH2399" s="2" t="str">
        <f ca="1"/>
        <v>OK</v>
      </c>
    </row>
    <row r="2400" spans="2:34" x14ac:dyDescent="0.2">
      <c r="B2400" s="2">
        <f ca="1"/>
        <v>0.4498036122218867</v>
      </c>
      <c r="O2400" s="2">
        <f ca="1"/>
        <v>-0.51054293141949325</v>
      </c>
      <c r="X2400" s="2">
        <f ca="1"/>
        <v>54.046859535892374</v>
      </c>
      <c r="AG2400" s="2">
        <f ca="1"/>
        <v>0.41354877323177908</v>
      </c>
      <c r="AH2400" s="2" t="str">
        <f ca="1"/>
        <v>Bad</v>
      </c>
    </row>
    <row r="2401" spans="2:34" x14ac:dyDescent="0.2">
      <c r="B2401" s="2">
        <f ca="1"/>
        <v>0.12725542938435486</v>
      </c>
      <c r="O2401" s="2">
        <f ca="1"/>
        <v>1.8135953522390575</v>
      </c>
      <c r="X2401" s="2">
        <f ca="1"/>
        <v>33.772235084487846</v>
      </c>
      <c r="AG2401" s="2">
        <f ca="1"/>
        <v>0.85671599460596548</v>
      </c>
      <c r="AH2401" s="2" t="str">
        <f ca="1"/>
        <v>Bad</v>
      </c>
    </row>
    <row r="2402" spans="2:34" x14ac:dyDescent="0.2">
      <c r="B2402" s="2">
        <f ca="1"/>
        <v>0.62407832737034541</v>
      </c>
      <c r="O2402" s="2">
        <f ca="1"/>
        <v>0.33532318222387886</v>
      </c>
      <c r="X2402" s="2">
        <f ca="1"/>
        <v>86.486563881263677</v>
      </c>
      <c r="AG2402" s="2">
        <f ca="1"/>
        <v>0.98497821449219725</v>
      </c>
      <c r="AH2402" s="2" t="str">
        <f ca="1"/>
        <v>Bad</v>
      </c>
    </row>
    <row r="2403" spans="2:34" x14ac:dyDescent="0.2">
      <c r="B2403" s="2">
        <f ca="1"/>
        <v>0.47981371185245947</v>
      </c>
      <c r="O2403" s="2">
        <f ca="1"/>
        <v>1.6333348152528897</v>
      </c>
      <c r="X2403" s="2">
        <f ca="1"/>
        <v>51.681437676837348</v>
      </c>
      <c r="AG2403" s="2">
        <f ca="1"/>
        <v>0.23903902939887733</v>
      </c>
      <c r="AH2403" s="2" t="str">
        <f ca="1"/>
        <v>OK</v>
      </c>
    </row>
    <row r="2404" spans="2:34" x14ac:dyDescent="0.2">
      <c r="B2404" s="2">
        <f ca="1"/>
        <v>0.5543249982484344</v>
      </c>
      <c r="O2404" s="2">
        <f ca="1"/>
        <v>0.4174787972881</v>
      </c>
      <c r="X2404" s="2">
        <f ca="1"/>
        <v>50.307327803102439</v>
      </c>
      <c r="AG2404" s="2">
        <f ca="1"/>
        <v>0.14776833375659382</v>
      </c>
      <c r="AH2404" s="2" t="str">
        <f ca="1"/>
        <v>OK</v>
      </c>
    </row>
    <row r="2405" spans="2:34" x14ac:dyDescent="0.2">
      <c r="B2405" s="2">
        <f ca="1"/>
        <v>0.3688660135934041</v>
      </c>
      <c r="O2405" s="2">
        <f ca="1"/>
        <v>-1.4072536645385405</v>
      </c>
      <c r="X2405" s="2">
        <f ca="1"/>
        <v>32.156780281305991</v>
      </c>
      <c r="AG2405" s="2">
        <f ca="1"/>
        <v>0.27632151989948639</v>
      </c>
      <c r="AH2405" s="2" t="str">
        <f ca="1"/>
        <v>OK</v>
      </c>
    </row>
    <row r="2406" spans="2:34" x14ac:dyDescent="0.2">
      <c r="B2406" s="2">
        <f ca="1"/>
        <v>0.37553720857023665</v>
      </c>
      <c r="O2406" s="2">
        <f ca="1"/>
        <v>0.82074575030730079</v>
      </c>
      <c r="X2406" s="2">
        <f ca="1"/>
        <v>28.38543352631552</v>
      </c>
      <c r="AG2406" s="2">
        <f ca="1"/>
        <v>0.50481688322983609</v>
      </c>
      <c r="AH2406" s="2" t="str">
        <f ca="1"/>
        <v>Bad</v>
      </c>
    </row>
    <row r="2407" spans="2:34" x14ac:dyDescent="0.2">
      <c r="B2407" s="2">
        <f ca="1"/>
        <v>0.57537451973237319</v>
      </c>
      <c r="O2407" s="2">
        <f ca="1"/>
        <v>-0.5181398552259453</v>
      </c>
      <c r="X2407" s="2">
        <f ca="1"/>
        <v>44.892183063887373</v>
      </c>
      <c r="AG2407" s="2">
        <f ca="1"/>
        <v>0.69539403150044743</v>
      </c>
      <c r="AH2407" s="2" t="str">
        <f ca="1"/>
        <v>Bad</v>
      </c>
    </row>
    <row r="2408" spans="2:34" x14ac:dyDescent="0.2">
      <c r="B2408" s="2">
        <f ca="1"/>
        <v>4.6821088363848684E-3</v>
      </c>
      <c r="O2408" s="2">
        <f ca="1"/>
        <v>0.88148918314295188</v>
      </c>
      <c r="X2408" s="2">
        <f ca="1"/>
        <v>50.500952993450277</v>
      </c>
      <c r="AG2408" s="2">
        <f ca="1"/>
        <v>0.34852217061740753</v>
      </c>
      <c r="AH2408" s="2" t="str">
        <f ca="1"/>
        <v>OK</v>
      </c>
    </row>
    <row r="2409" spans="2:34" x14ac:dyDescent="0.2">
      <c r="B2409" s="2">
        <f ca="1"/>
        <v>3.0617285113841763E-2</v>
      </c>
      <c r="O2409" s="2">
        <f ca="1"/>
        <v>0.35994680980204652</v>
      </c>
      <c r="X2409" s="2">
        <f ca="1"/>
        <v>34.734149973320967</v>
      </c>
      <c r="AG2409" s="2">
        <f ca="1"/>
        <v>0.64167271641208368</v>
      </c>
      <c r="AH2409" s="2" t="str">
        <f ca="1"/>
        <v>Bad</v>
      </c>
    </row>
    <row r="2410" spans="2:34" x14ac:dyDescent="0.2">
      <c r="B2410" s="2">
        <f ca="1"/>
        <v>0.36153422460310747</v>
      </c>
      <c r="O2410" s="2">
        <f ca="1"/>
        <v>-0.5973775383615465</v>
      </c>
      <c r="X2410" s="2">
        <f ca="1"/>
        <v>59.145618020757439</v>
      </c>
      <c r="AG2410" s="2">
        <f ca="1"/>
        <v>0.36769784107627546</v>
      </c>
      <c r="AH2410" s="2" t="str">
        <f ca="1"/>
        <v>OK</v>
      </c>
    </row>
    <row r="2411" spans="2:34" x14ac:dyDescent="0.2">
      <c r="B2411" s="2">
        <f ca="1"/>
        <v>0.82949535652200979</v>
      </c>
      <c r="O2411" s="2">
        <f ca="1"/>
        <v>1.1343682687155139</v>
      </c>
      <c r="X2411" s="2">
        <f ca="1"/>
        <v>41.718953353546226</v>
      </c>
      <c r="AG2411" s="2">
        <f ca="1"/>
        <v>0.45132661182892098</v>
      </c>
      <c r="AH2411" s="2" t="str">
        <f ca="1"/>
        <v>Bad</v>
      </c>
    </row>
    <row r="2412" spans="2:34" x14ac:dyDescent="0.2">
      <c r="B2412" s="2">
        <f ca="1"/>
        <v>0.78872742763554693</v>
      </c>
      <c r="O2412" s="2">
        <f ca="1"/>
        <v>1.0547517398947239</v>
      </c>
      <c r="X2412" s="2">
        <f ca="1"/>
        <v>34.86056081090549</v>
      </c>
      <c r="AG2412" s="2">
        <f ca="1"/>
        <v>0.66865327868169344</v>
      </c>
      <c r="AH2412" s="2" t="str">
        <f ca="1"/>
        <v>Bad</v>
      </c>
    </row>
    <row r="2413" spans="2:34" x14ac:dyDescent="0.2">
      <c r="B2413" s="2">
        <f ca="1"/>
        <v>0.18891847439442211</v>
      </c>
      <c r="O2413" s="2">
        <f ca="1"/>
        <v>-0.18348663043948504</v>
      </c>
      <c r="X2413" s="2">
        <f ca="1"/>
        <v>36.950235010059721</v>
      </c>
      <c r="AG2413" s="2">
        <f ca="1"/>
        <v>0.68262237319375707</v>
      </c>
      <c r="AH2413" s="2" t="str">
        <f ca="1"/>
        <v>Bad</v>
      </c>
    </row>
    <row r="2414" spans="2:34" x14ac:dyDescent="0.2">
      <c r="B2414" s="2">
        <f ca="1"/>
        <v>0.65701247563966603</v>
      </c>
      <c r="O2414" s="2">
        <f ca="1"/>
        <v>1.2720271968697856</v>
      </c>
      <c r="X2414" s="2">
        <f ca="1"/>
        <v>31.65012505576334</v>
      </c>
      <c r="AG2414" s="2">
        <f ca="1"/>
        <v>0.2993544647238211</v>
      </c>
      <c r="AH2414" s="2" t="str">
        <f ca="1"/>
        <v>OK</v>
      </c>
    </row>
    <row r="2415" spans="2:34" x14ac:dyDescent="0.2">
      <c r="B2415" s="2">
        <f ca="1"/>
        <v>6.1178187525239291E-3</v>
      </c>
      <c r="O2415" s="2">
        <f ca="1"/>
        <v>8.0518091055356567E-2</v>
      </c>
      <c r="X2415" s="2">
        <f ca="1"/>
        <v>51.638681175802617</v>
      </c>
      <c r="AG2415" s="2">
        <f ca="1"/>
        <v>0.21338069656420355</v>
      </c>
      <c r="AH2415" s="2" t="str">
        <f ca="1"/>
        <v>OK</v>
      </c>
    </row>
    <row r="2416" spans="2:34" x14ac:dyDescent="0.2">
      <c r="B2416" s="2">
        <f ca="1"/>
        <v>0.83975216673979447</v>
      </c>
      <c r="O2416" s="2">
        <f ca="1"/>
        <v>0.28190421467604831</v>
      </c>
      <c r="X2416" s="2">
        <f ca="1"/>
        <v>73.762733529570909</v>
      </c>
      <c r="AG2416" s="2">
        <f ca="1"/>
        <v>0.89646316942305337</v>
      </c>
      <c r="AH2416" s="2" t="str">
        <f ca="1"/>
        <v>Bad</v>
      </c>
    </row>
    <row r="2417" spans="2:34" x14ac:dyDescent="0.2">
      <c r="B2417" s="2">
        <f ca="1"/>
        <v>0.973942898999826</v>
      </c>
      <c r="O2417" s="2">
        <f ca="1"/>
        <v>1.61095115612781</v>
      </c>
      <c r="X2417" s="2">
        <f ca="1"/>
        <v>60.003558102945298</v>
      </c>
      <c r="AG2417" s="2">
        <f ca="1"/>
        <v>0.93756545251730627</v>
      </c>
      <c r="AH2417" s="2" t="str">
        <f ca="1"/>
        <v>Bad</v>
      </c>
    </row>
    <row r="2418" spans="2:34" x14ac:dyDescent="0.2">
      <c r="B2418" s="2">
        <f ca="1"/>
        <v>0.60655103805026322</v>
      </c>
      <c r="O2418" s="2">
        <f ca="1"/>
        <v>-0.76394217557807453</v>
      </c>
      <c r="X2418" s="2">
        <f ca="1"/>
        <v>71.289864981860603</v>
      </c>
      <c r="AG2418" s="2">
        <f ca="1"/>
        <v>0.15679491527255895</v>
      </c>
      <c r="AH2418" s="2" t="str">
        <f ca="1"/>
        <v>OK</v>
      </c>
    </row>
    <row r="2419" spans="2:34" x14ac:dyDescent="0.2">
      <c r="B2419" s="2">
        <f ca="1"/>
        <v>0.2364969659147742</v>
      </c>
      <c r="O2419" s="2">
        <f ca="1"/>
        <v>-0.83677843145210018</v>
      </c>
      <c r="X2419" s="2">
        <f ca="1"/>
        <v>26.619583914013901</v>
      </c>
      <c r="AG2419" s="2">
        <f ca="1"/>
        <v>0.28515081593351499</v>
      </c>
      <c r="AH2419" s="2" t="str">
        <f ca="1"/>
        <v>OK</v>
      </c>
    </row>
    <row r="2420" spans="2:34" x14ac:dyDescent="0.2">
      <c r="B2420" s="2">
        <f ca="1"/>
        <v>0.5020130346163505</v>
      </c>
      <c r="O2420" s="2">
        <f ca="1"/>
        <v>0.42330292416259324</v>
      </c>
      <c r="X2420" s="2">
        <f ca="1"/>
        <v>40.654171406942936</v>
      </c>
      <c r="AG2420" s="2">
        <f ca="1"/>
        <v>0.22716894519989728</v>
      </c>
      <c r="AH2420" s="2" t="str">
        <f ca="1"/>
        <v>OK</v>
      </c>
    </row>
    <row r="2421" spans="2:34" x14ac:dyDescent="0.2">
      <c r="B2421" s="2">
        <f ca="1"/>
        <v>0.15905649846108783</v>
      </c>
      <c r="O2421" s="2">
        <f ca="1"/>
        <v>1.2917890144074438</v>
      </c>
      <c r="X2421" s="2">
        <f ca="1"/>
        <v>47.105794455156193</v>
      </c>
      <c r="AG2421" s="2">
        <f ca="1"/>
        <v>0.41275461594868368</v>
      </c>
      <c r="AH2421" s="2" t="str">
        <f ca="1"/>
        <v>Bad</v>
      </c>
    </row>
    <row r="2422" spans="2:34" x14ac:dyDescent="0.2">
      <c r="B2422" s="2">
        <f ca="1"/>
        <v>0.92962925834522747</v>
      </c>
      <c r="O2422" s="2">
        <f ca="1"/>
        <v>2.5343263697274541</v>
      </c>
      <c r="X2422" s="2">
        <f ca="1"/>
        <v>49.893354331534134</v>
      </c>
      <c r="AG2422" s="2">
        <f ca="1"/>
        <v>0.27167789613114812</v>
      </c>
      <c r="AH2422" s="2" t="str">
        <f ca="1"/>
        <v>OK</v>
      </c>
    </row>
    <row r="2423" spans="2:34" x14ac:dyDescent="0.2">
      <c r="B2423" s="2">
        <f ca="1"/>
        <v>0.41791837528889175</v>
      </c>
      <c r="O2423" s="2">
        <f ca="1"/>
        <v>0.33649990903166627</v>
      </c>
      <c r="X2423" s="2">
        <f ca="1"/>
        <v>71.376022793967593</v>
      </c>
      <c r="AG2423" s="2">
        <f ca="1"/>
        <v>0.75132133735417428</v>
      </c>
      <c r="AH2423" s="2" t="str">
        <f ca="1"/>
        <v>Bad</v>
      </c>
    </row>
    <row r="2424" spans="2:34" x14ac:dyDescent="0.2">
      <c r="B2424" s="2">
        <f ca="1"/>
        <v>0.14853278965803773</v>
      </c>
      <c r="O2424" s="2">
        <f ca="1"/>
        <v>-0.1782490753792747</v>
      </c>
      <c r="X2424" s="2">
        <f ca="1"/>
        <v>60.0086203878015</v>
      </c>
      <c r="AG2424" s="2">
        <f ca="1"/>
        <v>0.78843224092622144</v>
      </c>
      <c r="AH2424" s="2" t="str">
        <f ca="1"/>
        <v>Bad</v>
      </c>
    </row>
    <row r="2425" spans="2:34" x14ac:dyDescent="0.2">
      <c r="B2425" s="2">
        <f ca="1"/>
        <v>0.96190364591383637</v>
      </c>
      <c r="O2425" s="2">
        <f ca="1"/>
        <v>-0.42287025214529561</v>
      </c>
      <c r="X2425" s="2">
        <f ca="1"/>
        <v>40.918181511496954</v>
      </c>
      <c r="AG2425" s="2">
        <f ca="1"/>
        <v>0.67846281794547036</v>
      </c>
      <c r="AH2425" s="2" t="str">
        <f ca="1"/>
        <v>Bad</v>
      </c>
    </row>
    <row r="2426" spans="2:34" x14ac:dyDescent="0.2">
      <c r="B2426" s="2">
        <f ca="1"/>
        <v>5.632213251397955E-3</v>
      </c>
      <c r="O2426" s="2">
        <f ca="1"/>
        <v>-1.6222378918003615</v>
      </c>
      <c r="X2426" s="2">
        <f ca="1"/>
        <v>64.68922713767661</v>
      </c>
      <c r="AG2426" s="2">
        <f ca="1"/>
        <v>0.91302802288221763</v>
      </c>
      <c r="AH2426" s="2" t="str">
        <f ca="1"/>
        <v>Bad</v>
      </c>
    </row>
    <row r="2427" spans="2:34" x14ac:dyDescent="0.2">
      <c r="B2427" s="2">
        <f ca="1"/>
        <v>0.84574552954216786</v>
      </c>
      <c r="O2427" s="2">
        <f ca="1"/>
        <v>-0.39913852133686906</v>
      </c>
      <c r="X2427" s="2">
        <f ca="1"/>
        <v>57.84475434649994</v>
      </c>
      <c r="AG2427" s="2">
        <f ca="1"/>
        <v>0.49327539566471756</v>
      </c>
      <c r="AH2427" s="2" t="str">
        <f ca="1"/>
        <v>Bad</v>
      </c>
    </row>
    <row r="2428" spans="2:34" x14ac:dyDescent="0.2">
      <c r="B2428" s="2">
        <f ca="1"/>
        <v>0.50864171623404864</v>
      </c>
      <c r="O2428" s="2">
        <f ca="1"/>
        <v>1.3352766852068862</v>
      </c>
      <c r="X2428" s="2">
        <f ca="1"/>
        <v>45.146474659725079</v>
      </c>
      <c r="AG2428" s="2">
        <f ca="1"/>
        <v>9.8029886724774418E-2</v>
      </c>
      <c r="AH2428" s="2" t="str">
        <f ca="1"/>
        <v>OK</v>
      </c>
    </row>
    <row r="2429" spans="2:34" x14ac:dyDescent="0.2">
      <c r="B2429" s="2">
        <f ca="1"/>
        <v>0.73717840528432821</v>
      </c>
      <c r="O2429" s="2">
        <f ca="1"/>
        <v>-1.7421349028737934</v>
      </c>
      <c r="X2429" s="2">
        <f ca="1"/>
        <v>42.994915540051657</v>
      </c>
      <c r="AG2429" s="2">
        <f ca="1"/>
        <v>0.18799952916529339</v>
      </c>
      <c r="AH2429" s="2" t="str">
        <f ca="1"/>
        <v>OK</v>
      </c>
    </row>
    <row r="2430" spans="2:34" x14ac:dyDescent="0.2">
      <c r="B2430" s="2">
        <f ca="1"/>
        <v>0.74232499325811263</v>
      </c>
      <c r="O2430" s="2">
        <f ca="1"/>
        <v>-3.3728051712207642E-2</v>
      </c>
      <c r="X2430" s="2">
        <f ca="1"/>
        <v>30.138862434113719</v>
      </c>
      <c r="AG2430" s="2">
        <f ca="1"/>
        <v>3.9644649873798565E-2</v>
      </c>
      <c r="AH2430" s="2" t="str">
        <f ca="1"/>
        <v>Good</v>
      </c>
    </row>
    <row r="2431" spans="2:34" x14ac:dyDescent="0.2">
      <c r="B2431" s="2">
        <f ca="1"/>
        <v>0.80818856239917491</v>
      </c>
      <c r="O2431" s="2">
        <f ca="1"/>
        <v>-0.58714083140959616</v>
      </c>
      <c r="X2431" s="2">
        <f ca="1"/>
        <v>35.588488277095117</v>
      </c>
      <c r="AG2431" s="2">
        <f ca="1"/>
        <v>0.5186535372916623</v>
      </c>
      <c r="AH2431" s="2" t="str">
        <f ca="1"/>
        <v>Bad</v>
      </c>
    </row>
    <row r="2432" spans="2:34" x14ac:dyDescent="0.2">
      <c r="B2432" s="2">
        <f ca="1"/>
        <v>0.42637416104803583</v>
      </c>
      <c r="O2432" s="2">
        <f ca="1"/>
        <v>1.1352433959772361</v>
      </c>
      <c r="X2432" s="2">
        <f ca="1"/>
        <v>74.694810951871403</v>
      </c>
      <c r="AG2432" s="2">
        <f ca="1"/>
        <v>0.16557020813932111</v>
      </c>
      <c r="AH2432" s="2" t="str">
        <f ca="1"/>
        <v>OK</v>
      </c>
    </row>
    <row r="2433" spans="2:34" x14ac:dyDescent="0.2">
      <c r="B2433" s="2">
        <f ca="1"/>
        <v>0.19218258240450248</v>
      </c>
      <c r="O2433" s="2">
        <f ca="1"/>
        <v>-2.8143671322038939</v>
      </c>
      <c r="X2433" s="2">
        <f ca="1"/>
        <v>46.362634725847307</v>
      </c>
      <c r="AG2433" s="2">
        <f ca="1"/>
        <v>0.56931921262124741</v>
      </c>
      <c r="AH2433" s="2" t="str">
        <f ca="1"/>
        <v>Bad</v>
      </c>
    </row>
    <row r="2434" spans="2:34" x14ac:dyDescent="0.2">
      <c r="B2434" s="2">
        <f ca="1"/>
        <v>0.53386581236709518</v>
      </c>
      <c r="O2434" s="2">
        <f ca="1"/>
        <v>-1.1628159759237313</v>
      </c>
      <c r="X2434" s="2">
        <f ca="1"/>
        <v>71.785586073614368</v>
      </c>
      <c r="AG2434" s="2">
        <f ca="1"/>
        <v>4.1632454644736638E-2</v>
      </c>
      <c r="AH2434" s="2" t="str">
        <f ca="1"/>
        <v>Good</v>
      </c>
    </row>
    <row r="2435" spans="2:34" x14ac:dyDescent="0.2">
      <c r="B2435" s="2">
        <f ca="1"/>
        <v>3.2168626734891959E-3</v>
      </c>
      <c r="O2435" s="2">
        <f ca="1"/>
        <v>0.72572959905127599</v>
      </c>
      <c r="X2435" s="2">
        <f ca="1"/>
        <v>56.265248884753483</v>
      </c>
      <c r="AG2435" s="2">
        <f ca="1"/>
        <v>7.9109424472026069E-2</v>
      </c>
      <c r="AH2435" s="2" t="str">
        <f ca="1"/>
        <v>OK</v>
      </c>
    </row>
    <row r="2436" spans="2:34" x14ac:dyDescent="0.2">
      <c r="B2436" s="2">
        <f ca="1"/>
        <v>0.6860529335996628</v>
      </c>
      <c r="O2436" s="2">
        <f ca="1"/>
        <v>-0.68866927008640633</v>
      </c>
      <c r="X2436" s="2">
        <f ca="1"/>
        <v>44.176030524117458</v>
      </c>
      <c r="AG2436" s="2">
        <f ca="1"/>
        <v>0.33421635442508468</v>
      </c>
      <c r="AH2436" s="2" t="str">
        <f ca="1"/>
        <v>OK</v>
      </c>
    </row>
    <row r="2437" spans="2:34" x14ac:dyDescent="0.2">
      <c r="B2437" s="2">
        <f ca="1"/>
        <v>1.2048108599504781E-2</v>
      </c>
      <c r="O2437" s="2">
        <f ca="1"/>
        <v>1.6716894446245787</v>
      </c>
      <c r="X2437" s="2">
        <f ca="1"/>
        <v>64.025963178558882</v>
      </c>
      <c r="AG2437" s="2">
        <f ca="1"/>
        <v>4.5783399386217338E-2</v>
      </c>
      <c r="AH2437" s="2" t="str">
        <f ca="1"/>
        <v>Good</v>
      </c>
    </row>
    <row r="2438" spans="2:34" x14ac:dyDescent="0.2">
      <c r="B2438" s="2">
        <f ca="1"/>
        <v>0.39375154956981961</v>
      </c>
      <c r="O2438" s="2">
        <f ca="1"/>
        <v>0.33364755968996651</v>
      </c>
      <c r="X2438" s="2">
        <f ca="1"/>
        <v>46.252643518442831</v>
      </c>
      <c r="AG2438" s="2">
        <f ca="1"/>
        <v>0.39371122872155406</v>
      </c>
      <c r="AH2438" s="2" t="str">
        <f ca="1"/>
        <v>OK</v>
      </c>
    </row>
    <row r="2439" spans="2:34" x14ac:dyDescent="0.2">
      <c r="B2439" s="2">
        <f ca="1"/>
        <v>0.66636320809597427</v>
      </c>
      <c r="O2439" s="2">
        <f ca="1"/>
        <v>-2.4790011196209805</v>
      </c>
      <c r="X2439" s="2">
        <f ca="1"/>
        <v>35.927496324220179</v>
      </c>
      <c r="AG2439" s="2">
        <f ca="1"/>
        <v>0.99150707864881915</v>
      </c>
      <c r="AH2439" s="2" t="str">
        <f ca="1"/>
        <v>Bad</v>
      </c>
    </row>
    <row r="2440" spans="2:34" x14ac:dyDescent="0.2">
      <c r="B2440" s="2">
        <f ca="1"/>
        <v>0.30227325214345657</v>
      </c>
      <c r="O2440" s="2">
        <f ca="1"/>
        <v>-2.2798117508836366</v>
      </c>
      <c r="X2440" s="2">
        <f ca="1"/>
        <v>48.339049710311279</v>
      </c>
      <c r="AG2440" s="2">
        <f ca="1"/>
        <v>0.56493395417960213</v>
      </c>
      <c r="AH2440" s="2" t="str">
        <f ca="1"/>
        <v>Bad</v>
      </c>
    </row>
    <row r="2441" spans="2:34" x14ac:dyDescent="0.2">
      <c r="B2441" s="2">
        <f ca="1"/>
        <v>0.80205879589559204</v>
      </c>
      <c r="O2441" s="2">
        <f ca="1"/>
        <v>0.32135449174738367</v>
      </c>
      <c r="X2441" s="2">
        <f ca="1"/>
        <v>42.263155235270986</v>
      </c>
      <c r="AG2441" s="2">
        <f ca="1"/>
        <v>0.7583271034504715</v>
      </c>
      <c r="AH2441" s="2" t="str">
        <f ca="1"/>
        <v>Bad</v>
      </c>
    </row>
    <row r="2442" spans="2:34" x14ac:dyDescent="0.2">
      <c r="B2442" s="2">
        <f ca="1"/>
        <v>0.4410496673283697</v>
      </c>
      <c r="O2442" s="2">
        <f ca="1"/>
        <v>-0.90578401708393563</v>
      </c>
      <c r="X2442" s="2">
        <f ca="1"/>
        <v>50.478939206203741</v>
      </c>
      <c r="AG2442" s="2">
        <f ca="1"/>
        <v>0.76125225987783796</v>
      </c>
      <c r="AH2442" s="2" t="str">
        <f ca="1"/>
        <v>Bad</v>
      </c>
    </row>
    <row r="2443" spans="2:34" x14ac:dyDescent="0.2">
      <c r="B2443" s="2">
        <f ca="1"/>
        <v>0.75037056744829633</v>
      </c>
      <c r="O2443" s="2">
        <f ca="1"/>
        <v>1.0589490382564765E-2</v>
      </c>
      <c r="X2443" s="2">
        <f ca="1"/>
        <v>46.770863218778643</v>
      </c>
      <c r="AG2443" s="2">
        <f ca="1"/>
        <v>0.19252030912939588</v>
      </c>
      <c r="AH2443" s="2" t="str">
        <f ca="1"/>
        <v>OK</v>
      </c>
    </row>
    <row r="2444" spans="2:34" x14ac:dyDescent="0.2">
      <c r="B2444" s="2">
        <f ca="1"/>
        <v>0.86691958788037016</v>
      </c>
      <c r="O2444" s="2">
        <f ca="1"/>
        <v>1.3028950594608324</v>
      </c>
      <c r="X2444" s="2">
        <f ca="1"/>
        <v>53.243184822574811</v>
      </c>
      <c r="AG2444" s="2">
        <f ca="1"/>
        <v>0.84364161213736755</v>
      </c>
      <c r="AH2444" s="2" t="str">
        <f ca="1"/>
        <v>Bad</v>
      </c>
    </row>
    <row r="2445" spans="2:34" x14ac:dyDescent="0.2">
      <c r="B2445" s="2">
        <f ca="1"/>
        <v>0.90258682344795438</v>
      </c>
      <c r="O2445" s="2">
        <f ca="1"/>
        <v>0.58374997859788924</v>
      </c>
      <c r="X2445" s="2">
        <f ca="1"/>
        <v>54.90243284983567</v>
      </c>
      <c r="AG2445" s="2">
        <f ca="1"/>
        <v>0.13822471615135679</v>
      </c>
      <c r="AH2445" s="2" t="str">
        <f ca="1"/>
        <v>OK</v>
      </c>
    </row>
    <row r="2446" spans="2:34" x14ac:dyDescent="0.2">
      <c r="B2446" s="2">
        <f ca="1"/>
        <v>0.98557282366363497</v>
      </c>
      <c r="O2446" s="2">
        <f ca="1"/>
        <v>-1.0740410660397324</v>
      </c>
      <c r="X2446" s="2">
        <f ca="1"/>
        <v>67.364514658789943</v>
      </c>
      <c r="AG2446" s="2">
        <f ca="1"/>
        <v>0.84179285628496991</v>
      </c>
      <c r="AH2446" s="2" t="str">
        <f ca="1"/>
        <v>Bad</v>
      </c>
    </row>
    <row r="2447" spans="2:34" x14ac:dyDescent="0.2">
      <c r="B2447" s="2">
        <f ca="1"/>
        <v>0.78587127504110521</v>
      </c>
      <c r="O2447" s="2">
        <f ca="1"/>
        <v>-0.58305494001185421</v>
      </c>
      <c r="X2447" s="2">
        <f ca="1"/>
        <v>38.320247249296443</v>
      </c>
      <c r="AG2447" s="2">
        <f ca="1"/>
        <v>0.6866106353655983</v>
      </c>
      <c r="AH2447" s="2" t="str">
        <f ca="1"/>
        <v>Bad</v>
      </c>
    </row>
    <row r="2448" spans="2:34" x14ac:dyDescent="0.2">
      <c r="B2448" s="2">
        <f ca="1"/>
        <v>0.36282625186605078</v>
      </c>
      <c r="O2448" s="2">
        <f ca="1"/>
        <v>1.361552909655017</v>
      </c>
      <c r="X2448" s="2">
        <f ca="1"/>
        <v>52.370989907079995</v>
      </c>
      <c r="AG2448" s="2">
        <f ca="1"/>
        <v>0.60674964363816608</v>
      </c>
      <c r="AH2448" s="2" t="str">
        <f ca="1"/>
        <v>Bad</v>
      </c>
    </row>
    <row r="2449" spans="2:34" x14ac:dyDescent="0.2">
      <c r="B2449" s="2">
        <f ca="1"/>
        <v>0.60817398122095212</v>
      </c>
      <c r="O2449" s="2">
        <f ca="1"/>
        <v>0.6732594871741453</v>
      </c>
      <c r="X2449" s="2">
        <f ca="1"/>
        <v>52.819582183876349</v>
      </c>
      <c r="AG2449" s="2">
        <f ca="1"/>
        <v>0.83556970210890658</v>
      </c>
      <c r="AH2449" s="2" t="str">
        <f ca="1"/>
        <v>Bad</v>
      </c>
    </row>
    <row r="2450" spans="2:34" x14ac:dyDescent="0.2">
      <c r="B2450" s="2">
        <f ca="1"/>
        <v>0.57922943145867833</v>
      </c>
      <c r="O2450" s="2">
        <f ca="1"/>
        <v>1.3156752989765791E-2</v>
      </c>
      <c r="X2450" s="2">
        <f ca="1"/>
        <v>48.41144991115425</v>
      </c>
      <c r="AG2450" s="2">
        <f ca="1"/>
        <v>0.88571770680368256</v>
      </c>
      <c r="AH2450" s="2" t="str">
        <f ca="1"/>
        <v>Bad</v>
      </c>
    </row>
    <row r="2451" spans="2:34" x14ac:dyDescent="0.2">
      <c r="B2451" s="2">
        <f ca="1"/>
        <v>0.27223006048035026</v>
      </c>
      <c r="O2451" s="2">
        <f ca="1"/>
        <v>-0.78679519425486788</v>
      </c>
      <c r="X2451" s="2">
        <f ca="1"/>
        <v>70.918876614921359</v>
      </c>
      <c r="AG2451" s="2">
        <f ca="1"/>
        <v>0.47826728316592892</v>
      </c>
      <c r="AH2451" s="2" t="str">
        <f ca="1"/>
        <v>Bad</v>
      </c>
    </row>
    <row r="2452" spans="2:34" x14ac:dyDescent="0.2">
      <c r="B2452" s="2">
        <f ca="1"/>
        <v>0.4794252800835479</v>
      </c>
      <c r="O2452" s="2">
        <f ca="1"/>
        <v>1.1372582527862165</v>
      </c>
      <c r="X2452" s="2">
        <f ca="1"/>
        <v>32.825748951907862</v>
      </c>
      <c r="AG2452" s="2">
        <f ca="1"/>
        <v>0.37807095099857313</v>
      </c>
      <c r="AH2452" s="2" t="str">
        <f ca="1"/>
        <v>OK</v>
      </c>
    </row>
    <row r="2453" spans="2:34" x14ac:dyDescent="0.2">
      <c r="B2453" s="2">
        <f ca="1"/>
        <v>0.92707381781189313</v>
      </c>
      <c r="O2453" s="2">
        <f ca="1"/>
        <v>3.3001004367431336E-2</v>
      </c>
      <c r="X2453" s="2">
        <f ca="1"/>
        <v>47.818653266576369</v>
      </c>
      <c r="AG2453" s="2">
        <f ca="1"/>
        <v>0.67992839790547399</v>
      </c>
      <c r="AH2453" s="2" t="str">
        <f ca="1"/>
        <v>Bad</v>
      </c>
    </row>
    <row r="2454" spans="2:34" x14ac:dyDescent="0.2">
      <c r="B2454" s="2">
        <f ca="1"/>
        <v>0.54198955923602909</v>
      </c>
      <c r="O2454" s="2">
        <f ca="1"/>
        <v>1.3890376980942145</v>
      </c>
      <c r="X2454" s="2">
        <f ca="1"/>
        <v>50.824596569586021</v>
      </c>
      <c r="AG2454" s="2">
        <f ca="1"/>
        <v>0.90148345220600534</v>
      </c>
      <c r="AH2454" s="2" t="str">
        <f ca="1"/>
        <v>Bad</v>
      </c>
    </row>
    <row r="2455" spans="2:34" x14ac:dyDescent="0.2">
      <c r="B2455" s="2">
        <f ca="1"/>
        <v>0.21996139558920591</v>
      </c>
      <c r="O2455" s="2">
        <f ca="1"/>
        <v>0.4485162745929327</v>
      </c>
      <c r="X2455" s="2">
        <f ca="1"/>
        <v>46.439688711145024</v>
      </c>
      <c r="AG2455" s="2">
        <f ca="1"/>
        <v>0.59055875771183941</v>
      </c>
      <c r="AH2455" s="2" t="str">
        <f ca="1"/>
        <v>Bad</v>
      </c>
    </row>
    <row r="2456" spans="2:34" x14ac:dyDescent="0.2">
      <c r="B2456" s="2">
        <f ca="1"/>
        <v>0.53671774558006313</v>
      </c>
      <c r="O2456" s="2">
        <f ca="1"/>
        <v>-1.2008907965137325</v>
      </c>
      <c r="X2456" s="2">
        <f ca="1"/>
        <v>60.302030346797537</v>
      </c>
      <c r="AG2456" s="2">
        <f ca="1"/>
        <v>0.91923318621963879</v>
      </c>
      <c r="AH2456" s="2" t="str">
        <f ca="1"/>
        <v>Bad</v>
      </c>
    </row>
    <row r="2457" spans="2:34" x14ac:dyDescent="0.2">
      <c r="B2457" s="2">
        <f ca="1"/>
        <v>0.3005343302214647</v>
      </c>
      <c r="O2457" s="2">
        <f ca="1"/>
        <v>-0.19926570964667151</v>
      </c>
      <c r="X2457" s="2">
        <f ca="1"/>
        <v>51.910619042470849</v>
      </c>
      <c r="AG2457" s="2">
        <f ca="1"/>
        <v>0.60678172096734051</v>
      </c>
      <c r="AH2457" s="2" t="str">
        <f ca="1"/>
        <v>Bad</v>
      </c>
    </row>
    <row r="2458" spans="2:34" x14ac:dyDescent="0.2">
      <c r="B2458" s="2">
        <f ca="1"/>
        <v>0.132661677127627</v>
      </c>
      <c r="O2458" s="2">
        <f ca="1"/>
        <v>-2.1714611377142643</v>
      </c>
      <c r="X2458" s="2">
        <f ca="1"/>
        <v>74.973615753909158</v>
      </c>
      <c r="AG2458" s="2">
        <f ca="1"/>
        <v>0.90084536040942931</v>
      </c>
      <c r="AH2458" s="2" t="str">
        <f ca="1"/>
        <v>Bad</v>
      </c>
    </row>
    <row r="2459" spans="2:34" x14ac:dyDescent="0.2">
      <c r="B2459" s="2">
        <f ca="1"/>
        <v>0.13455786516883617</v>
      </c>
      <c r="O2459" s="2">
        <f ca="1"/>
        <v>0.89416887175167625</v>
      </c>
      <c r="X2459" s="2">
        <f ca="1"/>
        <v>67.85708163025231</v>
      </c>
      <c r="AG2459" s="2">
        <f ca="1"/>
        <v>0.83645361864277934</v>
      </c>
      <c r="AH2459" s="2" t="str">
        <f ca="1"/>
        <v>Bad</v>
      </c>
    </row>
    <row r="2460" spans="2:34" x14ac:dyDescent="0.2">
      <c r="B2460" s="2">
        <f ca="1"/>
        <v>0.67596837166139911</v>
      </c>
      <c r="O2460" s="2">
        <f ca="1"/>
        <v>0.47033856171871546</v>
      </c>
      <c r="X2460" s="2">
        <f ca="1"/>
        <v>60.833489652292911</v>
      </c>
      <c r="AG2460" s="2">
        <f ca="1"/>
        <v>0.29055297517714451</v>
      </c>
      <c r="AH2460" s="2" t="str">
        <f ca="1"/>
        <v>OK</v>
      </c>
    </row>
    <row r="2461" spans="2:34" x14ac:dyDescent="0.2">
      <c r="B2461" s="2">
        <f ca="1"/>
        <v>0.89186979857249482</v>
      </c>
      <c r="O2461" s="2">
        <f ca="1"/>
        <v>0.12536222590372958</v>
      </c>
      <c r="X2461" s="2">
        <f ca="1"/>
        <v>32.481507181730393</v>
      </c>
      <c r="AG2461" s="2">
        <f ca="1"/>
        <v>3.7082705342710964E-2</v>
      </c>
      <c r="AH2461" s="2" t="str">
        <f ca="1"/>
        <v>Good</v>
      </c>
    </row>
    <row r="2462" spans="2:34" x14ac:dyDescent="0.2">
      <c r="B2462" s="2">
        <f ca="1"/>
        <v>0.15231190466657996</v>
      </c>
      <c r="O2462" s="2">
        <f ca="1"/>
        <v>-1.8064270191863916</v>
      </c>
      <c r="X2462" s="2">
        <f ca="1"/>
        <v>25.772341631189029</v>
      </c>
      <c r="AG2462" s="2">
        <f ca="1"/>
        <v>0.32479313532445242</v>
      </c>
      <c r="AH2462" s="2" t="str">
        <f ca="1"/>
        <v>OK</v>
      </c>
    </row>
    <row r="2463" spans="2:34" x14ac:dyDescent="0.2">
      <c r="B2463" s="2">
        <f ca="1"/>
        <v>0.50166944540715042</v>
      </c>
      <c r="O2463" s="2">
        <f ca="1"/>
        <v>-1.0577473593594005</v>
      </c>
      <c r="X2463" s="2">
        <f ca="1"/>
        <v>59.450285650936607</v>
      </c>
      <c r="AG2463" s="2">
        <f ca="1"/>
        <v>0.3142333885330364</v>
      </c>
      <c r="AH2463" s="2" t="str">
        <f ca="1"/>
        <v>OK</v>
      </c>
    </row>
    <row r="2464" spans="2:34" x14ac:dyDescent="0.2">
      <c r="B2464" s="2">
        <f ca="1"/>
        <v>0.6487142262358836</v>
      </c>
      <c r="O2464" s="2">
        <f ca="1"/>
        <v>-1.2529104926077539</v>
      </c>
      <c r="X2464" s="2">
        <f ca="1"/>
        <v>42.352200409004325</v>
      </c>
      <c r="AG2464" s="2">
        <f ca="1"/>
        <v>0.72208604518952635</v>
      </c>
      <c r="AH2464" s="2" t="str">
        <f ca="1"/>
        <v>Bad</v>
      </c>
    </row>
    <row r="2465" spans="2:34" x14ac:dyDescent="0.2">
      <c r="B2465" s="2">
        <f ca="1"/>
        <v>0.78168572502591438</v>
      </c>
      <c r="O2465" s="2">
        <f ca="1"/>
        <v>0.54675725862749458</v>
      </c>
      <c r="X2465" s="2">
        <f ca="1"/>
        <v>27.891615237971109</v>
      </c>
      <c r="AG2465" s="2">
        <f ca="1"/>
        <v>0.62056450978569533</v>
      </c>
      <c r="AH2465" s="2" t="str">
        <f ca="1"/>
        <v>Bad</v>
      </c>
    </row>
    <row r="2466" spans="2:34" x14ac:dyDescent="0.2">
      <c r="B2466" s="2">
        <f ca="1"/>
        <v>0.71541717517462811</v>
      </c>
      <c r="O2466" s="2">
        <f ca="1"/>
        <v>-0.57671709312227315</v>
      </c>
      <c r="X2466" s="2">
        <f ca="1"/>
        <v>35.803682224463564</v>
      </c>
      <c r="AG2466" s="2">
        <f ca="1"/>
        <v>0.13233671858110929</v>
      </c>
      <c r="AH2466" s="2" t="str">
        <f ca="1"/>
        <v>OK</v>
      </c>
    </row>
    <row r="2467" spans="2:34" x14ac:dyDescent="0.2">
      <c r="B2467" s="2">
        <f ca="1"/>
        <v>0.9683640632311894</v>
      </c>
      <c r="O2467" s="2">
        <f ca="1"/>
        <v>-0.43038292777115589</v>
      </c>
      <c r="X2467" s="2">
        <f ca="1"/>
        <v>31.373057515386094</v>
      </c>
      <c r="AG2467" s="2">
        <f ca="1"/>
        <v>0.63319935283185647</v>
      </c>
      <c r="AH2467" s="2" t="str">
        <f ca="1"/>
        <v>Bad</v>
      </c>
    </row>
    <row r="2468" spans="2:34" x14ac:dyDescent="0.2">
      <c r="B2468" s="2">
        <f ca="1"/>
        <v>0.59319558796759564</v>
      </c>
      <c r="O2468" s="2">
        <f ca="1"/>
        <v>-0.15187116664667852</v>
      </c>
      <c r="X2468" s="2">
        <f ca="1"/>
        <v>41.921108936334697</v>
      </c>
      <c r="AG2468" s="2">
        <f ca="1"/>
        <v>0.71067654587662488</v>
      </c>
      <c r="AH2468" s="2" t="str">
        <f ca="1"/>
        <v>Bad</v>
      </c>
    </row>
    <row r="2469" spans="2:34" x14ac:dyDescent="0.2">
      <c r="B2469" s="2">
        <f ca="1"/>
        <v>0.38111956621239762</v>
      </c>
      <c r="O2469" s="2">
        <f ca="1"/>
        <v>-0.51729148116311019</v>
      </c>
      <c r="X2469" s="2">
        <f ca="1"/>
        <v>30.652149780415129</v>
      </c>
      <c r="AG2469" s="2">
        <f ca="1"/>
        <v>0.12835282696786776</v>
      </c>
      <c r="AH2469" s="2" t="str">
        <f ca="1"/>
        <v>OK</v>
      </c>
    </row>
    <row r="2470" spans="2:34" x14ac:dyDescent="0.2">
      <c r="B2470" s="2">
        <f ca="1"/>
        <v>0.12803682422250473</v>
      </c>
      <c r="O2470" s="2">
        <f ca="1"/>
        <v>-0.52487248374037931</v>
      </c>
      <c r="X2470" s="2">
        <f ca="1"/>
        <v>29.93609640434763</v>
      </c>
      <c r="AG2470" s="2">
        <f ca="1"/>
        <v>0.52635289283313269</v>
      </c>
      <c r="AH2470" s="2" t="str">
        <f ca="1"/>
        <v>Bad</v>
      </c>
    </row>
    <row r="2471" spans="2:34" x14ac:dyDescent="0.2">
      <c r="B2471" s="2">
        <f ca="1"/>
        <v>9.0014928607207167E-3</v>
      </c>
      <c r="O2471" s="2">
        <f ca="1"/>
        <v>0.85500989983296438</v>
      </c>
      <c r="X2471" s="2">
        <f ca="1"/>
        <v>52.364891054909378</v>
      </c>
      <c r="AG2471" s="2">
        <f ca="1"/>
        <v>0.12250557242136861</v>
      </c>
      <c r="AH2471" s="2" t="str">
        <f ca="1"/>
        <v>OK</v>
      </c>
    </row>
    <row r="2472" spans="2:34" x14ac:dyDescent="0.2">
      <c r="B2472" s="2">
        <f ca="1"/>
        <v>0.76653204016668619</v>
      </c>
      <c r="O2472" s="2">
        <f ca="1"/>
        <v>0.76347073807430443</v>
      </c>
      <c r="X2472" s="2">
        <f ca="1"/>
        <v>61.392917974163772</v>
      </c>
      <c r="AG2472" s="2">
        <f ca="1"/>
        <v>0.33028284640517325</v>
      </c>
      <c r="AH2472" s="2" t="str">
        <f ca="1"/>
        <v>OK</v>
      </c>
    </row>
    <row r="2473" spans="2:34" x14ac:dyDescent="0.2">
      <c r="B2473" s="2">
        <f ca="1"/>
        <v>0.12941512120906151</v>
      </c>
      <c r="O2473" s="2">
        <f ca="1"/>
        <v>1.0556889328195891</v>
      </c>
      <c r="X2473" s="2">
        <f ca="1"/>
        <v>43.42190704671534</v>
      </c>
      <c r="AG2473" s="2">
        <f ca="1"/>
        <v>5.2326845276849054E-2</v>
      </c>
      <c r="AH2473" s="2" t="str">
        <f ca="1"/>
        <v>OK</v>
      </c>
    </row>
    <row r="2474" spans="2:34" x14ac:dyDescent="0.2">
      <c r="B2474" s="2">
        <f ca="1"/>
        <v>0.66306911950592995</v>
      </c>
      <c r="O2474" s="2">
        <f ca="1"/>
        <v>-0.51307150841386961</v>
      </c>
      <c r="X2474" s="2">
        <f ca="1"/>
        <v>44.572351423913531</v>
      </c>
      <c r="AG2474" s="2">
        <f ca="1"/>
        <v>7.744732065905513E-2</v>
      </c>
      <c r="AH2474" s="2" t="str">
        <f ca="1"/>
        <v>OK</v>
      </c>
    </row>
    <row r="2475" spans="2:34" x14ac:dyDescent="0.2">
      <c r="B2475" s="2">
        <f ca="1"/>
        <v>0.81654851979364462</v>
      </c>
      <c r="O2475" s="2">
        <f ca="1"/>
        <v>2.1894734873230952</v>
      </c>
      <c r="X2475" s="2">
        <f ca="1"/>
        <v>50.413779344566514</v>
      </c>
      <c r="AG2475" s="2">
        <f ca="1"/>
        <v>0.73681329681541685</v>
      </c>
      <c r="AH2475" s="2" t="str">
        <f ca="1"/>
        <v>Bad</v>
      </c>
    </row>
    <row r="2476" spans="2:34" x14ac:dyDescent="0.2">
      <c r="B2476" s="2">
        <f ca="1"/>
        <v>0.68658419391926406</v>
      </c>
      <c r="O2476" s="2">
        <f ca="1"/>
        <v>-0.40713739783529673</v>
      </c>
      <c r="X2476" s="2">
        <f ca="1"/>
        <v>51.627017396634145</v>
      </c>
      <c r="AG2476" s="2">
        <f ca="1"/>
        <v>0.9214966171561052</v>
      </c>
      <c r="AH2476" s="2" t="str">
        <f ca="1"/>
        <v>Bad</v>
      </c>
    </row>
    <row r="2477" spans="2:34" x14ac:dyDescent="0.2">
      <c r="B2477" s="2">
        <f ca="1"/>
        <v>0.34232276677802798</v>
      </c>
      <c r="O2477" s="2">
        <f ca="1"/>
        <v>-1.4958561462956621</v>
      </c>
      <c r="X2477" s="2">
        <f ca="1"/>
        <v>51.223487363496133</v>
      </c>
      <c r="AG2477" s="2">
        <f ca="1"/>
        <v>0.82364223822466709</v>
      </c>
      <c r="AH2477" s="2" t="str">
        <f ca="1"/>
        <v>Bad</v>
      </c>
    </row>
    <row r="2478" spans="2:34" x14ac:dyDescent="0.2">
      <c r="B2478" s="2">
        <f ca="1"/>
        <v>1.1170164963811624E-2</v>
      </c>
      <c r="O2478" s="2">
        <f ca="1"/>
        <v>-0.41125182214917794</v>
      </c>
      <c r="X2478" s="2">
        <f ca="1"/>
        <v>91.885348513991957</v>
      </c>
      <c r="AG2478" s="2">
        <f ca="1"/>
        <v>0.74357841784259504</v>
      </c>
      <c r="AH2478" s="2" t="str">
        <f ca="1"/>
        <v>Bad</v>
      </c>
    </row>
    <row r="2479" spans="2:34" x14ac:dyDescent="0.2">
      <c r="B2479" s="2">
        <f ca="1"/>
        <v>0.55265386485122825</v>
      </c>
      <c r="O2479" s="2">
        <f ca="1"/>
        <v>0.91357231956501705</v>
      </c>
      <c r="X2479" s="2">
        <f ca="1"/>
        <v>45.187870142659435</v>
      </c>
      <c r="AG2479" s="2">
        <f ca="1"/>
        <v>0.6568070432844979</v>
      </c>
      <c r="AH2479" s="2" t="str">
        <f ca="1"/>
        <v>Bad</v>
      </c>
    </row>
    <row r="2480" spans="2:34" x14ac:dyDescent="0.2">
      <c r="B2480" s="2">
        <f ca="1"/>
        <v>1.9192331854208877E-2</v>
      </c>
      <c r="O2480" s="2">
        <f ca="1"/>
        <v>-1.2851198271022295</v>
      </c>
      <c r="X2480" s="2">
        <f ca="1"/>
        <v>39.970358517499712</v>
      </c>
      <c r="AG2480" s="2">
        <f ca="1"/>
        <v>0.82601347893210519</v>
      </c>
      <c r="AH2480" s="2" t="str">
        <f ca="1"/>
        <v>Bad</v>
      </c>
    </row>
    <row r="2481" spans="2:34" x14ac:dyDescent="0.2">
      <c r="B2481" s="2">
        <f ca="1"/>
        <v>0.21963695958259932</v>
      </c>
      <c r="O2481" s="2">
        <f ca="1"/>
        <v>-1.1976778228380278</v>
      </c>
      <c r="X2481" s="2">
        <f ca="1"/>
        <v>92.740675569778233</v>
      </c>
      <c r="AG2481" s="2">
        <f ca="1"/>
        <v>0.15499310441985159</v>
      </c>
      <c r="AH2481" s="2" t="str">
        <f ca="1"/>
        <v>OK</v>
      </c>
    </row>
    <row r="2482" spans="2:34" x14ac:dyDescent="0.2">
      <c r="B2482" s="2">
        <f ca="1"/>
        <v>0.13955894491203868</v>
      </c>
      <c r="O2482" s="2">
        <f ca="1"/>
        <v>0.72685627050487345</v>
      </c>
      <c r="X2482" s="2">
        <f ca="1"/>
        <v>72.119640838272517</v>
      </c>
      <c r="AG2482" s="2">
        <f ca="1"/>
        <v>0.54466491175614751</v>
      </c>
      <c r="AH2482" s="2" t="str">
        <f ca="1"/>
        <v>Bad</v>
      </c>
    </row>
    <row r="2483" spans="2:34" x14ac:dyDescent="0.2">
      <c r="B2483" s="2">
        <f ca="1"/>
        <v>0.22187660248626662</v>
      </c>
      <c r="O2483" s="2">
        <f ca="1"/>
        <v>-0.1513382770207867</v>
      </c>
      <c r="X2483" s="2">
        <f ca="1"/>
        <v>85.558391611968915</v>
      </c>
      <c r="AG2483" s="2">
        <f ca="1"/>
        <v>0.13499396378020712</v>
      </c>
      <c r="AH2483" s="2" t="str">
        <f ca="1"/>
        <v>OK</v>
      </c>
    </row>
    <row r="2484" spans="2:34" x14ac:dyDescent="0.2">
      <c r="B2484" s="2">
        <f ca="1"/>
        <v>0.30301066824721756</v>
      </c>
      <c r="O2484" s="2">
        <f ca="1"/>
        <v>-0.69842059942621615</v>
      </c>
      <c r="X2484" s="2">
        <f ca="1"/>
        <v>69.369021695571163</v>
      </c>
      <c r="AG2484" s="2">
        <f ca="1"/>
        <v>0.14630002494077843</v>
      </c>
      <c r="AH2484" s="2" t="str">
        <f ca="1"/>
        <v>OK</v>
      </c>
    </row>
    <row r="2485" spans="2:34" x14ac:dyDescent="0.2">
      <c r="B2485" s="2">
        <f ca="1"/>
        <v>0.37558990939897829</v>
      </c>
      <c r="O2485" s="2">
        <f ca="1"/>
        <v>-5.5284788378563682E-2</v>
      </c>
      <c r="X2485" s="2">
        <f ca="1"/>
        <v>37.104012776197017</v>
      </c>
      <c r="AG2485" s="2">
        <f ca="1"/>
        <v>0.54231069338184867</v>
      </c>
      <c r="AH2485" s="2" t="str">
        <f ca="1"/>
        <v>Bad</v>
      </c>
    </row>
    <row r="2486" spans="2:34" x14ac:dyDescent="0.2">
      <c r="B2486" s="2">
        <f ca="1"/>
        <v>0.53361351885769071</v>
      </c>
      <c r="O2486" s="2">
        <f ca="1"/>
        <v>-7.8231995356786519E-3</v>
      </c>
      <c r="X2486" s="2">
        <f ca="1"/>
        <v>80.33736604344071</v>
      </c>
      <c r="AG2486" s="2">
        <f ca="1"/>
        <v>0.51759047067542108</v>
      </c>
      <c r="AH2486" s="2" t="str">
        <f ca="1"/>
        <v>Bad</v>
      </c>
    </row>
    <row r="2487" spans="2:34" x14ac:dyDescent="0.2">
      <c r="B2487" s="2">
        <f ca="1"/>
        <v>0.56786072278822775</v>
      </c>
      <c r="O2487" s="2">
        <f ca="1"/>
        <v>-0.6877134831025179</v>
      </c>
      <c r="X2487" s="2">
        <f ca="1"/>
        <v>55.8306560112634</v>
      </c>
      <c r="AG2487" s="2">
        <f ca="1"/>
        <v>3.0392322004603622E-2</v>
      </c>
      <c r="AH2487" s="2" t="str">
        <f ca="1"/>
        <v>Good</v>
      </c>
    </row>
    <row r="2488" spans="2:34" x14ac:dyDescent="0.2">
      <c r="B2488" s="2">
        <f ca="1"/>
        <v>0.92439507062265447</v>
      </c>
      <c r="O2488" s="2">
        <f ca="1"/>
        <v>7.3395131787906659E-2</v>
      </c>
      <c r="X2488" s="2">
        <f ca="1"/>
        <v>61.270911156506557</v>
      </c>
      <c r="AG2488" s="2">
        <f ca="1"/>
        <v>0.90408942885763111</v>
      </c>
      <c r="AH2488" s="2" t="str">
        <f ca="1"/>
        <v>Bad</v>
      </c>
    </row>
    <row r="2489" spans="2:34" x14ac:dyDescent="0.2">
      <c r="B2489" s="2">
        <f ca="1"/>
        <v>0.63474635373640664</v>
      </c>
      <c r="O2489" s="2">
        <f ca="1"/>
        <v>-0.48517428054762418</v>
      </c>
      <c r="X2489" s="2">
        <f ca="1"/>
        <v>48.94055704643953</v>
      </c>
      <c r="AG2489" s="2">
        <f ca="1"/>
        <v>0.45418710411938079</v>
      </c>
      <c r="AH2489" s="2" t="str">
        <f ca="1"/>
        <v>Bad</v>
      </c>
    </row>
    <row r="2490" spans="2:34" x14ac:dyDescent="0.2">
      <c r="B2490" s="2">
        <f ca="1"/>
        <v>0.2259093715924283</v>
      </c>
      <c r="O2490" s="2">
        <f ca="1"/>
        <v>0.39848375225390242</v>
      </c>
      <c r="X2490" s="2">
        <f ca="1"/>
        <v>55.343679832319978</v>
      </c>
      <c r="AG2490" s="2">
        <f ca="1"/>
        <v>0.63955158542734725</v>
      </c>
      <c r="AH2490" s="2" t="str">
        <f ca="1"/>
        <v>Bad</v>
      </c>
    </row>
    <row r="2491" spans="2:34" x14ac:dyDescent="0.2">
      <c r="B2491" s="2">
        <f ca="1"/>
        <v>8.8340793617205815E-2</v>
      </c>
      <c r="O2491" s="2">
        <f ca="1"/>
        <v>0.10816155413235166</v>
      </c>
      <c r="X2491" s="2">
        <f ca="1"/>
        <v>61.633981082921935</v>
      </c>
      <c r="AG2491" s="2">
        <f ca="1"/>
        <v>0.91802596973024131</v>
      </c>
      <c r="AH2491" s="2" t="str">
        <f ca="1"/>
        <v>Bad</v>
      </c>
    </row>
    <row r="2492" spans="2:34" x14ac:dyDescent="0.2">
      <c r="B2492" s="2">
        <f ca="1"/>
        <v>0.68034110847408824</v>
      </c>
      <c r="O2492" s="2">
        <f ca="1"/>
        <v>-6.8482826364551899E-2</v>
      </c>
      <c r="X2492" s="2">
        <f ca="1"/>
        <v>61.421567725773613</v>
      </c>
      <c r="AG2492" s="2">
        <f ca="1"/>
        <v>0.37695213368302483</v>
      </c>
      <c r="AH2492" s="2" t="str">
        <f ca="1"/>
        <v>OK</v>
      </c>
    </row>
    <row r="2493" spans="2:34" x14ac:dyDescent="0.2">
      <c r="B2493" s="2">
        <f ca="1"/>
        <v>0.60841749878374962</v>
      </c>
      <c r="O2493" s="2">
        <f ca="1"/>
        <v>1.9183354411956124</v>
      </c>
      <c r="X2493" s="2">
        <f ca="1"/>
        <v>38.694032238828846</v>
      </c>
      <c r="AG2493" s="2">
        <f ca="1"/>
        <v>0.3977837556419328</v>
      </c>
      <c r="AH2493" s="2" t="str">
        <f ca="1"/>
        <v>OK</v>
      </c>
    </row>
    <row r="2494" spans="2:34" x14ac:dyDescent="0.2">
      <c r="B2494" s="2">
        <f ca="1"/>
        <v>0.91621991362990363</v>
      </c>
      <c r="O2494" s="2">
        <f ca="1"/>
        <v>-0.11518158899015321</v>
      </c>
      <c r="X2494" s="2">
        <f ca="1"/>
        <v>81.414198559661131</v>
      </c>
      <c r="AG2494" s="2">
        <f ca="1"/>
        <v>0.76017245533940292</v>
      </c>
      <c r="AH2494" s="2" t="str">
        <f ca="1"/>
        <v>Bad</v>
      </c>
    </row>
    <row r="2495" spans="2:34" x14ac:dyDescent="0.2">
      <c r="B2495" s="2">
        <f ca="1"/>
        <v>0.96630668382041329</v>
      </c>
      <c r="O2495" s="2">
        <f ca="1"/>
        <v>-0.67872960485709577</v>
      </c>
      <c r="X2495" s="2">
        <f ca="1"/>
        <v>48.978724943435793</v>
      </c>
      <c r="AG2495" s="2">
        <f ca="1"/>
        <v>0.37654447073240083</v>
      </c>
      <c r="AH2495" s="2" t="str">
        <f ca="1"/>
        <v>OK</v>
      </c>
    </row>
    <row r="2496" spans="2:34" x14ac:dyDescent="0.2">
      <c r="B2496" s="2">
        <f ca="1"/>
        <v>5.7664207862874184E-2</v>
      </c>
      <c r="O2496" s="2">
        <f ca="1"/>
        <v>-0.91853053331442269</v>
      </c>
      <c r="X2496" s="2">
        <f ca="1"/>
        <v>43.685052809591966</v>
      </c>
      <c r="AG2496" s="2">
        <f ca="1"/>
        <v>0.85287908697322656</v>
      </c>
      <c r="AH2496" s="2" t="str">
        <f ca="1"/>
        <v>Bad</v>
      </c>
    </row>
    <row r="2497" spans="2:34" x14ac:dyDescent="0.2">
      <c r="B2497" s="2">
        <f ca="1"/>
        <v>0.44145762371327057</v>
      </c>
      <c r="O2497" s="2">
        <f ca="1"/>
        <v>1.1635473646245462</v>
      </c>
      <c r="X2497" s="2">
        <f ca="1"/>
        <v>41.151628090401857</v>
      </c>
      <c r="AG2497" s="2">
        <f ca="1"/>
        <v>0.89791086214314375</v>
      </c>
      <c r="AH2497" s="2" t="str">
        <f ca="1"/>
        <v>Bad</v>
      </c>
    </row>
    <row r="2498" spans="2:34" x14ac:dyDescent="0.2">
      <c r="B2498" s="2">
        <f ca="1"/>
        <v>0.84406347552035621</v>
      </c>
      <c r="O2498" s="2">
        <f ca="1"/>
        <v>5.6027779373228198E-2</v>
      </c>
      <c r="X2498" s="2">
        <f ca="1"/>
        <v>39.817640826534934</v>
      </c>
      <c r="AG2498" s="2">
        <f ca="1"/>
        <v>0.25291295996442109</v>
      </c>
      <c r="AH2498" s="2" t="str">
        <f ca="1"/>
        <v>OK</v>
      </c>
    </row>
    <row r="2499" spans="2:34" x14ac:dyDescent="0.2">
      <c r="B2499" s="2">
        <f ca="1"/>
        <v>0.77404217014062748</v>
      </c>
      <c r="O2499" s="2">
        <f ca="1"/>
        <v>-0.75817896435245624</v>
      </c>
      <c r="X2499" s="2">
        <f ca="1"/>
        <v>45.232420475110466</v>
      </c>
      <c r="AG2499" s="2">
        <f ca="1"/>
        <v>0.15321919374199533</v>
      </c>
      <c r="AH2499" s="2" t="str">
        <f ca="1"/>
        <v>OK</v>
      </c>
    </row>
    <row r="2500" spans="2:34" x14ac:dyDescent="0.2">
      <c r="B2500" s="2">
        <f ca="1"/>
        <v>0.25589146403365071</v>
      </c>
      <c r="O2500" s="2">
        <f ca="1"/>
        <v>-0.34617129746502201</v>
      </c>
      <c r="X2500" s="2">
        <f ca="1"/>
        <v>59.780177831620058</v>
      </c>
      <c r="AG2500" s="2">
        <f ca="1"/>
        <v>0.45337746509917065</v>
      </c>
      <c r="AH2500" s="2" t="str">
        <f ca="1"/>
        <v>Bad</v>
      </c>
    </row>
    <row r="2501" spans="2:34" x14ac:dyDescent="0.2">
      <c r="B2501" s="2">
        <f ca="1"/>
        <v>0.72628528590473351</v>
      </c>
      <c r="O2501" s="2">
        <f ca="1"/>
        <v>-0.36829085240586318</v>
      </c>
      <c r="X2501" s="2">
        <f ca="1"/>
        <v>65.882545862345253</v>
      </c>
      <c r="AG2501" s="2">
        <f ca="1"/>
        <v>0.59095521160619136</v>
      </c>
      <c r="AH2501" s="2" t="str">
        <f ca="1"/>
        <v>Bad</v>
      </c>
    </row>
    <row r="2502" spans="2:34" x14ac:dyDescent="0.2">
      <c r="B2502" s="2">
        <f ca="1"/>
        <v>0.3683953655428045</v>
      </c>
      <c r="O2502" s="2">
        <f ca="1"/>
        <v>-0.2171986843323376</v>
      </c>
      <c r="X2502" s="2">
        <f ca="1"/>
        <v>61.306720761565821</v>
      </c>
      <c r="AG2502" s="2">
        <f ca="1"/>
        <v>0.94758424525094442</v>
      </c>
      <c r="AH2502" s="2" t="str">
        <f ca="1"/>
        <v>Bad</v>
      </c>
    </row>
    <row r="2503" spans="2:34" x14ac:dyDescent="0.2">
      <c r="B2503" s="2">
        <f ca="1"/>
        <v>0.37549727654385867</v>
      </c>
      <c r="O2503" s="2">
        <f ca="1"/>
        <v>-0.78557320025218014</v>
      </c>
      <c r="X2503" s="2">
        <f ca="1"/>
        <v>78.82897706172875</v>
      </c>
      <c r="AG2503" s="2">
        <f ca="1"/>
        <v>0.73730392078395779</v>
      </c>
      <c r="AH2503" s="2" t="str">
        <f ca="1"/>
        <v>Bad</v>
      </c>
    </row>
    <row r="2504" spans="2:34" x14ac:dyDescent="0.2">
      <c r="B2504" s="2">
        <f ca="1"/>
        <v>0.17923352456736019</v>
      </c>
      <c r="O2504" s="2">
        <f ca="1"/>
        <v>0.56442124857893461</v>
      </c>
      <c r="X2504" s="2">
        <f ca="1"/>
        <v>72.788733322154002</v>
      </c>
      <c r="AG2504" s="2">
        <f ca="1"/>
        <v>0.66739249976981019</v>
      </c>
      <c r="AH2504" s="2" t="str">
        <f ca="1"/>
        <v>Bad</v>
      </c>
    </row>
    <row r="2505" spans="2:34" x14ac:dyDescent="0.2">
      <c r="B2505" s="2">
        <f ca="1"/>
        <v>0.18086771848580363</v>
      </c>
      <c r="O2505" s="2">
        <f ca="1"/>
        <v>-2.5373704741543581</v>
      </c>
      <c r="X2505" s="2">
        <f ca="1"/>
        <v>62.371092087983754</v>
      </c>
      <c r="AG2505" s="2">
        <f ca="1"/>
        <v>0.42639211453921311</v>
      </c>
      <c r="AH2505" s="2" t="str">
        <f ca="1"/>
        <v>Bad</v>
      </c>
    </row>
    <row r="2506" spans="2:34" x14ac:dyDescent="0.2">
      <c r="B2506" s="2">
        <f ca="1"/>
        <v>0.32972775327196358</v>
      </c>
      <c r="O2506" s="2">
        <f ca="1"/>
        <v>-0.77146616389766509</v>
      </c>
      <c r="X2506" s="2">
        <f ca="1"/>
        <v>36.220213247404992</v>
      </c>
      <c r="AG2506" s="2">
        <f ca="1"/>
        <v>0.5732731356157228</v>
      </c>
      <c r="AH2506" s="2" t="str">
        <f ca="1"/>
        <v>Bad</v>
      </c>
    </row>
    <row r="2507" spans="2:34" x14ac:dyDescent="0.2">
      <c r="B2507" s="2">
        <f ca="1"/>
        <v>0.45627305569550147</v>
      </c>
      <c r="O2507" s="2">
        <f ca="1"/>
        <v>2.1137563771426762</v>
      </c>
      <c r="X2507" s="2">
        <f ca="1"/>
        <v>49.126990366497083</v>
      </c>
      <c r="AG2507" s="2">
        <f ca="1"/>
        <v>0.67871008845619785</v>
      </c>
      <c r="AH2507" s="2" t="str">
        <f ca="1"/>
        <v>Bad</v>
      </c>
    </row>
    <row r="2508" spans="2:34" x14ac:dyDescent="0.2">
      <c r="B2508" s="2">
        <f ca="1"/>
        <v>0.63605743626649103</v>
      </c>
      <c r="O2508" s="2">
        <f ca="1"/>
        <v>1.7926654051966731</v>
      </c>
      <c r="X2508" s="2">
        <f ca="1"/>
        <v>30.078689819684886</v>
      </c>
      <c r="AG2508" s="2">
        <f ca="1"/>
        <v>0.1455042146316361</v>
      </c>
      <c r="AH2508" s="2" t="str">
        <f ca="1"/>
        <v>OK</v>
      </c>
    </row>
    <row r="2509" spans="2:34" x14ac:dyDescent="0.2">
      <c r="B2509" s="2">
        <f ca="1"/>
        <v>0.74763808282379762</v>
      </c>
      <c r="O2509" s="2">
        <f ca="1"/>
        <v>0.78211333307381459</v>
      </c>
      <c r="X2509" s="2">
        <f ca="1"/>
        <v>40.76051322272594</v>
      </c>
      <c r="AG2509" s="2">
        <f ca="1"/>
        <v>0.69597381649555579</v>
      </c>
      <c r="AH2509" s="2" t="str">
        <f ca="1"/>
        <v>Bad</v>
      </c>
    </row>
    <row r="2510" spans="2:34" x14ac:dyDescent="0.2">
      <c r="B2510" s="2">
        <f ca="1"/>
        <v>0.83333947947745801</v>
      </c>
      <c r="O2510" s="2">
        <f ca="1"/>
        <v>-0.92582620087147804</v>
      </c>
      <c r="X2510" s="2">
        <f ca="1"/>
        <v>99.25357967080302</v>
      </c>
      <c r="AG2510" s="2">
        <f ca="1"/>
        <v>0.40964072660839657</v>
      </c>
      <c r="AH2510" s="2" t="str">
        <f ca="1"/>
        <v>Bad</v>
      </c>
    </row>
    <row r="2511" spans="2:34" x14ac:dyDescent="0.2">
      <c r="B2511" s="2">
        <f ca="1"/>
        <v>0.75092252232775358</v>
      </c>
      <c r="O2511" s="2">
        <f ca="1"/>
        <v>-0.12090705636447623</v>
      </c>
      <c r="X2511" s="2">
        <f ca="1"/>
        <v>81.997767876783996</v>
      </c>
      <c r="AG2511" s="2">
        <f ca="1"/>
        <v>0.98854787314033343</v>
      </c>
      <c r="AH2511" s="2" t="str">
        <f ca="1"/>
        <v>Bad</v>
      </c>
    </row>
    <row r="2512" spans="2:34" x14ac:dyDescent="0.2">
      <c r="B2512" s="2">
        <f ca="1"/>
        <v>0.62501240854939843</v>
      </c>
      <c r="O2512" s="2">
        <f ca="1"/>
        <v>1.397622785226202</v>
      </c>
      <c r="X2512" s="2">
        <f ca="1"/>
        <v>79.663355017768879</v>
      </c>
      <c r="AG2512" s="2">
        <f ca="1"/>
        <v>0.21142491599591096</v>
      </c>
      <c r="AH2512" s="2" t="str">
        <f ca="1"/>
        <v>OK</v>
      </c>
    </row>
    <row r="2513" spans="2:34" x14ac:dyDescent="0.2">
      <c r="B2513" s="2">
        <f ca="1"/>
        <v>0.67147818566040574</v>
      </c>
      <c r="O2513" s="2">
        <f ca="1"/>
        <v>-1.1086704691460567</v>
      </c>
      <c r="X2513" s="2">
        <f ca="1"/>
        <v>41.864328507764924</v>
      </c>
      <c r="AG2513" s="2">
        <f ca="1"/>
        <v>0.37077291007416946</v>
      </c>
      <c r="AH2513" s="2" t="str">
        <f ca="1"/>
        <v>OK</v>
      </c>
    </row>
    <row r="2514" spans="2:34" x14ac:dyDescent="0.2">
      <c r="B2514" s="2">
        <f ca="1"/>
        <v>0.29334875371791558</v>
      </c>
      <c r="O2514" s="2">
        <f ca="1"/>
        <v>-1.1826321873072054</v>
      </c>
      <c r="X2514" s="2">
        <f ca="1"/>
        <v>81.569226301685362</v>
      </c>
      <c r="AG2514" s="2">
        <f ca="1"/>
        <v>0.87428608847947231</v>
      </c>
      <c r="AH2514" s="2" t="str">
        <f ca="1"/>
        <v>Bad</v>
      </c>
    </row>
    <row r="2515" spans="2:34" x14ac:dyDescent="0.2">
      <c r="B2515" s="2">
        <f ca="1"/>
        <v>0.64754543937455367</v>
      </c>
      <c r="O2515" s="2">
        <f ca="1"/>
        <v>-0.98284707873788235</v>
      </c>
      <c r="X2515" s="2">
        <f ca="1"/>
        <v>32.602257972460137</v>
      </c>
      <c r="AG2515" s="2">
        <f ca="1"/>
        <v>0.41759713006300947</v>
      </c>
      <c r="AH2515" s="2" t="str">
        <f ca="1"/>
        <v>Bad</v>
      </c>
    </row>
    <row r="2516" spans="2:34" x14ac:dyDescent="0.2">
      <c r="B2516" s="2">
        <f ca="1"/>
        <v>0.55796481172016299</v>
      </c>
      <c r="O2516" s="2">
        <f ca="1"/>
        <v>0.45580643411557142</v>
      </c>
      <c r="X2516" s="2">
        <f ca="1"/>
        <v>44.602166602091117</v>
      </c>
      <c r="AG2516" s="2">
        <f ca="1"/>
        <v>0.20706867810005125</v>
      </c>
      <c r="AH2516" s="2" t="str">
        <f ca="1"/>
        <v>OK</v>
      </c>
    </row>
    <row r="2517" spans="2:34" x14ac:dyDescent="0.2">
      <c r="B2517" s="2">
        <f ca="1"/>
        <v>0.43023350558914886</v>
      </c>
      <c r="O2517" s="2">
        <f ca="1"/>
        <v>0.25680488258406509</v>
      </c>
      <c r="X2517" s="2">
        <f ca="1"/>
        <v>72.125365277977124</v>
      </c>
      <c r="AG2517" s="2">
        <f ca="1"/>
        <v>0.85296428107585953</v>
      </c>
      <c r="AH2517" s="2" t="str">
        <f ca="1"/>
        <v>Bad</v>
      </c>
    </row>
    <row r="2518" spans="2:34" x14ac:dyDescent="0.2">
      <c r="B2518" s="2">
        <f ca="1"/>
        <v>0.15259494357004844</v>
      </c>
      <c r="O2518" s="2">
        <f ca="1"/>
        <v>1.5957917734109694</v>
      </c>
      <c r="X2518" s="2">
        <f ca="1"/>
        <v>34.886868365386213</v>
      </c>
      <c r="AG2518" s="2">
        <f ca="1"/>
        <v>0.76094111593207892</v>
      </c>
      <c r="AH2518" s="2" t="str">
        <f ca="1"/>
        <v>Bad</v>
      </c>
    </row>
    <row r="2519" spans="2:34" x14ac:dyDescent="0.2">
      <c r="B2519" s="2">
        <f ca="1"/>
        <v>0.81848564009401015</v>
      </c>
      <c r="O2519" s="2">
        <f ca="1"/>
        <v>-4.4599728190849751E-2</v>
      </c>
      <c r="X2519" s="2">
        <f ca="1"/>
        <v>67.702963139598197</v>
      </c>
      <c r="AG2519" s="2">
        <f ca="1"/>
        <v>0.45407316133451592</v>
      </c>
      <c r="AH2519" s="2" t="str">
        <f ca="1"/>
        <v>Bad</v>
      </c>
    </row>
    <row r="2520" spans="2:34" x14ac:dyDescent="0.2">
      <c r="B2520" s="2">
        <f ca="1"/>
        <v>0.41710667844384419</v>
      </c>
      <c r="O2520" s="2">
        <f ca="1"/>
        <v>1.2538629845598441</v>
      </c>
      <c r="X2520" s="2">
        <f ca="1"/>
        <v>45.756088334074803</v>
      </c>
      <c r="AG2520" s="2">
        <f ca="1"/>
        <v>0.5222122818999364</v>
      </c>
      <c r="AH2520" s="2" t="str">
        <f ca="1"/>
        <v>Bad</v>
      </c>
    </row>
    <row r="2521" spans="2:34" x14ac:dyDescent="0.2">
      <c r="B2521" s="2">
        <f ca="1"/>
        <v>0.88058057133091583</v>
      </c>
      <c r="O2521" s="2">
        <f ca="1"/>
        <v>-1.4491272806083108E-2</v>
      </c>
      <c r="X2521" s="2">
        <f ca="1"/>
        <v>37.708948742439865</v>
      </c>
      <c r="AG2521" s="2">
        <f ca="1"/>
        <v>0.74051152499131079</v>
      </c>
      <c r="AH2521" s="2" t="str">
        <f ca="1"/>
        <v>Bad</v>
      </c>
    </row>
    <row r="2522" spans="2:34" x14ac:dyDescent="0.2">
      <c r="B2522" s="2">
        <f ca="1"/>
        <v>0.52393718712736592</v>
      </c>
      <c r="O2522" s="2">
        <f ca="1"/>
        <v>0.59527360499843907</v>
      </c>
      <c r="X2522" s="2">
        <f ca="1"/>
        <v>47.998213285751277</v>
      </c>
      <c r="AG2522" s="2">
        <f ca="1"/>
        <v>0.99300639927010192</v>
      </c>
      <c r="AH2522" s="2" t="str">
        <f ca="1"/>
        <v>Bad</v>
      </c>
    </row>
    <row r="2523" spans="2:34" x14ac:dyDescent="0.2">
      <c r="B2523" s="2">
        <f ca="1"/>
        <v>0.80957106675176149</v>
      </c>
      <c r="O2523" s="2">
        <f ca="1"/>
        <v>-0.46664230094370085</v>
      </c>
      <c r="X2523" s="2">
        <f ca="1"/>
        <v>65.26890667240059</v>
      </c>
      <c r="AG2523" s="2">
        <f ca="1"/>
        <v>0.97017666137068259</v>
      </c>
      <c r="AH2523" s="2" t="str">
        <f ca="1"/>
        <v>Bad</v>
      </c>
    </row>
    <row r="2524" spans="2:34" x14ac:dyDescent="0.2">
      <c r="B2524" s="2">
        <f ca="1"/>
        <v>0.23037421896885379</v>
      </c>
      <c r="O2524" s="2">
        <f ca="1"/>
        <v>-0.27720241662296935</v>
      </c>
      <c r="X2524" s="2">
        <f ca="1"/>
        <v>51.654575754346688</v>
      </c>
      <c r="AG2524" s="2">
        <f ca="1"/>
        <v>0.98534897792150056</v>
      </c>
      <c r="AH2524" s="2" t="str">
        <f ca="1"/>
        <v>Bad</v>
      </c>
    </row>
    <row r="2525" spans="2:34" x14ac:dyDescent="0.2">
      <c r="B2525" s="2">
        <f ca="1"/>
        <v>0.17938042107598862</v>
      </c>
      <c r="O2525" s="2">
        <f ca="1"/>
        <v>-9.3566546077948717E-2</v>
      </c>
      <c r="X2525" s="2">
        <f ca="1"/>
        <v>51.070352234000012</v>
      </c>
      <c r="AG2525" s="2">
        <f ca="1"/>
        <v>0.36952904328815417</v>
      </c>
      <c r="AH2525" s="2" t="str">
        <f ca="1"/>
        <v>OK</v>
      </c>
    </row>
    <row r="2526" spans="2:34" x14ac:dyDescent="0.2">
      <c r="B2526" s="2">
        <f ca="1"/>
        <v>0.17698387609298583</v>
      </c>
      <c r="O2526" s="2">
        <f ca="1"/>
        <v>0.92809592294125454</v>
      </c>
      <c r="X2526" s="2">
        <f ca="1"/>
        <v>43.900384896497251</v>
      </c>
      <c r="AG2526" s="2">
        <f ca="1"/>
        <v>0.87592766721425397</v>
      </c>
      <c r="AH2526" s="2" t="str">
        <f ca="1"/>
        <v>Bad</v>
      </c>
    </row>
    <row r="2527" spans="2:34" x14ac:dyDescent="0.2">
      <c r="B2527" s="2">
        <f ca="1"/>
        <v>5.2552677312212248E-2</v>
      </c>
      <c r="O2527" s="2">
        <f ca="1"/>
        <v>1.7331731080848782</v>
      </c>
      <c r="X2527" s="2">
        <f ca="1"/>
        <v>33.324374625009369</v>
      </c>
      <c r="AG2527" s="2">
        <f ca="1"/>
        <v>0.77053482588048161</v>
      </c>
      <c r="AH2527" s="2" t="str">
        <f ca="1"/>
        <v>Bad</v>
      </c>
    </row>
    <row r="2528" spans="2:34" x14ac:dyDescent="0.2">
      <c r="B2528" s="2">
        <f ca="1"/>
        <v>0.91049504705699635</v>
      </c>
      <c r="O2528" s="2">
        <f ca="1"/>
        <v>-0.99207763250425085</v>
      </c>
      <c r="X2528" s="2">
        <f ca="1"/>
        <v>69.339002877603463</v>
      </c>
      <c r="AG2528" s="2">
        <f ca="1"/>
        <v>0.24763055770178166</v>
      </c>
      <c r="AH2528" s="2" t="str">
        <f ca="1"/>
        <v>OK</v>
      </c>
    </row>
    <row r="2529" spans="2:34" x14ac:dyDescent="0.2">
      <c r="B2529" s="2">
        <f ca="1"/>
        <v>0.13616933840446976</v>
      </c>
      <c r="O2529" s="2">
        <f ca="1"/>
        <v>-0.31045899031729129</v>
      </c>
      <c r="X2529" s="2">
        <f ca="1"/>
        <v>32.718271225578548</v>
      </c>
      <c r="AG2529" s="2">
        <f ca="1"/>
        <v>0.56478699480046668</v>
      </c>
      <c r="AH2529" s="2" t="str">
        <f ca="1"/>
        <v>Bad</v>
      </c>
    </row>
    <row r="2530" spans="2:34" x14ac:dyDescent="0.2">
      <c r="B2530" s="2">
        <f ca="1"/>
        <v>0.86297886260849554</v>
      </c>
      <c r="O2530" s="2">
        <f ca="1"/>
        <v>0.50130592750679071</v>
      </c>
      <c r="X2530" s="2">
        <f ca="1"/>
        <v>62.057524853926189</v>
      </c>
      <c r="AG2530" s="2">
        <f ca="1"/>
        <v>0.80353419497130885</v>
      </c>
      <c r="AH2530" s="2" t="str">
        <f ca="1"/>
        <v>Bad</v>
      </c>
    </row>
    <row r="2531" spans="2:34" x14ac:dyDescent="0.2">
      <c r="B2531" s="2">
        <f ca="1"/>
        <v>0.42801531553934646</v>
      </c>
      <c r="O2531" s="2">
        <f ca="1"/>
        <v>2.21991916831096E-2</v>
      </c>
      <c r="X2531" s="2">
        <f ca="1"/>
        <v>30.822865061980615</v>
      </c>
      <c r="AG2531" s="2">
        <f ca="1"/>
        <v>2.2926240492253003E-2</v>
      </c>
      <c r="AH2531" s="2" t="str">
        <f ca="1"/>
        <v>Good</v>
      </c>
    </row>
    <row r="2532" spans="2:34" x14ac:dyDescent="0.2">
      <c r="B2532" s="2">
        <f ca="1"/>
        <v>0.48579684976002824</v>
      </c>
      <c r="O2532" s="2">
        <f ca="1"/>
        <v>4.4160748110511301E-2</v>
      </c>
      <c r="X2532" s="2">
        <f ca="1"/>
        <v>32.795472355687579</v>
      </c>
      <c r="AG2532" s="2">
        <f ca="1"/>
        <v>0.34477924243758196</v>
      </c>
      <c r="AH2532" s="2" t="str">
        <f ca="1"/>
        <v>OK</v>
      </c>
    </row>
    <row r="2533" spans="2:34" x14ac:dyDescent="0.2">
      <c r="B2533" s="2">
        <f ca="1"/>
        <v>0.69527134984711747</v>
      </c>
      <c r="O2533" s="2">
        <f ca="1"/>
        <v>-0.25698718848814311</v>
      </c>
      <c r="X2533" s="2">
        <f ca="1"/>
        <v>34.679018032220895</v>
      </c>
      <c r="AG2533" s="2">
        <f ca="1"/>
        <v>0.51207268388413962</v>
      </c>
      <c r="AH2533" s="2" t="str">
        <f ca="1"/>
        <v>Bad</v>
      </c>
    </row>
    <row r="2534" spans="2:34" x14ac:dyDescent="0.2">
      <c r="B2534" s="2">
        <f ca="1"/>
        <v>0.37543745209929624</v>
      </c>
      <c r="O2534" s="2">
        <f ca="1"/>
        <v>-0.74870099781909127</v>
      </c>
      <c r="X2534" s="2">
        <f ca="1"/>
        <v>71.175211375308322</v>
      </c>
      <c r="AG2534" s="2">
        <f ca="1"/>
        <v>0.72502747423448555</v>
      </c>
      <c r="AH2534" s="2" t="str">
        <f ca="1"/>
        <v>Bad</v>
      </c>
    </row>
    <row r="2535" spans="2:34" x14ac:dyDescent="0.2">
      <c r="B2535" s="2">
        <f ca="1"/>
        <v>3.7646250673945669E-2</v>
      </c>
      <c r="O2535" s="2">
        <f ca="1"/>
        <v>0.12657061121175778</v>
      </c>
      <c r="X2535" s="2">
        <f ca="1"/>
        <v>34.422342585512972</v>
      </c>
      <c r="AG2535" s="2">
        <f ca="1"/>
        <v>0.81844726914879296</v>
      </c>
      <c r="AH2535" s="2" t="str">
        <f ca="1"/>
        <v>Bad</v>
      </c>
    </row>
    <row r="2536" spans="2:34" x14ac:dyDescent="0.2">
      <c r="B2536" s="2">
        <f ca="1"/>
        <v>0.55670121147670404</v>
      </c>
      <c r="O2536" s="2">
        <f ca="1"/>
        <v>-1.730660343074472</v>
      </c>
      <c r="X2536" s="2">
        <f ca="1"/>
        <v>51.241832390684124</v>
      </c>
      <c r="AG2536" s="2">
        <f ca="1"/>
        <v>0.64660682638074429</v>
      </c>
      <c r="AH2536" s="2" t="str">
        <f ca="1"/>
        <v>Bad</v>
      </c>
    </row>
    <row r="2537" spans="2:34" x14ac:dyDescent="0.2">
      <c r="B2537" s="2">
        <f ca="1"/>
        <v>0.50368007261249437</v>
      </c>
      <c r="O2537" s="2">
        <f ca="1"/>
        <v>1.8083177257952145</v>
      </c>
      <c r="X2537" s="2">
        <f ca="1"/>
        <v>39.41387282333131</v>
      </c>
      <c r="AG2537" s="2">
        <f ca="1"/>
        <v>0.51140416118013921</v>
      </c>
      <c r="AH2537" s="2" t="str">
        <f ca="1"/>
        <v>Bad</v>
      </c>
    </row>
    <row r="2538" spans="2:34" x14ac:dyDescent="0.2">
      <c r="B2538" s="2">
        <f ca="1"/>
        <v>0.82142630218545398</v>
      </c>
      <c r="O2538" s="2">
        <f ca="1"/>
        <v>-0.48075531926449327</v>
      </c>
      <c r="X2538" s="2">
        <f ca="1"/>
        <v>45.555933099000924</v>
      </c>
      <c r="AG2538" s="2">
        <f ca="1"/>
        <v>0.18059147505558615</v>
      </c>
      <c r="AH2538" s="2" t="str">
        <f ca="1"/>
        <v>OK</v>
      </c>
    </row>
    <row r="2539" spans="2:34" x14ac:dyDescent="0.2">
      <c r="B2539" s="2">
        <f ca="1"/>
        <v>0.25218738978941069</v>
      </c>
      <c r="O2539" s="2">
        <f ca="1"/>
        <v>-0.22836418003466899</v>
      </c>
      <c r="X2539" s="2">
        <f ca="1"/>
        <v>60.303080708256203</v>
      </c>
      <c r="AG2539" s="2">
        <f ca="1"/>
        <v>0.58900132394940763</v>
      </c>
      <c r="AH2539" s="2" t="str">
        <f ca="1"/>
        <v>Bad</v>
      </c>
    </row>
    <row r="2540" spans="2:34" x14ac:dyDescent="0.2">
      <c r="B2540" s="2">
        <f ca="1"/>
        <v>0.78586821604628687</v>
      </c>
      <c r="O2540" s="2">
        <f ca="1"/>
        <v>-0.48365259395465371</v>
      </c>
      <c r="X2540" s="2">
        <f ca="1"/>
        <v>52.466082682487176</v>
      </c>
      <c r="AG2540" s="2">
        <f ca="1"/>
        <v>0.11828862791169437</v>
      </c>
      <c r="AH2540" s="2" t="str">
        <f ca="1"/>
        <v>OK</v>
      </c>
    </row>
    <row r="2541" spans="2:34" x14ac:dyDescent="0.2">
      <c r="B2541" s="2">
        <f ca="1"/>
        <v>0.42254275927645968</v>
      </c>
      <c r="O2541" s="2">
        <f ca="1"/>
        <v>-0.29145376063433148</v>
      </c>
      <c r="X2541" s="2">
        <f ca="1"/>
        <v>35.377829330823943</v>
      </c>
      <c r="AG2541" s="2">
        <f ca="1"/>
        <v>0.17768270275368603</v>
      </c>
      <c r="AH2541" s="2" t="str">
        <f ca="1"/>
        <v>OK</v>
      </c>
    </row>
    <row r="2542" spans="2:34" x14ac:dyDescent="0.2">
      <c r="B2542" s="2">
        <f ca="1"/>
        <v>0.89715189828110686</v>
      </c>
      <c r="O2542" s="2">
        <f ca="1"/>
        <v>0.45974412570836232</v>
      </c>
      <c r="X2542" s="2">
        <f ca="1"/>
        <v>47.40340058532378</v>
      </c>
      <c r="AG2542" s="2">
        <f ca="1"/>
        <v>9.4551445169628989E-2</v>
      </c>
      <c r="AH2542" s="2" t="str">
        <f ca="1"/>
        <v>OK</v>
      </c>
    </row>
    <row r="2543" spans="2:34" x14ac:dyDescent="0.2">
      <c r="B2543" s="2">
        <f ca="1"/>
        <v>0.54044837044146998</v>
      </c>
      <c r="O2543" s="2">
        <f ca="1"/>
        <v>-0.77857218106806614</v>
      </c>
      <c r="X2543" s="2">
        <f ca="1"/>
        <v>37.061534730618938</v>
      </c>
      <c r="AG2543" s="2">
        <f ca="1"/>
        <v>0.5986693764564579</v>
      </c>
      <c r="AH2543" s="2" t="str">
        <f ca="1"/>
        <v>Bad</v>
      </c>
    </row>
    <row r="2544" spans="2:34" x14ac:dyDescent="0.2">
      <c r="B2544" s="2">
        <f ca="1"/>
        <v>0.12546113876674791</v>
      </c>
      <c r="O2544" s="2">
        <f ca="1"/>
        <v>0.56897354753332352</v>
      </c>
      <c r="X2544" s="2">
        <f ca="1"/>
        <v>57.792014446430564</v>
      </c>
      <c r="AG2544" s="2">
        <f ca="1"/>
        <v>0.56312475090884706</v>
      </c>
      <c r="AH2544" s="2" t="str">
        <f ca="1"/>
        <v>Bad</v>
      </c>
    </row>
    <row r="2545" spans="2:34" x14ac:dyDescent="0.2">
      <c r="B2545" s="2">
        <f ca="1"/>
        <v>0.1797585853757433</v>
      </c>
      <c r="O2545" s="2">
        <f ca="1"/>
        <v>3.5895456069623514E-2</v>
      </c>
      <c r="X2545" s="2">
        <f ca="1"/>
        <v>30.014705547856408</v>
      </c>
      <c r="AG2545" s="2">
        <f ca="1"/>
        <v>3.0803209201812454E-2</v>
      </c>
      <c r="AH2545" s="2" t="str">
        <f ca="1"/>
        <v>Good</v>
      </c>
    </row>
    <row r="2546" spans="2:34" x14ac:dyDescent="0.2">
      <c r="B2546" s="2">
        <f ca="1"/>
        <v>0.52199752646683018</v>
      </c>
      <c r="O2546" s="2">
        <f ca="1"/>
        <v>-0.78538896467166863</v>
      </c>
      <c r="X2546" s="2">
        <f ca="1"/>
        <v>35.089403346549659</v>
      </c>
      <c r="AG2546" s="2">
        <f ca="1"/>
        <v>0.44692808308593346</v>
      </c>
      <c r="AH2546" s="2" t="str">
        <f ca="1"/>
        <v>Bad</v>
      </c>
    </row>
    <row r="2547" spans="2:34" x14ac:dyDescent="0.2">
      <c r="B2547" s="2">
        <f ca="1"/>
        <v>0.4994449073860654</v>
      </c>
      <c r="O2547" s="2">
        <f ca="1"/>
        <v>-0.34704100444438624</v>
      </c>
      <c r="X2547" s="2">
        <f ca="1"/>
        <v>64.68296786601374</v>
      </c>
      <c r="AG2547" s="2">
        <f ca="1"/>
        <v>0.73270518416955266</v>
      </c>
      <c r="AH2547" s="2" t="str">
        <f ca="1"/>
        <v>Bad</v>
      </c>
    </row>
    <row r="2548" spans="2:34" x14ac:dyDescent="0.2">
      <c r="B2548" s="2">
        <f ca="1"/>
        <v>0.61644700907168115</v>
      </c>
      <c r="O2548" s="2">
        <f ca="1"/>
        <v>-0.39470183803812769</v>
      </c>
      <c r="X2548" s="2">
        <f ca="1"/>
        <v>38.464569514860266</v>
      </c>
      <c r="AG2548" s="2">
        <f ca="1"/>
        <v>0.91109909240608533</v>
      </c>
      <c r="AH2548" s="2" t="str">
        <f ca="1"/>
        <v>Bad</v>
      </c>
    </row>
    <row r="2549" spans="2:34" x14ac:dyDescent="0.2">
      <c r="B2549" s="2">
        <f ca="1"/>
        <v>0.92883148103123614</v>
      </c>
      <c r="O2549" s="2">
        <f ca="1"/>
        <v>0.14798005971054382</v>
      </c>
      <c r="X2549" s="2">
        <f ca="1"/>
        <v>64.572635941730042</v>
      </c>
      <c r="AG2549" s="2">
        <f ca="1"/>
        <v>0.98091555003135866</v>
      </c>
      <c r="AH2549" s="2" t="str">
        <f ca="1"/>
        <v>Bad</v>
      </c>
    </row>
    <row r="2550" spans="2:34" x14ac:dyDescent="0.2">
      <c r="B2550" s="2">
        <f ca="1"/>
        <v>5.5206653452493315E-2</v>
      </c>
      <c r="O2550" s="2">
        <f ca="1"/>
        <v>-0.20877151565548646</v>
      </c>
      <c r="X2550" s="2">
        <f ca="1"/>
        <v>40.96313865625082</v>
      </c>
      <c r="AG2550" s="2">
        <f ca="1"/>
        <v>0.16662336323738591</v>
      </c>
      <c r="AH2550" s="2" t="str">
        <f ca="1"/>
        <v>OK</v>
      </c>
    </row>
    <row r="2551" spans="2:34" x14ac:dyDescent="0.2">
      <c r="B2551" s="2">
        <f ca="1"/>
        <v>0.36862239375951944</v>
      </c>
      <c r="O2551" s="2">
        <f ca="1"/>
        <v>0.36502692838213519</v>
      </c>
      <c r="X2551" s="2">
        <f ca="1"/>
        <v>56.348118699369309</v>
      </c>
      <c r="AG2551" s="2">
        <f ca="1"/>
        <v>1.946790236371343E-2</v>
      </c>
      <c r="AH2551" s="2" t="str">
        <f ca="1"/>
        <v>Good</v>
      </c>
    </row>
    <row r="2552" spans="2:34" x14ac:dyDescent="0.2">
      <c r="B2552" s="2">
        <f ca="1"/>
        <v>0.98703638986994857</v>
      </c>
      <c r="O2552" s="2">
        <f ca="1"/>
        <v>0.84922003397397905</v>
      </c>
      <c r="X2552" s="2">
        <f ca="1"/>
        <v>88.867064449496084</v>
      </c>
      <c r="AG2552" s="2">
        <f ca="1"/>
        <v>0.33898317243930731</v>
      </c>
      <c r="AH2552" s="2" t="str">
        <f ca="1"/>
        <v>OK</v>
      </c>
    </row>
    <row r="2553" spans="2:34" x14ac:dyDescent="0.2">
      <c r="B2553" s="2">
        <f ca="1"/>
        <v>0.23808126559978171</v>
      </c>
      <c r="O2553" s="2">
        <f ca="1"/>
        <v>-0.85002454710077913</v>
      </c>
      <c r="X2553" s="2">
        <f ca="1"/>
        <v>42.61520580061589</v>
      </c>
      <c r="AG2553" s="2">
        <f ca="1"/>
        <v>0.17418358348309315</v>
      </c>
      <c r="AH2553" s="2" t="str">
        <f ca="1"/>
        <v>OK</v>
      </c>
    </row>
    <row r="2554" spans="2:34" x14ac:dyDescent="0.2">
      <c r="B2554" s="2">
        <f ca="1"/>
        <v>0.49693608670955447</v>
      </c>
      <c r="O2554" s="2">
        <f ca="1"/>
        <v>1.1218896581508369</v>
      </c>
      <c r="X2554" s="2">
        <f ca="1"/>
        <v>75.09028375004533</v>
      </c>
      <c r="AG2554" s="2">
        <f ca="1"/>
        <v>0.47627399151945049</v>
      </c>
      <c r="AH2554" s="2" t="str">
        <f ca="1"/>
        <v>Bad</v>
      </c>
    </row>
    <row r="2555" spans="2:34" x14ac:dyDescent="0.2">
      <c r="B2555" s="2">
        <f ca="1"/>
        <v>0.36461697999999032</v>
      </c>
      <c r="O2555" s="2">
        <f ca="1"/>
        <v>-1.0292276222183587</v>
      </c>
      <c r="X2555" s="2">
        <f ca="1"/>
        <v>54.16475422965415</v>
      </c>
      <c r="AG2555" s="2">
        <f ca="1"/>
        <v>6.1643638990553473E-2</v>
      </c>
      <c r="AH2555" s="2" t="str">
        <f ca="1"/>
        <v>OK</v>
      </c>
    </row>
    <row r="2556" spans="2:34" x14ac:dyDescent="0.2">
      <c r="B2556" s="2">
        <f ca="1"/>
        <v>0.70887884919297672</v>
      </c>
      <c r="O2556" s="2">
        <f ca="1"/>
        <v>0.92774072197230883</v>
      </c>
      <c r="X2556" s="2">
        <f ca="1"/>
        <v>72.451403206135026</v>
      </c>
      <c r="AG2556" s="2">
        <f ca="1"/>
        <v>0.66089564800585698</v>
      </c>
      <c r="AH2556" s="2" t="str">
        <f ca="1"/>
        <v>Bad</v>
      </c>
    </row>
    <row r="2557" spans="2:34" x14ac:dyDescent="0.2">
      <c r="B2557" s="2">
        <f ca="1"/>
        <v>0.12002173873485478</v>
      </c>
      <c r="O2557" s="2">
        <f ca="1"/>
        <v>2.1720454585731992</v>
      </c>
      <c r="X2557" s="2">
        <f ca="1"/>
        <v>48.451943905540503</v>
      </c>
      <c r="AG2557" s="2">
        <f ca="1"/>
        <v>0.83389743300293429</v>
      </c>
      <c r="AH2557" s="2" t="str">
        <f ca="1"/>
        <v>Bad</v>
      </c>
    </row>
    <row r="2558" spans="2:34" x14ac:dyDescent="0.2">
      <c r="B2558" s="2">
        <f ca="1"/>
        <v>0.213513612667251</v>
      </c>
      <c r="O2558" s="2">
        <f ca="1"/>
        <v>-1.2725289716020605</v>
      </c>
      <c r="X2558" s="2">
        <f ca="1"/>
        <v>32.238995253278659</v>
      </c>
      <c r="AG2558" s="2">
        <f ca="1"/>
        <v>0.57105344958536852</v>
      </c>
      <c r="AH2558" s="2" t="str">
        <f ca="1"/>
        <v>Bad</v>
      </c>
    </row>
    <row r="2559" spans="2:34" x14ac:dyDescent="0.2">
      <c r="B2559" s="2">
        <f ca="1"/>
        <v>0.6667153299564299</v>
      </c>
      <c r="O2559" s="2">
        <f ca="1"/>
        <v>1.5398966758744337</v>
      </c>
      <c r="X2559" s="2">
        <f ca="1"/>
        <v>35.850996620992262</v>
      </c>
      <c r="AG2559" s="2">
        <f ca="1"/>
        <v>0.68013303933228908</v>
      </c>
      <c r="AH2559" s="2" t="str">
        <f ca="1"/>
        <v>Bad</v>
      </c>
    </row>
    <row r="2560" spans="2:34" x14ac:dyDescent="0.2">
      <c r="B2560" s="2">
        <f ca="1"/>
        <v>0.6098455267094427</v>
      </c>
      <c r="O2560" s="2">
        <f ca="1"/>
        <v>2.3932509894804603</v>
      </c>
      <c r="X2560" s="2">
        <f ca="1"/>
        <v>54.611762498216223</v>
      </c>
      <c r="AG2560" s="2">
        <f ca="1"/>
        <v>0.18720576505064646</v>
      </c>
      <c r="AH2560" s="2" t="str">
        <f ca="1"/>
        <v>OK</v>
      </c>
    </row>
    <row r="2561" spans="2:34" x14ac:dyDescent="0.2">
      <c r="B2561" s="2">
        <f ca="1"/>
        <v>0.9590058964907604</v>
      </c>
      <c r="O2561" s="2">
        <f ca="1"/>
        <v>0.32844875293291209</v>
      </c>
      <c r="X2561" s="2">
        <f ca="1"/>
        <v>34.190696358457245</v>
      </c>
      <c r="AG2561" s="2">
        <f ca="1"/>
        <v>0.72513881827597504</v>
      </c>
      <c r="AH2561" s="2" t="str">
        <f ca="1"/>
        <v>Bad</v>
      </c>
    </row>
    <row r="2562" spans="2:34" x14ac:dyDescent="0.2">
      <c r="B2562" s="2">
        <f ca="1"/>
        <v>0.6004703650686789</v>
      </c>
      <c r="O2562" s="2">
        <f ca="1"/>
        <v>-1.7519966383037928</v>
      </c>
      <c r="X2562" s="2">
        <f ca="1"/>
        <v>68.625436245734008</v>
      </c>
      <c r="AG2562" s="2">
        <f ca="1"/>
        <v>0.51504937107846449</v>
      </c>
      <c r="AH2562" s="2" t="str">
        <f ca="1"/>
        <v>Bad</v>
      </c>
    </row>
    <row r="2563" spans="2:34" x14ac:dyDescent="0.2">
      <c r="B2563" s="2">
        <f ca="1"/>
        <v>0.75705916001156481</v>
      </c>
      <c r="O2563" s="2">
        <f ca="1"/>
        <v>-0.58148229715115107</v>
      </c>
      <c r="X2563" s="2">
        <f ca="1"/>
        <v>71.091680124659717</v>
      </c>
      <c r="AG2563" s="2">
        <f ca="1"/>
        <v>0.39572353211485023</v>
      </c>
      <c r="AH2563" s="2" t="str">
        <f ca="1"/>
        <v>OK</v>
      </c>
    </row>
    <row r="2564" spans="2:34" x14ac:dyDescent="0.2">
      <c r="B2564" s="2">
        <f ca="1"/>
        <v>0.72621677524624317</v>
      </c>
      <c r="O2564" s="2">
        <f ca="1"/>
        <v>-1.9158347333548205</v>
      </c>
      <c r="X2564" s="2">
        <f ca="1"/>
        <v>39.601944308196309</v>
      </c>
      <c r="AG2564" s="2">
        <f ca="1"/>
        <v>0.66370154846634577</v>
      </c>
      <c r="AH2564" s="2" t="str">
        <f ca="1"/>
        <v>Bad</v>
      </c>
    </row>
    <row r="2565" spans="2:34" x14ac:dyDescent="0.2">
      <c r="B2565" s="2">
        <f ca="1"/>
        <v>0.28358743971696532</v>
      </c>
      <c r="O2565" s="2">
        <f ca="1"/>
        <v>-1.6471189910579433</v>
      </c>
      <c r="X2565" s="2">
        <f ca="1"/>
        <v>49.791959023520882</v>
      </c>
      <c r="AG2565" s="2">
        <f ca="1"/>
        <v>0.5297717369632986</v>
      </c>
      <c r="AH2565" s="2" t="str">
        <f ca="1"/>
        <v>Bad</v>
      </c>
    </row>
    <row r="2566" spans="2:34" x14ac:dyDescent="0.2">
      <c r="B2566" s="2">
        <f ca="1"/>
        <v>0.16090436620536019</v>
      </c>
      <c r="O2566" s="2">
        <f ca="1"/>
        <v>1.043828071098301</v>
      </c>
      <c r="X2566" s="2">
        <f ca="1"/>
        <v>39.25035961245554</v>
      </c>
      <c r="AG2566" s="2">
        <f ca="1"/>
        <v>0.1809022314422768</v>
      </c>
      <c r="AH2566" s="2" t="str">
        <f ca="1"/>
        <v>OK</v>
      </c>
    </row>
    <row r="2567" spans="2:34" x14ac:dyDescent="0.2">
      <c r="B2567" s="2">
        <f ca="1"/>
        <v>0.55315517657144331</v>
      </c>
      <c r="O2567" s="2">
        <f ca="1"/>
        <v>0.91696535135183754</v>
      </c>
      <c r="X2567" s="2">
        <f ca="1"/>
        <v>42.61917811174537</v>
      </c>
      <c r="AG2567" s="2">
        <f ca="1"/>
        <v>0.69051698438454778</v>
      </c>
      <c r="AH2567" s="2" t="str">
        <f ca="1"/>
        <v>Bad</v>
      </c>
    </row>
    <row r="2568" spans="2:34" x14ac:dyDescent="0.2">
      <c r="B2568" s="2">
        <f ca="1"/>
        <v>0.38785464539684966</v>
      </c>
      <c r="O2568" s="2">
        <f ca="1"/>
        <v>0.54712926906958981</v>
      </c>
      <c r="X2568" s="2">
        <f ca="1"/>
        <v>44.420512387048149</v>
      </c>
      <c r="AG2568" s="2">
        <f ca="1"/>
        <v>3.2322247295199613E-2</v>
      </c>
      <c r="AH2568" s="2" t="str">
        <f ca="1"/>
        <v>Good</v>
      </c>
    </row>
    <row r="2569" spans="2:34" x14ac:dyDescent="0.2">
      <c r="B2569" s="2">
        <f ca="1"/>
        <v>0.4621288552625844</v>
      </c>
      <c r="O2569" s="2">
        <f ca="1"/>
        <v>0.15215606483001293</v>
      </c>
      <c r="X2569" s="2">
        <f ca="1"/>
        <v>45.838326627463289</v>
      </c>
      <c r="AG2569" s="2">
        <f ca="1"/>
        <v>0.29108322936360076</v>
      </c>
      <c r="AH2569" s="2" t="str">
        <f ca="1"/>
        <v>OK</v>
      </c>
    </row>
    <row r="2570" spans="2:34" x14ac:dyDescent="0.2">
      <c r="B2570" s="2">
        <f ca="1"/>
        <v>1.158372780455319E-2</v>
      </c>
      <c r="O2570" s="2">
        <f ca="1"/>
        <v>-0.32551548498776622</v>
      </c>
      <c r="X2570" s="2">
        <f ca="1"/>
        <v>67.624850049809339</v>
      </c>
      <c r="AG2570" s="2">
        <f ca="1"/>
        <v>0.27016424834503683</v>
      </c>
      <c r="AH2570" s="2" t="str">
        <f ca="1"/>
        <v>OK</v>
      </c>
    </row>
    <row r="2571" spans="2:34" x14ac:dyDescent="0.2">
      <c r="B2571" s="2">
        <f ca="1"/>
        <v>9.5045017750050587E-3</v>
      </c>
      <c r="O2571" s="2">
        <f ca="1"/>
        <v>1.4130234361675307</v>
      </c>
      <c r="X2571" s="2">
        <f ca="1"/>
        <v>69.156048548538465</v>
      </c>
      <c r="AG2571" s="2">
        <f ca="1"/>
        <v>0.22744430841709318</v>
      </c>
      <c r="AH2571" s="2" t="str">
        <f ca="1"/>
        <v>OK</v>
      </c>
    </row>
    <row r="2572" spans="2:34" x14ac:dyDescent="0.2">
      <c r="B2572" s="2">
        <f ca="1"/>
        <v>0.76728968519989227</v>
      </c>
      <c r="O2572" s="2">
        <f ca="1"/>
        <v>1.1538880436152847</v>
      </c>
      <c r="X2572" s="2">
        <f ca="1"/>
        <v>39.992987633415382</v>
      </c>
      <c r="AG2572" s="2">
        <f ca="1"/>
        <v>0.31559632067583876</v>
      </c>
      <c r="AH2572" s="2" t="str">
        <f ca="1"/>
        <v>OK</v>
      </c>
    </row>
    <row r="2573" spans="2:34" x14ac:dyDescent="0.2">
      <c r="B2573" s="2">
        <f ca="1"/>
        <v>0.37626317115158048</v>
      </c>
      <c r="O2573" s="2">
        <f ca="1"/>
        <v>-1.0309964339727342</v>
      </c>
      <c r="X2573" s="2">
        <f ca="1"/>
        <v>48.53911303981598</v>
      </c>
      <c r="AG2573" s="2">
        <f ca="1"/>
        <v>0.84798527302123672</v>
      </c>
      <c r="AH2573" s="2" t="str">
        <f ca="1"/>
        <v>Bad</v>
      </c>
    </row>
    <row r="2574" spans="2:34" x14ac:dyDescent="0.2">
      <c r="B2574" s="2">
        <f ca="1"/>
        <v>0.33244610586098133</v>
      </c>
      <c r="O2574" s="2">
        <f ca="1"/>
        <v>0.22381823396743289</v>
      </c>
      <c r="X2574" s="2">
        <f ca="1"/>
        <v>39.427094814583157</v>
      </c>
      <c r="AG2574" s="2">
        <f ca="1"/>
        <v>0.55562463841114962</v>
      </c>
      <c r="AH2574" s="2" t="str">
        <f ca="1"/>
        <v>Bad</v>
      </c>
    </row>
    <row r="2575" spans="2:34" x14ac:dyDescent="0.2">
      <c r="B2575" s="2">
        <f ca="1"/>
        <v>0.23749347663613873</v>
      </c>
      <c r="O2575" s="2">
        <f ca="1"/>
        <v>1.7990198463625762</v>
      </c>
      <c r="X2575" s="2">
        <f ca="1"/>
        <v>51.498785157103988</v>
      </c>
      <c r="AG2575" s="2">
        <f ca="1"/>
        <v>0.82460469381419244</v>
      </c>
      <c r="AH2575" s="2" t="str">
        <f ca="1"/>
        <v>Bad</v>
      </c>
    </row>
    <row r="2576" spans="2:34" x14ac:dyDescent="0.2">
      <c r="B2576" s="2">
        <f ca="1"/>
        <v>1.7488843148859345E-2</v>
      </c>
      <c r="O2576" s="2">
        <f ca="1"/>
        <v>-1.5478891260544141</v>
      </c>
      <c r="X2576" s="2">
        <f ca="1"/>
        <v>37.13335139318793</v>
      </c>
      <c r="AG2576" s="2">
        <f ca="1"/>
        <v>0.72581981739308721</v>
      </c>
      <c r="AH2576" s="2" t="str">
        <f ca="1"/>
        <v>Bad</v>
      </c>
    </row>
    <row r="2577" spans="2:34" x14ac:dyDescent="0.2">
      <c r="B2577" s="2">
        <f ca="1"/>
        <v>0.32963777087138557</v>
      </c>
      <c r="O2577" s="2">
        <f ca="1"/>
        <v>1.2458851567430189</v>
      </c>
      <c r="X2577" s="2">
        <f ca="1"/>
        <v>40.461003154702496</v>
      </c>
      <c r="AG2577" s="2">
        <f ca="1"/>
        <v>0.31654982878183602</v>
      </c>
      <c r="AH2577" s="2" t="str">
        <f ca="1"/>
        <v>OK</v>
      </c>
    </row>
    <row r="2578" spans="2:34" x14ac:dyDescent="0.2">
      <c r="B2578" s="2">
        <f ca="1"/>
        <v>0.39622234634475051</v>
      </c>
      <c r="O2578" s="2">
        <f ca="1"/>
        <v>0.28543914860318087</v>
      </c>
      <c r="X2578" s="2">
        <f ca="1"/>
        <v>47.373958263920173</v>
      </c>
      <c r="AG2578" s="2">
        <f ca="1"/>
        <v>0.90770292219102289</v>
      </c>
      <c r="AH2578" s="2" t="str">
        <f ca="1"/>
        <v>Bad</v>
      </c>
    </row>
    <row r="2579" spans="2:34" x14ac:dyDescent="0.2">
      <c r="B2579" s="2">
        <f ca="1"/>
        <v>0.62687283322445775</v>
      </c>
      <c r="O2579" s="2">
        <f ca="1"/>
        <v>-0.14163560478693005</v>
      </c>
      <c r="X2579" s="2">
        <f ca="1"/>
        <v>39.786862136799726</v>
      </c>
      <c r="AG2579" s="2">
        <f ca="1"/>
        <v>0.98669730079379314</v>
      </c>
      <c r="AH2579" s="2" t="str">
        <f ca="1"/>
        <v>Bad</v>
      </c>
    </row>
    <row r="2580" spans="2:34" x14ac:dyDescent="0.2">
      <c r="B2580" s="2">
        <f ca="1"/>
        <v>0.65355705859693436</v>
      </c>
      <c r="O2580" s="2">
        <f ca="1"/>
        <v>1.1278431415684709</v>
      </c>
      <c r="X2580" s="2">
        <f ca="1"/>
        <v>49.33491791565551</v>
      </c>
      <c r="AG2580" s="2">
        <f ca="1"/>
        <v>0.69685387083964478</v>
      </c>
      <c r="AH2580" s="2" t="str">
        <f ca="1"/>
        <v>Bad</v>
      </c>
    </row>
    <row r="2581" spans="2:34" x14ac:dyDescent="0.2">
      <c r="B2581" s="2">
        <f ca="1"/>
        <v>0.20314169232977353</v>
      </c>
      <c r="O2581" s="2">
        <f ca="1"/>
        <v>-0.10442870482601686</v>
      </c>
      <c r="X2581" s="2">
        <f ca="1"/>
        <v>40.576719695264394</v>
      </c>
      <c r="AG2581" s="2">
        <f ca="1"/>
        <v>9.022657958357061E-2</v>
      </c>
      <c r="AH2581" s="2" t="str">
        <f ca="1"/>
        <v>OK</v>
      </c>
    </row>
    <row r="2582" spans="2:34" x14ac:dyDescent="0.2">
      <c r="B2582" s="2">
        <f ca="1"/>
        <v>0.76180930658687762</v>
      </c>
      <c r="O2582" s="2">
        <f ca="1"/>
        <v>-0.37129819646772594</v>
      </c>
      <c r="X2582" s="2">
        <f ca="1"/>
        <v>42.310756743544282</v>
      </c>
      <c r="AG2582" s="2">
        <f ca="1"/>
        <v>9.876791899030879E-2</v>
      </c>
      <c r="AH2582" s="2" t="str">
        <f ca="1"/>
        <v>OK</v>
      </c>
    </row>
    <row r="2583" spans="2:34" x14ac:dyDescent="0.2">
      <c r="B2583" s="2">
        <f ca="1"/>
        <v>0.99201279256991892</v>
      </c>
      <c r="O2583" s="2">
        <f ca="1"/>
        <v>-0.3064218105933354</v>
      </c>
      <c r="X2583" s="2">
        <f ca="1"/>
        <v>30.952457107323657</v>
      </c>
      <c r="AG2583" s="2">
        <f ca="1"/>
        <v>0.36890851488939336</v>
      </c>
      <c r="AH2583" s="2" t="str">
        <f ca="1"/>
        <v>OK</v>
      </c>
    </row>
    <row r="2584" spans="2:34" x14ac:dyDescent="0.2">
      <c r="B2584" s="2">
        <f ca="1"/>
        <v>0.41533336873817772</v>
      </c>
      <c r="O2584" s="2">
        <f ca="1"/>
        <v>-6.2699598032265075E-2</v>
      </c>
      <c r="X2584" s="2">
        <f ca="1"/>
        <v>33.717511790416012</v>
      </c>
      <c r="AG2584" s="2">
        <f ca="1"/>
        <v>0.56271171724940805</v>
      </c>
      <c r="AH2584" s="2" t="str">
        <f ca="1"/>
        <v>Bad</v>
      </c>
    </row>
    <row r="2585" spans="2:34" x14ac:dyDescent="0.2">
      <c r="B2585" s="2">
        <f ca="1"/>
        <v>0.54123899779534734</v>
      </c>
      <c r="O2585" s="2">
        <f ca="1"/>
        <v>-1.7747115846677657</v>
      </c>
      <c r="X2585" s="2">
        <f ca="1"/>
        <v>49.946915603560704</v>
      </c>
      <c r="AG2585" s="2">
        <f ca="1"/>
        <v>0.55718846481604878</v>
      </c>
      <c r="AH2585" s="2" t="str">
        <f ca="1"/>
        <v>Bad</v>
      </c>
    </row>
    <row r="2586" spans="2:34" x14ac:dyDescent="0.2">
      <c r="B2586" s="2">
        <f ca="1"/>
        <v>0.7829326880977685</v>
      </c>
      <c r="O2586" s="2">
        <f ca="1"/>
        <v>-0.65268339091932304</v>
      </c>
      <c r="X2586" s="2">
        <f ca="1"/>
        <v>27.698419112700506</v>
      </c>
      <c r="AG2586" s="2">
        <f ca="1"/>
        <v>0.98247692558725608</v>
      </c>
      <c r="AH2586" s="2" t="str">
        <f ca="1"/>
        <v>Bad</v>
      </c>
    </row>
    <row r="2587" spans="2:34" x14ac:dyDescent="0.2">
      <c r="B2587" s="2">
        <f ca="1"/>
        <v>0.57087457015105469</v>
      </c>
      <c r="O2587" s="2">
        <f ca="1"/>
        <v>1.7359326817259588E-2</v>
      </c>
      <c r="X2587" s="2">
        <f ca="1"/>
        <v>65.517470267975554</v>
      </c>
      <c r="AG2587" s="2">
        <f ca="1"/>
        <v>0.54622076554292298</v>
      </c>
      <c r="AH2587" s="2" t="str">
        <f ca="1"/>
        <v>Bad</v>
      </c>
    </row>
    <row r="2588" spans="2:34" x14ac:dyDescent="0.2">
      <c r="B2588" s="2">
        <f ca="1"/>
        <v>0.35493247463428501</v>
      </c>
      <c r="O2588" s="2">
        <f ca="1"/>
        <v>-1.3494533930353261</v>
      </c>
      <c r="X2588" s="2">
        <f ca="1"/>
        <v>44.806878791928597</v>
      </c>
      <c r="AG2588" s="2">
        <f ca="1"/>
        <v>0.54540167854645283</v>
      </c>
      <c r="AH2588" s="2" t="str">
        <f ca="1"/>
        <v>Bad</v>
      </c>
    </row>
    <row r="2589" spans="2:34" x14ac:dyDescent="0.2">
      <c r="B2589" s="2">
        <f ca="1"/>
        <v>0.59217177842327473</v>
      </c>
      <c r="O2589" s="2">
        <f ca="1"/>
        <v>-0.80326283075320715</v>
      </c>
      <c r="X2589" s="2">
        <f ca="1"/>
        <v>53.302916727237545</v>
      </c>
      <c r="AG2589" s="2">
        <f ca="1"/>
        <v>0.53625558217215286</v>
      </c>
      <c r="AH2589" s="2" t="str">
        <f ca="1"/>
        <v>Bad</v>
      </c>
    </row>
    <row r="2590" spans="2:34" x14ac:dyDescent="0.2">
      <c r="B2590" s="2">
        <f ca="1"/>
        <v>0.34216370543099583</v>
      </c>
      <c r="O2590" s="2">
        <f ca="1"/>
        <v>-9.7223477484626397E-2</v>
      </c>
      <c r="X2590" s="2">
        <f ca="1"/>
        <v>55.324664750133927</v>
      </c>
      <c r="AG2590" s="2">
        <f ca="1"/>
        <v>0.57167151114765269</v>
      </c>
      <c r="AH2590" s="2" t="str">
        <f ca="1"/>
        <v>Bad</v>
      </c>
    </row>
    <row r="2591" spans="2:34" x14ac:dyDescent="0.2">
      <c r="B2591" s="2">
        <f ca="1"/>
        <v>0.91501543067401592</v>
      </c>
      <c r="O2591" s="2">
        <f ca="1"/>
        <v>-0.78752867536730631</v>
      </c>
      <c r="X2591" s="2">
        <f ca="1"/>
        <v>58.290434512294375</v>
      </c>
      <c r="AG2591" s="2">
        <f ca="1"/>
        <v>0.6803317206905739</v>
      </c>
      <c r="AH2591" s="2" t="str">
        <f ca="1"/>
        <v>Bad</v>
      </c>
    </row>
    <row r="2592" spans="2:34" x14ac:dyDescent="0.2">
      <c r="B2592" s="2">
        <f ca="1"/>
        <v>0.64796599950340128</v>
      </c>
      <c r="O2592" s="2">
        <f ca="1"/>
        <v>0.32470102422537839</v>
      </c>
      <c r="X2592" s="2">
        <f ca="1"/>
        <v>27.842686456207684</v>
      </c>
      <c r="AG2592" s="2">
        <f ca="1"/>
        <v>0.14772978994439945</v>
      </c>
      <c r="AH2592" s="2" t="str">
        <f ca="1"/>
        <v>OK</v>
      </c>
    </row>
    <row r="2593" spans="2:34" x14ac:dyDescent="0.2">
      <c r="B2593" s="2">
        <f ca="1"/>
        <v>0.47813342991491603</v>
      </c>
      <c r="O2593" s="2">
        <f ca="1"/>
        <v>-0.28828972899704064</v>
      </c>
      <c r="X2593" s="2">
        <f ca="1"/>
        <v>44.415804767243856</v>
      </c>
      <c r="AG2593" s="2">
        <f ca="1"/>
        <v>0.41255441757920863</v>
      </c>
      <c r="AH2593" s="2" t="str">
        <f ca="1"/>
        <v>Bad</v>
      </c>
    </row>
    <row r="2594" spans="2:34" x14ac:dyDescent="0.2">
      <c r="B2594" s="2">
        <f ca="1"/>
        <v>0.27183898157344255</v>
      </c>
      <c r="O2594" s="2">
        <f ca="1"/>
        <v>-2.0050986191615618</v>
      </c>
      <c r="X2594" s="2">
        <f ca="1"/>
        <v>54.766455649677745</v>
      </c>
      <c r="AG2594" s="2">
        <f ca="1"/>
        <v>0.55487176505670188</v>
      </c>
      <c r="AH2594" s="2" t="str">
        <f ca="1"/>
        <v>Bad</v>
      </c>
    </row>
    <row r="2595" spans="2:34" x14ac:dyDescent="0.2">
      <c r="B2595" s="2">
        <f ca="1"/>
        <v>0.24953033734126695</v>
      </c>
      <c r="O2595" s="2">
        <f ca="1"/>
        <v>-0.97610657946253598</v>
      </c>
      <c r="X2595" s="2">
        <f ca="1"/>
        <v>53.651524459437923</v>
      </c>
      <c r="AG2595" s="2">
        <f ca="1"/>
        <v>0.12374590855132173</v>
      </c>
      <c r="AH2595" s="2" t="str">
        <f ca="1"/>
        <v>OK</v>
      </c>
    </row>
    <row r="2596" spans="2:34" x14ac:dyDescent="0.2">
      <c r="B2596" s="2">
        <f ca="1"/>
        <v>0.19417291390103242</v>
      </c>
      <c r="O2596" s="2">
        <f ca="1"/>
        <v>0.86657504452077228</v>
      </c>
      <c r="X2596" s="2">
        <f ca="1"/>
        <v>33.553659231999021</v>
      </c>
      <c r="AG2596" s="2">
        <f ca="1"/>
        <v>0.54555740196448421</v>
      </c>
      <c r="AH2596" s="2" t="str">
        <f ca="1"/>
        <v>Bad</v>
      </c>
    </row>
    <row r="2597" spans="2:34" x14ac:dyDescent="0.2">
      <c r="B2597" s="2">
        <f ca="1"/>
        <v>0.64335052423450012</v>
      </c>
      <c r="O2597" s="2">
        <f ca="1"/>
        <v>0.6853638380630569</v>
      </c>
      <c r="X2597" s="2">
        <f ca="1"/>
        <v>54.549785909414005</v>
      </c>
      <c r="AG2597" s="2">
        <f ca="1"/>
        <v>0.51347284558562789</v>
      </c>
      <c r="AH2597" s="2" t="str">
        <f ca="1"/>
        <v>Bad</v>
      </c>
    </row>
    <row r="2598" spans="2:34" x14ac:dyDescent="0.2">
      <c r="B2598" s="2">
        <f ca="1"/>
        <v>0.45490780706187284</v>
      </c>
      <c r="O2598" s="2">
        <f ca="1"/>
        <v>2.4292657697460229</v>
      </c>
      <c r="X2598" s="2">
        <f ca="1"/>
        <v>35.213753445051623</v>
      </c>
      <c r="AG2598" s="2">
        <f ca="1"/>
        <v>0.56156290977039469</v>
      </c>
      <c r="AH2598" s="2" t="str">
        <f ca="1"/>
        <v>Bad</v>
      </c>
    </row>
    <row r="2599" spans="2:34" x14ac:dyDescent="0.2">
      <c r="B2599" s="2">
        <f ca="1"/>
        <v>0.99309796590519483</v>
      </c>
      <c r="O2599" s="2">
        <f ca="1"/>
        <v>-0.22475796532664841</v>
      </c>
      <c r="X2599" s="2">
        <f ca="1"/>
        <v>96.15848927541208</v>
      </c>
      <c r="AG2599" s="2">
        <f ca="1"/>
        <v>0.3675155025653567</v>
      </c>
      <c r="AH2599" s="2" t="str">
        <f ca="1"/>
        <v>OK</v>
      </c>
    </row>
    <row r="2600" spans="2:34" x14ac:dyDescent="0.2">
      <c r="B2600" s="2">
        <f ca="1"/>
        <v>0.57684054654311012</v>
      </c>
      <c r="O2600" s="2">
        <f ca="1"/>
        <v>-0.99645232529952998</v>
      </c>
      <c r="X2600" s="2">
        <f ca="1"/>
        <v>49.830726905652483</v>
      </c>
      <c r="AG2600" s="2">
        <f ca="1"/>
        <v>0.18784712733506925</v>
      </c>
      <c r="AH2600" s="2" t="str">
        <f ca="1"/>
        <v>OK</v>
      </c>
    </row>
    <row r="2601" spans="2:34" x14ac:dyDescent="0.2">
      <c r="B2601" s="2">
        <f ca="1"/>
        <v>1.1058728581049726E-2</v>
      </c>
      <c r="O2601" s="2">
        <f ca="1"/>
        <v>-1.8671339739206534</v>
      </c>
      <c r="X2601" s="2">
        <f ca="1"/>
        <v>27.556761554670754</v>
      </c>
      <c r="AG2601" s="2">
        <f ca="1"/>
        <v>0.72413315699738923</v>
      </c>
      <c r="AH2601" s="2" t="str">
        <f ca="1"/>
        <v>Bad</v>
      </c>
    </row>
    <row r="2602" spans="2:34" x14ac:dyDescent="0.2">
      <c r="B2602" s="2">
        <f ca="1"/>
        <v>0.99994139826776585</v>
      </c>
      <c r="O2602" s="2">
        <f ca="1"/>
        <v>0.68949295298285107</v>
      </c>
      <c r="X2602" s="2">
        <f ca="1"/>
        <v>89.525177565918085</v>
      </c>
      <c r="AG2602" s="2">
        <f ca="1"/>
        <v>0.33084872806834764</v>
      </c>
      <c r="AH2602" s="2" t="str">
        <f ca="1"/>
        <v>OK</v>
      </c>
    </row>
    <row r="2603" spans="2:34" x14ac:dyDescent="0.2">
      <c r="B2603" s="2">
        <f ca="1"/>
        <v>0.22080893806338042</v>
      </c>
      <c r="O2603" s="2">
        <f ca="1"/>
        <v>0.32266708294005647</v>
      </c>
      <c r="X2603" s="2">
        <f ca="1"/>
        <v>67.021800659779743</v>
      </c>
      <c r="AG2603" s="2">
        <f ca="1"/>
        <v>0.30358275810962088</v>
      </c>
      <c r="AH2603" s="2" t="str">
        <f ca="1"/>
        <v>OK</v>
      </c>
    </row>
    <row r="2604" spans="2:34" x14ac:dyDescent="0.2">
      <c r="B2604" s="2">
        <f ca="1"/>
        <v>0.73279243568754904</v>
      </c>
      <c r="O2604" s="2">
        <f ca="1"/>
        <v>-0.8048306109506177</v>
      </c>
      <c r="X2604" s="2">
        <f ca="1"/>
        <v>33.930335033386939</v>
      </c>
      <c r="AG2604" s="2">
        <f ca="1"/>
        <v>0.15538264629369758</v>
      </c>
      <c r="AH2604" s="2" t="str">
        <f ca="1"/>
        <v>OK</v>
      </c>
    </row>
    <row r="2605" spans="2:34" x14ac:dyDescent="0.2">
      <c r="B2605" s="2">
        <f ca="1"/>
        <v>0.85394653950187793</v>
      </c>
      <c r="O2605" s="2">
        <f ca="1"/>
        <v>-8.5093363062034813E-2</v>
      </c>
      <c r="X2605" s="2">
        <f ca="1"/>
        <v>35.916523873704179</v>
      </c>
      <c r="AG2605" s="2">
        <f ca="1"/>
        <v>7.264562058412305E-2</v>
      </c>
      <c r="AH2605" s="2" t="str">
        <f ca="1"/>
        <v>OK</v>
      </c>
    </row>
    <row r="2606" spans="2:34" x14ac:dyDescent="0.2">
      <c r="B2606" s="2">
        <f ca="1"/>
        <v>0.38399620025247416</v>
      </c>
      <c r="O2606" s="2">
        <f ca="1"/>
        <v>0.48483762234290323</v>
      </c>
      <c r="X2606" s="2">
        <f ca="1"/>
        <v>39.846964093579331</v>
      </c>
      <c r="AG2606" s="2">
        <f ca="1"/>
        <v>0.20137973312119772</v>
      </c>
      <c r="AH2606" s="2" t="str">
        <f ca="1"/>
        <v>OK</v>
      </c>
    </row>
    <row r="2607" spans="2:34" x14ac:dyDescent="0.2">
      <c r="B2607" s="2">
        <f ca="1"/>
        <v>0.31276001687886934</v>
      </c>
      <c r="O2607" s="2">
        <f ca="1"/>
        <v>1.0582833151131437</v>
      </c>
      <c r="X2607" s="2">
        <f ca="1"/>
        <v>56.80398819887386</v>
      </c>
      <c r="AG2607" s="2">
        <f ca="1"/>
        <v>0.84088103420810789</v>
      </c>
      <c r="AH2607" s="2" t="str">
        <f ca="1"/>
        <v>Bad</v>
      </c>
    </row>
    <row r="2608" spans="2:34" x14ac:dyDescent="0.2">
      <c r="B2608" s="2">
        <f ca="1"/>
        <v>2.5743226649366235E-4</v>
      </c>
      <c r="O2608" s="2">
        <f ca="1"/>
        <v>1.5023004339164954</v>
      </c>
      <c r="X2608" s="2">
        <f ca="1"/>
        <v>30.832784027258615</v>
      </c>
      <c r="AG2608" s="2">
        <f ca="1"/>
        <v>0.44607813570157551</v>
      </c>
      <c r="AH2608" s="2" t="str">
        <f ca="1"/>
        <v>Bad</v>
      </c>
    </row>
    <row r="2609" spans="2:34" x14ac:dyDescent="0.2">
      <c r="B2609" s="2">
        <f ca="1"/>
        <v>0.92614694325289304</v>
      </c>
      <c r="O2609" s="2">
        <f ca="1"/>
        <v>-1.6242230162960984</v>
      </c>
      <c r="X2609" s="2">
        <f ca="1"/>
        <v>24.694691844532301</v>
      </c>
      <c r="AG2609" s="2">
        <f ca="1"/>
        <v>0.9708303276463377</v>
      </c>
      <c r="AH2609" s="2" t="str">
        <f ca="1"/>
        <v>Bad</v>
      </c>
    </row>
    <row r="2610" spans="2:34" x14ac:dyDescent="0.2">
      <c r="B2610" s="2">
        <f ca="1"/>
        <v>6.9928369484431485E-2</v>
      </c>
      <c r="O2610" s="2">
        <f ca="1"/>
        <v>-0.55690920811646172</v>
      </c>
      <c r="X2610" s="2">
        <f ca="1"/>
        <v>39.771219451902141</v>
      </c>
      <c r="AG2610" s="2">
        <f ca="1"/>
        <v>0.63215749102963192</v>
      </c>
      <c r="AH2610" s="2" t="str">
        <f ca="1"/>
        <v>Bad</v>
      </c>
    </row>
    <row r="2611" spans="2:34" x14ac:dyDescent="0.2">
      <c r="B2611" s="2">
        <f ca="1"/>
        <v>0.18765185349210745</v>
      </c>
      <c r="O2611" s="2">
        <f ca="1"/>
        <v>-0.14807003323295459</v>
      </c>
      <c r="X2611" s="2">
        <f ca="1"/>
        <v>54.229079587498418</v>
      </c>
      <c r="AG2611" s="2">
        <f ca="1"/>
        <v>0.2199778437025135</v>
      </c>
      <c r="AH2611" s="2" t="str">
        <f ca="1"/>
        <v>OK</v>
      </c>
    </row>
    <row r="2612" spans="2:34" x14ac:dyDescent="0.2">
      <c r="B2612" s="2">
        <f ca="1"/>
        <v>0.81923797593664482</v>
      </c>
      <c r="O2612" s="2">
        <f ca="1"/>
        <v>4.8857452363176054E-2</v>
      </c>
      <c r="X2612" s="2">
        <f ca="1"/>
        <v>81.135138385962492</v>
      </c>
      <c r="AG2612" s="2">
        <f ca="1"/>
        <v>0.2725386791217892</v>
      </c>
      <c r="AH2612" s="2" t="str">
        <f ca="1"/>
        <v>OK</v>
      </c>
    </row>
    <row r="2613" spans="2:34" x14ac:dyDescent="0.2">
      <c r="B2613" s="2">
        <f ca="1"/>
        <v>0.39990855837205075</v>
      </c>
      <c r="O2613" s="2">
        <f ca="1"/>
        <v>1.8516242031519064E-2</v>
      </c>
      <c r="X2613" s="2">
        <f ca="1"/>
        <v>56.335081720457211</v>
      </c>
      <c r="AG2613" s="2">
        <f ca="1"/>
        <v>0.93870799844962916</v>
      </c>
      <c r="AH2613" s="2" t="str">
        <f ca="1"/>
        <v>Bad</v>
      </c>
    </row>
    <row r="2614" spans="2:34" x14ac:dyDescent="0.2">
      <c r="B2614" s="2">
        <f ca="1"/>
        <v>0.71709794753905221</v>
      </c>
      <c r="O2614" s="2">
        <f ca="1"/>
        <v>-1.2134059856174093</v>
      </c>
      <c r="X2614" s="2">
        <f ca="1"/>
        <v>40.518381272925161</v>
      </c>
      <c r="AG2614" s="2">
        <f ca="1"/>
        <v>0.36310764478006852</v>
      </c>
      <c r="AH2614" s="2" t="str">
        <f ca="1"/>
        <v>OK</v>
      </c>
    </row>
    <row r="2615" spans="2:34" x14ac:dyDescent="0.2">
      <c r="B2615" s="2">
        <f ca="1"/>
        <v>0.84569945265305058</v>
      </c>
      <c r="O2615" s="2">
        <f ca="1"/>
        <v>0.88507735840597257</v>
      </c>
      <c r="X2615" s="2">
        <f ca="1"/>
        <v>65.206678555346627</v>
      </c>
      <c r="AG2615" s="2">
        <f ca="1"/>
        <v>0.61194393543375236</v>
      </c>
      <c r="AH2615" s="2" t="str">
        <f ca="1"/>
        <v>Bad</v>
      </c>
    </row>
    <row r="2616" spans="2:34" x14ac:dyDescent="0.2">
      <c r="B2616" s="2">
        <f ca="1"/>
        <v>0.45830209491760443</v>
      </c>
      <c r="O2616" s="2">
        <f ca="1"/>
        <v>0.29616193566495524</v>
      </c>
      <c r="X2616" s="2">
        <f ca="1"/>
        <v>43.511239842520659</v>
      </c>
      <c r="AG2616" s="2">
        <f ca="1"/>
        <v>0.95169329494890875</v>
      </c>
      <c r="AH2616" s="2" t="str">
        <f ca="1"/>
        <v>Bad</v>
      </c>
    </row>
    <row r="2617" spans="2:34" x14ac:dyDescent="0.2">
      <c r="B2617" s="2">
        <f ca="1"/>
        <v>0.69163667440738563</v>
      </c>
      <c r="O2617" s="2">
        <f ca="1"/>
        <v>1.5749634570786342</v>
      </c>
      <c r="X2617" s="2">
        <f ca="1"/>
        <v>49.72605295780432</v>
      </c>
      <c r="AG2617" s="2">
        <f ca="1"/>
        <v>0.68535942789044224</v>
      </c>
      <c r="AH2617" s="2" t="str">
        <f ca="1"/>
        <v>Bad</v>
      </c>
    </row>
    <row r="2618" spans="2:34" x14ac:dyDescent="0.2">
      <c r="B2618" s="2">
        <f ca="1"/>
        <v>0.50130316850730972</v>
      </c>
      <c r="O2618" s="2">
        <f ca="1"/>
        <v>1.3065137813395777</v>
      </c>
      <c r="X2618" s="2">
        <f ca="1"/>
        <v>36.537155369273641</v>
      </c>
      <c r="AG2618" s="2">
        <f ca="1"/>
        <v>2.8160610253470608E-2</v>
      </c>
      <c r="AH2618" s="2" t="str">
        <f ca="1"/>
        <v>Good</v>
      </c>
    </row>
    <row r="2619" spans="2:34" x14ac:dyDescent="0.2">
      <c r="B2619" s="2">
        <f ca="1"/>
        <v>0.79623968332597639</v>
      </c>
      <c r="O2619" s="2">
        <f ca="1"/>
        <v>0.68633822287028845</v>
      </c>
      <c r="X2619" s="2">
        <f ca="1"/>
        <v>38.918394799748654</v>
      </c>
      <c r="AG2619" s="2">
        <f ca="1"/>
        <v>0.8755277802316157</v>
      </c>
      <c r="AH2619" s="2" t="str">
        <f ca="1"/>
        <v>Bad</v>
      </c>
    </row>
    <row r="2620" spans="2:34" x14ac:dyDescent="0.2">
      <c r="B2620" s="2">
        <f ca="1"/>
        <v>1.3146620134677045E-2</v>
      </c>
      <c r="O2620" s="2">
        <f ca="1"/>
        <v>-1.356664595031287</v>
      </c>
      <c r="X2620" s="2">
        <f ca="1"/>
        <v>55.799972845057084</v>
      </c>
      <c r="AG2620" s="2">
        <f ca="1"/>
        <v>0.96783591615758602</v>
      </c>
      <c r="AH2620" s="2" t="str">
        <f ca="1"/>
        <v>Bad</v>
      </c>
    </row>
    <row r="2621" spans="2:34" x14ac:dyDescent="0.2">
      <c r="B2621" s="2">
        <f ca="1"/>
        <v>0.67664605721641546</v>
      </c>
      <c r="O2621" s="2">
        <f ca="1"/>
        <v>-0.28747836542238231</v>
      </c>
      <c r="X2621" s="2">
        <f ca="1"/>
        <v>26.394132466003619</v>
      </c>
      <c r="AG2621" s="2">
        <f ca="1"/>
        <v>0.2461805866220399</v>
      </c>
      <c r="AH2621" s="2" t="str">
        <f ca="1"/>
        <v>OK</v>
      </c>
    </row>
    <row r="2622" spans="2:34" x14ac:dyDescent="0.2">
      <c r="B2622" s="2">
        <f ca="1"/>
        <v>0.74817499216593086</v>
      </c>
      <c r="O2622" s="2">
        <f ca="1"/>
        <v>-7.1655414731088052E-2</v>
      </c>
      <c r="X2622" s="2">
        <f ca="1"/>
        <v>41.099614127731655</v>
      </c>
      <c r="AG2622" s="2">
        <f ca="1"/>
        <v>0.57824350871225927</v>
      </c>
      <c r="AH2622" s="2" t="str">
        <f ca="1"/>
        <v>Bad</v>
      </c>
    </row>
    <row r="2623" spans="2:34" x14ac:dyDescent="0.2">
      <c r="B2623" s="2">
        <f ca="1"/>
        <v>0.10190511957179993</v>
      </c>
      <c r="O2623" s="2">
        <f ca="1"/>
        <v>-0.74353168406785863</v>
      </c>
      <c r="X2623" s="2">
        <f ca="1"/>
        <v>65.990243264180947</v>
      </c>
      <c r="AG2623" s="2">
        <f ca="1"/>
        <v>0.94465158459726073</v>
      </c>
      <c r="AH2623" s="2" t="str">
        <f ca="1"/>
        <v>Bad</v>
      </c>
    </row>
    <row r="2624" spans="2:34" x14ac:dyDescent="0.2">
      <c r="B2624" s="2">
        <f ca="1"/>
        <v>0.95544551488588758</v>
      </c>
      <c r="O2624" s="2">
        <f ca="1"/>
        <v>1.1779128134067613</v>
      </c>
      <c r="X2624" s="2">
        <f ca="1"/>
        <v>46.769275841290465</v>
      </c>
      <c r="AG2624" s="2">
        <f ca="1"/>
        <v>0.5823608027299727</v>
      </c>
      <c r="AH2624" s="2" t="str">
        <f ca="1"/>
        <v>Bad</v>
      </c>
    </row>
    <row r="2625" spans="2:34" x14ac:dyDescent="0.2">
      <c r="B2625" s="2">
        <f ca="1"/>
        <v>0.40420821471628376</v>
      </c>
      <c r="O2625" s="2">
        <f ca="1"/>
        <v>-0.28030252567331643</v>
      </c>
      <c r="X2625" s="2">
        <f ca="1"/>
        <v>61.291344703141036</v>
      </c>
      <c r="AG2625" s="2">
        <f ca="1"/>
        <v>0.25195521775802465</v>
      </c>
      <c r="AH2625" s="2" t="str">
        <f ca="1"/>
        <v>OK</v>
      </c>
    </row>
    <row r="2626" spans="2:34" x14ac:dyDescent="0.2">
      <c r="B2626" s="2">
        <f ca="1"/>
        <v>0.31411582928184267</v>
      </c>
      <c r="O2626" s="2">
        <f ca="1"/>
        <v>5.4176377878020349E-2</v>
      </c>
      <c r="X2626" s="2">
        <f ca="1"/>
        <v>50.172372667159301</v>
      </c>
      <c r="AG2626" s="2">
        <f ca="1"/>
        <v>0.52827617115156711</v>
      </c>
      <c r="AH2626" s="2" t="str">
        <f ca="1"/>
        <v>Bad</v>
      </c>
    </row>
    <row r="2627" spans="2:34" x14ac:dyDescent="0.2">
      <c r="B2627" s="2">
        <f ca="1"/>
        <v>0.79880200316406458</v>
      </c>
      <c r="O2627" s="2">
        <f ca="1"/>
        <v>1.3773466686896685</v>
      </c>
      <c r="X2627" s="2">
        <f ca="1"/>
        <v>72.534162389413098</v>
      </c>
      <c r="AG2627" s="2">
        <f ca="1"/>
        <v>0.55842342460107819</v>
      </c>
      <c r="AH2627" s="2" t="str">
        <f ca="1"/>
        <v>Bad</v>
      </c>
    </row>
    <row r="2628" spans="2:34" x14ac:dyDescent="0.2">
      <c r="B2628" s="2">
        <f ca="1"/>
        <v>5.3288822008403569E-2</v>
      </c>
      <c r="O2628" s="2">
        <f ca="1"/>
        <v>1.8846780079287495</v>
      </c>
      <c r="X2628" s="2">
        <f ca="1"/>
        <v>33.49212017987518</v>
      </c>
      <c r="AG2628" s="2">
        <f ca="1"/>
        <v>1.8733778270222157E-2</v>
      </c>
      <c r="AH2628" s="2" t="str">
        <f ca="1"/>
        <v>Good</v>
      </c>
    </row>
    <row r="2629" spans="2:34" x14ac:dyDescent="0.2">
      <c r="B2629" s="2">
        <f ca="1"/>
        <v>0.27599451333529679</v>
      </c>
      <c r="O2629" s="2">
        <f ca="1"/>
        <v>-0.36316511562337173</v>
      </c>
      <c r="X2629" s="2">
        <f ca="1"/>
        <v>45.176836591050531</v>
      </c>
      <c r="AG2629" s="2">
        <f ca="1"/>
        <v>0.65035921108236394</v>
      </c>
      <c r="AH2629" s="2" t="str">
        <f ca="1"/>
        <v>Bad</v>
      </c>
    </row>
    <row r="2630" spans="2:34" x14ac:dyDescent="0.2">
      <c r="B2630" s="2">
        <f ca="1"/>
        <v>0.72006743015802566</v>
      </c>
      <c r="O2630" s="2">
        <f ca="1"/>
        <v>-0.25038383385709262</v>
      </c>
      <c r="X2630" s="2">
        <f ca="1"/>
        <v>56.088747880878628</v>
      </c>
      <c r="AG2630" s="2">
        <f ca="1"/>
        <v>0.50310445308563834</v>
      </c>
      <c r="AH2630" s="2" t="str">
        <f ca="1"/>
        <v>Bad</v>
      </c>
    </row>
    <row r="2631" spans="2:34" x14ac:dyDescent="0.2">
      <c r="B2631" s="2">
        <f ca="1"/>
        <v>0.34111409810441784</v>
      </c>
      <c r="O2631" s="2">
        <f ca="1"/>
        <v>-0.30366455569722234</v>
      </c>
      <c r="X2631" s="2">
        <f ca="1"/>
        <v>41.650072948117469</v>
      </c>
      <c r="AG2631" s="2">
        <f ca="1"/>
        <v>0.56723430327708502</v>
      </c>
      <c r="AH2631" s="2" t="str">
        <f ca="1"/>
        <v>Bad</v>
      </c>
    </row>
    <row r="2632" spans="2:34" x14ac:dyDescent="0.2">
      <c r="B2632" s="2">
        <f ca="1"/>
        <v>0.19823307707117022</v>
      </c>
      <c r="O2632" s="2">
        <f ca="1"/>
        <v>-1.017939903103847</v>
      </c>
      <c r="X2632" s="2">
        <f ca="1"/>
        <v>54.987181531903445</v>
      </c>
      <c r="AG2632" s="2">
        <f ca="1"/>
        <v>0.37048994904020272</v>
      </c>
      <c r="AH2632" s="2" t="str">
        <f ca="1"/>
        <v>OK</v>
      </c>
    </row>
    <row r="2633" spans="2:34" x14ac:dyDescent="0.2">
      <c r="B2633" s="2">
        <f ca="1"/>
        <v>0.94724491998867877</v>
      </c>
      <c r="O2633" s="2">
        <f ca="1"/>
        <v>-0.37271340318819723</v>
      </c>
      <c r="X2633" s="2">
        <f ca="1"/>
        <v>41.319104843492084</v>
      </c>
      <c r="AG2633" s="2">
        <f ca="1"/>
        <v>0.58321010100151871</v>
      </c>
      <c r="AH2633" s="2" t="str">
        <f ca="1"/>
        <v>Bad</v>
      </c>
    </row>
    <row r="2634" spans="2:34" x14ac:dyDescent="0.2">
      <c r="B2634" s="2">
        <f ca="1"/>
        <v>0.7610795596224178</v>
      </c>
      <c r="O2634" s="2">
        <f ca="1"/>
        <v>-1.7539520157434834</v>
      </c>
      <c r="X2634" s="2">
        <f ca="1"/>
        <v>48.250301715500974</v>
      </c>
      <c r="AG2634" s="2">
        <f ca="1"/>
        <v>0.53414871624572879</v>
      </c>
      <c r="AH2634" s="2" t="str">
        <f ca="1"/>
        <v>Bad</v>
      </c>
    </row>
    <row r="2635" spans="2:34" x14ac:dyDescent="0.2">
      <c r="B2635" s="2">
        <f ca="1"/>
        <v>0.6157893133832566</v>
      </c>
      <c r="O2635" s="2">
        <f ca="1"/>
        <v>-0.1569788444235585</v>
      </c>
      <c r="X2635" s="2">
        <f ca="1"/>
        <v>46.818252225387113</v>
      </c>
      <c r="AG2635" s="2">
        <f ca="1"/>
        <v>0.45153562366284783</v>
      </c>
      <c r="AH2635" s="2" t="str">
        <f ca="1"/>
        <v>Bad</v>
      </c>
    </row>
    <row r="2636" spans="2:34" x14ac:dyDescent="0.2">
      <c r="B2636" s="2">
        <f ca="1"/>
        <v>0.16528700004626384</v>
      </c>
      <c r="O2636" s="2">
        <f ca="1"/>
        <v>0.63190474531482421</v>
      </c>
      <c r="X2636" s="2">
        <f ca="1"/>
        <v>46.985438691030964</v>
      </c>
      <c r="AG2636" s="2">
        <f ca="1"/>
        <v>0.2358597655080068</v>
      </c>
      <c r="AH2636" s="2" t="str">
        <f ca="1"/>
        <v>OK</v>
      </c>
    </row>
    <row r="2637" spans="2:34" x14ac:dyDescent="0.2">
      <c r="B2637" s="2">
        <f ca="1"/>
        <v>0.92217178186644255</v>
      </c>
      <c r="O2637" s="2">
        <f ca="1"/>
        <v>-1.7048433890521133</v>
      </c>
      <c r="X2637" s="2">
        <f ca="1"/>
        <v>30.616924334415433</v>
      </c>
      <c r="AG2637" s="2">
        <f ca="1"/>
        <v>0.81389823975246878</v>
      </c>
      <c r="AH2637" s="2" t="str">
        <f ca="1"/>
        <v>Bad</v>
      </c>
    </row>
    <row r="2638" spans="2:34" x14ac:dyDescent="0.2">
      <c r="B2638" s="2">
        <f ca="1"/>
        <v>0.6692505257552519</v>
      </c>
      <c r="O2638" s="2">
        <f ca="1"/>
        <v>-0.58651426531291107</v>
      </c>
      <c r="X2638" s="2">
        <f ca="1"/>
        <v>56.799758172991375</v>
      </c>
      <c r="AG2638" s="2">
        <f ca="1"/>
        <v>0.72536642606595958</v>
      </c>
      <c r="AH2638" s="2" t="str">
        <f ca="1"/>
        <v>Bad</v>
      </c>
    </row>
    <row r="2639" spans="2:34" x14ac:dyDescent="0.2">
      <c r="B2639" s="2">
        <f ca="1"/>
        <v>0.49189255122038911</v>
      </c>
      <c r="O2639" s="2">
        <f ca="1"/>
        <v>-0.10354664634528478</v>
      </c>
      <c r="X2639" s="2">
        <f ca="1"/>
        <v>42.412793204179422</v>
      </c>
      <c r="AG2639" s="2">
        <f ca="1"/>
        <v>0.81889268265257953</v>
      </c>
      <c r="AH2639" s="2" t="str">
        <f ca="1"/>
        <v>Bad</v>
      </c>
    </row>
    <row r="2640" spans="2:34" x14ac:dyDescent="0.2">
      <c r="B2640" s="2">
        <f ca="1"/>
        <v>0.23078099332354762</v>
      </c>
      <c r="O2640" s="2">
        <f ca="1"/>
        <v>-1.1991039395717829</v>
      </c>
      <c r="X2640" s="2">
        <f ca="1"/>
        <v>33.02468058138264</v>
      </c>
      <c r="AG2640" s="2">
        <f ca="1"/>
        <v>0.14623094505947987</v>
      </c>
      <c r="AH2640" s="2" t="str">
        <f ca="1"/>
        <v>OK</v>
      </c>
    </row>
    <row r="2641" spans="2:34" x14ac:dyDescent="0.2">
      <c r="B2641" s="2">
        <f ca="1"/>
        <v>0.30642547992863411</v>
      </c>
      <c r="O2641" s="2">
        <f ca="1"/>
        <v>-0.79893855382343115</v>
      </c>
      <c r="X2641" s="2">
        <f ca="1"/>
        <v>43.304600344052595</v>
      </c>
      <c r="AG2641" s="2">
        <f ca="1"/>
        <v>0.12105641358092822</v>
      </c>
      <c r="AH2641" s="2" t="str">
        <f ca="1"/>
        <v>OK</v>
      </c>
    </row>
    <row r="2642" spans="2:34" x14ac:dyDescent="0.2">
      <c r="B2642" s="2">
        <f ca="1"/>
        <v>0.28008818132468893</v>
      </c>
      <c r="O2642" s="2">
        <f ca="1"/>
        <v>0.12304464512349672</v>
      </c>
      <c r="X2642" s="2">
        <f ca="1"/>
        <v>41.323995993532577</v>
      </c>
      <c r="AG2642" s="2">
        <f ca="1"/>
        <v>0.44018229378604579</v>
      </c>
      <c r="AH2642" s="2" t="str">
        <f ca="1"/>
        <v>Bad</v>
      </c>
    </row>
    <row r="2643" spans="2:34" x14ac:dyDescent="0.2">
      <c r="B2643" s="2">
        <f ca="1"/>
        <v>0.56033780499078056</v>
      </c>
      <c r="O2643" s="2">
        <f ca="1"/>
        <v>-3.2401679660457629E-3</v>
      </c>
      <c r="X2643" s="2">
        <f ca="1"/>
        <v>33.364517206892465</v>
      </c>
      <c r="AG2643" s="2">
        <f ca="1"/>
        <v>0.83160215268320559</v>
      </c>
      <c r="AH2643" s="2" t="str">
        <f ca="1"/>
        <v>Bad</v>
      </c>
    </row>
    <row r="2644" spans="2:34" x14ac:dyDescent="0.2">
      <c r="B2644" s="2">
        <f ca="1"/>
        <v>0.71662075279231274</v>
      </c>
      <c r="O2644" s="2">
        <f ca="1"/>
        <v>-0.8985358701335342</v>
      </c>
      <c r="X2644" s="2">
        <f ca="1"/>
        <v>41.570886932220176</v>
      </c>
      <c r="AG2644" s="2">
        <f ca="1"/>
        <v>1.8690968558392695E-2</v>
      </c>
      <c r="AH2644" s="2" t="str">
        <f ca="1"/>
        <v>Good</v>
      </c>
    </row>
    <row r="2645" spans="2:34" x14ac:dyDescent="0.2">
      <c r="B2645" s="2">
        <f ca="1"/>
        <v>0.37119350973408416</v>
      </c>
      <c r="O2645" s="2">
        <f ca="1"/>
        <v>3.3260758363630449</v>
      </c>
      <c r="X2645" s="2">
        <f ca="1"/>
        <v>48.622366394232273</v>
      </c>
      <c r="AG2645" s="2">
        <f ca="1"/>
        <v>0.22655744739610895</v>
      </c>
      <c r="AH2645" s="2" t="str">
        <f ca="1"/>
        <v>OK</v>
      </c>
    </row>
    <row r="2646" spans="2:34" x14ac:dyDescent="0.2">
      <c r="B2646" s="2">
        <f ca="1"/>
        <v>0.40403119479056393</v>
      </c>
      <c r="O2646" s="2">
        <f ca="1"/>
        <v>0.85319665304877557</v>
      </c>
      <c r="X2646" s="2">
        <f ca="1"/>
        <v>59.506327839269346</v>
      </c>
      <c r="AG2646" s="2">
        <f ca="1"/>
        <v>8.8089440957046961E-2</v>
      </c>
      <c r="AH2646" s="2" t="str">
        <f ca="1"/>
        <v>OK</v>
      </c>
    </row>
    <row r="2647" spans="2:34" x14ac:dyDescent="0.2">
      <c r="B2647" s="2">
        <f ca="1"/>
        <v>0.86322441804500483</v>
      </c>
      <c r="O2647" s="2">
        <f ca="1"/>
        <v>-0.86117948474930506</v>
      </c>
      <c r="X2647" s="2">
        <f ca="1"/>
        <v>59.847237737046399</v>
      </c>
      <c r="AG2647" s="2">
        <f ca="1"/>
        <v>6.801860356710443E-2</v>
      </c>
      <c r="AH2647" s="2" t="str">
        <f ca="1"/>
        <v>OK</v>
      </c>
    </row>
    <row r="2648" spans="2:34" x14ac:dyDescent="0.2">
      <c r="B2648" s="2">
        <f ca="1"/>
        <v>0.66862853072512118</v>
      </c>
      <c r="O2648" s="2">
        <f ca="1"/>
        <v>0.33222865220397807</v>
      </c>
      <c r="X2648" s="2">
        <f ca="1"/>
        <v>54.950844565524292</v>
      </c>
      <c r="AG2648" s="2">
        <f ca="1"/>
        <v>0.73284054731388881</v>
      </c>
      <c r="AH2648" s="2" t="str">
        <f ca="1"/>
        <v>Bad</v>
      </c>
    </row>
    <row r="2649" spans="2:34" x14ac:dyDescent="0.2">
      <c r="B2649" s="2">
        <f ca="1"/>
        <v>0.99445287081256328</v>
      </c>
      <c r="O2649" s="2">
        <f ca="1"/>
        <v>0.11520270250108258</v>
      </c>
      <c r="X2649" s="2">
        <f ca="1"/>
        <v>66.467395600874795</v>
      </c>
      <c r="AG2649" s="2">
        <f ca="1"/>
        <v>0.21501851505607572</v>
      </c>
      <c r="AH2649" s="2" t="str">
        <f ca="1"/>
        <v>OK</v>
      </c>
    </row>
    <row r="2650" spans="2:34" x14ac:dyDescent="0.2">
      <c r="B2650" s="2">
        <f ca="1"/>
        <v>0.41435205020306398</v>
      </c>
      <c r="O2650" s="2">
        <f ca="1"/>
        <v>0.38126158589729686</v>
      </c>
      <c r="X2650" s="2">
        <f ca="1"/>
        <v>43.789243539124023</v>
      </c>
      <c r="AG2650" s="2">
        <f ca="1"/>
        <v>0.18100348678938061</v>
      </c>
      <c r="AH2650" s="2" t="str">
        <f ca="1"/>
        <v>OK</v>
      </c>
    </row>
    <row r="2651" spans="2:34" x14ac:dyDescent="0.2">
      <c r="B2651" s="2">
        <f ca="1"/>
        <v>0.92256805212355331</v>
      </c>
      <c r="O2651" s="2">
        <f ca="1"/>
        <v>1.1188383301204168</v>
      </c>
      <c r="X2651" s="2">
        <f ca="1"/>
        <v>39.437704661319309</v>
      </c>
      <c r="AG2651" s="2">
        <f ca="1"/>
        <v>0.17813263705045523</v>
      </c>
      <c r="AH2651" s="2" t="str">
        <f ca="1"/>
        <v>OK</v>
      </c>
    </row>
    <row r="2652" spans="2:34" x14ac:dyDescent="0.2">
      <c r="B2652" s="2">
        <f ca="1"/>
        <v>0.89253392970191037</v>
      </c>
      <c r="O2652" s="2">
        <f ca="1"/>
        <v>0.15440509902758709</v>
      </c>
      <c r="X2652" s="2">
        <f ca="1"/>
        <v>60.276395224715252</v>
      </c>
      <c r="AG2652" s="2">
        <f ca="1"/>
        <v>0.28334168838615614</v>
      </c>
      <c r="AH2652" s="2" t="str">
        <f ca="1"/>
        <v>OK</v>
      </c>
    </row>
    <row r="2653" spans="2:34" x14ac:dyDescent="0.2">
      <c r="B2653" s="2">
        <f ca="1"/>
        <v>0.75894778964717902</v>
      </c>
      <c r="O2653" s="2">
        <f ca="1"/>
        <v>2.9238780661543031</v>
      </c>
      <c r="X2653" s="2">
        <f ca="1"/>
        <v>54.855539691097547</v>
      </c>
      <c r="AG2653" s="2">
        <f ca="1"/>
        <v>0.28986535087626963</v>
      </c>
      <c r="AH2653" s="2" t="str">
        <f ca="1"/>
        <v>OK</v>
      </c>
    </row>
    <row r="2654" spans="2:34" x14ac:dyDescent="0.2">
      <c r="B2654" s="2">
        <f ca="1"/>
        <v>0.42807129824094425</v>
      </c>
      <c r="O2654" s="2">
        <f ca="1"/>
        <v>-0.25734571068791484</v>
      </c>
      <c r="X2654" s="2">
        <f ca="1"/>
        <v>30.410657222080388</v>
      </c>
      <c r="AG2654" s="2">
        <f ca="1"/>
        <v>0.44966148304606302</v>
      </c>
      <c r="AH2654" s="2" t="str">
        <f ca="1"/>
        <v>Bad</v>
      </c>
    </row>
    <row r="2655" spans="2:34" x14ac:dyDescent="0.2">
      <c r="B2655" s="2">
        <f ca="1"/>
        <v>0.59235031072775213</v>
      </c>
      <c r="O2655" s="2">
        <f ca="1"/>
        <v>1.4334449439474186</v>
      </c>
      <c r="X2655" s="2">
        <f ca="1"/>
        <v>37.409954975526979</v>
      </c>
      <c r="AG2655" s="2">
        <f ca="1"/>
        <v>0.31279436088172963</v>
      </c>
      <c r="AH2655" s="2" t="str">
        <f ca="1"/>
        <v>OK</v>
      </c>
    </row>
    <row r="2656" spans="2:34" x14ac:dyDescent="0.2">
      <c r="B2656" s="2">
        <f ca="1"/>
        <v>0.40614732759215588</v>
      </c>
      <c r="O2656" s="2">
        <f ca="1"/>
        <v>-1.4338967787660939</v>
      </c>
      <c r="X2656" s="2">
        <f ca="1"/>
        <v>41.787528059718461</v>
      </c>
      <c r="AG2656" s="2">
        <f ca="1"/>
        <v>0.55137838174630294</v>
      </c>
      <c r="AH2656" s="2" t="str">
        <f ca="1"/>
        <v>Bad</v>
      </c>
    </row>
    <row r="2657" spans="2:34" x14ac:dyDescent="0.2">
      <c r="B2657" s="2">
        <f ca="1"/>
        <v>8.5684254775701962E-2</v>
      </c>
      <c r="O2657" s="2">
        <f ca="1"/>
        <v>-0.25788848311453583</v>
      </c>
      <c r="X2657" s="2">
        <f ca="1"/>
        <v>31.216417912768254</v>
      </c>
      <c r="AG2657" s="2">
        <f ca="1"/>
        <v>0.21549055437842735</v>
      </c>
      <c r="AH2657" s="2" t="str">
        <f ca="1"/>
        <v>OK</v>
      </c>
    </row>
    <row r="2658" spans="2:34" x14ac:dyDescent="0.2">
      <c r="B2658" s="2">
        <f ca="1"/>
        <v>0.50132613952291338</v>
      </c>
      <c r="O2658" s="2">
        <f ca="1"/>
        <v>0.84241030967701103</v>
      </c>
      <c r="X2658" s="2">
        <f ca="1"/>
        <v>57.359913374358193</v>
      </c>
      <c r="AG2658" s="2">
        <f ca="1"/>
        <v>0.17893170132098635</v>
      </c>
      <c r="AH2658" s="2" t="str">
        <f ca="1"/>
        <v>OK</v>
      </c>
    </row>
    <row r="2659" spans="2:34" x14ac:dyDescent="0.2">
      <c r="B2659" s="2">
        <f ca="1"/>
        <v>0.12361692450955286</v>
      </c>
      <c r="O2659" s="2">
        <f ca="1"/>
        <v>0.53211102964514467</v>
      </c>
      <c r="X2659" s="2">
        <f ca="1"/>
        <v>50.650422904895876</v>
      </c>
      <c r="AG2659" s="2">
        <f ca="1"/>
        <v>0.28636255759168372</v>
      </c>
      <c r="AH2659" s="2" t="str">
        <f ca="1"/>
        <v>OK</v>
      </c>
    </row>
    <row r="2660" spans="2:34" x14ac:dyDescent="0.2">
      <c r="B2660" s="2">
        <f ca="1"/>
        <v>0.42929568504780069</v>
      </c>
      <c r="O2660" s="2">
        <f ca="1"/>
        <v>6.9080015581166263E-2</v>
      </c>
      <c r="X2660" s="2">
        <f ca="1"/>
        <v>35.666059962542739</v>
      </c>
      <c r="AG2660" s="2">
        <f ca="1"/>
        <v>0.54891694234534438</v>
      </c>
      <c r="AH2660" s="2" t="str">
        <f ca="1"/>
        <v>Bad</v>
      </c>
    </row>
    <row r="2661" spans="2:34" x14ac:dyDescent="0.2">
      <c r="B2661" s="2">
        <f ca="1"/>
        <v>0.26747859949630182</v>
      </c>
      <c r="O2661" s="2">
        <f ca="1"/>
        <v>0.23209899688818042</v>
      </c>
      <c r="X2661" s="2">
        <f ca="1"/>
        <v>67.200351289070227</v>
      </c>
      <c r="AG2661" s="2">
        <f ca="1"/>
        <v>0.47504375507586527</v>
      </c>
      <c r="AH2661" s="2" t="str">
        <f ca="1"/>
        <v>Bad</v>
      </c>
    </row>
    <row r="2662" spans="2:34" x14ac:dyDescent="0.2">
      <c r="B2662" s="2">
        <f ca="1"/>
        <v>0.14298552964331068</v>
      </c>
      <c r="O2662" s="2">
        <f ca="1"/>
        <v>1.4849094267633121</v>
      </c>
      <c r="X2662" s="2">
        <f ca="1"/>
        <v>66.49676363880539</v>
      </c>
      <c r="AG2662" s="2">
        <f ca="1"/>
        <v>0.28713923171301503</v>
      </c>
      <c r="AH2662" s="2" t="str">
        <f ca="1"/>
        <v>OK</v>
      </c>
    </row>
    <row r="2663" spans="2:34" x14ac:dyDescent="0.2">
      <c r="B2663" s="2">
        <f ca="1"/>
        <v>0.48959202101568056</v>
      </c>
      <c r="O2663" s="2">
        <f ca="1"/>
        <v>0.84337224695472457</v>
      </c>
      <c r="X2663" s="2">
        <f ca="1"/>
        <v>70.595414356677551</v>
      </c>
      <c r="AG2663" s="2">
        <f ca="1"/>
        <v>0.91399048636517977</v>
      </c>
      <c r="AH2663" s="2" t="str">
        <f ca="1"/>
        <v>Bad</v>
      </c>
    </row>
    <row r="2664" spans="2:34" x14ac:dyDescent="0.2">
      <c r="B2664" s="2">
        <f ca="1"/>
        <v>7.9643070532769089E-2</v>
      </c>
      <c r="O2664" s="2">
        <f ca="1"/>
        <v>-0.99424493215562337</v>
      </c>
      <c r="X2664" s="2">
        <f ca="1"/>
        <v>56.570717239407486</v>
      </c>
      <c r="AG2664" s="2">
        <f ca="1"/>
        <v>0.48403134017595684</v>
      </c>
      <c r="AH2664" s="2" t="str">
        <f ca="1"/>
        <v>Bad</v>
      </c>
    </row>
    <row r="2665" spans="2:34" x14ac:dyDescent="0.2">
      <c r="B2665" s="2">
        <f ca="1"/>
        <v>0.17938373311177047</v>
      </c>
      <c r="O2665" s="2">
        <f ca="1"/>
        <v>0.4456943386944377</v>
      </c>
      <c r="X2665" s="2">
        <f ca="1"/>
        <v>44.168087901105146</v>
      </c>
      <c r="AG2665" s="2">
        <f ca="1"/>
        <v>9.3558369434491251E-2</v>
      </c>
      <c r="AH2665" s="2" t="str">
        <f ca="1"/>
        <v>OK</v>
      </c>
    </row>
    <row r="2666" spans="2:34" x14ac:dyDescent="0.2">
      <c r="B2666" s="2">
        <f ca="1"/>
        <v>0.49716151973311296</v>
      </c>
      <c r="O2666" s="2">
        <f ca="1"/>
        <v>0.35226055193972317</v>
      </c>
      <c r="X2666" s="2">
        <f ca="1"/>
        <v>65.51499834239101</v>
      </c>
      <c r="AG2666" s="2">
        <f ca="1"/>
        <v>0.41453373065569044</v>
      </c>
      <c r="AH2666" s="2" t="str">
        <f ca="1"/>
        <v>Bad</v>
      </c>
    </row>
    <row r="2667" spans="2:34" x14ac:dyDescent="0.2">
      <c r="B2667" s="2">
        <f ca="1"/>
        <v>0.58640065736254376</v>
      </c>
      <c r="O2667" s="2">
        <f ca="1"/>
        <v>-1.5259433851354363</v>
      </c>
      <c r="X2667" s="2">
        <f ca="1"/>
        <v>32.700063156025941</v>
      </c>
      <c r="AG2667" s="2">
        <f ca="1"/>
        <v>0.96380011803704435</v>
      </c>
      <c r="AH2667" s="2" t="str">
        <f ca="1"/>
        <v>Bad</v>
      </c>
    </row>
    <row r="2668" spans="2:34" x14ac:dyDescent="0.2">
      <c r="B2668" s="2">
        <f ca="1"/>
        <v>0.93590613748046847</v>
      </c>
      <c r="O2668" s="2">
        <f ca="1"/>
        <v>-0.32949153237242979</v>
      </c>
      <c r="X2668" s="2">
        <f ca="1"/>
        <v>54.066859953490635</v>
      </c>
      <c r="AG2668" s="2">
        <f ca="1"/>
        <v>0.92681274661944357</v>
      </c>
      <c r="AH2668" s="2" t="str">
        <f ca="1"/>
        <v>Bad</v>
      </c>
    </row>
    <row r="2669" spans="2:34" x14ac:dyDescent="0.2">
      <c r="B2669" s="2">
        <f ca="1"/>
        <v>0.75089738625896141</v>
      </c>
      <c r="O2669" s="2">
        <f ca="1"/>
        <v>0.22421455419489972</v>
      </c>
      <c r="X2669" s="2">
        <f ca="1"/>
        <v>53.045716007370714</v>
      </c>
      <c r="AG2669" s="2">
        <f ca="1"/>
        <v>0.65699702360096146</v>
      </c>
      <c r="AH2669" s="2" t="str">
        <f ca="1"/>
        <v>Bad</v>
      </c>
    </row>
    <row r="2670" spans="2:34" x14ac:dyDescent="0.2">
      <c r="B2670" s="2">
        <f ca="1"/>
        <v>0.4509415551218825</v>
      </c>
      <c r="O2670" s="2">
        <f ca="1"/>
        <v>0.68176054197566693</v>
      </c>
      <c r="X2670" s="2">
        <f ca="1"/>
        <v>71.742503447767149</v>
      </c>
      <c r="AG2670" s="2">
        <f ca="1"/>
        <v>0.28182697746306284</v>
      </c>
      <c r="AH2670" s="2" t="str">
        <f ca="1"/>
        <v>OK</v>
      </c>
    </row>
    <row r="2671" spans="2:34" x14ac:dyDescent="0.2">
      <c r="B2671" s="2">
        <f ca="1"/>
        <v>0.45073808703584839</v>
      </c>
      <c r="O2671" s="2">
        <f ca="1"/>
        <v>2.1798397178713564</v>
      </c>
      <c r="X2671" s="2">
        <f ca="1"/>
        <v>57.737900036919157</v>
      </c>
      <c r="AG2671" s="2">
        <f ca="1"/>
        <v>0.3621877934838964</v>
      </c>
      <c r="AH2671" s="2" t="str">
        <f ca="1"/>
        <v>OK</v>
      </c>
    </row>
    <row r="2672" spans="2:34" x14ac:dyDescent="0.2">
      <c r="B2672" s="2">
        <f ca="1"/>
        <v>0.67505152612395514</v>
      </c>
      <c r="O2672" s="2">
        <f ca="1"/>
        <v>0.95553368426003449</v>
      </c>
      <c r="X2672" s="2">
        <f ca="1"/>
        <v>34.416561896118104</v>
      </c>
      <c r="AG2672" s="2">
        <f ca="1"/>
        <v>0.19922551146502476</v>
      </c>
      <c r="AH2672" s="2" t="str">
        <f ca="1"/>
        <v>OK</v>
      </c>
    </row>
    <row r="2673" spans="2:34" x14ac:dyDescent="0.2">
      <c r="B2673" s="2">
        <f ca="1"/>
        <v>0.28133150221500913</v>
      </c>
      <c r="O2673" s="2">
        <f ca="1"/>
        <v>0.27962838982169275</v>
      </c>
      <c r="X2673" s="2">
        <f ca="1"/>
        <v>25.158275680515203</v>
      </c>
      <c r="AG2673" s="2">
        <f ca="1"/>
        <v>5.0864993725016072E-2</v>
      </c>
      <c r="AH2673" s="2" t="str">
        <f ca="1"/>
        <v>OK</v>
      </c>
    </row>
    <row r="2674" spans="2:34" x14ac:dyDescent="0.2">
      <c r="B2674" s="2">
        <f ca="1"/>
        <v>0.45981331618379007</v>
      </c>
      <c r="O2674" s="2">
        <f ca="1"/>
        <v>1.4844118597105291</v>
      </c>
      <c r="X2674" s="2">
        <f ca="1"/>
        <v>51.013148063408551</v>
      </c>
      <c r="AG2674" s="2">
        <f ca="1"/>
        <v>5.5374388816497699E-2</v>
      </c>
      <c r="AH2674" s="2" t="str">
        <f ca="1"/>
        <v>OK</v>
      </c>
    </row>
    <row r="2675" spans="2:34" x14ac:dyDescent="0.2">
      <c r="B2675" s="2">
        <f ca="1"/>
        <v>0.28779968505267584</v>
      </c>
      <c r="O2675" s="2">
        <f ca="1"/>
        <v>-0.98287705633168376</v>
      </c>
      <c r="X2675" s="2">
        <f ca="1"/>
        <v>60.906613195016739</v>
      </c>
      <c r="AG2675" s="2">
        <f ca="1"/>
        <v>0.15272917419446408</v>
      </c>
      <c r="AH2675" s="2" t="str">
        <f ca="1"/>
        <v>OK</v>
      </c>
    </row>
    <row r="2676" spans="2:34" x14ac:dyDescent="0.2">
      <c r="B2676" s="2">
        <f ca="1"/>
        <v>0.64202963212988573</v>
      </c>
      <c r="O2676" s="2">
        <f ca="1"/>
        <v>-1.0499118067422823</v>
      </c>
      <c r="X2676" s="2">
        <f ca="1"/>
        <v>28.170517650152298</v>
      </c>
      <c r="AG2676" s="2">
        <f ca="1"/>
        <v>0.98998231998590747</v>
      </c>
      <c r="AH2676" s="2" t="str">
        <f ca="1"/>
        <v>Bad</v>
      </c>
    </row>
    <row r="2677" spans="2:34" x14ac:dyDescent="0.2">
      <c r="B2677" s="2">
        <f ca="1"/>
        <v>0.31670854133124338</v>
      </c>
      <c r="O2677" s="2">
        <f ca="1"/>
        <v>1.3615046899902146</v>
      </c>
      <c r="X2677" s="2">
        <f ca="1"/>
        <v>64.128829613547509</v>
      </c>
      <c r="AG2677" s="2">
        <f ca="1"/>
        <v>0.77508350935008608</v>
      </c>
      <c r="AH2677" s="2" t="str">
        <f ca="1"/>
        <v>Bad</v>
      </c>
    </row>
    <row r="2678" spans="2:34" x14ac:dyDescent="0.2">
      <c r="B2678" s="2">
        <f ca="1"/>
        <v>0.35579402505539992</v>
      </c>
      <c r="O2678" s="2">
        <f ca="1"/>
        <v>0.8020701528770896</v>
      </c>
      <c r="X2678" s="2">
        <f ca="1"/>
        <v>38.96149259838699</v>
      </c>
      <c r="AG2678" s="2">
        <f ca="1"/>
        <v>0.68585610189148571</v>
      </c>
      <c r="AH2678" s="2" t="str">
        <f ca="1"/>
        <v>Bad</v>
      </c>
    </row>
    <row r="2679" spans="2:34" x14ac:dyDescent="0.2">
      <c r="B2679" s="2">
        <f ca="1"/>
        <v>0.16380756952560227</v>
      </c>
      <c r="O2679" s="2">
        <f ca="1"/>
        <v>1.9488515862175333</v>
      </c>
      <c r="X2679" s="2">
        <f ca="1"/>
        <v>30.226487749782194</v>
      </c>
      <c r="AG2679" s="2">
        <f ca="1"/>
        <v>0.58872834753067638</v>
      </c>
      <c r="AH2679" s="2" t="str">
        <f ca="1"/>
        <v>Bad</v>
      </c>
    </row>
    <row r="2680" spans="2:34" x14ac:dyDescent="0.2">
      <c r="B2680" s="2">
        <f ca="1"/>
        <v>0.14043518649710962</v>
      </c>
      <c r="O2680" s="2">
        <f ca="1"/>
        <v>0.8982493493520769</v>
      </c>
      <c r="X2680" s="2">
        <f ca="1"/>
        <v>82.185227274793561</v>
      </c>
      <c r="AG2680" s="2">
        <f ca="1"/>
        <v>0.47047394481185933</v>
      </c>
      <c r="AH2680" s="2" t="str">
        <f ca="1"/>
        <v>Bad</v>
      </c>
    </row>
    <row r="2681" spans="2:34" x14ac:dyDescent="0.2">
      <c r="B2681" s="2">
        <f ca="1"/>
        <v>0.37155008108216059</v>
      </c>
      <c r="O2681" s="2">
        <f ca="1"/>
        <v>1.8009859855892643</v>
      </c>
      <c r="X2681" s="2">
        <f ca="1"/>
        <v>45.860907923569052</v>
      </c>
      <c r="AG2681" s="2">
        <f ca="1"/>
        <v>0.82528386475268989</v>
      </c>
      <c r="AH2681" s="2" t="str">
        <f ca="1"/>
        <v>Bad</v>
      </c>
    </row>
    <row r="2682" spans="2:34" x14ac:dyDescent="0.2">
      <c r="B2682" s="2">
        <f ca="1"/>
        <v>0.17944358963916041</v>
      </c>
      <c r="O2682" s="2">
        <f ca="1"/>
        <v>-2.2056430782580159</v>
      </c>
      <c r="X2682" s="2">
        <f ca="1"/>
        <v>43.81511975973595</v>
      </c>
      <c r="AG2682" s="2">
        <f ca="1"/>
        <v>9.4695354992283765E-2</v>
      </c>
      <c r="AH2682" s="2" t="str">
        <f ca="1"/>
        <v>OK</v>
      </c>
    </row>
    <row r="2683" spans="2:34" x14ac:dyDescent="0.2">
      <c r="B2683" s="2">
        <f ca="1"/>
        <v>0.98659908463026547</v>
      </c>
      <c r="O2683" s="2">
        <f ca="1"/>
        <v>-0.99104743513602256</v>
      </c>
      <c r="X2683" s="2">
        <f ca="1"/>
        <v>70.079576877489941</v>
      </c>
      <c r="AG2683" s="2">
        <f ca="1"/>
        <v>0.25136603815391623</v>
      </c>
      <c r="AH2683" s="2" t="str">
        <f ca="1"/>
        <v>OK</v>
      </c>
    </row>
    <row r="2684" spans="2:34" x14ac:dyDescent="0.2">
      <c r="B2684" s="2">
        <f ca="1"/>
        <v>0.24356935352207887</v>
      </c>
      <c r="O2684" s="2">
        <f ca="1"/>
        <v>1.4399344071967282</v>
      </c>
      <c r="X2684" s="2">
        <f ca="1"/>
        <v>60.956157794636738</v>
      </c>
      <c r="AG2684" s="2">
        <f ca="1"/>
        <v>0.41711035708898359</v>
      </c>
      <c r="AH2684" s="2" t="str">
        <f ca="1"/>
        <v>Bad</v>
      </c>
    </row>
    <row r="2685" spans="2:34" x14ac:dyDescent="0.2">
      <c r="B2685" s="2">
        <f ca="1"/>
        <v>0.27377767171586975</v>
      </c>
      <c r="O2685" s="2">
        <f ca="1"/>
        <v>-7.3736307956327766E-3</v>
      </c>
      <c r="X2685" s="2">
        <f ca="1"/>
        <v>44.891245722480036</v>
      </c>
      <c r="AG2685" s="2">
        <f ca="1"/>
        <v>0.42057450433124344</v>
      </c>
      <c r="AH2685" s="2" t="str">
        <f ca="1"/>
        <v>Bad</v>
      </c>
    </row>
    <row r="2686" spans="2:34" x14ac:dyDescent="0.2">
      <c r="B2686" s="2">
        <f ca="1"/>
        <v>0.8496017525041395</v>
      </c>
      <c r="O2686" s="2">
        <f ca="1"/>
        <v>0.26318231773898892</v>
      </c>
      <c r="X2686" s="2">
        <f ca="1"/>
        <v>37.351649213976437</v>
      </c>
      <c r="AG2686" s="2">
        <f ca="1"/>
        <v>0.82583782045347376</v>
      </c>
      <c r="AH2686" s="2" t="str">
        <f ca="1"/>
        <v>Bad</v>
      </c>
    </row>
    <row r="2687" spans="2:34" x14ac:dyDescent="0.2">
      <c r="B2687" s="2">
        <f ca="1"/>
        <v>0.36366711205345936</v>
      </c>
      <c r="O2687" s="2">
        <f ca="1"/>
        <v>0.42999729257146707</v>
      </c>
      <c r="X2687" s="2">
        <f ca="1"/>
        <v>37.47659332269744</v>
      </c>
      <c r="AG2687" s="2">
        <f ca="1"/>
        <v>0.58676288478867367</v>
      </c>
      <c r="AH2687" s="2" t="str">
        <f ca="1"/>
        <v>Bad</v>
      </c>
    </row>
    <row r="2688" spans="2:34" x14ac:dyDescent="0.2">
      <c r="B2688" s="2">
        <f ca="1"/>
        <v>0.92120376044752805</v>
      </c>
      <c r="O2688" s="2">
        <f ca="1"/>
        <v>-5.4672824916409998E-2</v>
      </c>
      <c r="X2688" s="2">
        <f ca="1"/>
        <v>32.98035741979993</v>
      </c>
      <c r="AG2688" s="2">
        <f ca="1"/>
        <v>0.95421741975774999</v>
      </c>
      <c r="AH2688" s="2" t="str">
        <f ca="1"/>
        <v>Bad</v>
      </c>
    </row>
    <row r="2689" spans="2:34" x14ac:dyDescent="0.2">
      <c r="B2689" s="2">
        <f ca="1"/>
        <v>0.58619655041994601</v>
      </c>
      <c r="O2689" s="2">
        <f ca="1"/>
        <v>1.7784898559793456</v>
      </c>
      <c r="X2689" s="2">
        <f ca="1"/>
        <v>51.557526169807389</v>
      </c>
      <c r="AG2689" s="2">
        <f ca="1"/>
        <v>0.34062792812089837</v>
      </c>
      <c r="AH2689" s="2" t="str">
        <f ca="1"/>
        <v>OK</v>
      </c>
    </row>
    <row r="2690" spans="2:34" x14ac:dyDescent="0.2">
      <c r="B2690" s="2">
        <f ca="1"/>
        <v>0.22336578214642877</v>
      </c>
      <c r="O2690" s="2">
        <f ca="1"/>
        <v>1.7113218193642241E-2</v>
      </c>
      <c r="X2690" s="2">
        <f ca="1"/>
        <v>32.415818722683724</v>
      </c>
      <c r="AG2690" s="2">
        <f ca="1"/>
        <v>5.0606690705443214E-2</v>
      </c>
      <c r="AH2690" s="2" t="str">
        <f ca="1"/>
        <v>OK</v>
      </c>
    </row>
    <row r="2691" spans="2:34" x14ac:dyDescent="0.2">
      <c r="B2691" s="2">
        <f ca="1"/>
        <v>0.72957935643665706</v>
      </c>
      <c r="O2691" s="2">
        <f ca="1"/>
        <v>-0.90867499785419359</v>
      </c>
      <c r="X2691" s="2">
        <f ca="1"/>
        <v>44.690092595485169</v>
      </c>
      <c r="AG2691" s="2">
        <f ca="1"/>
        <v>0.7593317253391767</v>
      </c>
      <c r="AH2691" s="2" t="str">
        <f ca="1"/>
        <v>Bad</v>
      </c>
    </row>
    <row r="2692" spans="2:34" x14ac:dyDescent="0.2">
      <c r="B2692" s="2">
        <f ca="1"/>
        <v>0.99733923582623674</v>
      </c>
      <c r="O2692" s="2">
        <f ca="1"/>
        <v>0.80928472367840076</v>
      </c>
      <c r="X2692" s="2">
        <f ca="1"/>
        <v>35.165677400666702</v>
      </c>
      <c r="AG2692" s="2">
        <f ca="1"/>
        <v>0.35586536332924568</v>
      </c>
      <c r="AH2692" s="2" t="str">
        <f ca="1"/>
        <v>OK</v>
      </c>
    </row>
    <row r="2693" spans="2:34" x14ac:dyDescent="0.2">
      <c r="B2693" s="2">
        <f ca="1"/>
        <v>0.39315907334264111</v>
      </c>
      <c r="O2693" s="2">
        <f ca="1"/>
        <v>-0.28454726074942432</v>
      </c>
      <c r="X2693" s="2">
        <f ca="1"/>
        <v>43.43091701927051</v>
      </c>
      <c r="AG2693" s="2">
        <f ca="1"/>
        <v>0.37344440401505441</v>
      </c>
      <c r="AH2693" s="2" t="str">
        <f ca="1"/>
        <v>OK</v>
      </c>
    </row>
    <row r="2694" spans="2:34" x14ac:dyDescent="0.2">
      <c r="B2694" s="2">
        <f ca="1"/>
        <v>0.75917045165182118</v>
      </c>
      <c r="O2694" s="2">
        <f ca="1"/>
        <v>1.0969062020346243</v>
      </c>
      <c r="X2694" s="2">
        <f ca="1"/>
        <v>95.372078522581504</v>
      </c>
      <c r="AG2694" s="2">
        <f ca="1"/>
        <v>0.14347622604556931</v>
      </c>
      <c r="AH2694" s="2" t="str">
        <f ca="1"/>
        <v>OK</v>
      </c>
    </row>
    <row r="2695" spans="2:34" x14ac:dyDescent="0.2">
      <c r="B2695" s="2">
        <f ca="1"/>
        <v>0.93156553750054871</v>
      </c>
      <c r="O2695" s="2">
        <f ca="1"/>
        <v>-3.4758802102937039E-2</v>
      </c>
      <c r="X2695" s="2">
        <f ca="1"/>
        <v>48.689439169993271</v>
      </c>
      <c r="AG2695" s="2">
        <f ca="1"/>
        <v>0.57770106179480663</v>
      </c>
      <c r="AH2695" s="2" t="str">
        <f ca="1"/>
        <v>Bad</v>
      </c>
    </row>
    <row r="2696" spans="2:34" x14ac:dyDescent="0.2">
      <c r="B2696" s="2">
        <f ca="1"/>
        <v>0.16594951760725318</v>
      </c>
      <c r="O2696" s="2">
        <f ca="1"/>
        <v>-0.35523043090995515</v>
      </c>
      <c r="X2696" s="2">
        <f ca="1"/>
        <v>40.587966498358618</v>
      </c>
      <c r="AG2696" s="2">
        <f ca="1"/>
        <v>0.92183877084774513</v>
      </c>
      <c r="AH2696" s="2" t="str">
        <f ca="1"/>
        <v>Bad</v>
      </c>
    </row>
    <row r="2697" spans="2:34" x14ac:dyDescent="0.2">
      <c r="B2697" s="2">
        <f ca="1"/>
        <v>0.79188127562075872</v>
      </c>
      <c r="O2697" s="2">
        <f ca="1"/>
        <v>-6.7133106254041328E-2</v>
      </c>
      <c r="X2697" s="2">
        <f ca="1"/>
        <v>39.375483987238226</v>
      </c>
      <c r="AG2697" s="2">
        <f ca="1"/>
        <v>0.79013100386712387</v>
      </c>
      <c r="AH2697" s="2" t="str">
        <f ca="1"/>
        <v>Bad</v>
      </c>
    </row>
    <row r="2698" spans="2:34" x14ac:dyDescent="0.2">
      <c r="B2698" s="2">
        <f ca="1"/>
        <v>3.7336451354021749E-2</v>
      </c>
      <c r="O2698" s="2">
        <f ca="1"/>
        <v>-0.42200354175574589</v>
      </c>
      <c r="X2698" s="2">
        <f ca="1"/>
        <v>66.977235160987689</v>
      </c>
      <c r="AG2698" s="2">
        <f ca="1"/>
        <v>0.25532857122345498</v>
      </c>
      <c r="AH2698" s="2" t="str">
        <f ca="1"/>
        <v>OK</v>
      </c>
    </row>
    <row r="2699" spans="2:34" x14ac:dyDescent="0.2">
      <c r="B2699" s="2">
        <f ca="1"/>
        <v>0.76384809168643009</v>
      </c>
      <c r="O2699" s="2">
        <f ca="1"/>
        <v>0.14108156061661684</v>
      </c>
      <c r="X2699" s="2">
        <f ca="1"/>
        <v>36.276608555528604</v>
      </c>
      <c r="AG2699" s="2">
        <f ca="1"/>
        <v>0.30484929599148258</v>
      </c>
      <c r="AH2699" s="2" t="str">
        <f ca="1"/>
        <v>OK</v>
      </c>
    </row>
    <row r="2700" spans="2:34" x14ac:dyDescent="0.2">
      <c r="B2700" s="2">
        <f ca="1"/>
        <v>5.5275938043231498E-2</v>
      </c>
      <c r="O2700" s="2">
        <f ca="1"/>
        <v>1.3250603349394048</v>
      </c>
      <c r="X2700" s="2">
        <f ca="1"/>
        <v>35.549927592127048</v>
      </c>
      <c r="AG2700" s="2">
        <f ca="1"/>
        <v>0.77120427634236521</v>
      </c>
      <c r="AH2700" s="2" t="str">
        <f ca="1"/>
        <v>Bad</v>
      </c>
    </row>
    <row r="2701" spans="2:34" x14ac:dyDescent="0.2">
      <c r="B2701" s="2">
        <f ca="1"/>
        <v>0.6962331059932847</v>
      </c>
      <c r="O2701" s="2">
        <f ca="1"/>
        <v>-0.66972850112387006</v>
      </c>
      <c r="X2701" s="2">
        <f ca="1"/>
        <v>50.405390937265807</v>
      </c>
      <c r="AG2701" s="2">
        <f ca="1"/>
        <v>2.0227987738210329E-2</v>
      </c>
      <c r="AH2701" s="2" t="str">
        <f ca="1"/>
        <v>Good</v>
      </c>
    </row>
    <row r="2702" spans="2:34" x14ac:dyDescent="0.2">
      <c r="B2702" s="2">
        <f ca="1"/>
        <v>9.6010988637065253E-3</v>
      </c>
      <c r="O2702" s="2">
        <f ca="1"/>
        <v>-0.40787063061182532</v>
      </c>
      <c r="X2702" s="2">
        <f ca="1"/>
        <v>41.318164162870083</v>
      </c>
      <c r="AG2702" s="2">
        <f ca="1"/>
        <v>0.13533300043978413</v>
      </c>
      <c r="AH2702" s="2" t="str">
        <f ca="1"/>
        <v>OK</v>
      </c>
    </row>
    <row r="2703" spans="2:34" x14ac:dyDescent="0.2">
      <c r="B2703" s="2">
        <f ca="1"/>
        <v>0.13221187379808685</v>
      </c>
      <c r="O2703" s="2">
        <f ca="1"/>
        <v>6.5704812592062414E-2</v>
      </c>
      <c r="X2703" s="2">
        <f ca="1"/>
        <v>49.196239597644585</v>
      </c>
      <c r="AG2703" s="2">
        <f ca="1"/>
        <v>0.27266916214519421</v>
      </c>
      <c r="AH2703" s="2" t="str">
        <f ca="1"/>
        <v>OK</v>
      </c>
    </row>
    <row r="2704" spans="2:34" x14ac:dyDescent="0.2">
      <c r="B2704" s="2">
        <f ca="1"/>
        <v>9.648754648031832E-2</v>
      </c>
      <c r="O2704" s="2">
        <f ca="1"/>
        <v>-1.4855582742238851</v>
      </c>
      <c r="X2704" s="2">
        <f ca="1"/>
        <v>54.951445908415266</v>
      </c>
      <c r="AG2704" s="2">
        <f ca="1"/>
        <v>0.59558925756313075</v>
      </c>
      <c r="AH2704" s="2" t="str">
        <f ca="1"/>
        <v>Bad</v>
      </c>
    </row>
    <row r="2705" spans="2:34" x14ac:dyDescent="0.2">
      <c r="B2705" s="2">
        <f ca="1"/>
        <v>6.7839376356333414E-3</v>
      </c>
      <c r="O2705" s="2">
        <f ca="1"/>
        <v>0.4434420397507009</v>
      </c>
      <c r="X2705" s="2">
        <f ca="1"/>
        <v>66.093976830373236</v>
      </c>
      <c r="AG2705" s="2">
        <f ca="1"/>
        <v>0.78186521028472011</v>
      </c>
      <c r="AH2705" s="2" t="str">
        <f ca="1"/>
        <v>Bad</v>
      </c>
    </row>
    <row r="2706" spans="2:34" x14ac:dyDescent="0.2">
      <c r="B2706" s="2">
        <f ca="1"/>
        <v>0.55210141060979057</v>
      </c>
      <c r="O2706" s="2">
        <f ca="1"/>
        <v>-0.52418882342269579</v>
      </c>
      <c r="X2706" s="2">
        <f ca="1"/>
        <v>51.578325455830701</v>
      </c>
      <c r="AG2706" s="2">
        <f ca="1"/>
        <v>0.41274850235302751</v>
      </c>
      <c r="AH2706" s="2" t="str">
        <f ca="1"/>
        <v>Bad</v>
      </c>
    </row>
    <row r="2707" spans="2:34" x14ac:dyDescent="0.2">
      <c r="B2707" s="2">
        <f ca="1"/>
        <v>0.44805368221940234</v>
      </c>
      <c r="O2707" s="2">
        <f ca="1"/>
        <v>2.1930020378050052</v>
      </c>
      <c r="X2707" s="2">
        <f ca="1"/>
        <v>49.890405392324404</v>
      </c>
      <c r="AG2707" s="2">
        <f ca="1"/>
        <v>0.38734471252620861</v>
      </c>
      <c r="AH2707" s="2" t="str">
        <f ca="1"/>
        <v>OK</v>
      </c>
    </row>
    <row r="2708" spans="2:34" x14ac:dyDescent="0.2">
      <c r="B2708" s="2">
        <f ca="1"/>
        <v>0.98386086505155146</v>
      </c>
      <c r="O2708" s="2">
        <f ca="1"/>
        <v>0.96929115818125644</v>
      </c>
      <c r="X2708" s="2">
        <f ca="1"/>
        <v>60.349912706353251</v>
      </c>
      <c r="AG2708" s="2">
        <f ca="1"/>
        <v>0.66700383781828032</v>
      </c>
      <c r="AH2708" s="2" t="str">
        <f ca="1"/>
        <v>Bad</v>
      </c>
    </row>
    <row r="2709" spans="2:34" x14ac:dyDescent="0.2">
      <c r="B2709" s="2">
        <f ca="1"/>
        <v>0.46581276223016976</v>
      </c>
      <c r="O2709" s="2">
        <f ca="1"/>
        <v>-1.3050852838244438</v>
      </c>
      <c r="X2709" s="2">
        <f ca="1"/>
        <v>43.13533012263715</v>
      </c>
      <c r="AG2709" s="2">
        <f ca="1"/>
        <v>0.45482422302273595</v>
      </c>
      <c r="AH2709" s="2" t="str">
        <f ca="1"/>
        <v>Bad</v>
      </c>
    </row>
    <row r="2710" spans="2:34" x14ac:dyDescent="0.2">
      <c r="B2710" s="2">
        <f ca="1"/>
        <v>0.48654506905075734</v>
      </c>
      <c r="O2710" s="2">
        <f ca="1"/>
        <v>-0.21020579188068239</v>
      </c>
      <c r="X2710" s="2">
        <f ca="1"/>
        <v>65.666127859268713</v>
      </c>
      <c r="AG2710" s="2">
        <f ca="1"/>
        <v>0.58430298759776256</v>
      </c>
      <c r="AH2710" s="2" t="str">
        <f ca="1"/>
        <v>Bad</v>
      </c>
    </row>
    <row r="2711" spans="2:34" x14ac:dyDescent="0.2">
      <c r="B2711" s="2">
        <f ca="1"/>
        <v>0.58003177449245036</v>
      </c>
      <c r="O2711" s="2">
        <f ca="1"/>
        <v>0.27720269952966331</v>
      </c>
      <c r="X2711" s="2">
        <f ca="1"/>
        <v>44.45202336777993</v>
      </c>
      <c r="AG2711" s="2">
        <f ca="1"/>
        <v>0.76416930446846454</v>
      </c>
      <c r="AH2711" s="2" t="str">
        <f ca="1"/>
        <v>Bad</v>
      </c>
    </row>
    <row r="2712" spans="2:34" x14ac:dyDescent="0.2">
      <c r="B2712" s="2">
        <f ca="1"/>
        <v>0.80115333958386614</v>
      </c>
      <c r="O2712" s="2">
        <f ca="1"/>
        <v>-0.85033449108594039</v>
      </c>
      <c r="X2712" s="2">
        <f ca="1"/>
        <v>44.609618856269051</v>
      </c>
      <c r="AG2712" s="2">
        <f ca="1"/>
        <v>4.8466374600689477E-2</v>
      </c>
      <c r="AH2712" s="2" t="str">
        <f ca="1"/>
        <v>Good</v>
      </c>
    </row>
    <row r="2713" spans="2:34" x14ac:dyDescent="0.2">
      <c r="B2713" s="2">
        <f ca="1"/>
        <v>0.17257056904694057</v>
      </c>
      <c r="O2713" s="2">
        <f ca="1"/>
        <v>-0.9892487612369425</v>
      </c>
      <c r="X2713" s="2">
        <f ca="1"/>
        <v>31.031478612426785</v>
      </c>
      <c r="AG2713" s="2">
        <f ca="1"/>
        <v>0.3629192950550495</v>
      </c>
      <c r="AH2713" s="2" t="str">
        <f ca="1"/>
        <v>OK</v>
      </c>
    </row>
    <row r="2714" spans="2:34" x14ac:dyDescent="0.2">
      <c r="B2714" s="2">
        <f ca="1"/>
        <v>0.90713933925636581</v>
      </c>
      <c r="O2714" s="2">
        <f ca="1"/>
        <v>-0.6444603719224159</v>
      </c>
      <c r="X2714" s="2">
        <f ca="1"/>
        <v>46.848035896898764</v>
      </c>
      <c r="AG2714" s="2">
        <f ca="1"/>
        <v>0.8616188017851234</v>
      </c>
      <c r="AH2714" s="2" t="str">
        <f ca="1"/>
        <v>Bad</v>
      </c>
    </row>
    <row r="2715" spans="2:34" x14ac:dyDescent="0.2">
      <c r="B2715" s="2">
        <f ca="1"/>
        <v>0.78215542879767419</v>
      </c>
      <c r="O2715" s="2">
        <f ca="1"/>
        <v>1.6042318084951299</v>
      </c>
      <c r="X2715" s="2">
        <f ca="1"/>
        <v>65.779932063777451</v>
      </c>
      <c r="AG2715" s="2">
        <f ca="1"/>
        <v>0.33298448777703915</v>
      </c>
      <c r="AH2715" s="2" t="str">
        <f ca="1"/>
        <v>OK</v>
      </c>
    </row>
    <row r="2716" spans="2:34" x14ac:dyDescent="0.2">
      <c r="B2716" s="2">
        <f ca="1"/>
        <v>0.53218981956924849</v>
      </c>
      <c r="O2716" s="2">
        <f ca="1"/>
        <v>-0.26233392578248588</v>
      </c>
      <c r="X2716" s="2">
        <f ca="1"/>
        <v>54.523563034096625</v>
      </c>
      <c r="AG2716" s="2">
        <f ca="1"/>
        <v>0.53214596013967608</v>
      </c>
      <c r="AH2716" s="2" t="str">
        <f ca="1"/>
        <v>Bad</v>
      </c>
    </row>
    <row r="2717" spans="2:34" x14ac:dyDescent="0.2">
      <c r="B2717" s="2">
        <f ca="1"/>
        <v>0.38812461843739343</v>
      </c>
      <c r="O2717" s="2">
        <f ca="1"/>
        <v>-0.17941936170739745</v>
      </c>
      <c r="X2717" s="2">
        <f ca="1"/>
        <v>22.986944170725735</v>
      </c>
      <c r="AG2717" s="2">
        <f ca="1"/>
        <v>2.9224497610702782E-2</v>
      </c>
      <c r="AH2717" s="2" t="str">
        <f ca="1"/>
        <v>Good</v>
      </c>
    </row>
    <row r="2718" spans="2:34" x14ac:dyDescent="0.2">
      <c r="B2718" s="2">
        <f ca="1"/>
        <v>0.22888525638913015</v>
      </c>
      <c r="O2718" s="2">
        <f ca="1"/>
        <v>0.1212513521398989</v>
      </c>
      <c r="X2718" s="2">
        <f ca="1"/>
        <v>46.116482634891931</v>
      </c>
      <c r="AG2718" s="2">
        <f ca="1"/>
        <v>0.87756425060873511</v>
      </c>
      <c r="AH2718" s="2" t="str">
        <f ca="1"/>
        <v>Bad</v>
      </c>
    </row>
    <row r="2719" spans="2:34" x14ac:dyDescent="0.2">
      <c r="B2719" s="2">
        <f ca="1"/>
        <v>3.6406416017056076E-2</v>
      </c>
      <c r="O2719" s="2">
        <f ca="1"/>
        <v>0.29206734000105372</v>
      </c>
      <c r="X2719" s="2">
        <f ca="1"/>
        <v>39.92095970736144</v>
      </c>
      <c r="AG2719" s="2">
        <f ca="1"/>
        <v>0.69005716488969338</v>
      </c>
      <c r="AH2719" s="2" t="str">
        <f ca="1"/>
        <v>Bad</v>
      </c>
    </row>
    <row r="2720" spans="2:34" x14ac:dyDescent="0.2">
      <c r="B2720" s="2">
        <f ca="1"/>
        <v>0.73841370355334335</v>
      </c>
      <c r="O2720" s="2">
        <f ca="1"/>
        <v>0.97524206748705478</v>
      </c>
      <c r="X2720" s="2">
        <f ca="1"/>
        <v>64.892233390823208</v>
      </c>
      <c r="AG2720" s="2">
        <f ca="1"/>
        <v>0.31968114924138491</v>
      </c>
      <c r="AH2720" s="2" t="str">
        <f ca="1"/>
        <v>OK</v>
      </c>
    </row>
    <row r="2721" spans="2:34" x14ac:dyDescent="0.2">
      <c r="B2721" s="2">
        <f ca="1"/>
        <v>0.42376299984001853</v>
      </c>
      <c r="O2721" s="2">
        <f ca="1"/>
        <v>-0.64418353455579125</v>
      </c>
      <c r="X2721" s="2">
        <f ca="1"/>
        <v>55.248923515552079</v>
      </c>
      <c r="AG2721" s="2">
        <f ca="1"/>
        <v>0.21681313210134689</v>
      </c>
      <c r="AH2721" s="2" t="str">
        <f ca="1"/>
        <v>OK</v>
      </c>
    </row>
    <row r="2722" spans="2:34" x14ac:dyDescent="0.2">
      <c r="B2722" s="2">
        <f ca="1"/>
        <v>0.17704663301480639</v>
      </c>
      <c r="O2722" s="2">
        <f ca="1"/>
        <v>-1.8015430637400727</v>
      </c>
      <c r="X2722" s="2">
        <f ca="1"/>
        <v>34.901270971569971</v>
      </c>
      <c r="AG2722" s="2">
        <f ca="1"/>
        <v>0.900547360480763</v>
      </c>
      <c r="AH2722" s="2" t="str">
        <f ca="1"/>
        <v>Bad</v>
      </c>
    </row>
    <row r="2723" spans="2:34" x14ac:dyDescent="0.2">
      <c r="B2723" s="2">
        <f ca="1"/>
        <v>0.39617991018865717</v>
      </c>
      <c r="O2723" s="2">
        <f ca="1"/>
        <v>0.90336253309730008</v>
      </c>
      <c r="X2723" s="2">
        <f ca="1"/>
        <v>47.726851349026269</v>
      </c>
      <c r="AG2723" s="2">
        <f ca="1"/>
        <v>0.81478680126705716</v>
      </c>
      <c r="AH2723" s="2" t="str">
        <f ca="1"/>
        <v>Bad</v>
      </c>
    </row>
    <row r="2724" spans="2:34" x14ac:dyDescent="0.2">
      <c r="B2724" s="2">
        <f ca="1"/>
        <v>0.32422072636091648</v>
      </c>
      <c r="O2724" s="2">
        <f ca="1"/>
        <v>-0.93948840763694408</v>
      </c>
      <c r="X2724" s="2">
        <f ca="1"/>
        <v>41.361211318090845</v>
      </c>
      <c r="AG2724" s="2">
        <f ca="1"/>
        <v>0.51640387832139201</v>
      </c>
      <c r="AH2724" s="2" t="str">
        <f ca="1"/>
        <v>Bad</v>
      </c>
    </row>
    <row r="2725" spans="2:34" x14ac:dyDescent="0.2">
      <c r="B2725" s="2">
        <f ca="1"/>
        <v>0.89340824305625288</v>
      </c>
      <c r="O2725" s="2">
        <f ca="1"/>
        <v>0.61881132667894623</v>
      </c>
      <c r="X2725" s="2">
        <f ca="1"/>
        <v>79.152822971246366</v>
      </c>
      <c r="AG2725" s="2">
        <f ca="1"/>
        <v>0.28169095771386665</v>
      </c>
      <c r="AH2725" s="2" t="str">
        <f ca="1"/>
        <v>OK</v>
      </c>
    </row>
    <row r="2726" spans="2:34" x14ac:dyDescent="0.2">
      <c r="B2726" s="2">
        <f ca="1"/>
        <v>0.66801692309066585</v>
      </c>
      <c r="O2726" s="2">
        <f ca="1"/>
        <v>8.3292986179397455E-2</v>
      </c>
      <c r="X2726" s="2">
        <f ca="1"/>
        <v>70.116171057550602</v>
      </c>
      <c r="AG2726" s="2">
        <f ca="1"/>
        <v>0.63747656727785773</v>
      </c>
      <c r="AH2726" s="2" t="str">
        <f ca="1"/>
        <v>Bad</v>
      </c>
    </row>
    <row r="2727" spans="2:34" x14ac:dyDescent="0.2">
      <c r="B2727" s="2">
        <f ca="1"/>
        <v>0.65316636599678146</v>
      </c>
      <c r="O2727" s="2">
        <f ca="1"/>
        <v>1.9003321259664423</v>
      </c>
      <c r="X2727" s="2">
        <f ca="1"/>
        <v>64.267733272255541</v>
      </c>
      <c r="AG2727" s="2">
        <f ca="1"/>
        <v>0.33566428260973136</v>
      </c>
      <c r="AH2727" s="2" t="str">
        <f ca="1"/>
        <v>OK</v>
      </c>
    </row>
    <row r="2728" spans="2:34" x14ac:dyDescent="0.2">
      <c r="B2728" s="2">
        <f ca="1"/>
        <v>3.8474608090250939E-2</v>
      </c>
      <c r="O2728" s="2">
        <f ca="1"/>
        <v>-0.32907428427872859</v>
      </c>
      <c r="X2728" s="2">
        <f ca="1"/>
        <v>33.848491685229241</v>
      </c>
      <c r="AG2728" s="2">
        <f ca="1"/>
        <v>0.3005660999483637</v>
      </c>
      <c r="AH2728" s="2" t="str">
        <f ca="1"/>
        <v>OK</v>
      </c>
    </row>
    <row r="2729" spans="2:34" x14ac:dyDescent="0.2">
      <c r="B2729" s="2">
        <f ca="1"/>
        <v>0.19515809798724137</v>
      </c>
      <c r="O2729" s="2">
        <f ca="1"/>
        <v>0.20838413418058413</v>
      </c>
      <c r="X2729" s="2">
        <f ca="1"/>
        <v>49.205310504933877</v>
      </c>
      <c r="AG2729" s="2">
        <f ca="1"/>
        <v>0.14809406070343489</v>
      </c>
      <c r="AH2729" s="2" t="str">
        <f ca="1"/>
        <v>OK</v>
      </c>
    </row>
    <row r="2730" spans="2:34" x14ac:dyDescent="0.2">
      <c r="B2730" s="2">
        <f ca="1"/>
        <v>0.23680187824606413</v>
      </c>
      <c r="O2730" s="2">
        <f ca="1"/>
        <v>-1.3559604472699955</v>
      </c>
      <c r="X2730" s="2">
        <f ca="1"/>
        <v>49.898281669906254</v>
      </c>
      <c r="AG2730" s="2">
        <f ca="1"/>
        <v>0.27315412735316236</v>
      </c>
      <c r="AH2730" s="2" t="str">
        <f ca="1"/>
        <v>OK</v>
      </c>
    </row>
    <row r="2731" spans="2:34" x14ac:dyDescent="0.2">
      <c r="B2731" s="2">
        <f ca="1"/>
        <v>0.27828161074857882</v>
      </c>
      <c r="O2731" s="2">
        <f ca="1"/>
        <v>1.7556212495932735</v>
      </c>
      <c r="X2731" s="2">
        <f ca="1"/>
        <v>21.967458795975084</v>
      </c>
      <c r="AG2731" s="2">
        <f ca="1"/>
        <v>0.3624985004708543</v>
      </c>
      <c r="AH2731" s="2" t="str">
        <f ca="1"/>
        <v>OK</v>
      </c>
    </row>
    <row r="2732" spans="2:34" x14ac:dyDescent="0.2">
      <c r="B2732" s="2">
        <f ca="1"/>
        <v>0.53623869483020403</v>
      </c>
      <c r="O2732" s="2">
        <f ca="1"/>
        <v>0.26146491737286798</v>
      </c>
      <c r="X2732" s="2">
        <f ca="1"/>
        <v>76.50973905999885</v>
      </c>
      <c r="AG2732" s="2">
        <f ca="1"/>
        <v>0.67200786716357741</v>
      </c>
      <c r="AH2732" s="2" t="str">
        <f ca="1"/>
        <v>Bad</v>
      </c>
    </row>
    <row r="2733" spans="2:34" x14ac:dyDescent="0.2">
      <c r="B2733" s="2">
        <f ca="1"/>
        <v>0.16956276791418246</v>
      </c>
      <c r="O2733" s="2">
        <f ca="1"/>
        <v>-2.2158123944425432</v>
      </c>
      <c r="X2733" s="2">
        <f ca="1"/>
        <v>28.166840981292694</v>
      </c>
      <c r="AG2733" s="2">
        <f ca="1"/>
        <v>7.2475237391996572E-2</v>
      </c>
      <c r="AH2733" s="2" t="str">
        <f ca="1"/>
        <v>OK</v>
      </c>
    </row>
    <row r="2734" spans="2:34" x14ac:dyDescent="0.2">
      <c r="B2734" s="2">
        <f ca="1"/>
        <v>0.1981453854601436</v>
      </c>
      <c r="O2734" s="2">
        <f ca="1"/>
        <v>1.2675421676007101</v>
      </c>
      <c r="X2734" s="2">
        <f ca="1"/>
        <v>52.967866996304458</v>
      </c>
      <c r="AG2734" s="2">
        <f ca="1"/>
        <v>0.84281406307606033</v>
      </c>
      <c r="AH2734" s="2" t="str">
        <f ca="1"/>
        <v>Bad</v>
      </c>
    </row>
    <row r="2735" spans="2:34" x14ac:dyDescent="0.2">
      <c r="B2735" s="2">
        <f ca="1"/>
        <v>0.81696121261241061</v>
      </c>
      <c r="O2735" s="2">
        <f ca="1"/>
        <v>-1.3658048612826612</v>
      </c>
      <c r="X2735" s="2">
        <f ca="1"/>
        <v>50.98400394930642</v>
      </c>
      <c r="AG2735" s="2">
        <f ca="1"/>
        <v>0.42858690620982953</v>
      </c>
      <c r="AH2735" s="2" t="str">
        <f ca="1"/>
        <v>Bad</v>
      </c>
    </row>
    <row r="2736" spans="2:34" x14ac:dyDescent="0.2">
      <c r="B2736" s="2">
        <f ca="1"/>
        <v>0.97425733870008568</v>
      </c>
      <c r="O2736" s="2">
        <f ca="1"/>
        <v>0.27617828622154006</v>
      </c>
      <c r="X2736" s="2">
        <f ca="1"/>
        <v>33.458402990085567</v>
      </c>
      <c r="AG2736" s="2">
        <f ca="1"/>
        <v>0.56351337667315282</v>
      </c>
      <c r="AH2736" s="2" t="str">
        <f ca="1"/>
        <v>Bad</v>
      </c>
    </row>
    <row r="2737" spans="2:34" x14ac:dyDescent="0.2">
      <c r="B2737" s="2">
        <f ca="1"/>
        <v>0.24411972776931012</v>
      </c>
      <c r="O2737" s="2">
        <f ca="1"/>
        <v>2.0241533282832203</v>
      </c>
      <c r="X2737" s="2">
        <f ca="1"/>
        <v>63.52696489143991</v>
      </c>
      <c r="AG2737" s="2">
        <f ca="1"/>
        <v>0.49770363093043457</v>
      </c>
      <c r="AH2737" s="2" t="str">
        <f ca="1"/>
        <v>Bad</v>
      </c>
    </row>
    <row r="2738" spans="2:34" x14ac:dyDescent="0.2">
      <c r="B2738" s="2">
        <f ca="1"/>
        <v>0.31347103869225235</v>
      </c>
      <c r="O2738" s="2">
        <f ca="1"/>
        <v>0.23381204314412812</v>
      </c>
      <c r="X2738" s="2">
        <f ca="1"/>
        <v>70.347665342297944</v>
      </c>
      <c r="AG2738" s="2">
        <f ca="1"/>
        <v>7.3381397467677356E-2</v>
      </c>
      <c r="AH2738" s="2" t="str">
        <f ca="1"/>
        <v>OK</v>
      </c>
    </row>
    <row r="2739" spans="2:34" x14ac:dyDescent="0.2">
      <c r="B2739" s="2">
        <f ca="1"/>
        <v>0.42789500020958915</v>
      </c>
      <c r="O2739" s="2">
        <f ca="1"/>
        <v>0.7412197158808661</v>
      </c>
      <c r="X2739" s="2">
        <f ca="1"/>
        <v>76.601942304899154</v>
      </c>
      <c r="AG2739" s="2">
        <f ca="1"/>
        <v>0.69392640674585193</v>
      </c>
      <c r="AH2739" s="2" t="str">
        <f ca="1"/>
        <v>Bad</v>
      </c>
    </row>
    <row r="2740" spans="2:34" x14ac:dyDescent="0.2">
      <c r="B2740" s="2">
        <f ca="1"/>
        <v>0.23807370377923465</v>
      </c>
      <c r="O2740" s="2">
        <f ca="1"/>
        <v>1.1421102056312635</v>
      </c>
      <c r="X2740" s="2">
        <f ca="1"/>
        <v>68.286723356623156</v>
      </c>
      <c r="AG2740" s="2">
        <f ca="1"/>
        <v>0.92694859411826092</v>
      </c>
      <c r="AH2740" s="2" t="str">
        <f ca="1"/>
        <v>Bad</v>
      </c>
    </row>
    <row r="2741" spans="2:34" x14ac:dyDescent="0.2">
      <c r="B2741" s="2">
        <f ca="1"/>
        <v>0.71667590597881436</v>
      </c>
      <c r="O2741" s="2">
        <f ca="1"/>
        <v>-0.32791569425000677</v>
      </c>
      <c r="X2741" s="2">
        <f ca="1"/>
        <v>38.057239729484039</v>
      </c>
      <c r="AG2741" s="2">
        <f ca="1"/>
        <v>0.29212171140244791</v>
      </c>
      <c r="AH2741" s="2" t="str">
        <f ca="1"/>
        <v>OK</v>
      </c>
    </row>
    <row r="2742" spans="2:34" x14ac:dyDescent="0.2">
      <c r="B2742" s="2">
        <f ca="1"/>
        <v>0.93587102360323993</v>
      </c>
      <c r="O2742" s="2">
        <f ca="1"/>
        <v>0.11754306485137755</v>
      </c>
      <c r="X2742" s="2">
        <f ca="1"/>
        <v>32.164968017005307</v>
      </c>
      <c r="AG2742" s="2">
        <f ca="1"/>
        <v>0.57607939455781221</v>
      </c>
      <c r="AH2742" s="2" t="str">
        <f ca="1"/>
        <v>Bad</v>
      </c>
    </row>
    <row r="2743" spans="2:34" x14ac:dyDescent="0.2">
      <c r="B2743" s="2">
        <f ca="1"/>
        <v>0.80176604375173288</v>
      </c>
      <c r="O2743" s="2">
        <f ca="1"/>
        <v>0.20381849624517345</v>
      </c>
      <c r="X2743" s="2">
        <f ca="1"/>
        <v>71.948385998273054</v>
      </c>
      <c r="AG2743" s="2">
        <f ca="1"/>
        <v>0.80549362212576936</v>
      </c>
      <c r="AH2743" s="2" t="str">
        <f ca="1"/>
        <v>Bad</v>
      </c>
    </row>
    <row r="2744" spans="2:34" x14ac:dyDescent="0.2">
      <c r="B2744" s="2">
        <f ca="1"/>
        <v>0.34313246505699602</v>
      </c>
      <c r="O2744" s="2">
        <f ca="1"/>
        <v>0.91554065130814699</v>
      </c>
      <c r="X2744" s="2">
        <f ca="1"/>
        <v>47.343718726969797</v>
      </c>
      <c r="AG2744" s="2">
        <f ca="1"/>
        <v>0.16200205803446166</v>
      </c>
      <c r="AH2744" s="2" t="str">
        <f ca="1"/>
        <v>OK</v>
      </c>
    </row>
    <row r="2745" spans="2:34" x14ac:dyDescent="0.2">
      <c r="B2745" s="2">
        <f ca="1"/>
        <v>0.31142921402489465</v>
      </c>
      <c r="O2745" s="2">
        <f ca="1"/>
        <v>0.55947114302317502</v>
      </c>
      <c r="X2745" s="2">
        <f ca="1"/>
        <v>76.116665184359647</v>
      </c>
      <c r="AG2745" s="2">
        <f ca="1"/>
        <v>3.0726512209404255E-2</v>
      </c>
      <c r="AH2745" s="2" t="str">
        <f ca="1"/>
        <v>Good</v>
      </c>
    </row>
    <row r="2746" spans="2:34" x14ac:dyDescent="0.2">
      <c r="B2746" s="2">
        <f ca="1"/>
        <v>0.64214476265820686</v>
      </c>
      <c r="O2746" s="2">
        <f ca="1"/>
        <v>-0.76892545813523827</v>
      </c>
      <c r="X2746" s="2">
        <f ca="1"/>
        <v>39.173850044424888</v>
      </c>
      <c r="AG2746" s="2">
        <f ca="1"/>
        <v>0.13064566151716117</v>
      </c>
      <c r="AH2746" s="2" t="str">
        <f ca="1"/>
        <v>OK</v>
      </c>
    </row>
    <row r="2747" spans="2:34" x14ac:dyDescent="0.2">
      <c r="B2747" s="2">
        <f ca="1"/>
        <v>0.17736705086121995</v>
      </c>
      <c r="O2747" s="2">
        <f ca="1"/>
        <v>0.12003243409195639</v>
      </c>
      <c r="X2747" s="2">
        <f ca="1"/>
        <v>47.87551944388639</v>
      </c>
      <c r="AG2747" s="2">
        <f ca="1"/>
        <v>0.5984063805620452</v>
      </c>
      <c r="AH2747" s="2" t="str">
        <f ca="1"/>
        <v>Bad</v>
      </c>
    </row>
    <row r="2748" spans="2:34" x14ac:dyDescent="0.2">
      <c r="B2748" s="2">
        <f ca="1"/>
        <v>0.60580379912228643</v>
      </c>
      <c r="O2748" s="2">
        <f ca="1"/>
        <v>1.7663443461094579</v>
      </c>
      <c r="X2748" s="2">
        <f ca="1"/>
        <v>44.085827942075554</v>
      </c>
      <c r="AG2748" s="2">
        <f ca="1"/>
        <v>0.50639513166034056</v>
      </c>
      <c r="AH2748" s="2" t="str">
        <f ca="1"/>
        <v>Bad</v>
      </c>
    </row>
    <row r="2749" spans="2:34" x14ac:dyDescent="0.2">
      <c r="B2749" s="2">
        <f ca="1"/>
        <v>0.21834844405950848</v>
      </c>
      <c r="O2749" s="2">
        <f ca="1"/>
        <v>-1.1614703037247949</v>
      </c>
      <c r="X2749" s="2">
        <f ca="1"/>
        <v>33.396940339258009</v>
      </c>
      <c r="AG2749" s="2">
        <f ca="1"/>
        <v>0.96172401552173437</v>
      </c>
      <c r="AH2749" s="2" t="str">
        <f ca="1"/>
        <v>Bad</v>
      </c>
    </row>
    <row r="2750" spans="2:34" x14ac:dyDescent="0.2">
      <c r="B2750" s="2">
        <f ca="1"/>
        <v>0.50500893477707187</v>
      </c>
      <c r="O2750" s="2">
        <f ca="1"/>
        <v>0.71808669572628459</v>
      </c>
      <c r="X2750" s="2">
        <f ca="1"/>
        <v>61.799382214369246</v>
      </c>
      <c r="AG2750" s="2">
        <f ca="1"/>
        <v>0.20723305374015588</v>
      </c>
      <c r="AH2750" s="2" t="str">
        <f ca="1"/>
        <v>OK</v>
      </c>
    </row>
    <row r="2751" spans="2:34" x14ac:dyDescent="0.2">
      <c r="B2751" s="2">
        <f ca="1"/>
        <v>0.10245784037811356</v>
      </c>
      <c r="O2751" s="2">
        <f ca="1"/>
        <v>-7.5391001442467145E-2</v>
      </c>
      <c r="X2751" s="2">
        <f ca="1"/>
        <v>33.275631805481581</v>
      </c>
      <c r="AG2751" s="2">
        <f ca="1"/>
        <v>0.36431717742409919</v>
      </c>
      <c r="AH2751" s="2" t="str">
        <f ca="1"/>
        <v>OK</v>
      </c>
    </row>
    <row r="2752" spans="2:34" x14ac:dyDescent="0.2">
      <c r="B2752" s="2">
        <f ca="1"/>
        <v>0.87092700118038557</v>
      </c>
      <c r="O2752" s="2">
        <f ca="1"/>
        <v>-0.82470874119888804</v>
      </c>
      <c r="X2752" s="2">
        <f ca="1"/>
        <v>20.204719607218685</v>
      </c>
      <c r="AG2752" s="2">
        <f ca="1"/>
        <v>0.83858026677433406</v>
      </c>
      <c r="AH2752" s="2" t="str">
        <f ca="1"/>
        <v>Bad</v>
      </c>
    </row>
    <row r="2753" spans="2:34" x14ac:dyDescent="0.2">
      <c r="B2753" s="2">
        <f ca="1"/>
        <v>0.91955408930378479</v>
      </c>
      <c r="O2753" s="2">
        <f ca="1"/>
        <v>1.9640050655868839</v>
      </c>
      <c r="X2753" s="2">
        <f ca="1"/>
        <v>54.761845811035279</v>
      </c>
      <c r="AG2753" s="2">
        <f ca="1"/>
        <v>0.86522293196274092</v>
      </c>
      <c r="AH2753" s="2" t="str">
        <f ca="1"/>
        <v>Bad</v>
      </c>
    </row>
    <row r="2754" spans="2:34" x14ac:dyDescent="0.2">
      <c r="B2754" s="2">
        <f ca="1"/>
        <v>0.74978537068055395</v>
      </c>
      <c r="O2754" s="2">
        <f ca="1"/>
        <v>-0.88579257189388039</v>
      </c>
      <c r="X2754" s="2">
        <f ca="1"/>
        <v>49.482181081538286</v>
      </c>
      <c r="AG2754" s="2">
        <f ca="1"/>
        <v>9.8578481864775913E-2</v>
      </c>
      <c r="AH2754" s="2" t="str">
        <f ca="1"/>
        <v>OK</v>
      </c>
    </row>
    <row r="2755" spans="2:34" x14ac:dyDescent="0.2">
      <c r="B2755" s="2">
        <f ca="1"/>
        <v>9.083116240892708E-2</v>
      </c>
      <c r="O2755" s="2">
        <f ca="1"/>
        <v>-1.8307732490547712</v>
      </c>
      <c r="X2755" s="2">
        <f ca="1"/>
        <v>79.511306321731169</v>
      </c>
      <c r="AG2755" s="2">
        <f ca="1"/>
        <v>0.39364463930996818</v>
      </c>
      <c r="AH2755" s="2" t="str">
        <f ca="1"/>
        <v>OK</v>
      </c>
    </row>
    <row r="2756" spans="2:34" x14ac:dyDescent="0.2">
      <c r="B2756" s="2">
        <f ca="1"/>
        <v>0.42097033535545902</v>
      </c>
      <c r="O2756" s="2">
        <f ca="1"/>
        <v>-1.6518019117331246</v>
      </c>
      <c r="X2756" s="2">
        <f ca="1"/>
        <v>68.436747108997025</v>
      </c>
      <c r="AG2756" s="2">
        <f ca="1"/>
        <v>0.79970436579378412</v>
      </c>
      <c r="AH2756" s="2" t="str">
        <f ca="1"/>
        <v>Bad</v>
      </c>
    </row>
    <row r="2757" spans="2:34" x14ac:dyDescent="0.2">
      <c r="B2757" s="2">
        <f ca="1"/>
        <v>0.69898528208203348</v>
      </c>
      <c r="O2757" s="2">
        <f ca="1"/>
        <v>-0.75666600098729886</v>
      </c>
      <c r="X2757" s="2">
        <f ca="1"/>
        <v>52.394565516010225</v>
      </c>
      <c r="AG2757" s="2">
        <f ca="1"/>
        <v>0.27973879695457948</v>
      </c>
      <c r="AH2757" s="2" t="str">
        <f ca="1"/>
        <v>OK</v>
      </c>
    </row>
    <row r="2758" spans="2:34" x14ac:dyDescent="0.2">
      <c r="B2758" s="2">
        <f ca="1"/>
        <v>0.58540634486290521</v>
      </c>
      <c r="O2758" s="2">
        <f ca="1"/>
        <v>0.19749699843989885</v>
      </c>
      <c r="X2758" s="2">
        <f ca="1"/>
        <v>59.969220860214911</v>
      </c>
      <c r="AG2758" s="2">
        <f ca="1"/>
        <v>0.68945507687594176</v>
      </c>
      <c r="AH2758" s="2" t="str">
        <f ca="1"/>
        <v>Bad</v>
      </c>
    </row>
    <row r="2759" spans="2:34" x14ac:dyDescent="0.2">
      <c r="B2759" s="2">
        <f ca="1"/>
        <v>0.62098538200756992</v>
      </c>
      <c r="O2759" s="2">
        <f ca="1"/>
        <v>0.95751566446242786</v>
      </c>
      <c r="X2759" s="2">
        <f ca="1"/>
        <v>70.344440759423122</v>
      </c>
      <c r="AG2759" s="2">
        <f ca="1"/>
        <v>0.81252586492735834</v>
      </c>
      <c r="AH2759" s="2" t="str">
        <f ca="1"/>
        <v>Bad</v>
      </c>
    </row>
    <row r="2760" spans="2:34" x14ac:dyDescent="0.2">
      <c r="B2760" s="2">
        <f ca="1"/>
        <v>0.19986304352987627</v>
      </c>
      <c r="O2760" s="2">
        <f ca="1"/>
        <v>-0.54843566585717929</v>
      </c>
      <c r="X2760" s="2">
        <f ca="1"/>
        <v>48.033416899513412</v>
      </c>
      <c r="AG2760" s="2">
        <f ca="1"/>
        <v>0.19960572233732687</v>
      </c>
      <c r="AH2760" s="2" t="str">
        <f ca="1"/>
        <v>OK</v>
      </c>
    </row>
    <row r="2761" spans="2:34" x14ac:dyDescent="0.2">
      <c r="B2761" s="2">
        <f ca="1"/>
        <v>0.97133111897360003</v>
      </c>
      <c r="O2761" s="2">
        <f ca="1"/>
        <v>-0.76212758187029839</v>
      </c>
      <c r="X2761" s="2">
        <f ca="1"/>
        <v>79.985926328300692</v>
      </c>
      <c r="AG2761" s="2">
        <f ca="1"/>
        <v>0.12920361320430596</v>
      </c>
      <c r="AH2761" s="2" t="str">
        <f ca="1"/>
        <v>OK</v>
      </c>
    </row>
    <row r="2762" spans="2:34" x14ac:dyDescent="0.2">
      <c r="B2762" s="2">
        <f ca="1"/>
        <v>0.69799475875839678</v>
      </c>
      <c r="O2762" s="2">
        <f ca="1"/>
        <v>1.1869224959490023</v>
      </c>
      <c r="X2762" s="2">
        <f ca="1"/>
        <v>52.757408439916375</v>
      </c>
      <c r="AG2762" s="2">
        <f ca="1"/>
        <v>0.51791785063029083</v>
      </c>
      <c r="AH2762" s="2" t="str">
        <f ca="1"/>
        <v>Bad</v>
      </c>
    </row>
    <row r="2763" spans="2:34" x14ac:dyDescent="0.2">
      <c r="B2763" s="2">
        <f ca="1"/>
        <v>2.1089507119229411E-2</v>
      </c>
      <c r="O2763" s="2">
        <f ca="1"/>
        <v>-1.597294922144741</v>
      </c>
      <c r="X2763" s="2">
        <f ca="1"/>
        <v>42.599495829224921</v>
      </c>
      <c r="AG2763" s="2">
        <f ca="1"/>
        <v>3.1078552146759142E-2</v>
      </c>
      <c r="AH2763" s="2" t="str">
        <f ca="1"/>
        <v>Good</v>
      </c>
    </row>
    <row r="2764" spans="2:34" x14ac:dyDescent="0.2">
      <c r="B2764" s="2">
        <f ca="1"/>
        <v>7.7009459975349248E-2</v>
      </c>
      <c r="O2764" s="2">
        <f ca="1"/>
        <v>-1.9449802362390592E-2</v>
      </c>
      <c r="X2764" s="2">
        <f ca="1"/>
        <v>64.505754857729386</v>
      </c>
      <c r="AG2764" s="2">
        <f ca="1"/>
        <v>0.72101525990135684</v>
      </c>
      <c r="AH2764" s="2" t="str">
        <f ca="1"/>
        <v>Bad</v>
      </c>
    </row>
    <row r="2765" spans="2:34" x14ac:dyDescent="0.2">
      <c r="B2765" s="2">
        <f ca="1"/>
        <v>0.46332676480539847</v>
      </c>
      <c r="O2765" s="2">
        <f ca="1"/>
        <v>0.4277278000566368</v>
      </c>
      <c r="X2765" s="2">
        <f ca="1"/>
        <v>52.049672137389543</v>
      </c>
      <c r="AG2765" s="2">
        <f ca="1"/>
        <v>0.71026259306194151</v>
      </c>
      <c r="AH2765" s="2" t="str">
        <f ca="1"/>
        <v>Bad</v>
      </c>
    </row>
    <row r="2766" spans="2:34" x14ac:dyDescent="0.2">
      <c r="B2766" s="2">
        <f ca="1"/>
        <v>0.27336867684007515</v>
      </c>
      <c r="O2766" s="2">
        <f ca="1"/>
        <v>-1.1950775656883152</v>
      </c>
      <c r="X2766" s="2">
        <f ca="1"/>
        <v>51.833253320573611</v>
      </c>
      <c r="AG2766" s="2">
        <f ca="1"/>
        <v>0.67640245166400104</v>
      </c>
      <c r="AH2766" s="2" t="str">
        <f ca="1"/>
        <v>Bad</v>
      </c>
    </row>
    <row r="2767" spans="2:34" x14ac:dyDescent="0.2">
      <c r="B2767" s="2">
        <f ca="1"/>
        <v>0.29539176682689683</v>
      </c>
      <c r="O2767" s="2">
        <f ca="1"/>
        <v>0.41494205860876765</v>
      </c>
      <c r="X2767" s="2">
        <f ca="1"/>
        <v>48.002272474568095</v>
      </c>
      <c r="AG2767" s="2">
        <f ca="1"/>
        <v>0.48265455375797806</v>
      </c>
      <c r="AH2767" s="2" t="str">
        <f ca="1"/>
        <v>Bad</v>
      </c>
    </row>
    <row r="2768" spans="2:34" x14ac:dyDescent="0.2">
      <c r="B2768" s="2">
        <f ca="1"/>
        <v>3.4465780604857166E-2</v>
      </c>
      <c r="O2768" s="2">
        <f ca="1"/>
        <v>-0.50669721774112708</v>
      </c>
      <c r="X2768" s="2">
        <f ca="1"/>
        <v>55.227296293355451</v>
      </c>
      <c r="AG2768" s="2">
        <f ca="1"/>
        <v>0.9593293215138412</v>
      </c>
      <c r="AH2768" s="2" t="str">
        <f ca="1"/>
        <v>Bad</v>
      </c>
    </row>
    <row r="2769" spans="2:34" x14ac:dyDescent="0.2">
      <c r="B2769" s="2">
        <f ca="1"/>
        <v>0.92917015317651996</v>
      </c>
      <c r="O2769" s="2">
        <f ca="1"/>
        <v>1.3367404353046413</v>
      </c>
      <c r="X2769" s="2">
        <f ca="1"/>
        <v>28.623708405973023</v>
      </c>
      <c r="AG2769" s="2">
        <f ca="1"/>
        <v>0.11421032956125687</v>
      </c>
      <c r="AH2769" s="2" t="str">
        <f ca="1"/>
        <v>OK</v>
      </c>
    </row>
    <row r="2770" spans="2:34" x14ac:dyDescent="0.2">
      <c r="B2770" s="2">
        <f ca="1"/>
        <v>0.80380484221162662</v>
      </c>
      <c r="O2770" s="2">
        <f ca="1"/>
        <v>-0.30075080689459766</v>
      </c>
      <c r="X2770" s="2">
        <f ca="1"/>
        <v>47.792714236205398</v>
      </c>
      <c r="AG2770" s="2">
        <f ca="1"/>
        <v>0.81097204480819185</v>
      </c>
      <c r="AH2770" s="2" t="str">
        <f ca="1"/>
        <v>Bad</v>
      </c>
    </row>
    <row r="2771" spans="2:34" x14ac:dyDescent="0.2">
      <c r="B2771" s="2">
        <f ca="1"/>
        <v>0.32772932704103197</v>
      </c>
      <c r="O2771" s="2">
        <f ca="1"/>
        <v>-0.69572411330440609</v>
      </c>
      <c r="X2771" s="2">
        <f ca="1"/>
        <v>34.073876083039465</v>
      </c>
      <c r="AG2771" s="2">
        <f ca="1"/>
        <v>8.0919840032976031E-2</v>
      </c>
      <c r="AH2771" s="2" t="str">
        <f ca="1"/>
        <v>OK</v>
      </c>
    </row>
    <row r="2772" spans="2:34" x14ac:dyDescent="0.2">
      <c r="B2772" s="2">
        <f ca="1"/>
        <v>0.21086943419609039</v>
      </c>
      <c r="O2772" s="2">
        <f ca="1"/>
        <v>1.4729774748326576</v>
      </c>
      <c r="X2772" s="2">
        <f ca="1"/>
        <v>48.363874571825619</v>
      </c>
      <c r="AG2772" s="2">
        <f ca="1"/>
        <v>0.14499499251382741</v>
      </c>
      <c r="AH2772" s="2" t="str">
        <f ca="1"/>
        <v>OK</v>
      </c>
    </row>
    <row r="2773" spans="2:34" x14ac:dyDescent="0.2">
      <c r="B2773" s="2">
        <f ca="1"/>
        <v>0.83173007827607681</v>
      </c>
      <c r="O2773" s="2">
        <f ca="1"/>
        <v>-1.0172697592517843</v>
      </c>
      <c r="X2773" s="2">
        <f ca="1"/>
        <v>61.150926186638152</v>
      </c>
      <c r="AG2773" s="2">
        <f ca="1"/>
        <v>0.48898968829844081</v>
      </c>
      <c r="AH2773" s="2" t="str">
        <f ca="1"/>
        <v>Bad</v>
      </c>
    </row>
    <row r="2774" spans="2:34" x14ac:dyDescent="0.2">
      <c r="B2774" s="2">
        <f ca="1"/>
        <v>2.8372398085242834E-2</v>
      </c>
      <c r="O2774" s="2">
        <f ca="1"/>
        <v>-1.414068588858</v>
      </c>
      <c r="X2774" s="2">
        <f ca="1"/>
        <v>33.130360678783155</v>
      </c>
      <c r="AG2774" s="2">
        <f ca="1"/>
        <v>0.85211075038835071</v>
      </c>
      <c r="AH2774" s="2" t="str">
        <f ca="1"/>
        <v>Bad</v>
      </c>
    </row>
    <row r="2775" spans="2:34" x14ac:dyDescent="0.2">
      <c r="B2775" s="2">
        <f ca="1"/>
        <v>0.33550409227913436</v>
      </c>
      <c r="O2775" s="2">
        <f ca="1"/>
        <v>0.92168490833265748</v>
      </c>
      <c r="X2775" s="2">
        <f ca="1"/>
        <v>84.716442195497308</v>
      </c>
      <c r="AG2775" s="2">
        <f ca="1"/>
        <v>0.27025101569968601</v>
      </c>
      <c r="AH2775" s="2" t="str">
        <f ca="1"/>
        <v>OK</v>
      </c>
    </row>
    <row r="2776" spans="2:34" x14ac:dyDescent="0.2">
      <c r="B2776" s="2">
        <f ca="1"/>
        <v>0.74170931478903102</v>
      </c>
      <c r="O2776" s="2">
        <f ca="1"/>
        <v>-1.9812550837576006</v>
      </c>
      <c r="X2776" s="2">
        <f ca="1"/>
        <v>68.901981301776161</v>
      </c>
      <c r="AG2776" s="2">
        <f ca="1"/>
        <v>0.92818095786136023</v>
      </c>
      <c r="AH2776" s="2" t="str">
        <f ca="1"/>
        <v>Bad</v>
      </c>
    </row>
    <row r="2777" spans="2:34" x14ac:dyDescent="0.2">
      <c r="B2777" s="2">
        <f ca="1"/>
        <v>0.80338681910878984</v>
      </c>
      <c r="O2777" s="2">
        <f ca="1"/>
        <v>-1.5611644397582696</v>
      </c>
      <c r="X2777" s="2">
        <f ca="1"/>
        <v>76.980970889850084</v>
      </c>
      <c r="AG2777" s="2">
        <f ca="1"/>
        <v>0.58675134350181124</v>
      </c>
      <c r="AH2777" s="2" t="str">
        <f ca="1"/>
        <v>Bad</v>
      </c>
    </row>
    <row r="2778" spans="2:34" x14ac:dyDescent="0.2">
      <c r="B2778" s="2">
        <f ca="1"/>
        <v>0.16566863907380935</v>
      </c>
      <c r="O2778" s="2">
        <f ca="1"/>
        <v>-0.67402295123093237</v>
      </c>
      <c r="X2778" s="2">
        <f ca="1"/>
        <v>37.825200000748701</v>
      </c>
      <c r="AG2778" s="2">
        <f ca="1"/>
        <v>0.55289225094164451</v>
      </c>
      <c r="AH2778" s="2" t="str">
        <f ca="1"/>
        <v>Bad</v>
      </c>
    </row>
    <row r="2779" spans="2:34" x14ac:dyDescent="0.2">
      <c r="B2779" s="2">
        <f ca="1"/>
        <v>0.24790406134669474</v>
      </c>
      <c r="O2779" s="2">
        <f ca="1"/>
        <v>1.8630867179525055</v>
      </c>
      <c r="X2779" s="2">
        <f ca="1"/>
        <v>63.923239362164566</v>
      </c>
      <c r="AG2779" s="2">
        <f ca="1"/>
        <v>0.88380816968300224</v>
      </c>
      <c r="AH2779" s="2" t="str">
        <f ca="1"/>
        <v>Bad</v>
      </c>
    </row>
    <row r="2780" spans="2:34" x14ac:dyDescent="0.2">
      <c r="B2780" s="2">
        <f ca="1"/>
        <v>0.718472321977353</v>
      </c>
      <c r="O2780" s="2">
        <f ca="1"/>
        <v>-0.80618955308571205</v>
      </c>
      <c r="X2780" s="2">
        <f ca="1"/>
        <v>25.585412559478836</v>
      </c>
      <c r="AG2780" s="2">
        <f ca="1"/>
        <v>0.73328727952465944</v>
      </c>
      <c r="AH2780" s="2" t="str">
        <f ca="1"/>
        <v>Bad</v>
      </c>
    </row>
    <row r="2781" spans="2:34" x14ac:dyDescent="0.2">
      <c r="B2781" s="2">
        <f ca="1"/>
        <v>0.8151751372966507</v>
      </c>
      <c r="O2781" s="2">
        <f ca="1"/>
        <v>-1.3199059275246947</v>
      </c>
      <c r="X2781" s="2">
        <f ca="1"/>
        <v>31.804245979066515</v>
      </c>
      <c r="AG2781" s="2">
        <f ca="1"/>
        <v>0.34475542232376832</v>
      </c>
      <c r="AH2781" s="2" t="str">
        <f ca="1"/>
        <v>OK</v>
      </c>
    </row>
    <row r="2782" spans="2:34" x14ac:dyDescent="0.2">
      <c r="B2782" s="2">
        <f ca="1"/>
        <v>0.2067832487234682</v>
      </c>
      <c r="O2782" s="2">
        <f ca="1"/>
        <v>-0.13531400752309253</v>
      </c>
      <c r="X2782" s="2">
        <f ca="1"/>
        <v>43.060087931969917</v>
      </c>
      <c r="AG2782" s="2">
        <f ca="1"/>
        <v>0.98210888142016373</v>
      </c>
      <c r="AH2782" s="2" t="str">
        <f ca="1"/>
        <v>Bad</v>
      </c>
    </row>
    <row r="2783" spans="2:34" x14ac:dyDescent="0.2">
      <c r="B2783" s="2">
        <f ca="1"/>
        <v>0.90454126660159462</v>
      </c>
      <c r="O2783" s="2">
        <f ca="1"/>
        <v>-0.84240262349113471</v>
      </c>
      <c r="X2783" s="2">
        <f ca="1"/>
        <v>52.786096742746373</v>
      </c>
      <c r="AG2783" s="2">
        <f ca="1"/>
        <v>0.67916617210188823</v>
      </c>
      <c r="AH2783" s="2" t="str">
        <f ca="1"/>
        <v>Bad</v>
      </c>
    </row>
    <row r="2784" spans="2:34" x14ac:dyDescent="0.2">
      <c r="B2784" s="2">
        <f ca="1"/>
        <v>0.73754891685360469</v>
      </c>
      <c r="O2784" s="2">
        <f ca="1"/>
        <v>-0.14431988651756142</v>
      </c>
      <c r="X2784" s="2">
        <f ca="1"/>
        <v>45.905953747802826</v>
      </c>
      <c r="AG2784" s="2">
        <f ca="1"/>
        <v>0.76307963755250885</v>
      </c>
      <c r="AH2784" s="2" t="str">
        <f ca="1"/>
        <v>Bad</v>
      </c>
    </row>
    <row r="2785" spans="2:34" x14ac:dyDescent="0.2">
      <c r="B2785" s="2">
        <f ca="1"/>
        <v>6.4001425667617795E-2</v>
      </c>
      <c r="O2785" s="2">
        <f ca="1"/>
        <v>0.98935894704732719</v>
      </c>
      <c r="X2785" s="2">
        <f ca="1"/>
        <v>32.55984219178935</v>
      </c>
      <c r="AG2785" s="2">
        <f ca="1"/>
        <v>0.70882138559987218</v>
      </c>
      <c r="AH2785" s="2" t="str">
        <f ca="1"/>
        <v>Bad</v>
      </c>
    </row>
    <row r="2786" spans="2:34" x14ac:dyDescent="0.2">
      <c r="B2786" s="2">
        <f ca="1"/>
        <v>0.85990947662915285</v>
      </c>
      <c r="O2786" s="2">
        <f ca="1"/>
        <v>7.112308859800591E-2</v>
      </c>
      <c r="X2786" s="2">
        <f ca="1"/>
        <v>41.317257068691433</v>
      </c>
      <c r="AG2786" s="2">
        <f ca="1"/>
        <v>0.93062790128850215</v>
      </c>
      <c r="AH2786" s="2" t="str">
        <f ca="1"/>
        <v>Bad</v>
      </c>
    </row>
    <row r="2787" spans="2:34" x14ac:dyDescent="0.2">
      <c r="B2787" s="2">
        <f ca="1"/>
        <v>0.3667217073361333</v>
      </c>
      <c r="O2787" s="2">
        <f ca="1"/>
        <v>1.0905685843347466</v>
      </c>
      <c r="X2787" s="2">
        <f ca="1"/>
        <v>51.621220993267414</v>
      </c>
      <c r="AG2787" s="2">
        <f ca="1"/>
        <v>0.61336108570456704</v>
      </c>
      <c r="AH2787" s="2" t="str">
        <f ca="1"/>
        <v>Bad</v>
      </c>
    </row>
    <row r="2788" spans="2:34" x14ac:dyDescent="0.2">
      <c r="B2788" s="2">
        <f ca="1"/>
        <v>0.36877107893333227</v>
      </c>
      <c r="O2788" s="2">
        <f ca="1"/>
        <v>0.97453162003501459</v>
      </c>
      <c r="X2788" s="2">
        <f ca="1"/>
        <v>43.283840259416451</v>
      </c>
      <c r="AG2788" s="2">
        <f ca="1"/>
        <v>0.14140617957209423</v>
      </c>
      <c r="AH2788" s="2" t="str">
        <f ca="1"/>
        <v>OK</v>
      </c>
    </row>
    <row r="2789" spans="2:34" x14ac:dyDescent="0.2">
      <c r="B2789" s="2">
        <f ca="1"/>
        <v>0.37102958743635828</v>
      </c>
      <c r="O2789" s="2">
        <f ca="1"/>
        <v>1.1493494879818165</v>
      </c>
      <c r="X2789" s="2">
        <f ca="1"/>
        <v>52.301763268482404</v>
      </c>
      <c r="AG2789" s="2">
        <f ca="1"/>
        <v>6.7372723830916526E-2</v>
      </c>
      <c r="AH2789" s="2" t="str">
        <f ca="1"/>
        <v>OK</v>
      </c>
    </row>
    <row r="2790" spans="2:34" x14ac:dyDescent="0.2">
      <c r="B2790" s="2">
        <f ca="1"/>
        <v>0.94920019212207318</v>
      </c>
      <c r="O2790" s="2">
        <f ca="1"/>
        <v>1.611841917901222</v>
      </c>
      <c r="X2790" s="2">
        <f ca="1"/>
        <v>73.956005001853867</v>
      </c>
      <c r="AG2790" s="2">
        <f ca="1"/>
        <v>0.61313385984227908</v>
      </c>
      <c r="AH2790" s="2" t="str">
        <f ca="1"/>
        <v>Bad</v>
      </c>
    </row>
    <row r="2791" spans="2:34" x14ac:dyDescent="0.2">
      <c r="B2791" s="2">
        <f ca="1"/>
        <v>0.39239960015610387</v>
      </c>
      <c r="O2791" s="2">
        <f ca="1"/>
        <v>-1.7536813314089283</v>
      </c>
      <c r="X2791" s="2">
        <f ca="1"/>
        <v>42.682841157601274</v>
      </c>
      <c r="AG2791" s="2">
        <f ca="1"/>
        <v>0.22761142154015634</v>
      </c>
      <c r="AH2791" s="2" t="str">
        <f ca="1"/>
        <v>OK</v>
      </c>
    </row>
    <row r="2792" spans="2:34" x14ac:dyDescent="0.2">
      <c r="B2792" s="2">
        <f ca="1"/>
        <v>0.67984213643968827</v>
      </c>
      <c r="O2792" s="2">
        <f ca="1"/>
        <v>2.2530110566065167</v>
      </c>
      <c r="X2792" s="2">
        <f ca="1"/>
        <v>35.616303312050263</v>
      </c>
      <c r="AG2792" s="2">
        <f ca="1"/>
        <v>0.71570863085262304</v>
      </c>
      <c r="AH2792" s="2" t="str">
        <f ca="1"/>
        <v>Bad</v>
      </c>
    </row>
    <row r="2793" spans="2:34" x14ac:dyDescent="0.2">
      <c r="B2793" s="2">
        <f ca="1"/>
        <v>0.22704164063073673</v>
      </c>
      <c r="O2793" s="2">
        <f ca="1"/>
        <v>-0.76346065234159588</v>
      </c>
      <c r="X2793" s="2">
        <f ca="1"/>
        <v>63.591544359006974</v>
      </c>
      <c r="AG2793" s="2">
        <f ca="1"/>
        <v>0.85777504276779681</v>
      </c>
      <c r="AH2793" s="2" t="str">
        <f ca="1"/>
        <v>Bad</v>
      </c>
    </row>
    <row r="2794" spans="2:34" x14ac:dyDescent="0.2">
      <c r="B2794" s="2">
        <f ca="1"/>
        <v>0.51187857950785554</v>
      </c>
      <c r="O2794" s="2">
        <f ca="1"/>
        <v>1.3864779675019219</v>
      </c>
      <c r="X2794" s="2">
        <f ca="1"/>
        <v>60.8502558312844</v>
      </c>
      <c r="AG2794" s="2">
        <f ca="1"/>
        <v>0.71034457994942457</v>
      </c>
      <c r="AH2794" s="2" t="str">
        <f ca="1"/>
        <v>Bad</v>
      </c>
    </row>
    <row r="2795" spans="2:34" x14ac:dyDescent="0.2">
      <c r="B2795" s="2">
        <f ca="1"/>
        <v>0.31413164774863156</v>
      </c>
      <c r="O2795" s="2">
        <f ca="1"/>
        <v>0.29223547770603803</v>
      </c>
      <c r="X2795" s="2">
        <f ca="1"/>
        <v>68.229922856354364</v>
      </c>
      <c r="AG2795" s="2">
        <f ca="1"/>
        <v>0.59723204734554214</v>
      </c>
      <c r="AH2795" s="2" t="str">
        <f ca="1"/>
        <v>Bad</v>
      </c>
    </row>
    <row r="2796" spans="2:34" x14ac:dyDescent="0.2">
      <c r="B2796" s="2">
        <f ca="1"/>
        <v>0.16379823541202088</v>
      </c>
      <c r="O2796" s="2">
        <f ca="1"/>
        <v>1.8784973010599657</v>
      </c>
      <c r="X2796" s="2">
        <f ca="1"/>
        <v>36.600270909568628</v>
      </c>
      <c r="AG2796" s="2">
        <f ca="1"/>
        <v>0.39338607934251812</v>
      </c>
      <c r="AH2796" s="2" t="str">
        <f ca="1"/>
        <v>OK</v>
      </c>
    </row>
    <row r="2797" spans="2:34" x14ac:dyDescent="0.2">
      <c r="B2797" s="2">
        <f ca="1"/>
        <v>0.29446454876371009</v>
      </c>
      <c r="O2797" s="2">
        <f ca="1"/>
        <v>0.22504770474360361</v>
      </c>
      <c r="X2797" s="2">
        <f ca="1"/>
        <v>43.182994633567645</v>
      </c>
      <c r="AG2797" s="2">
        <f ca="1"/>
        <v>0.60275374436553886</v>
      </c>
      <c r="AH2797" s="2" t="str">
        <f ca="1"/>
        <v>Bad</v>
      </c>
    </row>
    <row r="2798" spans="2:34" x14ac:dyDescent="0.2">
      <c r="B2798" s="2">
        <f ca="1"/>
        <v>0.543778188888834</v>
      </c>
      <c r="O2798" s="2">
        <f ca="1"/>
        <v>0.13009356017705886</v>
      </c>
      <c r="X2798" s="2">
        <f ca="1"/>
        <v>29.742748491485784</v>
      </c>
      <c r="AG2798" s="2">
        <f ca="1"/>
        <v>0.34152843048935622</v>
      </c>
      <c r="AH2798" s="2" t="str">
        <f ca="1"/>
        <v>OK</v>
      </c>
    </row>
    <row r="2799" spans="2:34" x14ac:dyDescent="0.2">
      <c r="B2799" s="2">
        <f ca="1"/>
        <v>0.62852995780573284</v>
      </c>
      <c r="O2799" s="2">
        <f ca="1"/>
        <v>-0.83577613744890655</v>
      </c>
      <c r="X2799" s="2">
        <f ca="1"/>
        <v>62.541521837013775</v>
      </c>
      <c r="AG2799" s="2">
        <f ca="1"/>
        <v>0.36790816377591318</v>
      </c>
      <c r="AH2799" s="2" t="str">
        <f ca="1"/>
        <v>OK</v>
      </c>
    </row>
    <row r="2800" spans="2:34" x14ac:dyDescent="0.2">
      <c r="B2800" s="2">
        <f ca="1"/>
        <v>0.33153624593617681</v>
      </c>
      <c r="O2800" s="2">
        <f ca="1"/>
        <v>-5.9112959395624769E-2</v>
      </c>
      <c r="X2800" s="2">
        <f ca="1"/>
        <v>45.945643111006277</v>
      </c>
      <c r="AG2800" s="2">
        <f ca="1"/>
        <v>0.78540065934561865</v>
      </c>
      <c r="AH2800" s="2" t="str">
        <f ca="1"/>
        <v>Bad</v>
      </c>
    </row>
    <row r="2801" spans="2:34" x14ac:dyDescent="0.2">
      <c r="B2801" s="2">
        <f ca="1"/>
        <v>0.8882762887921285</v>
      </c>
      <c r="O2801" s="2">
        <f ca="1"/>
        <v>-1.298341045579317</v>
      </c>
      <c r="X2801" s="2">
        <f ca="1"/>
        <v>48.879019722672766</v>
      </c>
      <c r="AG2801" s="2">
        <f ca="1"/>
        <v>0.96182902732212572</v>
      </c>
      <c r="AH2801" s="2" t="str">
        <f ca="1"/>
        <v>Bad</v>
      </c>
    </row>
    <row r="2802" spans="2:34" x14ac:dyDescent="0.2">
      <c r="B2802" s="2">
        <f ca="1"/>
        <v>0.56636999144757816</v>
      </c>
      <c r="O2802" s="2">
        <f ca="1"/>
        <v>-7.1403972604561911E-2</v>
      </c>
      <c r="X2802" s="2">
        <f ca="1"/>
        <v>34.317391321003996</v>
      </c>
      <c r="AG2802" s="2">
        <f ca="1"/>
        <v>0.44643222836820784</v>
      </c>
      <c r="AH2802" s="2" t="str">
        <f ca="1"/>
        <v>Bad</v>
      </c>
    </row>
    <row r="2803" spans="2:34" x14ac:dyDescent="0.2">
      <c r="B2803" s="2">
        <f ca="1"/>
        <v>0.88113674609414416</v>
      </c>
      <c r="O2803" s="2">
        <f ca="1"/>
        <v>1.8283786746398063</v>
      </c>
      <c r="X2803" s="2">
        <f ca="1"/>
        <v>49.262474147942967</v>
      </c>
      <c r="AG2803" s="2">
        <f ca="1"/>
        <v>0.98508096255911726</v>
      </c>
      <c r="AH2803" s="2" t="str">
        <f ca="1"/>
        <v>Bad</v>
      </c>
    </row>
    <row r="2804" spans="2:34" x14ac:dyDescent="0.2">
      <c r="B2804" s="2">
        <f ca="1"/>
        <v>0.50996486347446757</v>
      </c>
      <c r="O2804" s="2">
        <f ca="1"/>
        <v>-1.0758200540021292</v>
      </c>
      <c r="X2804" s="2">
        <f ca="1"/>
        <v>45.124332477237772</v>
      </c>
      <c r="AG2804" s="2">
        <f ca="1"/>
        <v>0.78509896159852888</v>
      </c>
      <c r="AH2804" s="2" t="str">
        <f ca="1"/>
        <v>Bad</v>
      </c>
    </row>
    <row r="2805" spans="2:34" x14ac:dyDescent="0.2">
      <c r="B2805" s="2">
        <f ca="1"/>
        <v>0.93254217764770853</v>
      </c>
      <c r="O2805" s="2">
        <f ca="1"/>
        <v>2.5890923442584195E-2</v>
      </c>
      <c r="X2805" s="2">
        <f ca="1"/>
        <v>55.847993532394902</v>
      </c>
      <c r="AG2805" s="2">
        <f ca="1"/>
        <v>0.4629390786697487</v>
      </c>
      <c r="AH2805" s="2" t="str">
        <f ca="1"/>
        <v>Bad</v>
      </c>
    </row>
    <row r="2806" spans="2:34" x14ac:dyDescent="0.2">
      <c r="B2806" s="2">
        <f ca="1"/>
        <v>0.29177199275447352</v>
      </c>
      <c r="O2806" s="2">
        <f ca="1"/>
        <v>0.7788920138715576</v>
      </c>
      <c r="X2806" s="2">
        <f ca="1"/>
        <v>59.194051790627924</v>
      </c>
      <c r="AG2806" s="2">
        <f ca="1"/>
        <v>0.88031641042114028</v>
      </c>
      <c r="AH2806" s="2" t="str">
        <f ca="1"/>
        <v>Bad</v>
      </c>
    </row>
    <row r="2807" spans="2:34" x14ac:dyDescent="0.2">
      <c r="B2807" s="2">
        <f ca="1"/>
        <v>0.59195626741616758</v>
      </c>
      <c r="O2807" s="2">
        <f ca="1"/>
        <v>0.24754231863404449</v>
      </c>
      <c r="X2807" s="2">
        <f ca="1"/>
        <v>36.95835494994693</v>
      </c>
      <c r="AG2807" s="2">
        <f ca="1"/>
        <v>0.56020124925359305</v>
      </c>
      <c r="AH2807" s="2" t="str">
        <f ca="1"/>
        <v>Bad</v>
      </c>
    </row>
    <row r="2808" spans="2:34" x14ac:dyDescent="0.2">
      <c r="B2808" s="2">
        <f ca="1"/>
        <v>0.9901207920990549</v>
      </c>
      <c r="O2808" s="2">
        <f ca="1"/>
        <v>-0.43321314305441744</v>
      </c>
      <c r="X2808" s="2">
        <f ca="1"/>
        <v>45.459269662804104</v>
      </c>
      <c r="AG2808" s="2">
        <f ca="1"/>
        <v>0.80455056962679117</v>
      </c>
      <c r="AH2808" s="2" t="str">
        <f ca="1"/>
        <v>Bad</v>
      </c>
    </row>
    <row r="2809" spans="2:34" x14ac:dyDescent="0.2">
      <c r="B2809" s="2">
        <f ca="1"/>
        <v>0.95771109347932049</v>
      </c>
      <c r="O2809" s="2">
        <f ca="1"/>
        <v>0.96731252859792172</v>
      </c>
      <c r="X2809" s="2">
        <f ca="1"/>
        <v>45.77458709908769</v>
      </c>
      <c r="AG2809" s="2">
        <f ca="1"/>
        <v>0.66774700199190562</v>
      </c>
      <c r="AH2809" s="2" t="str">
        <f ca="1"/>
        <v>Bad</v>
      </c>
    </row>
    <row r="2810" spans="2:34" x14ac:dyDescent="0.2">
      <c r="B2810" s="2">
        <f ca="1"/>
        <v>0.31873880120795994</v>
      </c>
      <c r="O2810" s="2">
        <f ca="1"/>
        <v>0.13028360692826735</v>
      </c>
      <c r="X2810" s="2">
        <f ca="1"/>
        <v>50.328591175731233</v>
      </c>
      <c r="AG2810" s="2">
        <f ca="1"/>
        <v>4.298380894115672E-2</v>
      </c>
      <c r="AH2810" s="2" t="str">
        <f ca="1"/>
        <v>Good</v>
      </c>
    </row>
    <row r="2811" spans="2:34" x14ac:dyDescent="0.2">
      <c r="B2811" s="2">
        <f ca="1"/>
        <v>0.76560931837027968</v>
      </c>
      <c r="O2811" s="2">
        <f ca="1"/>
        <v>0.27163871616334745</v>
      </c>
      <c r="X2811" s="2">
        <f ca="1"/>
        <v>29.646980158762201</v>
      </c>
      <c r="AG2811" s="2">
        <f ca="1"/>
        <v>0.92599310552878356</v>
      </c>
      <c r="AH2811" s="2" t="str">
        <f ca="1"/>
        <v>Bad</v>
      </c>
    </row>
    <row r="2812" spans="2:34" x14ac:dyDescent="0.2">
      <c r="B2812" s="2">
        <f ca="1"/>
        <v>0.98639236774892392</v>
      </c>
      <c r="O2812" s="2">
        <f ca="1"/>
        <v>-1.1391181996002875</v>
      </c>
      <c r="X2812" s="2">
        <f ca="1"/>
        <v>44.305504582483323</v>
      </c>
      <c r="AG2812" s="2">
        <f ca="1"/>
        <v>0.78418618484967872</v>
      </c>
      <c r="AH2812" s="2" t="str">
        <f ca="1"/>
        <v>Bad</v>
      </c>
    </row>
    <row r="2813" spans="2:34" x14ac:dyDescent="0.2">
      <c r="B2813" s="2">
        <f ca="1"/>
        <v>0.95141363537967538</v>
      </c>
      <c r="O2813" s="2">
        <f ca="1"/>
        <v>0.76354602047228792</v>
      </c>
      <c r="X2813" s="2">
        <f ca="1"/>
        <v>57.255629016415895</v>
      </c>
      <c r="AG2813" s="2">
        <f ca="1"/>
        <v>0.84766192106625171</v>
      </c>
      <c r="AH2813" s="2" t="str">
        <f ca="1"/>
        <v>Bad</v>
      </c>
    </row>
    <row r="2814" spans="2:34" x14ac:dyDescent="0.2">
      <c r="B2814" s="2">
        <f ca="1"/>
        <v>0.56424967638189316</v>
      </c>
      <c r="O2814" s="2">
        <f ca="1"/>
        <v>0.48833474401495919</v>
      </c>
      <c r="X2814" s="2">
        <f ca="1"/>
        <v>52.166044516815631</v>
      </c>
      <c r="AG2814" s="2">
        <f ca="1"/>
        <v>0.61959634972568711</v>
      </c>
      <c r="AH2814" s="2" t="str">
        <f ca="1"/>
        <v>Bad</v>
      </c>
    </row>
    <row r="2815" spans="2:34" x14ac:dyDescent="0.2">
      <c r="B2815" s="2">
        <f ca="1"/>
        <v>0.58562618825701263</v>
      </c>
      <c r="O2815" s="2">
        <f ca="1"/>
        <v>-0.59464882251597628</v>
      </c>
      <c r="X2815" s="2">
        <f ca="1"/>
        <v>49.745553704814405</v>
      </c>
      <c r="AG2815" s="2">
        <f ca="1"/>
        <v>0.1670171437205672</v>
      </c>
      <c r="AH2815" s="2" t="str">
        <f ca="1"/>
        <v>OK</v>
      </c>
    </row>
    <row r="2816" spans="2:34" x14ac:dyDescent="0.2">
      <c r="B2816" s="2">
        <f ca="1"/>
        <v>0.57265018881858243</v>
      </c>
      <c r="O2816" s="2">
        <f ca="1"/>
        <v>-1.4249440115968508</v>
      </c>
      <c r="X2816" s="2">
        <f ca="1"/>
        <v>63.758648925127304</v>
      </c>
      <c r="AG2816" s="2">
        <f ca="1"/>
        <v>0.21657108827754756</v>
      </c>
      <c r="AH2816" s="2" t="str">
        <f ca="1"/>
        <v>OK</v>
      </c>
    </row>
    <row r="2817" spans="2:34" x14ac:dyDescent="0.2">
      <c r="B2817" s="2">
        <f ca="1"/>
        <v>0.37839077167208912</v>
      </c>
      <c r="O2817" s="2">
        <f ca="1"/>
        <v>-0.73115855142642239</v>
      </c>
      <c r="X2817" s="2">
        <f ca="1"/>
        <v>44.689239946604182</v>
      </c>
      <c r="AG2817" s="2">
        <f ca="1"/>
        <v>0.13972721613037886</v>
      </c>
      <c r="AH2817" s="2" t="str">
        <f ca="1"/>
        <v>OK</v>
      </c>
    </row>
    <row r="2818" spans="2:34" x14ac:dyDescent="0.2">
      <c r="B2818" s="2">
        <f ca="1"/>
        <v>0.19965175278868164</v>
      </c>
      <c r="O2818" s="2">
        <f ca="1"/>
        <v>1.1406078624179354</v>
      </c>
      <c r="X2818" s="2">
        <f ca="1"/>
        <v>31.464503024241971</v>
      </c>
      <c r="AG2818" s="2">
        <f ca="1"/>
        <v>0.92373798405405805</v>
      </c>
      <c r="AH2818" s="2" t="str">
        <f ca="1"/>
        <v>Bad</v>
      </c>
    </row>
    <row r="2819" spans="2:34" x14ac:dyDescent="0.2">
      <c r="B2819" s="2">
        <f ca="1"/>
        <v>0.88079165546748794</v>
      </c>
      <c r="O2819" s="2">
        <f ca="1"/>
        <v>0.62994523439868011</v>
      </c>
      <c r="X2819" s="2">
        <f ca="1"/>
        <v>37.428280241388102</v>
      </c>
      <c r="AG2819" s="2">
        <f ca="1"/>
        <v>0.35800141421882281</v>
      </c>
      <c r="AH2819" s="2" t="str">
        <f ca="1"/>
        <v>OK</v>
      </c>
    </row>
    <row r="2820" spans="2:34" x14ac:dyDescent="0.2">
      <c r="B2820" s="2">
        <f ca="1"/>
        <v>0.9466909330487383</v>
      </c>
      <c r="O2820" s="2">
        <f ca="1"/>
        <v>-0.79529233291762869</v>
      </c>
      <c r="X2820" s="2">
        <f ca="1"/>
        <v>44.688121461869876</v>
      </c>
      <c r="AG2820" s="2">
        <f ca="1"/>
        <v>0.59712179873111793</v>
      </c>
      <c r="AH2820" s="2" t="str">
        <f ca="1"/>
        <v>Bad</v>
      </c>
    </row>
    <row r="2821" spans="2:34" x14ac:dyDescent="0.2">
      <c r="B2821" s="2">
        <f ca="1"/>
        <v>0.89558002004024662</v>
      </c>
      <c r="O2821" s="2">
        <f ca="1"/>
        <v>-2.3592478681010043</v>
      </c>
      <c r="X2821" s="2">
        <f ca="1"/>
        <v>60.768715255836547</v>
      </c>
      <c r="AG2821" s="2">
        <f ca="1"/>
        <v>0.14812036574117782</v>
      </c>
      <c r="AH2821" s="2" t="str">
        <f ca="1"/>
        <v>OK</v>
      </c>
    </row>
    <row r="2822" spans="2:34" x14ac:dyDescent="0.2">
      <c r="B2822" s="2">
        <f ca="1"/>
        <v>0.8945934964202169</v>
      </c>
      <c r="O2822" s="2">
        <f ca="1"/>
        <v>1.3079069005503849</v>
      </c>
      <c r="X2822" s="2">
        <f ca="1"/>
        <v>56.677398024689758</v>
      </c>
      <c r="AG2822" s="2">
        <f ca="1"/>
        <v>0.14461613338098056</v>
      </c>
      <c r="AH2822" s="2" t="str">
        <f ca="1"/>
        <v>OK</v>
      </c>
    </row>
    <row r="2823" spans="2:34" x14ac:dyDescent="0.2">
      <c r="B2823" s="2">
        <f ca="1"/>
        <v>0.1054377400828328</v>
      </c>
      <c r="O2823" s="2">
        <f ca="1"/>
        <v>-1.8027181722559151</v>
      </c>
      <c r="X2823" s="2">
        <f ca="1"/>
        <v>33.16132014657066</v>
      </c>
      <c r="AG2823" s="2">
        <f ca="1"/>
        <v>0.45056683537915543</v>
      </c>
      <c r="AH2823" s="2" t="str">
        <f ca="1"/>
        <v>Bad</v>
      </c>
    </row>
    <row r="2824" spans="2:34" x14ac:dyDescent="0.2">
      <c r="B2824" s="2">
        <f ca="1"/>
        <v>9.5469103152054702E-2</v>
      </c>
      <c r="O2824" s="2">
        <f ca="1"/>
        <v>0.38106781849671933</v>
      </c>
      <c r="X2824" s="2">
        <f ca="1"/>
        <v>34.960788230116307</v>
      </c>
      <c r="AG2824" s="2">
        <f ca="1"/>
        <v>0.74598831567773538</v>
      </c>
      <c r="AH2824" s="2" t="str">
        <f ca="1"/>
        <v>Bad</v>
      </c>
    </row>
    <row r="2825" spans="2:34" x14ac:dyDescent="0.2">
      <c r="B2825" s="2">
        <f ca="1"/>
        <v>0.26354506647506781</v>
      </c>
      <c r="O2825" s="2">
        <f ca="1"/>
        <v>-0.18777026314528206</v>
      </c>
      <c r="X2825" s="2">
        <f ca="1"/>
        <v>76.200092609565615</v>
      </c>
      <c r="AG2825" s="2">
        <f ca="1"/>
        <v>0.34497973489519373</v>
      </c>
      <c r="AH2825" s="2" t="str">
        <f ca="1"/>
        <v>OK</v>
      </c>
    </row>
    <row r="2826" spans="2:34" x14ac:dyDescent="0.2">
      <c r="B2826" s="2">
        <f ca="1"/>
        <v>0.29564450717436275</v>
      </c>
      <c r="O2826" s="2">
        <f ca="1"/>
        <v>8.1309567787071171E-2</v>
      </c>
      <c r="X2826" s="2">
        <f ca="1"/>
        <v>72.918299460971525</v>
      </c>
      <c r="AG2826" s="2">
        <f ca="1"/>
        <v>0.45228153445829689</v>
      </c>
      <c r="AH2826" s="2" t="str">
        <f ca="1"/>
        <v>Bad</v>
      </c>
    </row>
    <row r="2827" spans="2:34" x14ac:dyDescent="0.2">
      <c r="B2827" s="2">
        <f ca="1"/>
        <v>0.24988233471578836</v>
      </c>
      <c r="O2827" s="2">
        <f ca="1"/>
        <v>-0.73470119430026093</v>
      </c>
      <c r="X2827" s="2">
        <f ca="1"/>
        <v>95.852255266966353</v>
      </c>
      <c r="AG2827" s="2">
        <f ca="1"/>
        <v>0.74111919821459971</v>
      </c>
      <c r="AH2827" s="2" t="str">
        <f ca="1"/>
        <v>Bad</v>
      </c>
    </row>
    <row r="2828" spans="2:34" x14ac:dyDescent="0.2">
      <c r="B2828" s="2">
        <f ca="1"/>
        <v>0.50812400375500788</v>
      </c>
      <c r="O2828" s="2">
        <f ca="1"/>
        <v>1.1143679238259152</v>
      </c>
      <c r="X2828" s="2">
        <f ca="1"/>
        <v>51.011447575899723</v>
      </c>
      <c r="AG2828" s="2">
        <f ca="1"/>
        <v>0.40634349652322399</v>
      </c>
      <c r="AH2828" s="2" t="str">
        <f ca="1"/>
        <v>Bad</v>
      </c>
    </row>
    <row r="2829" spans="2:34" x14ac:dyDescent="0.2">
      <c r="B2829" s="2">
        <f ca="1"/>
        <v>0.45732653566880122</v>
      </c>
      <c r="O2829" s="2">
        <f ca="1"/>
        <v>-0.67253838894395568</v>
      </c>
      <c r="X2829" s="2">
        <f ca="1"/>
        <v>50.196002154109784</v>
      </c>
      <c r="AG2829" s="2">
        <f ca="1"/>
        <v>0.34915898070066742</v>
      </c>
      <c r="AH2829" s="2" t="str">
        <f ca="1"/>
        <v>OK</v>
      </c>
    </row>
    <row r="2830" spans="2:34" x14ac:dyDescent="0.2">
      <c r="B2830" s="2">
        <f ca="1"/>
        <v>0.73033503310569814</v>
      </c>
      <c r="O2830" s="2">
        <f ca="1"/>
        <v>-2.0563695034288063</v>
      </c>
      <c r="X2830" s="2">
        <f ca="1"/>
        <v>47.426620484631982</v>
      </c>
      <c r="AG2830" s="2">
        <f ca="1"/>
        <v>0.17348422336714542</v>
      </c>
      <c r="AH2830" s="2" t="str">
        <f ca="1"/>
        <v>OK</v>
      </c>
    </row>
    <row r="2831" spans="2:34" x14ac:dyDescent="0.2">
      <c r="B2831" s="2">
        <f ca="1"/>
        <v>0.9349432339126027</v>
      </c>
      <c r="O2831" s="2">
        <f ca="1"/>
        <v>-0.38961842686056825</v>
      </c>
      <c r="X2831" s="2">
        <f ca="1"/>
        <v>61.525695909507476</v>
      </c>
      <c r="AG2831" s="2">
        <f ca="1"/>
        <v>0.42435298731287729</v>
      </c>
      <c r="AH2831" s="2" t="str">
        <f ca="1"/>
        <v>Bad</v>
      </c>
    </row>
    <row r="2832" spans="2:34" x14ac:dyDescent="0.2">
      <c r="B2832" s="2">
        <f ca="1"/>
        <v>0.84335485055677539</v>
      </c>
      <c r="O2832" s="2">
        <f ca="1"/>
        <v>-0.72019860060233432</v>
      </c>
      <c r="X2832" s="2">
        <f ca="1"/>
        <v>62.191927801529914</v>
      </c>
      <c r="AG2832" s="2">
        <f ca="1"/>
        <v>1.5612482678559525E-2</v>
      </c>
      <c r="AH2832" s="2" t="str">
        <f ca="1"/>
        <v>Good</v>
      </c>
    </row>
    <row r="2833" spans="2:34" x14ac:dyDescent="0.2">
      <c r="B2833" s="2">
        <f ca="1"/>
        <v>0.97126153113858704</v>
      </c>
      <c r="O2833" s="2">
        <f ca="1"/>
        <v>2.1875918933566485</v>
      </c>
      <c r="X2833" s="2">
        <f ca="1"/>
        <v>33.517602327359022</v>
      </c>
      <c r="AG2833" s="2">
        <f ca="1"/>
        <v>0.78872285691638799</v>
      </c>
      <c r="AH2833" s="2" t="str">
        <f ca="1"/>
        <v>Bad</v>
      </c>
    </row>
    <row r="2834" spans="2:34" x14ac:dyDescent="0.2">
      <c r="B2834" s="2">
        <f ca="1"/>
        <v>0.60067848987202477</v>
      </c>
      <c r="O2834" s="2">
        <f ca="1"/>
        <v>-0.49933861795930329</v>
      </c>
      <c r="X2834" s="2">
        <f ca="1"/>
        <v>28.377932692163604</v>
      </c>
      <c r="AG2834" s="2">
        <f ca="1"/>
        <v>0.49671764336324098</v>
      </c>
      <c r="AH2834" s="2" t="str">
        <f ca="1"/>
        <v>Bad</v>
      </c>
    </row>
    <row r="2835" spans="2:34" x14ac:dyDescent="0.2">
      <c r="B2835" s="2">
        <f ca="1"/>
        <v>0.60006315779138952</v>
      </c>
      <c r="O2835" s="2">
        <f ca="1"/>
        <v>-0.18772376692765083</v>
      </c>
      <c r="X2835" s="2">
        <f ca="1"/>
        <v>58.902759714282141</v>
      </c>
      <c r="AG2835" s="2">
        <f ca="1"/>
        <v>0.60914598575042245</v>
      </c>
      <c r="AH2835" s="2" t="str">
        <f ca="1"/>
        <v>Bad</v>
      </c>
    </row>
    <row r="2836" spans="2:34" x14ac:dyDescent="0.2">
      <c r="B2836" s="2">
        <f ca="1"/>
        <v>0.12877474971618774</v>
      </c>
      <c r="O2836" s="2">
        <f ca="1"/>
        <v>0.40084363924587274</v>
      </c>
      <c r="X2836" s="2">
        <f ca="1"/>
        <v>63.217800683870649</v>
      </c>
      <c r="AG2836" s="2">
        <f ca="1"/>
        <v>0.35437421223584886</v>
      </c>
      <c r="AH2836" s="2" t="str">
        <f ca="1"/>
        <v>OK</v>
      </c>
    </row>
    <row r="2837" spans="2:34" x14ac:dyDescent="0.2">
      <c r="B2837" s="2">
        <f ca="1"/>
        <v>0.99700934136256669</v>
      </c>
      <c r="O2837" s="2">
        <f ca="1"/>
        <v>1.9457551396240957</v>
      </c>
      <c r="X2837" s="2">
        <f ca="1"/>
        <v>55.067367876366433</v>
      </c>
      <c r="AG2837" s="2">
        <f ca="1"/>
        <v>0.65713795784173468</v>
      </c>
      <c r="AH2837" s="2" t="str">
        <f ca="1"/>
        <v>Bad</v>
      </c>
    </row>
    <row r="2838" spans="2:34" x14ac:dyDescent="0.2">
      <c r="B2838" s="2">
        <f ca="1"/>
        <v>0.28659078942286609</v>
      </c>
      <c r="O2838" s="2">
        <f ca="1"/>
        <v>-0.5764919483821509</v>
      </c>
      <c r="X2838" s="2">
        <f ca="1"/>
        <v>29.877662757585949</v>
      </c>
      <c r="AG2838" s="2">
        <f ca="1"/>
        <v>0.60066378359708095</v>
      </c>
      <c r="AH2838" s="2" t="str">
        <f ca="1"/>
        <v>Bad</v>
      </c>
    </row>
    <row r="2839" spans="2:34" x14ac:dyDescent="0.2">
      <c r="B2839" s="2">
        <f ca="1"/>
        <v>0.61308292955548493</v>
      </c>
      <c r="O2839" s="2">
        <f ca="1"/>
        <v>0.89086879610620984</v>
      </c>
      <c r="X2839" s="2">
        <f ca="1"/>
        <v>48.620120546931659</v>
      </c>
      <c r="AG2839" s="2">
        <f ca="1"/>
        <v>0.68013968063988939</v>
      </c>
      <c r="AH2839" s="2" t="str">
        <f ca="1"/>
        <v>Bad</v>
      </c>
    </row>
    <row r="2840" spans="2:34" x14ac:dyDescent="0.2">
      <c r="B2840" s="2">
        <f ca="1"/>
        <v>0.92465263997707825</v>
      </c>
      <c r="O2840" s="2">
        <f ca="1"/>
        <v>1.364888555790049</v>
      </c>
      <c r="X2840" s="2">
        <f ca="1"/>
        <v>73.883895756268188</v>
      </c>
      <c r="AG2840" s="2">
        <f ca="1"/>
        <v>0.21293879686090467</v>
      </c>
      <c r="AH2840" s="2" t="str">
        <f ca="1"/>
        <v>OK</v>
      </c>
    </row>
    <row r="2841" spans="2:34" x14ac:dyDescent="0.2">
      <c r="B2841" s="2">
        <f ca="1"/>
        <v>0.51412144163538742</v>
      </c>
      <c r="O2841" s="2">
        <f ca="1"/>
        <v>7.7622815654789956E-2</v>
      </c>
      <c r="X2841" s="2">
        <f ca="1"/>
        <v>56.602540630861967</v>
      </c>
      <c r="AG2841" s="2">
        <f ca="1"/>
        <v>0.79963464224986658</v>
      </c>
      <c r="AH2841" s="2" t="str">
        <f ca="1"/>
        <v>Bad</v>
      </c>
    </row>
    <row r="2842" spans="2:34" x14ac:dyDescent="0.2">
      <c r="B2842" s="2">
        <f ca="1"/>
        <v>5.8031301425116588E-2</v>
      </c>
      <c r="O2842" s="2">
        <f ca="1"/>
        <v>-0.28438758681713849</v>
      </c>
      <c r="X2842" s="2">
        <f ca="1"/>
        <v>64.484838269877272</v>
      </c>
      <c r="AG2842" s="2">
        <f ca="1"/>
        <v>0.22498508737508693</v>
      </c>
      <c r="AH2842" s="2" t="str">
        <f ca="1"/>
        <v>OK</v>
      </c>
    </row>
    <row r="2843" spans="2:34" x14ac:dyDescent="0.2">
      <c r="B2843" s="2">
        <f ca="1"/>
        <v>0.79298509420413898</v>
      </c>
      <c r="O2843" s="2">
        <f ca="1"/>
        <v>-0.1481228630576179</v>
      </c>
      <c r="X2843" s="2">
        <f ca="1"/>
        <v>32.051923889078118</v>
      </c>
      <c r="AG2843" s="2">
        <f ca="1"/>
        <v>4.485092054456663E-2</v>
      </c>
      <c r="AH2843" s="2" t="str">
        <f ca="1"/>
        <v>Good</v>
      </c>
    </row>
    <row r="2844" spans="2:34" x14ac:dyDescent="0.2">
      <c r="B2844" s="2">
        <f ca="1"/>
        <v>0.48378938203834587</v>
      </c>
      <c r="O2844" s="2">
        <f ca="1"/>
        <v>0.36408969901061766</v>
      </c>
      <c r="X2844" s="2">
        <f ca="1"/>
        <v>51.245527824964405</v>
      </c>
      <c r="AG2844" s="2">
        <f ca="1"/>
        <v>0.31882583364022432</v>
      </c>
      <c r="AH2844" s="2" t="str">
        <f ca="1"/>
        <v>OK</v>
      </c>
    </row>
    <row r="2845" spans="2:34" x14ac:dyDescent="0.2">
      <c r="B2845" s="2">
        <f ca="1"/>
        <v>0.68975156995697806</v>
      </c>
      <c r="O2845" s="2">
        <f ca="1"/>
        <v>0.23411366797509439</v>
      </c>
      <c r="X2845" s="2">
        <f ca="1"/>
        <v>52.778072457322352</v>
      </c>
      <c r="AG2845" s="2">
        <f ca="1"/>
        <v>0.39755719196669648</v>
      </c>
      <c r="AH2845" s="2" t="str">
        <f ca="1"/>
        <v>OK</v>
      </c>
    </row>
    <row r="2846" spans="2:34" x14ac:dyDescent="0.2">
      <c r="B2846" s="2">
        <f ca="1"/>
        <v>0.56315827195083279</v>
      </c>
      <c r="O2846" s="2">
        <f ca="1"/>
        <v>-0.53653496025303593</v>
      </c>
      <c r="X2846" s="2">
        <f ca="1"/>
        <v>40.517505708207928</v>
      </c>
      <c r="AG2846" s="2">
        <f ca="1"/>
        <v>0.3498739366179302</v>
      </c>
      <c r="AH2846" s="2" t="str">
        <f ca="1"/>
        <v>OK</v>
      </c>
    </row>
    <row r="2847" spans="2:34" x14ac:dyDescent="0.2">
      <c r="B2847" s="2">
        <f ca="1"/>
        <v>0.87643357702669666</v>
      </c>
      <c r="O2847" s="2">
        <f ca="1"/>
        <v>-0.71554312741665838</v>
      </c>
      <c r="X2847" s="2">
        <f ca="1"/>
        <v>55.579382352094846</v>
      </c>
      <c r="AG2847" s="2">
        <f ca="1"/>
        <v>0.68128065623660272</v>
      </c>
      <c r="AH2847" s="2" t="str">
        <f ca="1"/>
        <v>Bad</v>
      </c>
    </row>
    <row r="2848" spans="2:34" x14ac:dyDescent="0.2">
      <c r="B2848" s="2">
        <f ca="1"/>
        <v>0.5160015419062709</v>
      </c>
      <c r="O2848" s="2">
        <f ca="1"/>
        <v>-2.57454266690023E-2</v>
      </c>
      <c r="X2848" s="2">
        <f ca="1"/>
        <v>75.204180215366762</v>
      </c>
      <c r="AG2848" s="2">
        <f ca="1"/>
        <v>3.4782686519327921E-2</v>
      </c>
      <c r="AH2848" s="2" t="str">
        <f ca="1"/>
        <v>Good</v>
      </c>
    </row>
    <row r="2849" spans="2:34" x14ac:dyDescent="0.2">
      <c r="B2849" s="2">
        <f ca="1"/>
        <v>0.62560413857158226</v>
      </c>
      <c r="O2849" s="2">
        <f ca="1"/>
        <v>-1.0780025463938236</v>
      </c>
      <c r="X2849" s="2">
        <f ca="1"/>
        <v>40.640050870699753</v>
      </c>
      <c r="AG2849" s="2">
        <f ca="1"/>
        <v>0.64517898781321925</v>
      </c>
      <c r="AH2849" s="2" t="str">
        <f ca="1"/>
        <v>Bad</v>
      </c>
    </row>
    <row r="2850" spans="2:34" x14ac:dyDescent="0.2">
      <c r="B2850" s="2">
        <f ca="1"/>
        <v>0.78736586911652884</v>
      </c>
      <c r="O2850" s="2">
        <f ca="1"/>
        <v>0.36377498740337733</v>
      </c>
      <c r="X2850" s="2">
        <f ca="1"/>
        <v>34.250125587387686</v>
      </c>
      <c r="AG2850" s="2">
        <f ca="1"/>
        <v>0.78757355654190864</v>
      </c>
      <c r="AH2850" s="2" t="str">
        <f ca="1"/>
        <v>Bad</v>
      </c>
    </row>
    <row r="2851" spans="2:34" x14ac:dyDescent="0.2">
      <c r="B2851" s="2">
        <f ca="1"/>
        <v>0.94192847491964882</v>
      </c>
      <c r="O2851" s="2">
        <f ca="1"/>
        <v>1.0338723515931361</v>
      </c>
      <c r="X2851" s="2">
        <f ca="1"/>
        <v>43.345050911457932</v>
      </c>
      <c r="AG2851" s="2">
        <f ca="1"/>
        <v>0.19884407381862812</v>
      </c>
      <c r="AH2851" s="2" t="str">
        <f ca="1"/>
        <v>OK</v>
      </c>
    </row>
    <row r="2852" spans="2:34" x14ac:dyDescent="0.2">
      <c r="B2852" s="2">
        <f ca="1"/>
        <v>0.91663363189512381</v>
      </c>
      <c r="O2852" s="2">
        <f ca="1"/>
        <v>-2.88952556579539</v>
      </c>
      <c r="X2852" s="2">
        <f ca="1"/>
        <v>54.889746885262866</v>
      </c>
      <c r="AG2852" s="2">
        <f ca="1"/>
        <v>0.15726296058942379</v>
      </c>
      <c r="AH2852" s="2" t="str">
        <f ca="1"/>
        <v>OK</v>
      </c>
    </row>
    <row r="2853" spans="2:34" x14ac:dyDescent="0.2">
      <c r="B2853" s="2">
        <f ca="1"/>
        <v>0.8701561883129183</v>
      </c>
      <c r="O2853" s="2">
        <f ca="1"/>
        <v>-0.5906208764833828</v>
      </c>
      <c r="X2853" s="2">
        <f ca="1"/>
        <v>64.928381846707737</v>
      </c>
      <c r="AG2853" s="2">
        <f ca="1"/>
        <v>0.71872494199988424</v>
      </c>
      <c r="AH2853" s="2" t="str">
        <f ca="1"/>
        <v>Bad</v>
      </c>
    </row>
    <row r="2854" spans="2:34" x14ac:dyDescent="0.2">
      <c r="B2854" s="2">
        <f ca="1"/>
        <v>0.78739992847636486</v>
      </c>
      <c r="O2854" s="2">
        <f ca="1"/>
        <v>-1.2798412661655718</v>
      </c>
      <c r="X2854" s="2">
        <f ca="1"/>
        <v>47.946668039723818</v>
      </c>
      <c r="AG2854" s="2">
        <f ca="1"/>
        <v>0.51849361202048749</v>
      </c>
      <c r="AH2854" s="2" t="str">
        <f ca="1"/>
        <v>Bad</v>
      </c>
    </row>
    <row r="2855" spans="2:34" x14ac:dyDescent="0.2">
      <c r="B2855" s="2">
        <f ca="1"/>
        <v>0.92921604952460024</v>
      </c>
      <c r="O2855" s="2">
        <f ca="1"/>
        <v>0.73344973047517936</v>
      </c>
      <c r="X2855" s="2">
        <f ca="1"/>
        <v>56.445164581437517</v>
      </c>
      <c r="AG2855" s="2">
        <f ca="1"/>
        <v>0.99477897091594936</v>
      </c>
      <c r="AH2855" s="2" t="str">
        <f ca="1"/>
        <v>Bad</v>
      </c>
    </row>
    <row r="2856" spans="2:34" x14ac:dyDescent="0.2">
      <c r="B2856" s="2">
        <f ca="1"/>
        <v>0.62834343503705004</v>
      </c>
      <c r="O2856" s="2">
        <f ca="1"/>
        <v>0.7608107981736052</v>
      </c>
      <c r="X2856" s="2">
        <f ca="1"/>
        <v>60.650509020943502</v>
      </c>
      <c r="AG2856" s="2">
        <f ca="1"/>
        <v>0.99177627455587891</v>
      </c>
      <c r="AH2856" s="2" t="str">
        <f ca="1"/>
        <v>Bad</v>
      </c>
    </row>
    <row r="2857" spans="2:34" x14ac:dyDescent="0.2">
      <c r="B2857" s="2">
        <f ca="1"/>
        <v>0.39013369488218053</v>
      </c>
      <c r="O2857" s="2">
        <f ca="1"/>
        <v>-0.80755503918911442</v>
      </c>
      <c r="X2857" s="2">
        <f ca="1"/>
        <v>42.298297741960631</v>
      </c>
      <c r="AG2857" s="2">
        <f ca="1"/>
        <v>0.34305704486009758</v>
      </c>
      <c r="AH2857" s="2" t="str">
        <f ca="1"/>
        <v>OK</v>
      </c>
    </row>
    <row r="2858" spans="2:34" x14ac:dyDescent="0.2">
      <c r="B2858" s="2">
        <f ca="1"/>
        <v>0.51702878504032102</v>
      </c>
      <c r="O2858" s="2">
        <f ca="1"/>
        <v>0.73365994960319059</v>
      </c>
      <c r="X2858" s="2">
        <f ca="1"/>
        <v>31.075563400442981</v>
      </c>
      <c r="AG2858" s="2">
        <f ca="1"/>
        <v>5.3201194747476421E-4</v>
      </c>
      <c r="AH2858" s="2" t="str">
        <f ca="1"/>
        <v>Good</v>
      </c>
    </row>
    <row r="2859" spans="2:34" x14ac:dyDescent="0.2">
      <c r="B2859" s="2">
        <f ca="1"/>
        <v>0.18702732958658452</v>
      </c>
      <c r="O2859" s="2">
        <f ca="1"/>
        <v>0.3994428219424867</v>
      </c>
      <c r="X2859" s="2">
        <f ca="1"/>
        <v>42.23004279059235</v>
      </c>
      <c r="AG2859" s="2">
        <f ca="1"/>
        <v>0.10253123393687669</v>
      </c>
      <c r="AH2859" s="2" t="str">
        <f ca="1"/>
        <v>OK</v>
      </c>
    </row>
    <row r="2860" spans="2:34" x14ac:dyDescent="0.2">
      <c r="B2860" s="2">
        <f ca="1"/>
        <v>0.40108015878579084</v>
      </c>
      <c r="O2860" s="2">
        <f ca="1"/>
        <v>1.3684275907232866</v>
      </c>
      <c r="X2860" s="2">
        <f ca="1"/>
        <v>46.978956119063142</v>
      </c>
      <c r="AG2860" s="2">
        <f ca="1"/>
        <v>0.28592309794256043</v>
      </c>
      <c r="AH2860" s="2" t="str">
        <f ca="1"/>
        <v>OK</v>
      </c>
    </row>
    <row r="2861" spans="2:34" x14ac:dyDescent="0.2">
      <c r="B2861" s="2">
        <f ca="1"/>
        <v>0.4150782494419778</v>
      </c>
      <c r="O2861" s="2">
        <f ca="1"/>
        <v>6.5837699313224141E-2</v>
      </c>
      <c r="X2861" s="2">
        <f ca="1"/>
        <v>42.397900305796561</v>
      </c>
      <c r="AG2861" s="2">
        <f ca="1"/>
        <v>0.35230971107299869</v>
      </c>
      <c r="AH2861" s="2" t="str">
        <f ca="1"/>
        <v>OK</v>
      </c>
    </row>
    <row r="2862" spans="2:34" x14ac:dyDescent="0.2">
      <c r="B2862" s="2">
        <f ca="1"/>
        <v>0.67066456497662208</v>
      </c>
      <c r="O2862" s="2">
        <f ca="1"/>
        <v>1.7100283184245408</v>
      </c>
      <c r="X2862" s="2">
        <f ca="1"/>
        <v>54.298102309730211</v>
      </c>
      <c r="AG2862" s="2">
        <f ca="1"/>
        <v>0.87418526793705165</v>
      </c>
      <c r="AH2862" s="2" t="str">
        <f ca="1"/>
        <v>Bad</v>
      </c>
    </row>
    <row r="2863" spans="2:34" x14ac:dyDescent="0.2">
      <c r="B2863" s="2">
        <f ca="1"/>
        <v>0.97936335455312995</v>
      </c>
      <c r="O2863" s="2">
        <f ca="1"/>
        <v>1.2691730746520244</v>
      </c>
      <c r="X2863" s="2">
        <f ca="1"/>
        <v>44.194371958120591</v>
      </c>
      <c r="AG2863" s="2">
        <f ca="1"/>
        <v>0.43787482175965908</v>
      </c>
      <c r="AH2863" s="2" t="str">
        <f ca="1"/>
        <v>Bad</v>
      </c>
    </row>
    <row r="2864" spans="2:34" x14ac:dyDescent="0.2">
      <c r="B2864" s="2">
        <f ca="1"/>
        <v>0.31822861048512818</v>
      </c>
      <c r="O2864" s="2">
        <f ca="1"/>
        <v>1.3021967842970397</v>
      </c>
      <c r="X2864" s="2">
        <f ca="1"/>
        <v>34.481057893233668</v>
      </c>
      <c r="AG2864" s="2">
        <f ca="1"/>
        <v>0.10645158866987159</v>
      </c>
      <c r="AH2864" s="2" t="str">
        <f ca="1"/>
        <v>OK</v>
      </c>
    </row>
    <row r="2865" spans="2:34" x14ac:dyDescent="0.2">
      <c r="B2865" s="2">
        <f ca="1"/>
        <v>0.2333182522453261</v>
      </c>
      <c r="O2865" s="2">
        <f ca="1"/>
        <v>0.70111461682838827</v>
      </c>
      <c r="X2865" s="2">
        <f ca="1"/>
        <v>52.036443076067641</v>
      </c>
      <c r="AG2865" s="2">
        <f ca="1"/>
        <v>0.54898141390767696</v>
      </c>
      <c r="AH2865" s="2" t="str">
        <f ca="1"/>
        <v>Bad</v>
      </c>
    </row>
    <row r="2866" spans="2:34" x14ac:dyDescent="0.2">
      <c r="B2866" s="2">
        <f ca="1"/>
        <v>0.47871918766068533</v>
      </c>
      <c r="O2866" s="2">
        <f ca="1"/>
        <v>-0.12660218430599376</v>
      </c>
      <c r="X2866" s="2">
        <f ca="1"/>
        <v>50.04058885665134</v>
      </c>
      <c r="AG2866" s="2">
        <f ca="1"/>
        <v>0.70724713118746885</v>
      </c>
      <c r="AH2866" s="2" t="str">
        <f ca="1"/>
        <v>Bad</v>
      </c>
    </row>
    <row r="2867" spans="2:34" x14ac:dyDescent="0.2">
      <c r="B2867" s="2">
        <f ca="1"/>
        <v>0.287501630599303</v>
      </c>
      <c r="O2867" s="2">
        <f ca="1"/>
        <v>-0.37466616213949133</v>
      </c>
      <c r="X2867" s="2">
        <f ca="1"/>
        <v>45.857210445279279</v>
      </c>
      <c r="AG2867" s="2">
        <f ca="1"/>
        <v>0.28904047605087713</v>
      </c>
      <c r="AH2867" s="2" t="str">
        <f ca="1"/>
        <v>OK</v>
      </c>
    </row>
    <row r="2868" spans="2:34" x14ac:dyDescent="0.2">
      <c r="B2868" s="2">
        <f ca="1"/>
        <v>0.92297695575017369</v>
      </c>
      <c r="O2868" s="2">
        <f ca="1"/>
        <v>-0.52372287526560202</v>
      </c>
      <c r="X2868" s="2">
        <f ca="1"/>
        <v>32.952255993911052</v>
      </c>
      <c r="AG2868" s="2">
        <f ca="1"/>
        <v>0.97803333518351288</v>
      </c>
      <c r="AH2868" s="2" t="str">
        <f ca="1"/>
        <v>Bad</v>
      </c>
    </row>
    <row r="2869" spans="2:34" x14ac:dyDescent="0.2">
      <c r="B2869" s="2">
        <f ca="1"/>
        <v>0.82892006397123552</v>
      </c>
      <c r="O2869" s="2">
        <f ca="1"/>
        <v>-0.54922161828896587</v>
      </c>
      <c r="X2869" s="2">
        <f ca="1"/>
        <v>36.062031807291099</v>
      </c>
      <c r="AG2869" s="2">
        <f ca="1"/>
        <v>0.27188235233316482</v>
      </c>
      <c r="AH2869" s="2" t="str">
        <f ca="1"/>
        <v>OK</v>
      </c>
    </row>
    <row r="2870" spans="2:34" x14ac:dyDescent="0.2">
      <c r="B2870" s="2">
        <f ca="1"/>
        <v>0.65195458301528975</v>
      </c>
      <c r="O2870" s="2">
        <f ca="1"/>
        <v>0.24813446662169053</v>
      </c>
      <c r="X2870" s="2">
        <f ca="1"/>
        <v>58.93087028307459</v>
      </c>
      <c r="AG2870" s="2">
        <f ca="1"/>
        <v>0.78743647952171192</v>
      </c>
      <c r="AH2870" s="2" t="str">
        <f ca="1"/>
        <v>Bad</v>
      </c>
    </row>
    <row r="2871" spans="2:34" x14ac:dyDescent="0.2">
      <c r="B2871" s="2">
        <f ca="1"/>
        <v>0.7383686051501912</v>
      </c>
      <c r="O2871" s="2">
        <f ca="1"/>
        <v>1.193987394527785</v>
      </c>
      <c r="X2871" s="2">
        <f ca="1"/>
        <v>43.552340180742767</v>
      </c>
      <c r="AG2871" s="2">
        <f ca="1"/>
        <v>0.57179291030662016</v>
      </c>
      <c r="AH2871" s="2" t="str">
        <f ca="1"/>
        <v>Bad</v>
      </c>
    </row>
    <row r="2872" spans="2:34" x14ac:dyDescent="0.2">
      <c r="B2872" s="2">
        <f ca="1"/>
        <v>0.94164991395654996</v>
      </c>
      <c r="O2872" s="2">
        <f ca="1"/>
        <v>-0.77339231487230053</v>
      </c>
      <c r="X2872" s="2">
        <f ca="1"/>
        <v>41.704114812009664</v>
      </c>
      <c r="AG2872" s="2">
        <f ca="1"/>
        <v>0.19474716659535551</v>
      </c>
      <c r="AH2872" s="2" t="str">
        <f ca="1"/>
        <v>OK</v>
      </c>
    </row>
    <row r="2873" spans="2:34" x14ac:dyDescent="0.2">
      <c r="B2873" s="2">
        <f ca="1"/>
        <v>0.42097326679641722</v>
      </c>
      <c r="O2873" s="2">
        <f ca="1"/>
        <v>0.88985392895170856</v>
      </c>
      <c r="X2873" s="2">
        <f ca="1"/>
        <v>63.4930611094683</v>
      </c>
      <c r="AG2873" s="2">
        <f ca="1"/>
        <v>0.19335311647280706</v>
      </c>
      <c r="AH2873" s="2" t="str">
        <f ca="1"/>
        <v>OK</v>
      </c>
    </row>
    <row r="2874" spans="2:34" x14ac:dyDescent="0.2">
      <c r="B2874" s="2">
        <f ca="1"/>
        <v>3.8449373364487283E-2</v>
      </c>
      <c r="O2874" s="2">
        <f ca="1"/>
        <v>-0.66905648768519077</v>
      </c>
      <c r="X2874" s="2">
        <f ca="1"/>
        <v>96.481345649554129</v>
      </c>
      <c r="AG2874" s="2">
        <f ca="1"/>
        <v>0.36969749977023758</v>
      </c>
      <c r="AH2874" s="2" t="str">
        <f ca="1"/>
        <v>OK</v>
      </c>
    </row>
    <row r="2875" spans="2:34" x14ac:dyDescent="0.2">
      <c r="B2875" s="2">
        <f ca="1"/>
        <v>0.67900258090354604</v>
      </c>
      <c r="O2875" s="2">
        <f ca="1"/>
        <v>-0.59092962211969136</v>
      </c>
      <c r="X2875" s="2">
        <f ca="1"/>
        <v>51.211666871959309</v>
      </c>
      <c r="AG2875" s="2">
        <f ca="1"/>
        <v>0.87360045014052035</v>
      </c>
      <c r="AH2875" s="2" t="str">
        <f ca="1"/>
        <v>Bad</v>
      </c>
    </row>
    <row r="2876" spans="2:34" x14ac:dyDescent="0.2">
      <c r="B2876" s="2">
        <f ca="1"/>
        <v>0.18262223125248922</v>
      </c>
      <c r="O2876" s="2">
        <f ca="1"/>
        <v>-0.23241775186080163</v>
      </c>
      <c r="X2876" s="2">
        <f ca="1"/>
        <v>41.052225153226118</v>
      </c>
      <c r="AG2876" s="2">
        <f ca="1"/>
        <v>0.31519005947109813</v>
      </c>
      <c r="AH2876" s="2" t="str">
        <f ca="1"/>
        <v>OK</v>
      </c>
    </row>
    <row r="2877" spans="2:34" x14ac:dyDescent="0.2">
      <c r="B2877" s="2">
        <f ca="1"/>
        <v>4.3206330404845783E-3</v>
      </c>
      <c r="O2877" s="2">
        <f ca="1"/>
        <v>-0.26120404085455151</v>
      </c>
      <c r="X2877" s="2">
        <f ca="1"/>
        <v>56.269930313142318</v>
      </c>
      <c r="AG2877" s="2">
        <f ca="1"/>
        <v>0.32045699556862095</v>
      </c>
      <c r="AH2877" s="2" t="str">
        <f ca="1"/>
        <v>OK</v>
      </c>
    </row>
    <row r="2878" spans="2:34" x14ac:dyDescent="0.2">
      <c r="B2878" s="2">
        <f ca="1"/>
        <v>0.10400560852241636</v>
      </c>
      <c r="O2878" s="2">
        <f ca="1"/>
        <v>-4.0154404853162261E-2</v>
      </c>
      <c r="X2878" s="2">
        <f ca="1"/>
        <v>65.933427982469141</v>
      </c>
      <c r="AG2878" s="2">
        <f ca="1"/>
        <v>8.5158716664231138E-2</v>
      </c>
      <c r="AH2878" s="2" t="str">
        <f ca="1"/>
        <v>OK</v>
      </c>
    </row>
    <row r="2879" spans="2:34" x14ac:dyDescent="0.2">
      <c r="B2879" s="2">
        <f ca="1"/>
        <v>0.24684964512835994</v>
      </c>
      <c r="O2879" s="2">
        <f ca="1"/>
        <v>0.84329846531039376</v>
      </c>
      <c r="X2879" s="2">
        <f ca="1"/>
        <v>78.249916326929025</v>
      </c>
      <c r="AG2879" s="2">
        <f ca="1"/>
        <v>0.98200259589448979</v>
      </c>
      <c r="AH2879" s="2" t="str">
        <f ca="1"/>
        <v>Bad</v>
      </c>
    </row>
    <row r="2880" spans="2:34" x14ac:dyDescent="0.2">
      <c r="B2880" s="2">
        <f ca="1"/>
        <v>2.4233052165581803E-2</v>
      </c>
      <c r="O2880" s="2">
        <f ca="1"/>
        <v>0.44297126724810987</v>
      </c>
      <c r="X2880" s="2">
        <f ca="1"/>
        <v>56.799293319292687</v>
      </c>
      <c r="AG2880" s="2">
        <f ca="1"/>
        <v>0.63795374489025103</v>
      </c>
      <c r="AH2880" s="2" t="str">
        <f ca="1"/>
        <v>Bad</v>
      </c>
    </row>
    <row r="2881" spans="2:34" x14ac:dyDescent="0.2">
      <c r="B2881" s="2">
        <f ca="1"/>
        <v>0.34096857538628944</v>
      </c>
      <c r="O2881" s="2">
        <f ca="1"/>
        <v>-0.3763263386628935</v>
      </c>
      <c r="X2881" s="2">
        <f ca="1"/>
        <v>32.801373518391792</v>
      </c>
      <c r="AG2881" s="2">
        <f ca="1"/>
        <v>0.216543735424779</v>
      </c>
      <c r="AH2881" s="2" t="str">
        <f ca="1"/>
        <v>OK</v>
      </c>
    </row>
    <row r="2882" spans="2:34" x14ac:dyDescent="0.2">
      <c r="B2882" s="2">
        <f ca="1"/>
        <v>1.3307511513616976E-2</v>
      </c>
      <c r="O2882" s="2">
        <f ca="1"/>
        <v>0.56767438908217716</v>
      </c>
      <c r="X2882" s="2">
        <f ca="1"/>
        <v>25.035310009716628</v>
      </c>
      <c r="AG2882" s="2">
        <f ca="1"/>
        <v>0.63533841159287441</v>
      </c>
      <c r="AH2882" s="2" t="str">
        <f ca="1"/>
        <v>Bad</v>
      </c>
    </row>
    <row r="2883" spans="2:34" x14ac:dyDescent="0.2">
      <c r="B2883" s="2">
        <f ca="1"/>
        <v>0.34389705050203756</v>
      </c>
      <c r="O2883" s="2">
        <f ca="1"/>
        <v>0.26624329250073336</v>
      </c>
      <c r="X2883" s="2">
        <f ca="1"/>
        <v>41.45730746295456</v>
      </c>
      <c r="AG2883" s="2">
        <f ca="1"/>
        <v>0.88467226119061726</v>
      </c>
      <c r="AH2883" s="2" t="str">
        <f ca="1"/>
        <v>Bad</v>
      </c>
    </row>
    <row r="2884" spans="2:34" x14ac:dyDescent="0.2">
      <c r="B2884" s="2">
        <f ca="1"/>
        <v>0.28490214761026023</v>
      </c>
      <c r="O2884" s="2">
        <f ca="1"/>
        <v>-0.52401058682020407</v>
      </c>
      <c r="X2884" s="2">
        <f ca="1"/>
        <v>50.052951380097717</v>
      </c>
      <c r="AG2884" s="2">
        <f ca="1"/>
        <v>0.14175052027722024</v>
      </c>
      <c r="AH2884" s="2" t="str">
        <f ca="1"/>
        <v>OK</v>
      </c>
    </row>
    <row r="2885" spans="2:34" x14ac:dyDescent="0.2">
      <c r="B2885" s="2">
        <f ca="1"/>
        <v>0.21407936763683888</v>
      </c>
      <c r="O2885" s="2">
        <f ca="1"/>
        <v>1.1870584111734794</v>
      </c>
      <c r="X2885" s="2">
        <f ca="1"/>
        <v>53.875543427142496</v>
      </c>
      <c r="AG2885" s="2">
        <f ca="1"/>
        <v>0.71933399719988333</v>
      </c>
      <c r="AH2885" s="2" t="str">
        <f ca="1"/>
        <v>Bad</v>
      </c>
    </row>
    <row r="2886" spans="2:34" x14ac:dyDescent="0.2">
      <c r="B2886" s="2">
        <f ca="1"/>
        <v>0.77538266360840291</v>
      </c>
      <c r="O2886" s="2">
        <f ca="1"/>
        <v>-1.3327235967045887</v>
      </c>
      <c r="X2886" s="2">
        <f ca="1"/>
        <v>33.797480991482978</v>
      </c>
      <c r="AG2886" s="2">
        <f ca="1"/>
        <v>0.86283213358488164</v>
      </c>
      <c r="AH2886" s="2" t="str">
        <f ca="1"/>
        <v>Bad</v>
      </c>
    </row>
    <row r="2887" spans="2:34" x14ac:dyDescent="0.2">
      <c r="B2887" s="2">
        <f ca="1"/>
        <v>0.89009858877149695</v>
      </c>
      <c r="O2887" s="2">
        <f ca="1"/>
        <v>-0.90649497605325269</v>
      </c>
      <c r="X2887" s="2">
        <f ca="1"/>
        <v>20.60898485161389</v>
      </c>
      <c r="AG2887" s="2">
        <f ca="1"/>
        <v>7.085520033953463E-2</v>
      </c>
      <c r="AH2887" s="2" t="str">
        <f ca="1"/>
        <v>OK</v>
      </c>
    </row>
    <row r="2888" spans="2:34" x14ac:dyDescent="0.2">
      <c r="B2888" s="2">
        <f ca="1"/>
        <v>0.20292111839852045</v>
      </c>
      <c r="O2888" s="2">
        <f ca="1"/>
        <v>-1.8251003263738319</v>
      </c>
      <c r="X2888" s="2">
        <f ca="1"/>
        <v>38.680669529326622</v>
      </c>
      <c r="AG2888" s="2">
        <f ca="1"/>
        <v>0.10817938736219657</v>
      </c>
      <c r="AH2888" s="2" t="str">
        <f ca="1"/>
        <v>OK</v>
      </c>
    </row>
    <row r="2889" spans="2:34" x14ac:dyDescent="0.2">
      <c r="B2889" s="2">
        <f ca="1"/>
        <v>0.47841433461945027</v>
      </c>
      <c r="O2889" s="2">
        <f ca="1"/>
        <v>-0.91837806658550292</v>
      </c>
      <c r="X2889" s="2">
        <f ca="1"/>
        <v>62.357367936593057</v>
      </c>
      <c r="AG2889" s="2">
        <f ca="1"/>
        <v>9.5277238919877716E-2</v>
      </c>
      <c r="AH2889" s="2" t="str">
        <f ca="1"/>
        <v>OK</v>
      </c>
    </row>
    <row r="2890" spans="2:34" x14ac:dyDescent="0.2">
      <c r="B2890" s="2">
        <f ca="1"/>
        <v>0.30215216243760623</v>
      </c>
      <c r="O2890" s="2">
        <f ca="1"/>
        <v>4.566065270098995E-2</v>
      </c>
      <c r="X2890" s="2">
        <f ca="1"/>
        <v>36.262036188274969</v>
      </c>
      <c r="AG2890" s="2">
        <f ca="1"/>
        <v>0.20668079923662397</v>
      </c>
      <c r="AH2890" s="2" t="str">
        <f ca="1"/>
        <v>OK</v>
      </c>
    </row>
    <row r="2891" spans="2:34" x14ac:dyDescent="0.2">
      <c r="B2891" s="2">
        <f ca="1"/>
        <v>0.63086529786415824</v>
      </c>
      <c r="O2891" s="2">
        <f ca="1"/>
        <v>-0.50347958441944551</v>
      </c>
      <c r="X2891" s="2">
        <f ca="1"/>
        <v>47.850229683009871</v>
      </c>
      <c r="AG2891" s="2">
        <f ca="1"/>
        <v>0.46988517452321932</v>
      </c>
      <c r="AH2891" s="2" t="str">
        <f ca="1"/>
        <v>Bad</v>
      </c>
    </row>
    <row r="2892" spans="2:34" x14ac:dyDescent="0.2">
      <c r="B2892" s="2">
        <f ca="1"/>
        <v>0.60157468254612878</v>
      </c>
      <c r="O2892" s="2">
        <f ca="1"/>
        <v>-0.31664869919707789</v>
      </c>
      <c r="X2892" s="2">
        <f ca="1"/>
        <v>74.246040022421269</v>
      </c>
      <c r="AG2892" s="2">
        <f ca="1"/>
        <v>0.75743605447992834</v>
      </c>
      <c r="AH2892" s="2" t="str">
        <f ca="1"/>
        <v>Bad</v>
      </c>
    </row>
    <row r="2893" spans="2:34" x14ac:dyDescent="0.2">
      <c r="B2893" s="2">
        <f ca="1"/>
        <v>7.1683080382622943E-2</v>
      </c>
      <c r="O2893" s="2">
        <f ca="1"/>
        <v>-0.65098074193924571</v>
      </c>
      <c r="X2893" s="2">
        <f ca="1"/>
        <v>26.679503154204451</v>
      </c>
      <c r="AG2893" s="2">
        <f ca="1"/>
        <v>0.92571321483327007</v>
      </c>
      <c r="AH2893" s="2" t="str">
        <f ca="1"/>
        <v>Bad</v>
      </c>
    </row>
    <row r="2894" spans="2:34" x14ac:dyDescent="0.2">
      <c r="B2894" s="2">
        <f ca="1"/>
        <v>0.31813440586414821</v>
      </c>
      <c r="O2894" s="2">
        <f ca="1"/>
        <v>0.46545845687588383</v>
      </c>
      <c r="X2894" s="2">
        <f ca="1"/>
        <v>67.039515861998552</v>
      </c>
      <c r="AG2894" s="2">
        <f ca="1"/>
        <v>0.9156890519087173</v>
      </c>
      <c r="AH2894" s="2" t="str">
        <f ca="1"/>
        <v>Bad</v>
      </c>
    </row>
    <row r="2895" spans="2:34" x14ac:dyDescent="0.2">
      <c r="B2895" s="2">
        <f ca="1"/>
        <v>0.54194431305244106</v>
      </c>
      <c r="O2895" s="2">
        <f ca="1"/>
        <v>2.6565374467570186</v>
      </c>
      <c r="X2895" s="2">
        <f ca="1"/>
        <v>35.424726096347136</v>
      </c>
      <c r="AG2895" s="2">
        <f ca="1"/>
        <v>0.42182251091116263</v>
      </c>
      <c r="AH2895" s="2" t="str">
        <f ca="1"/>
        <v>Bad</v>
      </c>
    </row>
    <row r="2896" spans="2:34" x14ac:dyDescent="0.2">
      <c r="B2896" s="2">
        <f ca="1"/>
        <v>0.52697280551135917</v>
      </c>
      <c r="O2896" s="2">
        <f ca="1"/>
        <v>-1.5393520518826416</v>
      </c>
      <c r="X2896" s="2">
        <f ca="1"/>
        <v>64.921757061148568</v>
      </c>
      <c r="AG2896" s="2">
        <f ca="1"/>
        <v>5.8865914978537992E-2</v>
      </c>
      <c r="AH2896" s="2" t="str">
        <f ca="1"/>
        <v>OK</v>
      </c>
    </row>
    <row r="2897" spans="2:34" x14ac:dyDescent="0.2">
      <c r="B2897" s="2">
        <f ca="1"/>
        <v>0.1206951752965959</v>
      </c>
      <c r="O2897" s="2">
        <f ca="1"/>
        <v>-0.91827260704179503</v>
      </c>
      <c r="X2897" s="2">
        <f ca="1"/>
        <v>32.642110663712252</v>
      </c>
      <c r="AG2897" s="2">
        <f ca="1"/>
        <v>9.567395541036916E-2</v>
      </c>
      <c r="AH2897" s="2" t="str">
        <f ca="1"/>
        <v>OK</v>
      </c>
    </row>
    <row r="2898" spans="2:34" x14ac:dyDescent="0.2">
      <c r="B2898" s="2">
        <f ca="1"/>
        <v>0.85009067108980552</v>
      </c>
      <c r="O2898" s="2">
        <f ca="1"/>
        <v>1.1151444583326089</v>
      </c>
      <c r="X2898" s="2">
        <f ca="1"/>
        <v>44.174859288311225</v>
      </c>
      <c r="AG2898" s="2">
        <f ca="1"/>
        <v>0.62363967483462579</v>
      </c>
      <c r="AH2898" s="2" t="str">
        <f ca="1"/>
        <v>Bad</v>
      </c>
    </row>
    <row r="2899" spans="2:34" x14ac:dyDescent="0.2">
      <c r="B2899" s="2">
        <f ca="1"/>
        <v>0.12517821674905405</v>
      </c>
      <c r="O2899" s="2">
        <f ca="1"/>
        <v>4.0437393354071184E-2</v>
      </c>
      <c r="X2899" s="2">
        <f ca="1"/>
        <v>57.237804573356293</v>
      </c>
      <c r="AG2899" s="2">
        <f ca="1"/>
        <v>3.0740945855383117E-3</v>
      </c>
      <c r="AH2899" s="2" t="str">
        <f ca="1"/>
        <v>Good</v>
      </c>
    </row>
    <row r="2900" spans="2:34" x14ac:dyDescent="0.2">
      <c r="B2900" s="2">
        <f ca="1"/>
        <v>0.17494105152724115</v>
      </c>
      <c r="O2900" s="2">
        <f ca="1"/>
        <v>0.8576716687967687</v>
      </c>
      <c r="X2900" s="2">
        <f ca="1"/>
        <v>79.509216536585313</v>
      </c>
      <c r="AG2900" s="2">
        <f ca="1"/>
        <v>0.34182694102403888</v>
      </c>
      <c r="AH2900" s="2" t="str">
        <f ca="1"/>
        <v>OK</v>
      </c>
    </row>
    <row r="2901" spans="2:34" x14ac:dyDescent="0.2">
      <c r="B2901" s="2">
        <f ca="1"/>
        <v>0.16272691822328778</v>
      </c>
      <c r="O2901" s="2">
        <f ca="1"/>
        <v>-0.64184547644513834</v>
      </c>
      <c r="X2901" s="2">
        <f ca="1"/>
        <v>63.757579335745007</v>
      </c>
      <c r="AG2901" s="2">
        <f ca="1"/>
        <v>0.4991720346893318</v>
      </c>
      <c r="AH2901" s="2" t="str">
        <f ca="1"/>
        <v>Bad</v>
      </c>
    </row>
    <row r="2902" spans="2:34" x14ac:dyDescent="0.2">
      <c r="B2902" s="2">
        <f ca="1"/>
        <v>0.41296668200799447</v>
      </c>
      <c r="O2902" s="2">
        <f ca="1"/>
        <v>5.6656736870670209E-2</v>
      </c>
      <c r="X2902" s="2">
        <f ca="1"/>
        <v>60.770783035398907</v>
      </c>
      <c r="AG2902" s="2">
        <f ca="1"/>
        <v>0.20694756196277408</v>
      </c>
      <c r="AH2902" s="2" t="str">
        <f ca="1"/>
        <v>OK</v>
      </c>
    </row>
    <row r="2903" spans="2:34" x14ac:dyDescent="0.2">
      <c r="B2903" s="2">
        <f ca="1"/>
        <v>4.3930770669733166E-2</v>
      </c>
      <c r="O2903" s="2">
        <f ca="1"/>
        <v>1.2741628184638991</v>
      </c>
      <c r="X2903" s="2">
        <f ca="1"/>
        <v>43.141499534224657</v>
      </c>
      <c r="AG2903" s="2">
        <f ca="1"/>
        <v>0.49251593181642339</v>
      </c>
      <c r="AH2903" s="2" t="str">
        <f ca="1"/>
        <v>Bad</v>
      </c>
    </row>
    <row r="2904" spans="2:34" x14ac:dyDescent="0.2">
      <c r="B2904" s="2">
        <f ca="1"/>
        <v>0.56516064130480603</v>
      </c>
      <c r="O2904" s="2">
        <f ca="1"/>
        <v>-1.1337240844020786</v>
      </c>
      <c r="X2904" s="2">
        <f ca="1"/>
        <v>79.025581358864287</v>
      </c>
      <c r="AG2904" s="2">
        <f ca="1"/>
        <v>0.45650237305806596</v>
      </c>
      <c r="AH2904" s="2" t="str">
        <f ca="1"/>
        <v>Bad</v>
      </c>
    </row>
    <row r="2905" spans="2:34" x14ac:dyDescent="0.2">
      <c r="B2905" s="2">
        <f ca="1"/>
        <v>0.58950745038476726</v>
      </c>
      <c r="O2905" s="2">
        <f ca="1"/>
        <v>3.9018639172811835E-2</v>
      </c>
      <c r="X2905" s="2">
        <f ca="1"/>
        <v>49.70845938496393</v>
      </c>
      <c r="AG2905" s="2">
        <f ca="1"/>
        <v>1.4077335388200218E-2</v>
      </c>
      <c r="AH2905" s="2" t="str">
        <f ca="1"/>
        <v>Good</v>
      </c>
    </row>
    <row r="2906" spans="2:34" x14ac:dyDescent="0.2">
      <c r="B2906" s="2">
        <f ca="1"/>
        <v>0.46955320973410219</v>
      </c>
      <c r="O2906" s="2">
        <f ca="1"/>
        <v>-1.4954655495740172</v>
      </c>
      <c r="X2906" s="2">
        <f ca="1"/>
        <v>49.48308112292834</v>
      </c>
      <c r="AG2906" s="2">
        <f ca="1"/>
        <v>0.71543159687624991</v>
      </c>
      <c r="AH2906" s="2" t="str">
        <f ca="1"/>
        <v>Bad</v>
      </c>
    </row>
    <row r="2907" spans="2:34" x14ac:dyDescent="0.2">
      <c r="B2907" s="2">
        <f ca="1"/>
        <v>0.82407206775311659</v>
      </c>
      <c r="O2907" s="2">
        <f ca="1"/>
        <v>1.5298007040312154</v>
      </c>
      <c r="X2907" s="2">
        <f ca="1"/>
        <v>46.092697447934015</v>
      </c>
      <c r="AG2907" s="2">
        <f ca="1"/>
        <v>0.78913035367764106</v>
      </c>
      <c r="AH2907" s="2" t="str">
        <f ca="1"/>
        <v>Bad</v>
      </c>
    </row>
    <row r="2908" spans="2:34" x14ac:dyDescent="0.2">
      <c r="B2908" s="2">
        <f ca="1"/>
        <v>0.78032320827767299</v>
      </c>
      <c r="O2908" s="2">
        <f ca="1"/>
        <v>0.42873736349838359</v>
      </c>
      <c r="X2908" s="2">
        <f ca="1"/>
        <v>49.671415787326943</v>
      </c>
      <c r="AG2908" s="2">
        <f ca="1"/>
        <v>0.53656409508277259</v>
      </c>
      <c r="AH2908" s="2" t="str">
        <f ca="1"/>
        <v>Bad</v>
      </c>
    </row>
    <row r="2909" spans="2:34" x14ac:dyDescent="0.2">
      <c r="B2909" s="2">
        <f ca="1"/>
        <v>0.33302708422568461</v>
      </c>
      <c r="O2909" s="2">
        <f ca="1"/>
        <v>0.11714963640874165</v>
      </c>
      <c r="X2909" s="2">
        <f ca="1"/>
        <v>135.0171654129735</v>
      </c>
      <c r="AG2909" s="2">
        <f ca="1"/>
        <v>0.58003128023825856</v>
      </c>
      <c r="AH2909" s="2" t="str">
        <f ca="1"/>
        <v>Bad</v>
      </c>
    </row>
    <row r="2910" spans="2:34" x14ac:dyDescent="0.2">
      <c r="B2910" s="2">
        <f ca="1"/>
        <v>0.58810215211714723</v>
      </c>
      <c r="O2910" s="2">
        <f ca="1"/>
        <v>0.77189684695365868</v>
      </c>
      <c r="X2910" s="2">
        <f ca="1"/>
        <v>29.600076480691307</v>
      </c>
      <c r="AG2910" s="2">
        <f ca="1"/>
        <v>0.14929271536357258</v>
      </c>
      <c r="AH2910" s="2" t="str">
        <f ca="1"/>
        <v>OK</v>
      </c>
    </row>
    <row r="2911" spans="2:34" x14ac:dyDescent="0.2">
      <c r="B2911" s="2">
        <f ca="1"/>
        <v>0.21926013108431608</v>
      </c>
      <c r="O2911" s="2">
        <f ca="1"/>
        <v>-9.4924302065629532E-2</v>
      </c>
      <c r="X2911" s="2">
        <f ca="1"/>
        <v>47.818999145104485</v>
      </c>
      <c r="AG2911" s="2">
        <f ca="1"/>
        <v>0.81842867721582624</v>
      </c>
      <c r="AH2911" s="2" t="str">
        <f ca="1"/>
        <v>Bad</v>
      </c>
    </row>
    <row r="2912" spans="2:34" x14ac:dyDescent="0.2">
      <c r="B2912" s="2">
        <f ca="1"/>
        <v>1.2520564999255024E-2</v>
      </c>
      <c r="O2912" s="2">
        <f ca="1"/>
        <v>0.96860313933962439</v>
      </c>
      <c r="X2912" s="2">
        <f ca="1"/>
        <v>77.240104349988954</v>
      </c>
      <c r="AG2912" s="2">
        <f ca="1"/>
        <v>0.75409784796308954</v>
      </c>
      <c r="AH2912" s="2" t="str">
        <f ca="1"/>
        <v>Bad</v>
      </c>
    </row>
    <row r="2913" spans="2:34" x14ac:dyDescent="0.2">
      <c r="B2913" s="2">
        <f ca="1"/>
        <v>8.0995667136684713E-2</v>
      </c>
      <c r="O2913" s="2">
        <f ca="1"/>
        <v>0.52401252509237184</v>
      </c>
      <c r="X2913" s="2">
        <f ca="1"/>
        <v>47.478860828042528</v>
      </c>
      <c r="AG2913" s="2">
        <f ca="1"/>
        <v>0.20987375291387433</v>
      </c>
      <c r="AH2913" s="2" t="str">
        <f ca="1"/>
        <v>OK</v>
      </c>
    </row>
    <row r="2914" spans="2:34" x14ac:dyDescent="0.2">
      <c r="B2914" s="2">
        <f ca="1"/>
        <v>0.67201364100096272</v>
      </c>
      <c r="O2914" s="2">
        <f ca="1"/>
        <v>-0.20449628291390679</v>
      </c>
      <c r="X2914" s="2">
        <f ca="1"/>
        <v>43.430142759829884</v>
      </c>
      <c r="AG2914" s="2">
        <f ca="1"/>
        <v>0.69620933884084368</v>
      </c>
      <c r="AH2914" s="2" t="str">
        <f ca="1"/>
        <v>Bad</v>
      </c>
    </row>
    <row r="2915" spans="2:34" x14ac:dyDescent="0.2">
      <c r="B2915" s="2">
        <f ca="1"/>
        <v>0.77131949468489158</v>
      </c>
      <c r="O2915" s="2">
        <f ca="1"/>
        <v>-0.38279661331314296</v>
      </c>
      <c r="X2915" s="2">
        <f ca="1"/>
        <v>66.446189031257262</v>
      </c>
      <c r="AG2915" s="2">
        <f ca="1"/>
        <v>0.51469468780103012</v>
      </c>
      <c r="AH2915" s="2" t="str">
        <f ca="1"/>
        <v>Bad</v>
      </c>
    </row>
    <row r="2916" spans="2:34" x14ac:dyDescent="0.2">
      <c r="B2916" s="2">
        <f ca="1"/>
        <v>0.10956250933365963</v>
      </c>
      <c r="O2916" s="2">
        <f ca="1"/>
        <v>1.1800114124251697</v>
      </c>
      <c r="X2916" s="2">
        <f ca="1"/>
        <v>41.291545815601623</v>
      </c>
      <c r="AG2916" s="2">
        <f ca="1"/>
        <v>0.45547073698758389</v>
      </c>
      <c r="AH2916" s="2" t="str">
        <f ca="1"/>
        <v>Bad</v>
      </c>
    </row>
    <row r="2917" spans="2:34" x14ac:dyDescent="0.2">
      <c r="B2917" s="2">
        <f ca="1"/>
        <v>0.15123663089991779</v>
      </c>
      <c r="O2917" s="2">
        <f ca="1"/>
        <v>1.3246835805055364</v>
      </c>
      <c r="X2917" s="2">
        <f ca="1"/>
        <v>19.635252093466402</v>
      </c>
      <c r="AG2917" s="2">
        <f ca="1"/>
        <v>0.48725030945994185</v>
      </c>
      <c r="AH2917" s="2" t="str">
        <f ca="1"/>
        <v>Bad</v>
      </c>
    </row>
    <row r="2918" spans="2:34" x14ac:dyDescent="0.2">
      <c r="B2918" s="2">
        <f ca="1"/>
        <v>0.79817853274743511</v>
      </c>
      <c r="O2918" s="2">
        <f ca="1"/>
        <v>0.15832268444924597</v>
      </c>
      <c r="X2918" s="2">
        <f ca="1"/>
        <v>49.605802688257874</v>
      </c>
      <c r="AG2918" s="2">
        <f ca="1"/>
        <v>0.26971963399803101</v>
      </c>
      <c r="AH2918" s="2" t="str">
        <f ca="1"/>
        <v>OK</v>
      </c>
    </row>
    <row r="2919" spans="2:34" x14ac:dyDescent="0.2">
      <c r="B2919" s="2">
        <f ca="1"/>
        <v>0.4473170509537634</v>
      </c>
      <c r="O2919" s="2">
        <f ca="1"/>
        <v>1.9322023847905552E-2</v>
      </c>
      <c r="X2919" s="2">
        <f ca="1"/>
        <v>79.075727973062811</v>
      </c>
      <c r="AG2919" s="2">
        <f ca="1"/>
        <v>0.55094792244365687</v>
      </c>
      <c r="AH2919" s="2" t="str">
        <f ca="1"/>
        <v>Bad</v>
      </c>
    </row>
    <row r="2920" spans="2:34" x14ac:dyDescent="0.2">
      <c r="B2920" s="2">
        <f ca="1"/>
        <v>0.85216509546782282</v>
      </c>
      <c r="O2920" s="2">
        <f ca="1"/>
        <v>-1.5371321124283448</v>
      </c>
      <c r="X2920" s="2">
        <f ca="1"/>
        <v>52.854465111704954</v>
      </c>
      <c r="AG2920" s="2">
        <f ca="1"/>
        <v>0.39163103881422079</v>
      </c>
      <c r="AH2920" s="2" t="str">
        <f ca="1"/>
        <v>OK</v>
      </c>
    </row>
    <row r="2921" spans="2:34" x14ac:dyDescent="0.2">
      <c r="B2921" s="2">
        <f ca="1"/>
        <v>0.80573718479882794</v>
      </c>
      <c r="O2921" s="2">
        <f ca="1"/>
        <v>-1.3519645795931075</v>
      </c>
      <c r="X2921" s="2">
        <f ca="1"/>
        <v>54.544401601358629</v>
      </c>
      <c r="AG2921" s="2">
        <f ca="1"/>
        <v>0.80929698035894693</v>
      </c>
      <c r="AH2921" s="2" t="str">
        <f ca="1"/>
        <v>Bad</v>
      </c>
    </row>
    <row r="2922" spans="2:34" x14ac:dyDescent="0.2">
      <c r="B2922" s="2">
        <f ca="1"/>
        <v>0.96892793169253921</v>
      </c>
      <c r="O2922" s="2">
        <f ca="1"/>
        <v>-0.85719659317546837</v>
      </c>
      <c r="X2922" s="2">
        <f ca="1"/>
        <v>48.311478510808435</v>
      </c>
      <c r="AG2922" s="2">
        <f ca="1"/>
        <v>4.2382211368803269E-3</v>
      </c>
      <c r="AH2922" s="2" t="str">
        <f ca="1"/>
        <v>Good</v>
      </c>
    </row>
    <row r="2923" spans="2:34" x14ac:dyDescent="0.2">
      <c r="B2923" s="2">
        <f ca="1"/>
        <v>0.973943405409603</v>
      </c>
      <c r="O2923" s="2">
        <f ca="1"/>
        <v>0.76137946399293899</v>
      </c>
      <c r="X2923" s="2">
        <f ca="1"/>
        <v>59.473287070220131</v>
      </c>
      <c r="AG2923" s="2">
        <f ca="1"/>
        <v>0.39116146912776761</v>
      </c>
      <c r="AH2923" s="2" t="str">
        <f ca="1"/>
        <v>OK</v>
      </c>
    </row>
    <row r="2924" spans="2:34" x14ac:dyDescent="0.2">
      <c r="B2924" s="2">
        <f ca="1"/>
        <v>0.96106784411798407</v>
      </c>
      <c r="O2924" s="2">
        <f ca="1"/>
        <v>-2.0727940539444005</v>
      </c>
      <c r="X2924" s="2">
        <f ca="1"/>
        <v>44.645794087595561</v>
      </c>
      <c r="AG2924" s="2">
        <f ca="1"/>
        <v>0.27400677238192661</v>
      </c>
      <c r="AH2924" s="2" t="str">
        <f ca="1"/>
        <v>OK</v>
      </c>
    </row>
    <row r="2925" spans="2:34" x14ac:dyDescent="0.2">
      <c r="B2925" s="2">
        <f ca="1"/>
        <v>0.18667586095024458</v>
      </c>
      <c r="O2925" s="2">
        <f ca="1"/>
        <v>0.8363156100844058</v>
      </c>
      <c r="X2925" s="2">
        <f ca="1"/>
        <v>46.30268454456116</v>
      </c>
      <c r="AG2925" s="2">
        <f ca="1"/>
        <v>0.61387786190521609</v>
      </c>
      <c r="AH2925" s="2" t="str">
        <f ca="1"/>
        <v>Bad</v>
      </c>
    </row>
    <row r="2926" spans="2:34" x14ac:dyDescent="0.2">
      <c r="B2926" s="2">
        <f ca="1"/>
        <v>0.88437599967521807</v>
      </c>
      <c r="O2926" s="2">
        <f ca="1"/>
        <v>1.3296689183929273</v>
      </c>
      <c r="X2926" s="2">
        <f ca="1"/>
        <v>105.57320985115066</v>
      </c>
      <c r="AG2926" s="2">
        <f ca="1"/>
        <v>0.31775668629491394</v>
      </c>
      <c r="AH2926" s="2" t="str">
        <f ca="1"/>
        <v>OK</v>
      </c>
    </row>
    <row r="2927" spans="2:34" x14ac:dyDescent="0.2">
      <c r="B2927" s="2">
        <f ca="1"/>
        <v>0.4077808809988539</v>
      </c>
      <c r="O2927" s="2">
        <f ca="1"/>
        <v>-0.49803975240727699</v>
      </c>
      <c r="X2927" s="2">
        <f ca="1"/>
        <v>35.706271039262056</v>
      </c>
      <c r="AG2927" s="2">
        <f ca="1"/>
        <v>0.30171393335647134</v>
      </c>
      <c r="AH2927" s="2" t="str">
        <f ca="1"/>
        <v>OK</v>
      </c>
    </row>
    <row r="2928" spans="2:34" x14ac:dyDescent="0.2">
      <c r="B2928" s="2">
        <f ca="1"/>
        <v>0.60391745597188073</v>
      </c>
      <c r="O2928" s="2">
        <f ca="1"/>
        <v>-0.42156271410699064</v>
      </c>
      <c r="X2928" s="2">
        <f ca="1"/>
        <v>93.549625237757226</v>
      </c>
      <c r="AG2928" s="2">
        <f ca="1"/>
        <v>3.2293059257946677E-2</v>
      </c>
      <c r="AH2928" s="2" t="str">
        <f ca="1"/>
        <v>Good</v>
      </c>
    </row>
    <row r="2929" spans="2:34" x14ac:dyDescent="0.2">
      <c r="B2929" s="2">
        <f ca="1"/>
        <v>0.80520204443519705</v>
      </c>
      <c r="O2929" s="2">
        <f ca="1"/>
        <v>0.71120561230497836</v>
      </c>
      <c r="X2929" s="2">
        <f ca="1"/>
        <v>88.949598418812172</v>
      </c>
      <c r="AG2929" s="2">
        <f ca="1"/>
        <v>0.71925016195118774</v>
      </c>
      <c r="AH2929" s="2" t="str">
        <f ca="1"/>
        <v>Bad</v>
      </c>
    </row>
    <row r="2930" spans="2:34" x14ac:dyDescent="0.2">
      <c r="B2930" s="2">
        <f ca="1"/>
        <v>8.9872241078812198E-3</v>
      </c>
      <c r="O2930" s="2">
        <f ca="1"/>
        <v>1.0949750202415807</v>
      </c>
      <c r="X2930" s="2">
        <f ca="1"/>
        <v>29.039484707819099</v>
      </c>
      <c r="AG2930" s="2">
        <f ca="1"/>
        <v>0.89422762869065586</v>
      </c>
      <c r="AH2930" s="2" t="str">
        <f ca="1"/>
        <v>Bad</v>
      </c>
    </row>
    <row r="2931" spans="2:34" x14ac:dyDescent="0.2">
      <c r="B2931" s="2">
        <f ca="1"/>
        <v>0.60249181550039443</v>
      </c>
      <c r="O2931" s="2">
        <f ca="1"/>
        <v>0.63476033845455926</v>
      </c>
      <c r="X2931" s="2">
        <f ca="1"/>
        <v>36.2482514993659</v>
      </c>
      <c r="AG2931" s="2">
        <f ca="1"/>
        <v>0.9348543513268821</v>
      </c>
      <c r="AH2931" s="2" t="str">
        <f ca="1"/>
        <v>Bad</v>
      </c>
    </row>
    <row r="2932" spans="2:34" x14ac:dyDescent="0.2">
      <c r="B2932" s="2">
        <f ca="1"/>
        <v>0.61067564076808623</v>
      </c>
      <c r="O2932" s="2">
        <f ca="1"/>
        <v>-0.5690479465067606</v>
      </c>
      <c r="X2932" s="2">
        <f ca="1"/>
        <v>79.979796262256571</v>
      </c>
      <c r="AG2932" s="2">
        <f ca="1"/>
        <v>0.4425177105955147</v>
      </c>
      <c r="AH2932" s="2" t="str">
        <f ca="1"/>
        <v>Bad</v>
      </c>
    </row>
    <row r="2933" spans="2:34" x14ac:dyDescent="0.2">
      <c r="B2933" s="2">
        <f ca="1"/>
        <v>0.5660078856014501</v>
      </c>
      <c r="O2933" s="2">
        <f ca="1"/>
        <v>-0.37260035450246737</v>
      </c>
      <c r="X2933" s="2">
        <f ca="1"/>
        <v>66.716294171722822</v>
      </c>
      <c r="AG2933" s="2">
        <f ca="1"/>
        <v>0.3284307733931886</v>
      </c>
      <c r="AH2933" s="2" t="str">
        <f ca="1"/>
        <v>OK</v>
      </c>
    </row>
    <row r="2934" spans="2:34" x14ac:dyDescent="0.2">
      <c r="B2934" s="2">
        <f ca="1"/>
        <v>0.26127618535707109</v>
      </c>
      <c r="O2934" s="2">
        <f ca="1"/>
        <v>-0.29322086302318334</v>
      </c>
      <c r="X2934" s="2">
        <f ca="1"/>
        <v>36.625953250615069</v>
      </c>
      <c r="AG2934" s="2">
        <f ca="1"/>
        <v>0.96932925232636302</v>
      </c>
      <c r="AH2934" s="2" t="str">
        <f ca="1"/>
        <v>Bad</v>
      </c>
    </row>
    <row r="2935" spans="2:34" x14ac:dyDescent="0.2">
      <c r="B2935" s="2">
        <f ca="1"/>
        <v>0.81085334822703681</v>
      </c>
      <c r="O2935" s="2">
        <f ca="1"/>
        <v>-0.82877537287090575</v>
      </c>
      <c r="X2935" s="2">
        <f ca="1"/>
        <v>32.180637339282583</v>
      </c>
      <c r="AG2935" s="2">
        <f ca="1"/>
        <v>0.8842663031520992</v>
      </c>
      <c r="AH2935" s="2" t="str">
        <f ca="1"/>
        <v>Bad</v>
      </c>
    </row>
    <row r="2936" spans="2:34" x14ac:dyDescent="0.2">
      <c r="B2936" s="2">
        <f ca="1"/>
        <v>0.47336156590198031</v>
      </c>
      <c r="O2936" s="2">
        <f ca="1"/>
        <v>-4.473639714708795E-2</v>
      </c>
      <c r="X2936" s="2">
        <f ca="1"/>
        <v>24.752894225001057</v>
      </c>
      <c r="AG2936" s="2">
        <f ca="1"/>
        <v>0.59398987278087567</v>
      </c>
      <c r="AH2936" s="2" t="str">
        <f ca="1"/>
        <v>Bad</v>
      </c>
    </row>
    <row r="2937" spans="2:34" x14ac:dyDescent="0.2">
      <c r="B2937" s="2">
        <f ca="1"/>
        <v>8.0899491026796611E-2</v>
      </c>
      <c r="O2937" s="2">
        <f ca="1"/>
        <v>1.2243134168291263</v>
      </c>
      <c r="X2937" s="2">
        <f ca="1"/>
        <v>59.406339385383731</v>
      </c>
      <c r="AG2937" s="2">
        <f ca="1"/>
        <v>7.6689112590667907E-2</v>
      </c>
      <c r="AH2937" s="2" t="str">
        <f ca="1"/>
        <v>OK</v>
      </c>
    </row>
    <row r="2938" spans="2:34" x14ac:dyDescent="0.2">
      <c r="B2938" s="2">
        <f ca="1"/>
        <v>0.1288094187377804</v>
      </c>
      <c r="O2938" s="2">
        <f ca="1"/>
        <v>-9.0580528921196668E-2</v>
      </c>
      <c r="X2938" s="2">
        <f ca="1"/>
        <v>34.714895121377907</v>
      </c>
      <c r="AG2938" s="2">
        <f ca="1"/>
        <v>0.3025151746195669</v>
      </c>
      <c r="AH2938" s="2" t="str">
        <f ca="1"/>
        <v>OK</v>
      </c>
    </row>
    <row r="2939" spans="2:34" x14ac:dyDescent="0.2">
      <c r="B2939" s="2">
        <f ca="1"/>
        <v>0.27489689303824583</v>
      </c>
      <c r="O2939" s="2">
        <f ca="1"/>
        <v>0.82898401747048445</v>
      </c>
      <c r="X2939" s="2">
        <f ca="1"/>
        <v>67.4892033671684</v>
      </c>
      <c r="AG2939" s="2">
        <f ca="1"/>
        <v>0.92089200140389749</v>
      </c>
      <c r="AH2939" s="2" t="str">
        <f ca="1"/>
        <v>Bad</v>
      </c>
    </row>
    <row r="2940" spans="2:34" x14ac:dyDescent="0.2">
      <c r="B2940" s="2">
        <f ca="1"/>
        <v>0.61119606116490099</v>
      </c>
      <c r="O2940" s="2">
        <f ca="1"/>
        <v>0.13613564336557132</v>
      </c>
      <c r="X2940" s="2">
        <f ca="1"/>
        <v>30.623162145990381</v>
      </c>
      <c r="AG2940" s="2">
        <f ca="1"/>
        <v>0.88760815263838744</v>
      </c>
      <c r="AH2940" s="2" t="str">
        <f ca="1"/>
        <v>Bad</v>
      </c>
    </row>
    <row r="2941" spans="2:34" x14ac:dyDescent="0.2">
      <c r="B2941" s="2">
        <f ca="1"/>
        <v>0.62191675946148406</v>
      </c>
      <c r="O2941" s="2">
        <f ca="1"/>
        <v>1.1741228500445051</v>
      </c>
      <c r="X2941" s="2">
        <f ca="1"/>
        <v>41.182377162840133</v>
      </c>
      <c r="AG2941" s="2">
        <f ca="1"/>
        <v>5.8648393311024227E-2</v>
      </c>
      <c r="AH2941" s="2" t="str">
        <f ca="1"/>
        <v>OK</v>
      </c>
    </row>
    <row r="2942" spans="2:34" x14ac:dyDescent="0.2">
      <c r="B2942" s="2">
        <f ca="1"/>
        <v>0.48233126145269423</v>
      </c>
      <c r="O2942" s="2">
        <f ca="1"/>
        <v>-0.17079450544014091</v>
      </c>
      <c r="X2942" s="2">
        <f ca="1"/>
        <v>62.606117142218451</v>
      </c>
      <c r="AG2942" s="2">
        <f ca="1"/>
        <v>0.60418380284178541</v>
      </c>
      <c r="AH2942" s="2" t="str">
        <f ca="1"/>
        <v>Bad</v>
      </c>
    </row>
    <row r="2943" spans="2:34" x14ac:dyDescent="0.2">
      <c r="B2943" s="2">
        <f ca="1"/>
        <v>0.20343574900438033</v>
      </c>
      <c r="O2943" s="2">
        <f ca="1"/>
        <v>-2.2591533090594451</v>
      </c>
      <c r="X2943" s="2">
        <f ca="1"/>
        <v>55.21245773847405</v>
      </c>
      <c r="AG2943" s="2">
        <f ca="1"/>
        <v>0.34305526374990492</v>
      </c>
      <c r="AH2943" s="2" t="str">
        <f ca="1"/>
        <v>OK</v>
      </c>
    </row>
    <row r="2944" spans="2:34" x14ac:dyDescent="0.2">
      <c r="B2944" s="2">
        <f ca="1"/>
        <v>0.91084163938864826</v>
      </c>
      <c r="O2944" s="2">
        <f ca="1"/>
        <v>-0.52689158148556747</v>
      </c>
      <c r="X2944" s="2">
        <f ca="1"/>
        <v>47.221282570406835</v>
      </c>
      <c r="AG2944" s="2">
        <f ca="1"/>
        <v>0.97676835768582793</v>
      </c>
      <c r="AH2944" s="2" t="str">
        <f ca="1"/>
        <v>Bad</v>
      </c>
    </row>
    <row r="2945" spans="2:34" x14ac:dyDescent="0.2">
      <c r="B2945" s="2">
        <f ca="1"/>
        <v>0.59763637864754049</v>
      </c>
      <c r="O2945" s="2">
        <f ca="1"/>
        <v>-0.33376614465390381</v>
      </c>
      <c r="X2945" s="2">
        <f ca="1"/>
        <v>34.349316793410317</v>
      </c>
      <c r="AG2945" s="2">
        <f ca="1"/>
        <v>0.14883251359870409</v>
      </c>
      <c r="AH2945" s="2" t="str">
        <f ca="1"/>
        <v>OK</v>
      </c>
    </row>
    <row r="2946" spans="2:34" x14ac:dyDescent="0.2">
      <c r="B2946" s="2">
        <f ca="1"/>
        <v>0.61308007451770008</v>
      </c>
      <c r="O2946" s="2">
        <f ca="1"/>
        <v>-0.34696508465414022</v>
      </c>
      <c r="X2946" s="2">
        <f ca="1"/>
        <v>40.302977745885386</v>
      </c>
      <c r="AG2946" s="2">
        <f ca="1"/>
        <v>0.23644476010700455</v>
      </c>
      <c r="AH2946" s="2" t="str">
        <f ca="1"/>
        <v>OK</v>
      </c>
    </row>
    <row r="2947" spans="2:34" x14ac:dyDescent="0.2">
      <c r="B2947" s="2">
        <f ca="1"/>
        <v>0.38493704765410475</v>
      </c>
      <c r="O2947" s="2">
        <f ca="1"/>
        <v>-1.0459837454674812</v>
      </c>
      <c r="X2947" s="2">
        <f ca="1"/>
        <v>75.288015112516845</v>
      </c>
      <c r="AG2947" s="2">
        <f ca="1"/>
        <v>0.89449757129063756</v>
      </c>
      <c r="AH2947" s="2" t="str">
        <f ca="1"/>
        <v>Bad</v>
      </c>
    </row>
    <row r="2948" spans="2:34" x14ac:dyDescent="0.2">
      <c r="B2948" s="2">
        <f ca="1"/>
        <v>0.81924748343478537</v>
      </c>
      <c r="O2948" s="2">
        <f ca="1"/>
        <v>-0.22615981669436674</v>
      </c>
      <c r="X2948" s="2">
        <f ca="1"/>
        <v>29.721062751972717</v>
      </c>
      <c r="AG2948" s="2">
        <f ca="1"/>
        <v>0.91047146090677833</v>
      </c>
      <c r="AH2948" s="2" t="str">
        <f ca="1"/>
        <v>Bad</v>
      </c>
    </row>
    <row r="2949" spans="2:34" x14ac:dyDescent="0.2">
      <c r="B2949" s="2">
        <f ca="1"/>
        <v>0.73259653533993707</v>
      </c>
      <c r="O2949" s="2">
        <f ca="1"/>
        <v>0.97782064595292784</v>
      </c>
      <c r="X2949" s="2">
        <f ca="1"/>
        <v>39.681405482596801</v>
      </c>
      <c r="AG2949" s="2">
        <f ca="1"/>
        <v>0.54361377101630914</v>
      </c>
      <c r="AH2949" s="2" t="str">
        <f ca="1"/>
        <v>Bad</v>
      </c>
    </row>
    <row r="2950" spans="2:34" x14ac:dyDescent="0.2">
      <c r="B2950" s="2">
        <f ca="1"/>
        <v>0.75427989791087935</v>
      </c>
      <c r="O2950" s="2">
        <f ca="1"/>
        <v>0.66637607978495617</v>
      </c>
      <c r="X2950" s="2">
        <f ca="1"/>
        <v>39.651478479959501</v>
      </c>
      <c r="AG2950" s="2">
        <f ca="1"/>
        <v>0.40516417555905559</v>
      </c>
      <c r="AH2950" s="2" t="str">
        <f ca="1"/>
        <v>Bad</v>
      </c>
    </row>
    <row r="2951" spans="2:34" x14ac:dyDescent="0.2">
      <c r="B2951" s="2">
        <f ca="1"/>
        <v>0.29404286635810095</v>
      </c>
      <c r="O2951" s="2">
        <f ca="1"/>
        <v>-8.2833372292982113E-2</v>
      </c>
      <c r="X2951" s="2">
        <f ca="1"/>
        <v>61.948139243025025</v>
      </c>
      <c r="AG2951" s="2">
        <f ca="1"/>
        <v>0.3687186301644434</v>
      </c>
      <c r="AH2951" s="2" t="str">
        <f ca="1"/>
        <v>OK</v>
      </c>
    </row>
    <row r="2952" spans="2:34" x14ac:dyDescent="0.2">
      <c r="B2952" s="2">
        <f ca="1"/>
        <v>0.60604768673477971</v>
      </c>
      <c r="O2952" s="2">
        <f ca="1"/>
        <v>0.17869894259792504</v>
      </c>
      <c r="X2952" s="2">
        <f ca="1"/>
        <v>85.862309217310226</v>
      </c>
      <c r="AG2952" s="2">
        <f ca="1"/>
        <v>0.93113125566647814</v>
      </c>
      <c r="AH2952" s="2" t="str">
        <f ca="1"/>
        <v>Bad</v>
      </c>
    </row>
    <row r="2953" spans="2:34" x14ac:dyDescent="0.2">
      <c r="B2953" s="2">
        <f ca="1"/>
        <v>0.54863882330993796</v>
      </c>
      <c r="O2953" s="2">
        <f ca="1"/>
        <v>-1.6489524563967434E-2</v>
      </c>
      <c r="X2953" s="2">
        <f ca="1"/>
        <v>53.23360514039738</v>
      </c>
      <c r="AG2953" s="2">
        <f ca="1"/>
        <v>0.91467559878718885</v>
      </c>
      <c r="AH2953" s="2" t="str">
        <f ca="1"/>
        <v>Bad</v>
      </c>
    </row>
    <row r="2954" spans="2:34" x14ac:dyDescent="0.2">
      <c r="B2954" s="2">
        <f ca="1"/>
        <v>0.87322547550532703</v>
      </c>
      <c r="O2954" s="2">
        <f ca="1"/>
        <v>1.1422600135040994</v>
      </c>
      <c r="X2954" s="2">
        <f ca="1"/>
        <v>36.898387512370135</v>
      </c>
      <c r="AG2954" s="2">
        <f ca="1"/>
        <v>0.50795216355240491</v>
      </c>
      <c r="AH2954" s="2" t="str">
        <f ca="1"/>
        <v>Bad</v>
      </c>
    </row>
    <row r="2955" spans="2:34" x14ac:dyDescent="0.2">
      <c r="B2955" s="2">
        <f ca="1"/>
        <v>0.83889911097656844</v>
      </c>
      <c r="O2955" s="2">
        <f ca="1"/>
        <v>-0.42047492707467721</v>
      </c>
      <c r="X2955" s="2">
        <f ca="1"/>
        <v>20.813172815745517</v>
      </c>
      <c r="AG2955" s="2">
        <f ca="1"/>
        <v>0.89357638007820084</v>
      </c>
      <c r="AH2955" s="2" t="str">
        <f ca="1"/>
        <v>Bad</v>
      </c>
    </row>
    <row r="2956" spans="2:34" x14ac:dyDescent="0.2">
      <c r="B2956" s="2">
        <f ca="1"/>
        <v>6.3179510155944696E-2</v>
      </c>
      <c r="O2956" s="2">
        <f ca="1"/>
        <v>0.81952851081840494</v>
      </c>
      <c r="X2956" s="2">
        <f ca="1"/>
        <v>60.863431402832127</v>
      </c>
      <c r="AG2956" s="2">
        <f ca="1"/>
        <v>0.42453086013042896</v>
      </c>
      <c r="AH2956" s="2" t="str">
        <f ca="1"/>
        <v>Bad</v>
      </c>
    </row>
    <row r="2957" spans="2:34" x14ac:dyDescent="0.2">
      <c r="B2957" s="2">
        <f ca="1"/>
        <v>0.23990741610734623</v>
      </c>
      <c r="O2957" s="2">
        <f ca="1"/>
        <v>-0.23758561474723211</v>
      </c>
      <c r="X2957" s="2">
        <f ca="1"/>
        <v>34.733500821789761</v>
      </c>
      <c r="AG2957" s="2">
        <f ca="1"/>
        <v>0.61764809119068054</v>
      </c>
      <c r="AH2957" s="2" t="str">
        <f ca="1"/>
        <v>Bad</v>
      </c>
    </row>
    <row r="2958" spans="2:34" x14ac:dyDescent="0.2">
      <c r="B2958" s="2">
        <f ca="1"/>
        <v>4.109125485203613E-2</v>
      </c>
      <c r="O2958" s="2">
        <f ca="1"/>
        <v>-0.46253472833719655</v>
      </c>
      <c r="X2958" s="2">
        <f ca="1"/>
        <v>57.076816565700696</v>
      </c>
      <c r="AG2958" s="2">
        <f ca="1"/>
        <v>0.176939159245459</v>
      </c>
      <c r="AH2958" s="2" t="str">
        <f ca="1"/>
        <v>OK</v>
      </c>
    </row>
    <row r="2959" spans="2:34" x14ac:dyDescent="0.2">
      <c r="B2959" s="2">
        <f ca="1"/>
        <v>0.40690729806006565</v>
      </c>
      <c r="O2959" s="2">
        <f ca="1"/>
        <v>-1.6076899429908684</v>
      </c>
      <c r="X2959" s="2">
        <f ca="1"/>
        <v>51.100179281817041</v>
      </c>
      <c r="AG2959" s="2">
        <f ca="1"/>
        <v>0.53147657185576835</v>
      </c>
      <c r="AH2959" s="2" t="str">
        <f ca="1"/>
        <v>Bad</v>
      </c>
    </row>
    <row r="2960" spans="2:34" x14ac:dyDescent="0.2">
      <c r="B2960" s="2">
        <f ca="1"/>
        <v>0.79084456666607639</v>
      </c>
      <c r="O2960" s="2">
        <f ca="1"/>
        <v>-1.5022129601361291</v>
      </c>
      <c r="X2960" s="2">
        <f ca="1"/>
        <v>38.851365822482705</v>
      </c>
      <c r="AG2960" s="2">
        <f ca="1"/>
        <v>0.59879061605890649</v>
      </c>
      <c r="AH2960" s="2" t="str">
        <f ca="1"/>
        <v>Bad</v>
      </c>
    </row>
    <row r="2961" spans="2:34" x14ac:dyDescent="0.2">
      <c r="B2961" s="2">
        <f ca="1"/>
        <v>1.5067612431626021E-2</v>
      </c>
      <c r="O2961" s="2">
        <f ca="1"/>
        <v>-1.4369544570310124</v>
      </c>
      <c r="X2961" s="2">
        <f ca="1"/>
        <v>28.934287276384296</v>
      </c>
      <c r="AG2961" s="2">
        <f ca="1"/>
        <v>0.12403660552179785</v>
      </c>
      <c r="AH2961" s="2" t="str">
        <f ca="1"/>
        <v>OK</v>
      </c>
    </row>
    <row r="2962" spans="2:34" x14ac:dyDescent="0.2">
      <c r="B2962" s="2">
        <f ca="1"/>
        <v>0.84715468174347652</v>
      </c>
      <c r="O2962" s="2">
        <f ca="1"/>
        <v>0.72069503879130747</v>
      </c>
      <c r="X2962" s="2">
        <f ca="1"/>
        <v>83.324263180274713</v>
      </c>
      <c r="AG2962" s="2">
        <f ca="1"/>
        <v>0.52016941888041313</v>
      </c>
      <c r="AH2962" s="2" t="str">
        <f ca="1"/>
        <v>Bad</v>
      </c>
    </row>
    <row r="2963" spans="2:34" x14ac:dyDescent="0.2">
      <c r="B2963" s="2">
        <f ca="1"/>
        <v>5.7723090475267913E-3</v>
      </c>
      <c r="O2963" s="2">
        <f ca="1"/>
        <v>-5.2246804818419749E-2</v>
      </c>
      <c r="X2963" s="2">
        <f ca="1"/>
        <v>43.581019140579578</v>
      </c>
      <c r="AG2963" s="2">
        <f ca="1"/>
        <v>0.56752426385956012</v>
      </c>
      <c r="AH2963" s="2" t="str">
        <f ca="1"/>
        <v>Bad</v>
      </c>
    </row>
    <row r="2964" spans="2:34" x14ac:dyDescent="0.2">
      <c r="B2964" s="2">
        <f ca="1"/>
        <v>0.57805678753540213</v>
      </c>
      <c r="O2964" s="2">
        <f ca="1"/>
        <v>0.33714310341545262</v>
      </c>
      <c r="X2964" s="2">
        <f ca="1"/>
        <v>56.364456063471565</v>
      </c>
      <c r="AG2964" s="2">
        <f ca="1"/>
        <v>0.54377953556636749</v>
      </c>
      <c r="AH2964" s="2" t="str">
        <f ca="1"/>
        <v>Bad</v>
      </c>
    </row>
    <row r="2965" spans="2:34" x14ac:dyDescent="0.2">
      <c r="B2965" s="2">
        <f ca="1"/>
        <v>0.23098427399609767</v>
      </c>
      <c r="O2965" s="2">
        <f ca="1"/>
        <v>-0.28315160655395882</v>
      </c>
      <c r="X2965" s="2">
        <f ca="1"/>
        <v>65.029059632909934</v>
      </c>
      <c r="AG2965" s="2">
        <f ca="1"/>
        <v>0.5784916949694634</v>
      </c>
      <c r="AH2965" s="2" t="str">
        <f ca="1"/>
        <v>Bad</v>
      </c>
    </row>
    <row r="2966" spans="2:34" x14ac:dyDescent="0.2">
      <c r="B2966" s="2">
        <f ca="1"/>
        <v>0.33369558243893382</v>
      </c>
      <c r="O2966" s="2">
        <f ca="1"/>
        <v>0.60568742993354086</v>
      </c>
      <c r="X2966" s="2">
        <f ca="1"/>
        <v>89.160447328436177</v>
      </c>
      <c r="AG2966" s="2">
        <f ca="1"/>
        <v>0.67939673494103126</v>
      </c>
      <c r="AH2966" s="2" t="str">
        <f ca="1"/>
        <v>Bad</v>
      </c>
    </row>
    <row r="2967" spans="2:34" x14ac:dyDescent="0.2">
      <c r="B2967" s="2">
        <f ca="1"/>
        <v>0.87941169205909309</v>
      </c>
      <c r="O2967" s="2">
        <f ca="1"/>
        <v>-0.29831239178178776</v>
      </c>
      <c r="X2967" s="2">
        <f ca="1"/>
        <v>40.151102330953179</v>
      </c>
      <c r="AG2967" s="2">
        <f ca="1"/>
        <v>0.86049516190494768</v>
      </c>
      <c r="AH2967" s="2" t="str">
        <f ca="1"/>
        <v>Bad</v>
      </c>
    </row>
    <row r="2968" spans="2:34" x14ac:dyDescent="0.2">
      <c r="B2968" s="2">
        <f ca="1"/>
        <v>0.96993602266965562</v>
      </c>
      <c r="O2968" s="2">
        <f ca="1"/>
        <v>-0.14199417501821268</v>
      </c>
      <c r="X2968" s="2">
        <f ca="1"/>
        <v>51.935761635260505</v>
      </c>
      <c r="AG2968" s="2">
        <f ca="1"/>
        <v>7.5422732466280618E-2</v>
      </c>
      <c r="AH2968" s="2" t="str">
        <f ca="1"/>
        <v>OK</v>
      </c>
    </row>
    <row r="2969" spans="2:34" x14ac:dyDescent="0.2">
      <c r="B2969" s="2">
        <f ca="1"/>
        <v>0.25046865235708937</v>
      </c>
      <c r="O2969" s="2">
        <f ca="1"/>
        <v>0.39328135243310675</v>
      </c>
      <c r="X2969" s="2">
        <f ca="1"/>
        <v>47.751768111303619</v>
      </c>
      <c r="AG2969" s="2">
        <f ca="1"/>
        <v>7.7043501438330608E-2</v>
      </c>
      <c r="AH2969" s="2" t="str">
        <f ca="1"/>
        <v>OK</v>
      </c>
    </row>
    <row r="2970" spans="2:34" x14ac:dyDescent="0.2">
      <c r="B2970" s="2">
        <f ca="1"/>
        <v>0.61134358989072468</v>
      </c>
      <c r="O2970" s="2">
        <f ca="1"/>
        <v>-1.5914937672108709</v>
      </c>
      <c r="X2970" s="2">
        <f ca="1"/>
        <v>43.981003044956417</v>
      </c>
      <c r="AG2970" s="2">
        <f ca="1"/>
        <v>0.66574309252023522</v>
      </c>
      <c r="AH2970" s="2" t="str">
        <f ca="1"/>
        <v>Bad</v>
      </c>
    </row>
    <row r="2971" spans="2:34" x14ac:dyDescent="0.2">
      <c r="B2971" s="2">
        <f ca="1"/>
        <v>0.51616645727921551</v>
      </c>
      <c r="O2971" s="2">
        <f ca="1"/>
        <v>-2.304609729402936</v>
      </c>
      <c r="X2971" s="2">
        <f ca="1"/>
        <v>40.772348689990743</v>
      </c>
      <c r="AG2971" s="2">
        <f ca="1"/>
        <v>0.85730806510639179</v>
      </c>
      <c r="AH2971" s="2" t="str">
        <f ca="1"/>
        <v>Bad</v>
      </c>
    </row>
    <row r="2972" spans="2:34" x14ac:dyDescent="0.2">
      <c r="B2972" s="2">
        <f ca="1"/>
        <v>5.2793296797425393E-2</v>
      </c>
      <c r="O2972" s="2">
        <f ca="1"/>
        <v>-0.12250707858397832</v>
      </c>
      <c r="X2972" s="2">
        <f ca="1"/>
        <v>58.192446386742617</v>
      </c>
      <c r="AG2972" s="2">
        <f ca="1"/>
        <v>0.50844639852738793</v>
      </c>
      <c r="AH2972" s="2" t="str">
        <f ca="1"/>
        <v>Bad</v>
      </c>
    </row>
    <row r="2973" spans="2:34" x14ac:dyDescent="0.2">
      <c r="B2973" s="2">
        <f ca="1"/>
        <v>0.82549902795997165</v>
      </c>
      <c r="O2973" s="2">
        <f ca="1"/>
        <v>0.59999956795994258</v>
      </c>
      <c r="X2973" s="2">
        <f ca="1"/>
        <v>68.402986247449022</v>
      </c>
      <c r="AG2973" s="2">
        <f ca="1"/>
        <v>0.55245560913175096</v>
      </c>
      <c r="AH2973" s="2" t="str">
        <f ca="1"/>
        <v>Bad</v>
      </c>
    </row>
    <row r="2974" spans="2:34" x14ac:dyDescent="0.2">
      <c r="B2974" s="2">
        <f ca="1"/>
        <v>0.162043497431134</v>
      </c>
      <c r="O2974" s="2">
        <f ca="1"/>
        <v>-1.6964391228852473</v>
      </c>
      <c r="X2974" s="2">
        <f ca="1"/>
        <v>70.425280304500745</v>
      </c>
      <c r="AG2974" s="2">
        <f ca="1"/>
        <v>0.55771340529445412</v>
      </c>
      <c r="AH2974" s="2" t="str">
        <f ca="1"/>
        <v>Bad</v>
      </c>
    </row>
    <row r="2975" spans="2:34" x14ac:dyDescent="0.2">
      <c r="B2975" s="2">
        <f ca="1"/>
        <v>7.0959880722267554E-2</v>
      </c>
      <c r="O2975" s="2">
        <f ca="1"/>
        <v>0.44680781069626507</v>
      </c>
      <c r="X2975" s="2">
        <f ca="1"/>
        <v>37.108760324258775</v>
      </c>
      <c r="AG2975" s="2">
        <f ca="1"/>
        <v>0.83987047919073721</v>
      </c>
      <c r="AH2975" s="2" t="str">
        <f ca="1"/>
        <v>Bad</v>
      </c>
    </row>
    <row r="2976" spans="2:34" x14ac:dyDescent="0.2">
      <c r="B2976" s="2">
        <f ca="1"/>
        <v>9.1715775613416151E-2</v>
      </c>
      <c r="O2976" s="2">
        <f ca="1"/>
        <v>-0.91246190322752962</v>
      </c>
      <c r="X2976" s="2">
        <f ca="1"/>
        <v>39.58702640564541</v>
      </c>
      <c r="AG2976" s="2">
        <f ca="1"/>
        <v>0.49484280155592408</v>
      </c>
      <c r="AH2976" s="2" t="str">
        <f ca="1"/>
        <v>Bad</v>
      </c>
    </row>
    <row r="2977" spans="2:34" x14ac:dyDescent="0.2">
      <c r="B2977" s="2">
        <f ca="1"/>
        <v>0.68614378432881984</v>
      </c>
      <c r="O2977" s="2">
        <f ca="1"/>
        <v>-0.94211110587098235</v>
      </c>
      <c r="X2977" s="2">
        <f ca="1"/>
        <v>51.607548421986387</v>
      </c>
      <c r="AG2977" s="2">
        <f ca="1"/>
        <v>1.6077934169140162E-2</v>
      </c>
      <c r="AH2977" s="2" t="str">
        <f ca="1"/>
        <v>Good</v>
      </c>
    </row>
    <row r="2978" spans="2:34" x14ac:dyDescent="0.2">
      <c r="B2978" s="2">
        <f ca="1"/>
        <v>0.33663681823508007</v>
      </c>
      <c r="O2978" s="2">
        <f ca="1"/>
        <v>-1.7777969219498448</v>
      </c>
      <c r="X2978" s="2">
        <f ca="1"/>
        <v>54.284839850278203</v>
      </c>
      <c r="AG2978" s="2">
        <f ca="1"/>
        <v>0.2824025771858707</v>
      </c>
      <c r="AH2978" s="2" t="str">
        <f ca="1"/>
        <v>OK</v>
      </c>
    </row>
    <row r="2979" spans="2:34" x14ac:dyDescent="0.2">
      <c r="B2979" s="2">
        <f ca="1"/>
        <v>0.89615956288086895</v>
      </c>
      <c r="O2979" s="2">
        <f ca="1"/>
        <v>1.3358176421800954</v>
      </c>
      <c r="X2979" s="2">
        <f ca="1"/>
        <v>40.798207113798952</v>
      </c>
      <c r="AG2979" s="2">
        <f ca="1"/>
        <v>0.72336703814642256</v>
      </c>
      <c r="AH2979" s="2" t="str">
        <f ca="1"/>
        <v>Bad</v>
      </c>
    </row>
    <row r="2980" spans="2:34" x14ac:dyDescent="0.2">
      <c r="B2980" s="2">
        <f ca="1"/>
        <v>0.44251333165544438</v>
      </c>
      <c r="O2980" s="2">
        <f ca="1"/>
        <v>1.8170731502375135</v>
      </c>
      <c r="X2980" s="2">
        <f ca="1"/>
        <v>31.885832921111398</v>
      </c>
      <c r="AG2980" s="2">
        <f ca="1"/>
        <v>0.18063637661185816</v>
      </c>
      <c r="AH2980" s="2" t="str">
        <f ca="1"/>
        <v>OK</v>
      </c>
    </row>
    <row r="2981" spans="2:34" x14ac:dyDescent="0.2">
      <c r="B2981" s="2">
        <f ca="1"/>
        <v>8.6018749646730175E-3</v>
      </c>
      <c r="O2981" s="2">
        <f ca="1"/>
        <v>0.46622352283203539</v>
      </c>
      <c r="X2981" s="2">
        <f ca="1"/>
        <v>51.498750722838537</v>
      </c>
      <c r="AG2981" s="2">
        <f ca="1"/>
        <v>0.10986657702262925</v>
      </c>
      <c r="AH2981" s="2" t="str">
        <f ca="1"/>
        <v>OK</v>
      </c>
    </row>
    <row r="2982" spans="2:34" x14ac:dyDescent="0.2">
      <c r="B2982" s="2">
        <f ca="1"/>
        <v>0.57157135407294057</v>
      </c>
      <c r="O2982" s="2">
        <f ca="1"/>
        <v>-8.9314272176417436E-2</v>
      </c>
      <c r="X2982" s="2">
        <f ca="1"/>
        <v>50.888252360092217</v>
      </c>
      <c r="AG2982" s="2">
        <f ca="1"/>
        <v>0.73769742489083545</v>
      </c>
      <c r="AH2982" s="2" t="str">
        <f ca="1"/>
        <v>Bad</v>
      </c>
    </row>
    <row r="2983" spans="2:34" x14ac:dyDescent="0.2">
      <c r="B2983" s="2">
        <f ca="1"/>
        <v>0.25857127687673631</v>
      </c>
      <c r="O2983" s="2">
        <f ca="1"/>
        <v>2.6205446354014321</v>
      </c>
      <c r="X2983" s="2">
        <f ca="1"/>
        <v>48.681080201396256</v>
      </c>
      <c r="AG2983" s="2">
        <f ca="1"/>
        <v>0.94720474870979388</v>
      </c>
      <c r="AH2983" s="2" t="str">
        <f ca="1"/>
        <v>Bad</v>
      </c>
    </row>
    <row r="2984" spans="2:34" x14ac:dyDescent="0.2">
      <c r="B2984" s="2">
        <f ca="1"/>
        <v>0.86862331808560445</v>
      </c>
      <c r="O2984" s="2">
        <f ca="1"/>
        <v>1.1431331643527896</v>
      </c>
      <c r="X2984" s="2">
        <f ca="1"/>
        <v>46.437676826686726</v>
      </c>
      <c r="AG2984" s="2">
        <f ca="1"/>
        <v>0.85852034172148262</v>
      </c>
      <c r="AH2984" s="2" t="str">
        <f ca="1"/>
        <v>Bad</v>
      </c>
    </row>
    <row r="2985" spans="2:34" x14ac:dyDescent="0.2">
      <c r="B2985" s="2">
        <f ca="1"/>
        <v>2.2969605629481915E-2</v>
      </c>
      <c r="O2985" s="2">
        <f ca="1"/>
        <v>-1.7132393606689114</v>
      </c>
      <c r="X2985" s="2">
        <f ca="1"/>
        <v>73.5014079375553</v>
      </c>
      <c r="AG2985" s="2">
        <f ca="1"/>
        <v>0.56076894943102285</v>
      </c>
      <c r="AH2985" s="2" t="str">
        <f ca="1"/>
        <v>Bad</v>
      </c>
    </row>
    <row r="2986" spans="2:34" x14ac:dyDescent="0.2">
      <c r="B2986" s="2">
        <f ca="1"/>
        <v>0.62561931150404093</v>
      </c>
      <c r="O2986" s="2">
        <f ca="1"/>
        <v>0.87431037033107772</v>
      </c>
      <c r="X2986" s="2">
        <f ca="1"/>
        <v>55.073013767547536</v>
      </c>
      <c r="AG2986" s="2">
        <f ca="1"/>
        <v>0.32416941458486037</v>
      </c>
      <c r="AH2986" s="2" t="str">
        <f ca="1"/>
        <v>OK</v>
      </c>
    </row>
    <row r="2987" spans="2:34" x14ac:dyDescent="0.2">
      <c r="B2987" s="2">
        <f ca="1"/>
        <v>0.58670366171529742</v>
      </c>
      <c r="O2987" s="2">
        <f ca="1"/>
        <v>1.2828544931043124</v>
      </c>
      <c r="X2987" s="2">
        <f ca="1"/>
        <v>55.145161729621393</v>
      </c>
      <c r="AG2987" s="2">
        <f ca="1"/>
        <v>0.1091916799153676</v>
      </c>
      <c r="AH2987" s="2" t="str">
        <f ca="1"/>
        <v>OK</v>
      </c>
    </row>
    <row r="2988" spans="2:34" x14ac:dyDescent="0.2">
      <c r="B2988" s="2">
        <f ca="1"/>
        <v>0.99417206264632263</v>
      </c>
      <c r="O2988" s="2">
        <f ca="1"/>
        <v>1.5688128169817375</v>
      </c>
      <c r="X2988" s="2">
        <f ca="1"/>
        <v>66.13282177993986</v>
      </c>
      <c r="AG2988" s="2">
        <f ca="1"/>
        <v>0.71590367814647426</v>
      </c>
      <c r="AH2988" s="2" t="str">
        <f ca="1"/>
        <v>Bad</v>
      </c>
    </row>
    <row r="2989" spans="2:34" x14ac:dyDescent="0.2">
      <c r="B2989" s="2">
        <f ca="1"/>
        <v>0.76309895372480807</v>
      </c>
      <c r="O2989" s="2">
        <f ca="1"/>
        <v>1.1646927294876837</v>
      </c>
      <c r="X2989" s="2">
        <f ca="1"/>
        <v>68.232407984462938</v>
      </c>
      <c r="AG2989" s="2">
        <f ca="1"/>
        <v>0.27332207999529623</v>
      </c>
      <c r="AH2989" s="2" t="str">
        <f ca="1"/>
        <v>OK</v>
      </c>
    </row>
    <row r="2990" spans="2:34" x14ac:dyDescent="0.2">
      <c r="B2990" s="2">
        <f ca="1"/>
        <v>0.33859949110589715</v>
      </c>
      <c r="O2990" s="2">
        <f ca="1"/>
        <v>-1.2800217422808688</v>
      </c>
      <c r="X2990" s="2">
        <f ca="1"/>
        <v>39.059062008533509</v>
      </c>
      <c r="AG2990" s="2">
        <f ca="1"/>
        <v>0.21469183947935511</v>
      </c>
      <c r="AH2990" s="2" t="str">
        <f ca="1"/>
        <v>OK</v>
      </c>
    </row>
    <row r="2991" spans="2:34" x14ac:dyDescent="0.2">
      <c r="B2991" s="2">
        <f ca="1"/>
        <v>0.86678032714920317</v>
      </c>
      <c r="O2991" s="2">
        <f ca="1"/>
        <v>1.6496242788498126</v>
      </c>
      <c r="X2991" s="2">
        <f ca="1"/>
        <v>29.49020640126583</v>
      </c>
      <c r="AG2991" s="2">
        <f ca="1"/>
        <v>0.84824231876928224</v>
      </c>
      <c r="AH2991" s="2" t="str">
        <f ca="1"/>
        <v>Bad</v>
      </c>
    </row>
    <row r="2992" spans="2:34" x14ac:dyDescent="0.2">
      <c r="B2992" s="2">
        <f ca="1"/>
        <v>0.75775092043055925</v>
      </c>
      <c r="O2992" s="2">
        <f ca="1"/>
        <v>-0.18119217631816709</v>
      </c>
      <c r="X2992" s="2">
        <f ca="1"/>
        <v>42.273389332147957</v>
      </c>
      <c r="AG2992" s="2">
        <f ca="1"/>
        <v>0.869330662663514</v>
      </c>
      <c r="AH2992" s="2" t="str">
        <f ca="1"/>
        <v>Bad</v>
      </c>
    </row>
    <row r="2993" spans="2:34" x14ac:dyDescent="0.2">
      <c r="B2993" s="2">
        <f ca="1"/>
        <v>0.15631827051796443</v>
      </c>
      <c r="O2993" s="2">
        <f ca="1"/>
        <v>0.92183005980339838</v>
      </c>
      <c r="X2993" s="2">
        <f ca="1"/>
        <v>50.326457592067783</v>
      </c>
      <c r="AG2993" s="2">
        <f ca="1"/>
        <v>0.3771852567890448</v>
      </c>
      <c r="AH2993" s="2" t="str">
        <f ca="1"/>
        <v>OK</v>
      </c>
    </row>
    <row r="2994" spans="2:34" x14ac:dyDescent="0.2">
      <c r="B2994" s="2">
        <f ca="1"/>
        <v>0.85170831191110641</v>
      </c>
      <c r="O2994" s="2">
        <f ca="1"/>
        <v>0.70014413190736813</v>
      </c>
      <c r="X2994" s="2">
        <f ca="1"/>
        <v>40.600400051823215</v>
      </c>
      <c r="AG2994" s="2">
        <f ca="1"/>
        <v>0.70875402978383995</v>
      </c>
      <c r="AH2994" s="2" t="str">
        <f ca="1"/>
        <v>Bad</v>
      </c>
    </row>
    <row r="2995" spans="2:34" x14ac:dyDescent="0.2">
      <c r="B2995" s="2">
        <f ca="1"/>
        <v>0.89703457871631564</v>
      </c>
      <c r="O2995" s="2">
        <f ca="1"/>
        <v>1.3416732585971132</v>
      </c>
      <c r="X2995" s="2">
        <f ca="1"/>
        <v>52.98163741261682</v>
      </c>
      <c r="AG2995" s="2">
        <f ca="1"/>
        <v>0.19146607333977217</v>
      </c>
      <c r="AH2995" s="2" t="str">
        <f ca="1"/>
        <v>OK</v>
      </c>
    </row>
    <row r="2996" spans="2:34" x14ac:dyDescent="0.2">
      <c r="B2996" s="2">
        <f ca="1"/>
        <v>0.96487417657999486</v>
      </c>
      <c r="O2996" s="2">
        <f ca="1"/>
        <v>-0.47861106641134143</v>
      </c>
      <c r="X2996" s="2">
        <f ca="1"/>
        <v>49.479424409803492</v>
      </c>
      <c r="AG2996" s="2">
        <f ca="1"/>
        <v>0.92706303192035189</v>
      </c>
      <c r="AH2996" s="2" t="str">
        <f ca="1"/>
        <v>Bad</v>
      </c>
    </row>
    <row r="2997" spans="2:34" x14ac:dyDescent="0.2">
      <c r="B2997" s="2">
        <f ca="1"/>
        <v>0.71008460194158318</v>
      </c>
      <c r="O2997" s="2">
        <f ca="1"/>
        <v>-1.7078203243148791</v>
      </c>
      <c r="X2997" s="2">
        <f ca="1"/>
        <v>66.685710963106033</v>
      </c>
      <c r="AG2997" s="2">
        <f ca="1"/>
        <v>0.30761663753882984</v>
      </c>
      <c r="AH2997" s="2" t="str">
        <f ca="1"/>
        <v>OK</v>
      </c>
    </row>
    <row r="2998" spans="2:34" x14ac:dyDescent="0.2">
      <c r="B2998" s="2">
        <f ca="1"/>
        <v>0.95363438957912749</v>
      </c>
      <c r="O2998" s="2">
        <f ca="1"/>
        <v>0.98820366055748288</v>
      </c>
      <c r="X2998" s="2">
        <f ca="1"/>
        <v>63.749416020521544</v>
      </c>
      <c r="AG2998" s="2">
        <f ca="1"/>
        <v>0.34770308115206183</v>
      </c>
      <c r="AH2998" s="2" t="str">
        <f ca="1"/>
        <v>OK</v>
      </c>
    </row>
    <row r="2999" spans="2:34" x14ac:dyDescent="0.2">
      <c r="B2999" s="2">
        <f ca="1"/>
        <v>0.22590192992573743</v>
      </c>
      <c r="O2999" s="2">
        <f ca="1"/>
        <v>-0.4901736848689503</v>
      </c>
      <c r="X2999" s="2">
        <f ca="1"/>
        <v>50.970856592172005</v>
      </c>
      <c r="AG2999" s="2">
        <f ca="1"/>
        <v>0.39343276760173951</v>
      </c>
      <c r="AH2999" s="2" t="str">
        <f ca="1"/>
        <v>OK</v>
      </c>
    </row>
    <row r="3000" spans="2:34" x14ac:dyDescent="0.2">
      <c r="B3000" s="2">
        <f ca="1"/>
        <v>0.90254694882379849</v>
      </c>
      <c r="O3000" s="2">
        <f ca="1"/>
        <v>-0.43082238674999629</v>
      </c>
      <c r="X3000" s="2">
        <f ca="1"/>
        <v>67.860716415885577</v>
      </c>
      <c r="AG3000" s="2">
        <f ca="1"/>
        <v>0.50907302808486321</v>
      </c>
      <c r="AH3000" s="2" t="str">
        <f ca="1"/>
        <v>Bad</v>
      </c>
    </row>
    <row r="3001" spans="2:34" x14ac:dyDescent="0.2">
      <c r="B3001" s="2">
        <f ca="1"/>
        <v>0.58054399853974537</v>
      </c>
      <c r="O3001" s="2">
        <f ca="1"/>
        <v>-0.30012173139361692</v>
      </c>
      <c r="X3001" s="2">
        <f ca="1"/>
        <v>72.819662963785447</v>
      </c>
      <c r="AG3001" s="2">
        <f ca="1"/>
        <v>0.99804652329152055</v>
      </c>
      <c r="AH3001" s="2" t="str">
        <f ca="1"/>
        <v>Bad</v>
      </c>
    </row>
    <row r="3002" spans="2:34" x14ac:dyDescent="0.2">
      <c r="B3002" s="2">
        <f ca="1"/>
        <v>0.59797131557756167</v>
      </c>
      <c r="O3002" s="2">
        <f ca="1"/>
        <v>0.87416807746729142</v>
      </c>
      <c r="X3002" s="2">
        <f ca="1"/>
        <v>76.42002162277069</v>
      </c>
      <c r="AG3002" s="2">
        <f ca="1"/>
        <v>6.5304991446996974E-2</v>
      </c>
      <c r="AH3002" s="2" t="str">
        <f ca="1"/>
        <v>OK</v>
      </c>
    </row>
    <row r="3003" spans="2:34" x14ac:dyDescent="0.2">
      <c r="B3003" s="2">
        <f ca="1"/>
        <v>7.6350943849076369E-2</v>
      </c>
      <c r="O3003" s="2">
        <f ca="1"/>
        <v>-2.8525451010245156E-2</v>
      </c>
      <c r="X3003" s="2">
        <f ca="1"/>
        <v>25.38213446570861</v>
      </c>
      <c r="AG3003" s="2">
        <f ca="1"/>
        <v>0.97165350212929558</v>
      </c>
      <c r="AH3003" s="2" t="str">
        <f ca="1"/>
        <v>Bad</v>
      </c>
    </row>
    <row r="3004" spans="2:34" x14ac:dyDescent="0.2">
      <c r="B3004" s="2">
        <f ca="1"/>
        <v>0.3306079611300563</v>
      </c>
      <c r="O3004" s="2">
        <f ca="1"/>
        <v>-0.89906400239029838</v>
      </c>
      <c r="X3004" s="2">
        <f ca="1"/>
        <v>43.231487121070501</v>
      </c>
      <c r="AG3004" s="2">
        <f ca="1"/>
        <v>0.34265984827667673</v>
      </c>
      <c r="AH3004" s="2" t="str">
        <f ca="1"/>
        <v>OK</v>
      </c>
    </row>
    <row r="3005" spans="2:34" x14ac:dyDescent="0.2">
      <c r="B3005" s="2">
        <f ca="1"/>
        <v>0.3541178992131615</v>
      </c>
      <c r="O3005" s="2">
        <f ca="1"/>
        <v>-0.66305429501807545</v>
      </c>
      <c r="X3005" s="2">
        <f ca="1"/>
        <v>48.656396039452446</v>
      </c>
      <c r="AG3005" s="2">
        <f ca="1"/>
        <v>0.31383976621546572</v>
      </c>
      <c r="AH3005" s="2" t="str">
        <f ca="1"/>
        <v>OK</v>
      </c>
    </row>
    <row r="3006" spans="2:34" x14ac:dyDescent="0.2">
      <c r="B3006" s="2">
        <f ca="1"/>
        <v>9.3180356602518E-2</v>
      </c>
      <c r="O3006" s="2">
        <f ca="1"/>
        <v>0.68530103216945804</v>
      </c>
      <c r="X3006" s="2">
        <f ca="1"/>
        <v>70.203113780432616</v>
      </c>
      <c r="AG3006" s="2">
        <f ca="1"/>
        <v>0.70919166766850172</v>
      </c>
      <c r="AH3006" s="2" t="str">
        <f ca="1"/>
        <v>Bad</v>
      </c>
    </row>
    <row r="3007" spans="2:34" x14ac:dyDescent="0.2">
      <c r="B3007" s="2">
        <f ca="1"/>
        <v>0.63438053380824488</v>
      </c>
      <c r="O3007" s="2">
        <f ca="1"/>
        <v>6.203336915681204E-2</v>
      </c>
      <c r="X3007" s="2">
        <f ca="1"/>
        <v>48.907231026364926</v>
      </c>
      <c r="AG3007" s="2">
        <f ca="1"/>
        <v>0.70671378132842388</v>
      </c>
      <c r="AH3007" s="2" t="str">
        <f ca="1"/>
        <v>Bad</v>
      </c>
    </row>
    <row r="3008" spans="2:34" x14ac:dyDescent="0.2">
      <c r="B3008" s="2">
        <f ca="1"/>
        <v>0.41947994510181652</v>
      </c>
      <c r="O3008" s="2">
        <f ca="1"/>
        <v>-1.0260548780823946</v>
      </c>
      <c r="X3008" s="2">
        <f ca="1"/>
        <v>35.546241996640518</v>
      </c>
      <c r="AG3008" s="2">
        <f ca="1"/>
        <v>0.65560979762941063</v>
      </c>
      <c r="AH3008" s="2" t="str">
        <f ca="1"/>
        <v>Bad</v>
      </c>
    </row>
    <row r="3009" spans="2:34" x14ac:dyDescent="0.2">
      <c r="B3009" s="2">
        <f ca="1"/>
        <v>0.4264911663659845</v>
      </c>
      <c r="O3009" s="2">
        <f ca="1"/>
        <v>-0.90973265120685942</v>
      </c>
      <c r="X3009" s="2">
        <f ca="1"/>
        <v>29.573139445251147</v>
      </c>
      <c r="AG3009" s="2">
        <f ca="1"/>
        <v>0.83533659376267066</v>
      </c>
      <c r="AH3009" s="2" t="str">
        <f ca="1"/>
        <v>Bad</v>
      </c>
    </row>
    <row r="3010" spans="2:34" x14ac:dyDescent="0.2">
      <c r="B3010" s="2">
        <f ca="1"/>
        <v>0.68020289694801561</v>
      </c>
      <c r="O3010" s="2">
        <f ca="1"/>
        <v>0.64180296961019934</v>
      </c>
      <c r="X3010" s="2">
        <f ca="1"/>
        <v>32.062552557991367</v>
      </c>
      <c r="AG3010" s="2">
        <f ca="1"/>
        <v>0.49124239004275894</v>
      </c>
      <c r="AH3010" s="2" t="str">
        <f ca="1"/>
        <v>Bad</v>
      </c>
    </row>
    <row r="3011" spans="2:34" x14ac:dyDescent="0.2">
      <c r="B3011" s="2">
        <f ca="1"/>
        <v>0.17275164739269866</v>
      </c>
      <c r="O3011" s="2">
        <f ca="1"/>
        <v>0.18641852623576419</v>
      </c>
      <c r="X3011" s="2">
        <f ca="1"/>
        <v>48.991830853138445</v>
      </c>
      <c r="AG3011" s="2">
        <f ca="1"/>
        <v>0.99904392893669836</v>
      </c>
      <c r="AH3011" s="2" t="str">
        <f ca="1"/>
        <v>Bad</v>
      </c>
    </row>
    <row r="3012" spans="2:34" x14ac:dyDescent="0.2">
      <c r="B3012" s="2">
        <f ca="1"/>
        <v>0.81233750702264818</v>
      </c>
      <c r="O3012" s="2">
        <f ca="1"/>
        <v>-0.76559539842532909</v>
      </c>
      <c r="X3012" s="2">
        <f ca="1"/>
        <v>94.893632213115851</v>
      </c>
      <c r="AG3012" s="2">
        <f ca="1"/>
        <v>0.89161602730954592</v>
      </c>
      <c r="AH3012" s="2" t="str">
        <f ca="1"/>
        <v>Bad</v>
      </c>
    </row>
    <row r="3013" spans="2:34" x14ac:dyDescent="0.2">
      <c r="B3013" s="2">
        <f ca="1"/>
        <v>0.81353314386199638</v>
      </c>
      <c r="O3013" s="2">
        <f ca="1"/>
        <v>1.5362521312536905</v>
      </c>
      <c r="X3013" s="2">
        <f ca="1"/>
        <v>25.776596340342877</v>
      </c>
      <c r="AG3013" s="2">
        <f ca="1"/>
        <v>0.38325718035421419</v>
      </c>
      <c r="AH3013" s="2" t="str">
        <f ca="1"/>
        <v>OK</v>
      </c>
    </row>
    <row r="3014" spans="2:34" x14ac:dyDescent="0.2">
      <c r="B3014" s="2">
        <f ca="1"/>
        <v>0.86583494808249095</v>
      </c>
      <c r="O3014" s="2">
        <f ca="1"/>
        <v>0.63212340219564245</v>
      </c>
      <c r="X3014" s="2">
        <f ca="1"/>
        <v>37.093598713780501</v>
      </c>
      <c r="AG3014" s="2">
        <f ca="1"/>
        <v>0.53795796357853676</v>
      </c>
      <c r="AH3014" s="2" t="str">
        <f ca="1"/>
        <v>Bad</v>
      </c>
    </row>
    <row r="3015" spans="2:34" x14ac:dyDescent="0.2">
      <c r="B3015" s="2">
        <f ca="1"/>
        <v>0.70895476245689748</v>
      </c>
      <c r="O3015" s="2">
        <f ca="1"/>
        <v>-2.0599033844348758</v>
      </c>
      <c r="X3015" s="2">
        <f ca="1"/>
        <v>61.261952938588195</v>
      </c>
      <c r="AG3015" s="2">
        <f ca="1"/>
        <v>0.97211969079798277</v>
      </c>
      <c r="AH3015" s="2" t="str">
        <f ca="1"/>
        <v>Bad</v>
      </c>
    </row>
    <row r="3016" spans="2:34" x14ac:dyDescent="0.2">
      <c r="B3016" s="2">
        <f ca="1"/>
        <v>0.49520794148751701</v>
      </c>
      <c r="O3016" s="2">
        <f ca="1"/>
        <v>-1.9505121757090333</v>
      </c>
      <c r="X3016" s="2">
        <f ca="1"/>
        <v>46.798383723987854</v>
      </c>
      <c r="AG3016" s="2">
        <f ca="1"/>
        <v>0.85888597929304722</v>
      </c>
      <c r="AH3016" s="2" t="str">
        <f ca="1"/>
        <v>Bad</v>
      </c>
    </row>
    <row r="3017" spans="2:34" x14ac:dyDescent="0.2">
      <c r="B3017" s="2">
        <f ca="1"/>
        <v>0.41373256644892487</v>
      </c>
      <c r="O3017" s="2">
        <f ca="1"/>
        <v>0.98997343401486937</v>
      </c>
      <c r="X3017" s="2">
        <f ca="1"/>
        <v>26.778113356767058</v>
      </c>
      <c r="AG3017" s="2">
        <f ca="1"/>
        <v>0.66801344166093468</v>
      </c>
      <c r="AH3017" s="2" t="str">
        <f ca="1"/>
        <v>Bad</v>
      </c>
    </row>
    <row r="3018" spans="2:34" x14ac:dyDescent="0.2">
      <c r="B3018" s="2">
        <f ca="1"/>
        <v>0.35104798227463929</v>
      </c>
      <c r="O3018" s="2">
        <f ca="1"/>
        <v>-0.85456443928828985</v>
      </c>
      <c r="X3018" s="2">
        <f ca="1"/>
        <v>17.947634361794034</v>
      </c>
      <c r="AG3018" s="2">
        <f ca="1"/>
        <v>0.24489112401828228</v>
      </c>
      <c r="AH3018" s="2" t="str">
        <f ca="1"/>
        <v>OK</v>
      </c>
    </row>
    <row r="3019" spans="2:34" x14ac:dyDescent="0.2">
      <c r="B3019" s="2">
        <f ca="1"/>
        <v>0.56991175600078248</v>
      </c>
      <c r="O3019" s="2">
        <f ca="1"/>
        <v>-0.94800378406220864</v>
      </c>
      <c r="X3019" s="2">
        <f ca="1"/>
        <v>57.725634606803304</v>
      </c>
      <c r="AG3019" s="2">
        <f ca="1"/>
        <v>0.20126817401334529</v>
      </c>
      <c r="AH3019" s="2" t="str">
        <f ca="1"/>
        <v>OK</v>
      </c>
    </row>
    <row r="3020" spans="2:34" x14ac:dyDescent="0.2">
      <c r="B3020" s="2">
        <f ca="1"/>
        <v>1.8021513077678186E-2</v>
      </c>
      <c r="O3020" s="2">
        <f ca="1"/>
        <v>-1.0908576913712131</v>
      </c>
      <c r="X3020" s="2">
        <f ca="1"/>
        <v>60.999275837868161</v>
      </c>
      <c r="AG3020" s="2">
        <f ca="1"/>
        <v>0.1626668261005606</v>
      </c>
      <c r="AH3020" s="2" t="str">
        <f ca="1"/>
        <v>OK</v>
      </c>
    </row>
    <row r="3021" spans="2:34" x14ac:dyDescent="0.2">
      <c r="B3021" s="2">
        <f ca="1"/>
        <v>0.94975859760898174</v>
      </c>
      <c r="O3021" s="2">
        <f ca="1"/>
        <v>1.126997588254206</v>
      </c>
      <c r="X3021" s="2">
        <f ca="1"/>
        <v>53.0827125833938</v>
      </c>
      <c r="AG3021" s="2">
        <f ca="1"/>
        <v>0.80674001607669954</v>
      </c>
      <c r="AH3021" s="2" t="str">
        <f ca="1"/>
        <v>Bad</v>
      </c>
    </row>
    <row r="3022" spans="2:34" x14ac:dyDescent="0.2">
      <c r="B3022" s="2">
        <f ca="1"/>
        <v>0.29391695785460303</v>
      </c>
      <c r="O3022" s="2">
        <f ca="1"/>
        <v>1.1640589039325575</v>
      </c>
      <c r="X3022" s="2">
        <f ca="1"/>
        <v>39.618834710451893</v>
      </c>
      <c r="AG3022" s="2">
        <f ca="1"/>
        <v>0.99409335989624248</v>
      </c>
      <c r="AH3022" s="2" t="str">
        <f ca="1"/>
        <v>Bad</v>
      </c>
    </row>
    <row r="3023" spans="2:34" x14ac:dyDescent="0.2">
      <c r="B3023" s="2">
        <f ca="1"/>
        <v>0.85966878290942317</v>
      </c>
      <c r="O3023" s="2">
        <f ca="1"/>
        <v>0.18993334908663009</v>
      </c>
      <c r="X3023" s="2">
        <f ca="1"/>
        <v>35.310498784742236</v>
      </c>
      <c r="AG3023" s="2">
        <f ca="1"/>
        <v>0.52810967986015611</v>
      </c>
      <c r="AH3023" s="2" t="str">
        <f ca="1"/>
        <v>Bad</v>
      </c>
    </row>
    <row r="3024" spans="2:34" x14ac:dyDescent="0.2">
      <c r="B3024" s="2">
        <f ca="1"/>
        <v>0.64547453133533694</v>
      </c>
      <c r="O3024" s="2">
        <f ca="1"/>
        <v>0.26577339979231585</v>
      </c>
      <c r="X3024" s="2">
        <f ca="1"/>
        <v>47.270871311050286</v>
      </c>
      <c r="AG3024" s="2">
        <f ca="1"/>
        <v>0.7164071481797627</v>
      </c>
      <c r="AH3024" s="2" t="str">
        <f ca="1"/>
        <v>Bad</v>
      </c>
    </row>
    <row r="3025" spans="2:34" x14ac:dyDescent="0.2">
      <c r="B3025" s="2">
        <f ca="1"/>
        <v>5.1556827785734782E-2</v>
      </c>
      <c r="O3025" s="2">
        <f ca="1"/>
        <v>-0.417300160516203</v>
      </c>
      <c r="X3025" s="2">
        <f ca="1"/>
        <v>77.059873186852784</v>
      </c>
      <c r="AG3025" s="2">
        <f ca="1"/>
        <v>0.39612306178622303</v>
      </c>
      <c r="AH3025" s="2" t="str">
        <f ca="1"/>
        <v>OK</v>
      </c>
    </row>
    <row r="3026" spans="2:34" x14ac:dyDescent="0.2">
      <c r="B3026" s="2">
        <f ca="1"/>
        <v>0.25042354384391752</v>
      </c>
      <c r="O3026" s="2">
        <f ca="1"/>
        <v>1.2178884454837673</v>
      </c>
      <c r="X3026" s="2">
        <f ca="1"/>
        <v>59.264759296126854</v>
      </c>
      <c r="AG3026" s="2">
        <f ca="1"/>
        <v>0.14513421757629286</v>
      </c>
      <c r="AH3026" s="2" t="str">
        <f ca="1"/>
        <v>OK</v>
      </c>
    </row>
    <row r="3027" spans="2:34" x14ac:dyDescent="0.2">
      <c r="B3027" s="2">
        <f ca="1"/>
        <v>0.29582415847007915</v>
      </c>
      <c r="O3027" s="2">
        <f ca="1"/>
        <v>0.24804437907307725</v>
      </c>
      <c r="X3027" s="2">
        <f ca="1"/>
        <v>23.227809154225195</v>
      </c>
      <c r="AG3027" s="2">
        <f ca="1"/>
        <v>0.33553429721554839</v>
      </c>
      <c r="AH3027" s="2" t="str">
        <f ca="1"/>
        <v>OK</v>
      </c>
    </row>
    <row r="3028" spans="2:34" x14ac:dyDescent="0.2">
      <c r="B3028" s="2">
        <f ca="1"/>
        <v>0.32851202844936012</v>
      </c>
      <c r="O3028" s="2">
        <f ca="1"/>
        <v>0.40825896059476124</v>
      </c>
      <c r="X3028" s="2">
        <f ca="1"/>
        <v>40.469576319945716</v>
      </c>
      <c r="AG3028" s="2">
        <f ca="1"/>
        <v>0.45727982436232906</v>
      </c>
      <c r="AH3028" s="2" t="str">
        <f ca="1"/>
        <v>Bad</v>
      </c>
    </row>
    <row r="3029" spans="2:34" x14ac:dyDescent="0.2">
      <c r="B3029" s="2">
        <f ca="1"/>
        <v>0.22805197022141677</v>
      </c>
      <c r="O3029" s="2">
        <f ca="1"/>
        <v>0.56271652908858605</v>
      </c>
      <c r="X3029" s="2">
        <f ca="1"/>
        <v>53.139629719967047</v>
      </c>
      <c r="AG3029" s="2">
        <f ca="1"/>
        <v>0.47335404376866563</v>
      </c>
      <c r="AH3029" s="2" t="str">
        <f ca="1"/>
        <v>Bad</v>
      </c>
    </row>
    <row r="3030" spans="2:34" x14ac:dyDescent="0.2">
      <c r="B3030" s="2">
        <f ca="1"/>
        <v>0.95098632936567395</v>
      </c>
      <c r="O3030" s="2">
        <f ca="1"/>
        <v>-2.2511503004466373</v>
      </c>
      <c r="X3030" s="2">
        <f ca="1"/>
        <v>30.671896603030149</v>
      </c>
      <c r="AG3030" s="2">
        <f ca="1"/>
        <v>0.70338650743607189</v>
      </c>
      <c r="AH3030" s="2" t="str">
        <f ca="1"/>
        <v>Bad</v>
      </c>
    </row>
    <row r="3031" spans="2:34" x14ac:dyDescent="0.2">
      <c r="B3031" s="2">
        <f ca="1"/>
        <v>0.88298058097757615</v>
      </c>
      <c r="O3031" s="2">
        <f ca="1"/>
        <v>-1.0059862426221986</v>
      </c>
      <c r="X3031" s="2">
        <f ca="1"/>
        <v>64.308326426099455</v>
      </c>
      <c r="AG3031" s="2">
        <f ca="1"/>
        <v>0.60110047285186852</v>
      </c>
      <c r="AH3031" s="2" t="str">
        <f ca="1"/>
        <v>Bad</v>
      </c>
    </row>
    <row r="3032" spans="2:34" x14ac:dyDescent="0.2">
      <c r="B3032" s="2">
        <f ca="1"/>
        <v>0.87489314570123988</v>
      </c>
      <c r="O3032" s="2">
        <f ca="1"/>
        <v>0.61096336430380782</v>
      </c>
      <c r="X3032" s="2">
        <f ca="1"/>
        <v>70.688044650179364</v>
      </c>
      <c r="AG3032" s="2">
        <f ca="1"/>
        <v>0.13443614905775902</v>
      </c>
      <c r="AH3032" s="2" t="str">
        <f ca="1"/>
        <v>OK</v>
      </c>
    </row>
    <row r="3033" spans="2:34" x14ac:dyDescent="0.2">
      <c r="B3033" s="2">
        <f ca="1"/>
        <v>0.50534395835808699</v>
      </c>
      <c r="O3033" s="2">
        <f ca="1"/>
        <v>2.2714538975612779</v>
      </c>
      <c r="X3033" s="2">
        <f ca="1"/>
        <v>57.819088159436816</v>
      </c>
      <c r="AG3033" s="2">
        <f ca="1"/>
        <v>0.90111910072941104</v>
      </c>
      <c r="AH3033" s="2" t="str">
        <f ca="1"/>
        <v>Bad</v>
      </c>
    </row>
    <row r="3034" spans="2:34" x14ac:dyDescent="0.2">
      <c r="B3034" s="2">
        <f ca="1"/>
        <v>0.49581480448394144</v>
      </c>
      <c r="O3034" s="2">
        <f ca="1"/>
        <v>-0.64366178431756116</v>
      </c>
      <c r="X3034" s="2">
        <f ca="1"/>
        <v>45.668900839837207</v>
      </c>
      <c r="AG3034" s="2">
        <f ca="1"/>
        <v>0.34989148808996973</v>
      </c>
      <c r="AH3034" s="2" t="str">
        <f ca="1"/>
        <v>OK</v>
      </c>
    </row>
    <row r="3035" spans="2:34" x14ac:dyDescent="0.2">
      <c r="B3035" s="2">
        <f ca="1"/>
        <v>0.70281062732181976</v>
      </c>
      <c r="O3035" s="2">
        <f ca="1"/>
        <v>1.0433725590424843</v>
      </c>
      <c r="X3035" s="2">
        <f ca="1"/>
        <v>53.920020218280946</v>
      </c>
      <c r="AG3035" s="2">
        <f ca="1"/>
        <v>0.21466291032680052</v>
      </c>
      <c r="AH3035" s="2" t="str">
        <f ca="1"/>
        <v>OK</v>
      </c>
    </row>
    <row r="3036" spans="2:34" x14ac:dyDescent="0.2">
      <c r="B3036" s="2">
        <f ca="1"/>
        <v>0.19061851094208304</v>
      </c>
      <c r="O3036" s="2">
        <f ca="1"/>
        <v>-0.24562980908428034</v>
      </c>
      <c r="X3036" s="2">
        <f ca="1"/>
        <v>26.000447930391655</v>
      </c>
      <c r="AG3036" s="2">
        <f ca="1"/>
        <v>0.61384752538332688</v>
      </c>
      <c r="AH3036" s="2" t="str">
        <f ca="1"/>
        <v>Bad</v>
      </c>
    </row>
    <row r="3037" spans="2:34" x14ac:dyDescent="0.2">
      <c r="B3037" s="2">
        <f ca="1"/>
        <v>0.18714309535827045</v>
      </c>
      <c r="O3037" s="2">
        <f ca="1"/>
        <v>-1.2918372328311354</v>
      </c>
      <c r="X3037" s="2">
        <f ca="1"/>
        <v>65.430504560075505</v>
      </c>
      <c r="AG3037" s="2">
        <f ca="1"/>
        <v>0.36677470817392988</v>
      </c>
      <c r="AH3037" s="2" t="str">
        <f ca="1"/>
        <v>OK</v>
      </c>
    </row>
    <row r="3038" spans="2:34" x14ac:dyDescent="0.2">
      <c r="B3038" s="2">
        <f ca="1"/>
        <v>0.93665268774687038</v>
      </c>
      <c r="O3038" s="2">
        <f ca="1"/>
        <v>-0.68985091106566043</v>
      </c>
      <c r="X3038" s="2">
        <f ca="1"/>
        <v>34.704763895786087</v>
      </c>
      <c r="AG3038" s="2">
        <f ca="1"/>
        <v>0.51963983619084675</v>
      </c>
      <c r="AH3038" s="2" t="str">
        <f ca="1"/>
        <v>Bad</v>
      </c>
    </row>
    <row r="3039" spans="2:34" x14ac:dyDescent="0.2">
      <c r="B3039" s="2">
        <f ca="1"/>
        <v>0.66333404049518463</v>
      </c>
      <c r="O3039" s="2">
        <f ca="1"/>
        <v>0.1862970551450491</v>
      </c>
      <c r="X3039" s="2">
        <f ca="1"/>
        <v>77.830045882459999</v>
      </c>
      <c r="AG3039" s="2">
        <f ca="1"/>
        <v>0.54472695673460225</v>
      </c>
      <c r="AH3039" s="2" t="str">
        <f ca="1"/>
        <v>Bad</v>
      </c>
    </row>
    <row r="3040" spans="2:34" x14ac:dyDescent="0.2">
      <c r="B3040" s="2">
        <f ca="1"/>
        <v>0.77776918941116624</v>
      </c>
      <c r="O3040" s="2">
        <f ca="1"/>
        <v>0.57046815412591234</v>
      </c>
      <c r="X3040" s="2">
        <f ca="1"/>
        <v>24.196044952763369</v>
      </c>
      <c r="AG3040" s="2">
        <f ca="1"/>
        <v>1.2203997176488679E-2</v>
      </c>
      <c r="AH3040" s="2" t="str">
        <f ca="1"/>
        <v>Good</v>
      </c>
    </row>
    <row r="3041" spans="2:34" x14ac:dyDescent="0.2">
      <c r="B3041" s="2">
        <f ca="1"/>
        <v>9.4778301522592701E-2</v>
      </c>
      <c r="O3041" s="2">
        <f ca="1"/>
        <v>-0.1646554890124699</v>
      </c>
      <c r="X3041" s="2">
        <f ca="1"/>
        <v>57.291686965557844</v>
      </c>
      <c r="AG3041" s="2">
        <f ca="1"/>
        <v>0.3803977174355091</v>
      </c>
      <c r="AH3041" s="2" t="str">
        <f ca="1"/>
        <v>OK</v>
      </c>
    </row>
    <row r="3042" spans="2:34" x14ac:dyDescent="0.2">
      <c r="B3042" s="2">
        <f ca="1"/>
        <v>0.1632879414228694</v>
      </c>
      <c r="O3042" s="2">
        <f ca="1"/>
        <v>0.38111993076275513</v>
      </c>
      <c r="X3042" s="2">
        <f ca="1"/>
        <v>38.042052693451303</v>
      </c>
      <c r="AG3042" s="2">
        <f ca="1"/>
        <v>0.36665859019635838</v>
      </c>
      <c r="AH3042" s="2" t="str">
        <f ca="1"/>
        <v>OK</v>
      </c>
    </row>
    <row r="3043" spans="2:34" x14ac:dyDescent="0.2">
      <c r="B3043" s="2">
        <f ca="1"/>
        <v>0.69712957953617516</v>
      </c>
      <c r="O3043" s="2">
        <f ca="1"/>
        <v>1.0406149157237343</v>
      </c>
      <c r="X3043" s="2">
        <f ca="1"/>
        <v>36.34254521017462</v>
      </c>
      <c r="AG3043" s="2">
        <f ca="1"/>
        <v>0.91128397778978409</v>
      </c>
      <c r="AH3043" s="2" t="str">
        <f ca="1"/>
        <v>Bad</v>
      </c>
    </row>
    <row r="3044" spans="2:34" x14ac:dyDescent="0.2">
      <c r="B3044" s="2">
        <f ca="1"/>
        <v>0.39824943886367037</v>
      </c>
      <c r="O3044" s="2">
        <f ca="1"/>
        <v>0.30192544327257398</v>
      </c>
      <c r="X3044" s="2">
        <f ca="1"/>
        <v>83.148483294103897</v>
      </c>
      <c r="AG3044" s="2">
        <f ca="1"/>
        <v>0.17216210575445978</v>
      </c>
      <c r="AH3044" s="2" t="str">
        <f ca="1"/>
        <v>OK</v>
      </c>
    </row>
    <row r="3045" spans="2:34" x14ac:dyDescent="0.2">
      <c r="B3045" s="2">
        <f ca="1"/>
        <v>0.30355626065089236</v>
      </c>
      <c r="O3045" s="2">
        <f ca="1"/>
        <v>-0.7142152278684385</v>
      </c>
      <c r="X3045" s="2">
        <f ca="1"/>
        <v>52.301033538584619</v>
      </c>
      <c r="AG3045" s="2">
        <f ca="1"/>
        <v>0.6627319191985459</v>
      </c>
      <c r="AH3045" s="2" t="str">
        <f ca="1"/>
        <v>Bad</v>
      </c>
    </row>
    <row r="3046" spans="2:34" x14ac:dyDescent="0.2">
      <c r="B3046" s="2">
        <f ca="1"/>
        <v>0.16727668937600559</v>
      </c>
      <c r="O3046" s="2">
        <f ca="1"/>
        <v>1.5129713051521423</v>
      </c>
      <c r="X3046" s="2">
        <f ca="1"/>
        <v>39.166622379377628</v>
      </c>
      <c r="AG3046" s="2">
        <f ca="1"/>
        <v>4.6191165590156347E-2</v>
      </c>
      <c r="AH3046" s="2" t="str">
        <f ca="1"/>
        <v>Good</v>
      </c>
    </row>
    <row r="3047" spans="2:34" x14ac:dyDescent="0.2">
      <c r="B3047" s="2">
        <f ca="1"/>
        <v>0.97558003830530993</v>
      </c>
      <c r="O3047" s="2">
        <f ca="1"/>
        <v>-0.4039132234474902</v>
      </c>
      <c r="X3047" s="2">
        <f ca="1"/>
        <v>54.678138964537482</v>
      </c>
      <c r="AG3047" s="2">
        <f ca="1"/>
        <v>0.11204159588804807</v>
      </c>
      <c r="AH3047" s="2" t="str">
        <f ca="1"/>
        <v>OK</v>
      </c>
    </row>
    <row r="3048" spans="2:34" x14ac:dyDescent="0.2">
      <c r="B3048" s="2">
        <f ca="1"/>
        <v>0.59322508225302162</v>
      </c>
      <c r="O3048" s="2">
        <f ca="1"/>
        <v>0.18040249711857195</v>
      </c>
      <c r="X3048" s="2">
        <f ca="1"/>
        <v>49.067267771650037</v>
      </c>
      <c r="AG3048" s="2">
        <f ca="1"/>
        <v>0.33636630203673268</v>
      </c>
      <c r="AH3048" s="2" t="str">
        <f ca="1"/>
        <v>OK</v>
      </c>
    </row>
    <row r="3049" spans="2:34" x14ac:dyDescent="0.2">
      <c r="B3049" s="2">
        <f ca="1"/>
        <v>0.1668605866513051</v>
      </c>
      <c r="O3049" s="2">
        <f ca="1"/>
        <v>0.24316333334108026</v>
      </c>
      <c r="X3049" s="2">
        <f ca="1"/>
        <v>48.498674195092129</v>
      </c>
      <c r="AG3049" s="2">
        <f ca="1"/>
        <v>0.18084448942676468</v>
      </c>
      <c r="AH3049" s="2" t="str">
        <f ca="1"/>
        <v>OK</v>
      </c>
    </row>
    <row r="3050" spans="2:34" x14ac:dyDescent="0.2">
      <c r="B3050" s="2">
        <f ca="1"/>
        <v>0.81783747843965893</v>
      </c>
      <c r="O3050" s="2">
        <f ca="1"/>
        <v>-1.4131917945037356</v>
      </c>
      <c r="X3050" s="2">
        <f ca="1"/>
        <v>44.525292898211575</v>
      </c>
      <c r="AG3050" s="2">
        <f ca="1"/>
        <v>0.87096579835821064</v>
      </c>
      <c r="AH3050" s="2" t="str">
        <f ca="1"/>
        <v>Bad</v>
      </c>
    </row>
    <row r="3051" spans="2:34" x14ac:dyDescent="0.2">
      <c r="B3051" s="2">
        <f ca="1"/>
        <v>0.95670373856717106</v>
      </c>
      <c r="O3051" s="2">
        <f ca="1"/>
        <v>3.0450880791392043</v>
      </c>
      <c r="X3051" s="2">
        <f ca="1"/>
        <v>48.177943055750546</v>
      </c>
      <c r="AG3051" s="2">
        <f ca="1"/>
        <v>0.1557602636722113</v>
      </c>
      <c r="AH3051" s="2" t="str">
        <f ca="1"/>
        <v>OK</v>
      </c>
    </row>
    <row r="3052" spans="2:34" x14ac:dyDescent="0.2">
      <c r="B3052" s="2">
        <f ca="1"/>
        <v>0.38160579639500591</v>
      </c>
      <c r="O3052" s="2">
        <f ca="1"/>
        <v>-2.1886682183680439</v>
      </c>
      <c r="X3052" s="2">
        <f ca="1"/>
        <v>38.016496878325015</v>
      </c>
      <c r="AG3052" s="2">
        <f ca="1"/>
        <v>6.3284724572150175E-3</v>
      </c>
      <c r="AH3052" s="2" t="str">
        <f ca="1"/>
        <v>Good</v>
      </c>
    </row>
    <row r="3053" spans="2:34" x14ac:dyDescent="0.2">
      <c r="B3053" s="2">
        <f ca="1"/>
        <v>0.82051979161667066</v>
      </c>
      <c r="O3053" s="2">
        <f ca="1"/>
        <v>0.37349794498270744</v>
      </c>
      <c r="X3053" s="2">
        <f ca="1"/>
        <v>35.836437871724776</v>
      </c>
      <c r="AG3053" s="2">
        <f ca="1"/>
        <v>0.56447695249856689</v>
      </c>
      <c r="AH3053" s="2" t="str">
        <f ca="1"/>
        <v>Bad</v>
      </c>
    </row>
    <row r="3054" spans="2:34" x14ac:dyDescent="0.2">
      <c r="B3054" s="2">
        <f ca="1"/>
        <v>0.40662318547793985</v>
      </c>
      <c r="O3054" s="2">
        <f ca="1"/>
        <v>-0.46727697528719769</v>
      </c>
      <c r="X3054" s="2">
        <f ca="1"/>
        <v>54.177717390194545</v>
      </c>
      <c r="AG3054" s="2">
        <f ca="1"/>
        <v>0.12884666224557173</v>
      </c>
      <c r="AH3054" s="2" t="str">
        <f ca="1"/>
        <v>OK</v>
      </c>
    </row>
    <row r="3055" spans="2:34" x14ac:dyDescent="0.2">
      <c r="B3055" s="2">
        <f ca="1"/>
        <v>0.7043144494432132</v>
      </c>
      <c r="O3055" s="2">
        <f ca="1"/>
        <v>-0.98541170833850678</v>
      </c>
      <c r="X3055" s="2">
        <f ca="1"/>
        <v>32.602086017040961</v>
      </c>
      <c r="AG3055" s="2">
        <f ca="1"/>
        <v>0.338166196380975</v>
      </c>
      <c r="AH3055" s="2" t="str">
        <f ca="1"/>
        <v>OK</v>
      </c>
    </row>
    <row r="3056" spans="2:34" x14ac:dyDescent="0.2">
      <c r="B3056" s="2">
        <f ca="1"/>
        <v>0.74150063443888214</v>
      </c>
      <c r="O3056" s="2">
        <f ca="1"/>
        <v>-0.37850112235131961</v>
      </c>
      <c r="X3056" s="2">
        <f ca="1"/>
        <v>28.182040234399942</v>
      </c>
      <c r="AG3056" s="2">
        <f ca="1"/>
        <v>0.50480245027774617</v>
      </c>
      <c r="AH3056" s="2" t="str">
        <f ca="1"/>
        <v>Bad</v>
      </c>
    </row>
    <row r="3057" spans="2:34" x14ac:dyDescent="0.2">
      <c r="B3057" s="2">
        <f ca="1"/>
        <v>0.54868927423427949</v>
      </c>
      <c r="O3057" s="2">
        <f ca="1"/>
        <v>0.18795934308500845</v>
      </c>
      <c r="X3057" s="2">
        <f ca="1"/>
        <v>59.555720965983099</v>
      </c>
      <c r="AG3057" s="2">
        <f ca="1"/>
        <v>0.37804103809410927</v>
      </c>
      <c r="AH3057" s="2" t="str">
        <f ca="1"/>
        <v>OK</v>
      </c>
    </row>
    <row r="3058" spans="2:34" x14ac:dyDescent="0.2">
      <c r="B3058" s="2">
        <f ca="1"/>
        <v>0.59458046106860274</v>
      </c>
      <c r="O3058" s="2">
        <f ca="1"/>
        <v>-0.87599670440283595</v>
      </c>
      <c r="X3058" s="2">
        <f ca="1"/>
        <v>27.342441209972094</v>
      </c>
      <c r="AG3058" s="2">
        <f ca="1"/>
        <v>0.14936640253656064</v>
      </c>
      <c r="AH3058" s="2" t="str">
        <f ca="1"/>
        <v>OK</v>
      </c>
    </row>
    <row r="3059" spans="2:34" x14ac:dyDescent="0.2">
      <c r="B3059" s="2">
        <f ca="1"/>
        <v>0.83041461033072905</v>
      </c>
      <c r="O3059" s="2">
        <f ca="1"/>
        <v>0.11766674075462112</v>
      </c>
      <c r="X3059" s="2">
        <f ca="1"/>
        <v>52.830890053248808</v>
      </c>
      <c r="AG3059" s="2">
        <f ca="1"/>
        <v>0.2851814224192275</v>
      </c>
      <c r="AH3059" s="2" t="str">
        <f ca="1"/>
        <v>OK</v>
      </c>
    </row>
    <row r="3060" spans="2:34" x14ac:dyDescent="0.2">
      <c r="B3060" s="2">
        <f ca="1"/>
        <v>0.78065889472724903</v>
      </c>
      <c r="O3060" s="2">
        <f ca="1"/>
        <v>2.9798717092835259E-2</v>
      </c>
      <c r="X3060" s="2">
        <f ca="1"/>
        <v>48.294360974063153</v>
      </c>
      <c r="AG3060" s="2">
        <f ca="1"/>
        <v>0.35057738043491216</v>
      </c>
      <c r="AH3060" s="2" t="str">
        <f ca="1"/>
        <v>OK</v>
      </c>
    </row>
    <row r="3061" spans="2:34" x14ac:dyDescent="0.2">
      <c r="B3061" s="2">
        <f ca="1"/>
        <v>0.62688009311880077</v>
      </c>
      <c r="O3061" s="2">
        <f ca="1"/>
        <v>0.18611093812287999</v>
      </c>
      <c r="X3061" s="2">
        <f ca="1"/>
        <v>46.809814388926114</v>
      </c>
      <c r="AG3061" s="2">
        <f ca="1"/>
        <v>0.33894100857368104</v>
      </c>
      <c r="AH3061" s="2" t="str">
        <f ca="1"/>
        <v>OK</v>
      </c>
    </row>
    <row r="3062" spans="2:34" x14ac:dyDescent="0.2">
      <c r="B3062" s="2">
        <f ca="1"/>
        <v>0.33228217455491826</v>
      </c>
      <c r="O3062" s="2">
        <f ca="1"/>
        <v>-0.19277842634813666</v>
      </c>
      <c r="X3062" s="2">
        <f ca="1"/>
        <v>71.753491273605931</v>
      </c>
      <c r="AG3062" s="2">
        <f ca="1"/>
        <v>0.3275362348018398</v>
      </c>
      <c r="AH3062" s="2" t="str">
        <f ca="1"/>
        <v>OK</v>
      </c>
    </row>
    <row r="3063" spans="2:34" x14ac:dyDescent="0.2">
      <c r="B3063" s="2">
        <f ca="1"/>
        <v>0.77794536586256169</v>
      </c>
      <c r="O3063" s="2">
        <f ca="1"/>
        <v>0.88069172518786876</v>
      </c>
      <c r="X3063" s="2">
        <f ca="1"/>
        <v>47.719262995675606</v>
      </c>
      <c r="AG3063" s="2">
        <f ca="1"/>
        <v>0.94173248115407016</v>
      </c>
      <c r="AH3063" s="2" t="str">
        <f ca="1"/>
        <v>Bad</v>
      </c>
    </row>
    <row r="3064" spans="2:34" x14ac:dyDescent="0.2">
      <c r="B3064" s="2">
        <f ca="1"/>
        <v>0.55166858373606398</v>
      </c>
      <c r="O3064" s="2">
        <f ca="1"/>
        <v>-0.90726404174820607</v>
      </c>
      <c r="X3064" s="2">
        <f ca="1"/>
        <v>42.759661090577993</v>
      </c>
      <c r="AG3064" s="2">
        <f ca="1"/>
        <v>0.49202013369210107</v>
      </c>
      <c r="AH3064" s="2" t="str">
        <f ca="1"/>
        <v>Bad</v>
      </c>
    </row>
    <row r="3065" spans="2:34" x14ac:dyDescent="0.2">
      <c r="B3065" s="2">
        <f ca="1"/>
        <v>0.34592182655163706</v>
      </c>
      <c r="O3065" s="2">
        <f ca="1"/>
        <v>-8.1034164372558795E-2</v>
      </c>
      <c r="X3065" s="2">
        <f ca="1"/>
        <v>61.126336712021356</v>
      </c>
      <c r="AG3065" s="2">
        <f ca="1"/>
        <v>0.4591517737304065</v>
      </c>
      <c r="AH3065" s="2" t="str">
        <f ca="1"/>
        <v>Bad</v>
      </c>
    </row>
    <row r="3066" spans="2:34" x14ac:dyDescent="0.2">
      <c r="B3066" s="2">
        <f ca="1"/>
        <v>0.30165924409416012</v>
      </c>
      <c r="O3066" s="2">
        <f ca="1"/>
        <v>0.45260459851160123</v>
      </c>
      <c r="X3066" s="2">
        <f ca="1"/>
        <v>39.482634548221192</v>
      </c>
      <c r="AG3066" s="2">
        <f ca="1"/>
        <v>8.4823690920692307E-3</v>
      </c>
      <c r="AH3066" s="2" t="str">
        <f ca="1"/>
        <v>Good</v>
      </c>
    </row>
    <row r="3067" spans="2:34" x14ac:dyDescent="0.2">
      <c r="B3067" s="2">
        <f ca="1"/>
        <v>0.35743055110632627</v>
      </c>
      <c r="O3067" s="2">
        <f ca="1"/>
        <v>-0.11712975691778618</v>
      </c>
      <c r="X3067" s="2">
        <f ca="1"/>
        <v>37.124404090864111</v>
      </c>
      <c r="AG3067" s="2">
        <f ca="1"/>
        <v>9.5158790592830611E-2</v>
      </c>
      <c r="AH3067" s="2" t="str">
        <f ca="1"/>
        <v>OK</v>
      </c>
    </row>
    <row r="3068" spans="2:34" x14ac:dyDescent="0.2">
      <c r="B3068" s="2">
        <f ca="1"/>
        <v>0.39646495786828351</v>
      </c>
      <c r="O3068" s="2">
        <f ca="1"/>
        <v>-0.74620521022704811</v>
      </c>
      <c r="X3068" s="2">
        <f ca="1"/>
        <v>83.299299493008121</v>
      </c>
      <c r="AG3068" s="2">
        <f ca="1"/>
        <v>0.48956308296205675</v>
      </c>
      <c r="AH3068" s="2" t="str">
        <f ca="1"/>
        <v>Bad</v>
      </c>
    </row>
    <row r="3069" spans="2:34" x14ac:dyDescent="0.2">
      <c r="B3069" s="2">
        <f ca="1"/>
        <v>0.73320741638662956</v>
      </c>
      <c r="O3069" s="2">
        <f ca="1"/>
        <v>0.20330390190803393</v>
      </c>
      <c r="X3069" s="2">
        <f ca="1"/>
        <v>60.956593696167332</v>
      </c>
      <c r="AG3069" s="2">
        <f ca="1"/>
        <v>0.52238358626417147</v>
      </c>
      <c r="AH3069" s="2" t="str">
        <f ca="1"/>
        <v>Bad</v>
      </c>
    </row>
    <row r="3070" spans="2:34" x14ac:dyDescent="0.2">
      <c r="B3070" s="2">
        <f ca="1"/>
        <v>0.32417851914804197</v>
      </c>
      <c r="O3070" s="2">
        <f ca="1"/>
        <v>1.0868155091092662</v>
      </c>
      <c r="X3070" s="2">
        <f ca="1"/>
        <v>69.129656219629283</v>
      </c>
      <c r="AG3070" s="2">
        <f ca="1"/>
        <v>0.35946520378411884</v>
      </c>
      <c r="AH3070" s="2" t="str">
        <f ca="1"/>
        <v>OK</v>
      </c>
    </row>
    <row r="3071" spans="2:34" x14ac:dyDescent="0.2">
      <c r="B3071" s="2">
        <f ca="1"/>
        <v>0.212878122180715</v>
      </c>
      <c r="O3071" s="2">
        <f ca="1"/>
        <v>8.1018973678634865E-2</v>
      </c>
      <c r="X3071" s="2">
        <f ca="1"/>
        <v>44.036848756028874</v>
      </c>
      <c r="AG3071" s="2">
        <f ca="1"/>
        <v>0.7856369470586162</v>
      </c>
      <c r="AH3071" s="2" t="str">
        <f ca="1"/>
        <v>Bad</v>
      </c>
    </row>
    <row r="3072" spans="2:34" x14ac:dyDescent="0.2">
      <c r="B3072" s="2">
        <f ca="1"/>
        <v>0.66444897073966525</v>
      </c>
      <c r="O3072" s="2">
        <f ca="1"/>
        <v>-1.4707093936525899</v>
      </c>
      <c r="X3072" s="2">
        <f ca="1"/>
        <v>51.237553097702119</v>
      </c>
      <c r="AG3072" s="2">
        <f ca="1"/>
        <v>0.87226966245353976</v>
      </c>
      <c r="AH3072" s="2" t="str">
        <f ca="1"/>
        <v>Bad</v>
      </c>
    </row>
    <row r="3073" spans="2:34" x14ac:dyDescent="0.2">
      <c r="B3073" s="2">
        <f ca="1"/>
        <v>0.91961103860231819</v>
      </c>
      <c r="O3073" s="2">
        <f ca="1"/>
        <v>-1.2640077063392938</v>
      </c>
      <c r="X3073" s="2">
        <f ca="1"/>
        <v>35.458669469798814</v>
      </c>
      <c r="AG3073" s="2">
        <f ca="1"/>
        <v>0.61299095893732458</v>
      </c>
      <c r="AH3073" s="2" t="str">
        <f ca="1"/>
        <v>Bad</v>
      </c>
    </row>
    <row r="3074" spans="2:34" x14ac:dyDescent="0.2">
      <c r="B3074" s="2">
        <f ca="1"/>
        <v>0.55601826886238181</v>
      </c>
      <c r="O3074" s="2">
        <f ca="1"/>
        <v>-0.48818955149795473</v>
      </c>
      <c r="X3074" s="2">
        <f ca="1"/>
        <v>43.404436578685541</v>
      </c>
      <c r="AG3074" s="2">
        <f ca="1"/>
        <v>0.30660192050141699</v>
      </c>
      <c r="AH3074" s="2" t="str">
        <f ca="1"/>
        <v>OK</v>
      </c>
    </row>
    <row r="3075" spans="2:34" x14ac:dyDescent="0.2">
      <c r="B3075" s="2">
        <f ca="1"/>
        <v>0.18288307602794385</v>
      </c>
      <c r="O3075" s="2">
        <f ca="1"/>
        <v>-0.31010934114329708</v>
      </c>
      <c r="X3075" s="2">
        <f ca="1"/>
        <v>58.916968721599055</v>
      </c>
      <c r="AG3075" s="2">
        <f ca="1"/>
        <v>0.55723242699419062</v>
      </c>
      <c r="AH3075" s="2" t="str">
        <f ca="1"/>
        <v>Bad</v>
      </c>
    </row>
    <row r="3076" spans="2:34" x14ac:dyDescent="0.2">
      <c r="B3076" s="2">
        <f ca="1"/>
        <v>0.96376103260732737</v>
      </c>
      <c r="O3076" s="2">
        <f ca="1"/>
        <v>-0.75561590841740423</v>
      </c>
      <c r="X3076" s="2">
        <f ca="1"/>
        <v>77.427929075471567</v>
      </c>
      <c r="AG3076" s="2">
        <f ca="1"/>
        <v>0.29668979793323236</v>
      </c>
      <c r="AH3076" s="2" t="str">
        <f ca="1"/>
        <v>OK</v>
      </c>
    </row>
    <row r="3077" spans="2:34" x14ac:dyDescent="0.2">
      <c r="B3077" s="2">
        <f ca="1"/>
        <v>0.33882678787853315</v>
      </c>
      <c r="O3077" s="2">
        <f ca="1"/>
        <v>-0.9679047862064809</v>
      </c>
      <c r="X3077" s="2">
        <f ca="1"/>
        <v>92.805689495263692</v>
      </c>
      <c r="AG3077" s="2">
        <f ca="1"/>
        <v>0.78025031890976448</v>
      </c>
      <c r="AH3077" s="2" t="str">
        <f ca="1"/>
        <v>Bad</v>
      </c>
    </row>
    <row r="3078" spans="2:34" x14ac:dyDescent="0.2">
      <c r="B3078" s="2">
        <f ca="1"/>
        <v>0.52055758415765641</v>
      </c>
      <c r="O3078" s="2">
        <f ca="1"/>
        <v>-0.33262246341079693</v>
      </c>
      <c r="X3078" s="2">
        <f ca="1"/>
        <v>65.68105648883882</v>
      </c>
      <c r="AG3078" s="2">
        <f ca="1"/>
        <v>0.28628646702351923</v>
      </c>
      <c r="AH3078" s="2" t="str">
        <f ca="1"/>
        <v>OK</v>
      </c>
    </row>
    <row r="3079" spans="2:34" x14ac:dyDescent="0.2">
      <c r="B3079" s="2">
        <f ca="1"/>
        <v>0.57036515650883746</v>
      </c>
      <c r="O3079" s="2">
        <f ca="1"/>
        <v>1.0613903780534881</v>
      </c>
      <c r="X3079" s="2">
        <f ca="1"/>
        <v>48.566416733406548</v>
      </c>
      <c r="AG3079" s="2">
        <f ca="1"/>
        <v>0.91123696042606639</v>
      </c>
      <c r="AH3079" s="2" t="str">
        <f ca="1"/>
        <v>Bad</v>
      </c>
    </row>
    <row r="3080" spans="2:34" x14ac:dyDescent="0.2">
      <c r="B3080" s="2">
        <f ca="1"/>
        <v>0.59796777378071475</v>
      </c>
      <c r="O3080" s="2">
        <f ca="1"/>
        <v>-0.96836561847503089</v>
      </c>
      <c r="X3080" s="2">
        <f ca="1"/>
        <v>64.118889669038012</v>
      </c>
      <c r="AG3080" s="2">
        <f ca="1"/>
        <v>0.90975592654379067</v>
      </c>
      <c r="AH3080" s="2" t="str">
        <f ca="1"/>
        <v>Bad</v>
      </c>
    </row>
    <row r="3081" spans="2:34" x14ac:dyDescent="0.2">
      <c r="B3081" s="2">
        <f ca="1"/>
        <v>0.31012171980033942</v>
      </c>
      <c r="O3081" s="2">
        <f ca="1"/>
        <v>-0.3667591076957501</v>
      </c>
      <c r="X3081" s="2">
        <f ca="1"/>
        <v>40.930893615252522</v>
      </c>
      <c r="AG3081" s="2">
        <f ca="1"/>
        <v>0.16138962641247501</v>
      </c>
      <c r="AH3081" s="2" t="str">
        <f ca="1"/>
        <v>OK</v>
      </c>
    </row>
    <row r="3082" spans="2:34" x14ac:dyDescent="0.2">
      <c r="B3082" s="2">
        <f ca="1"/>
        <v>0.87721965124631018</v>
      </c>
      <c r="O3082" s="2">
        <f ca="1"/>
        <v>-0.18986762283334896</v>
      </c>
      <c r="X3082" s="2">
        <f ca="1"/>
        <v>49.210040549239011</v>
      </c>
      <c r="AG3082" s="2">
        <f ca="1"/>
        <v>0.10416310551910235</v>
      </c>
      <c r="AH3082" s="2" t="str">
        <f ca="1"/>
        <v>OK</v>
      </c>
    </row>
    <row r="3083" spans="2:34" x14ac:dyDescent="0.2">
      <c r="B3083" s="2">
        <f ca="1"/>
        <v>0.38203488091713766</v>
      </c>
      <c r="O3083" s="2">
        <f ca="1"/>
        <v>-0.49519075127308998</v>
      </c>
      <c r="X3083" s="2">
        <f ca="1"/>
        <v>71.008638858461254</v>
      </c>
      <c r="AG3083" s="2">
        <f ca="1"/>
        <v>0.55410737470692251</v>
      </c>
      <c r="AH3083" s="2" t="str">
        <f ca="1"/>
        <v>Bad</v>
      </c>
    </row>
    <row r="3084" spans="2:34" x14ac:dyDescent="0.2">
      <c r="B3084" s="2">
        <f ca="1"/>
        <v>0.6774021892824269</v>
      </c>
      <c r="O3084" s="2">
        <f ca="1"/>
        <v>0.56820503539284972</v>
      </c>
      <c r="X3084" s="2">
        <f ca="1"/>
        <v>40.215051662538912</v>
      </c>
      <c r="AG3084" s="2">
        <f ca="1"/>
        <v>0.90024463033637492</v>
      </c>
      <c r="AH3084" s="2" t="str">
        <f ca="1"/>
        <v>Bad</v>
      </c>
    </row>
    <row r="3085" spans="2:34" x14ac:dyDescent="0.2">
      <c r="B3085" s="2">
        <f ca="1"/>
        <v>0.68997714033083368</v>
      </c>
      <c r="O3085" s="2">
        <f ca="1"/>
        <v>-1.6970394246191787</v>
      </c>
      <c r="X3085" s="2">
        <f ca="1"/>
        <v>72.526275361302226</v>
      </c>
      <c r="AG3085" s="2">
        <f ca="1"/>
        <v>0.38987150475603327</v>
      </c>
      <c r="AH3085" s="2" t="str">
        <f ca="1"/>
        <v>OK</v>
      </c>
    </row>
    <row r="3086" spans="2:34" x14ac:dyDescent="0.2">
      <c r="B3086" s="2">
        <f ca="1"/>
        <v>0.31205144868827683</v>
      </c>
      <c r="O3086" s="2">
        <f ca="1"/>
        <v>-0.32452917458208941</v>
      </c>
      <c r="X3086" s="2">
        <f ca="1"/>
        <v>31.220471308348216</v>
      </c>
      <c r="AG3086" s="2">
        <f ca="1"/>
        <v>0.57614585774836646</v>
      </c>
      <c r="AH3086" s="2" t="str">
        <f ca="1"/>
        <v>Bad</v>
      </c>
    </row>
    <row r="3087" spans="2:34" x14ac:dyDescent="0.2">
      <c r="B3087" s="2">
        <f ca="1"/>
        <v>0.18551021835483006</v>
      </c>
      <c r="O3087" s="2">
        <f ca="1"/>
        <v>0.18095908623200266</v>
      </c>
      <c r="X3087" s="2">
        <f ca="1"/>
        <v>50.267592936860687</v>
      </c>
      <c r="AG3087" s="2">
        <f ca="1"/>
        <v>0.93354237634685378</v>
      </c>
      <c r="AH3087" s="2" t="str">
        <f ca="1"/>
        <v>Bad</v>
      </c>
    </row>
    <row r="3088" spans="2:34" x14ac:dyDescent="0.2">
      <c r="B3088" s="2">
        <f ca="1"/>
        <v>0.17439920254755159</v>
      </c>
      <c r="O3088" s="2">
        <f ca="1"/>
        <v>-1.5158643481621529E-2</v>
      </c>
      <c r="X3088" s="2">
        <f ca="1"/>
        <v>41.28490301267756</v>
      </c>
      <c r="AG3088" s="2">
        <f ca="1"/>
        <v>0.48578338188070602</v>
      </c>
      <c r="AH3088" s="2" t="str">
        <f ca="1"/>
        <v>Bad</v>
      </c>
    </row>
    <row r="3089" spans="2:34" x14ac:dyDescent="0.2">
      <c r="B3089" s="2">
        <f ca="1"/>
        <v>3.1833533561170135E-2</v>
      </c>
      <c r="O3089" s="2">
        <f ca="1"/>
        <v>0.56488551626184558</v>
      </c>
      <c r="X3089" s="2">
        <f ca="1"/>
        <v>27.495537182323005</v>
      </c>
      <c r="AG3089" s="2">
        <f ca="1"/>
        <v>0.81111465654512394</v>
      </c>
      <c r="AH3089" s="2" t="str">
        <f ca="1"/>
        <v>Bad</v>
      </c>
    </row>
    <row r="3090" spans="2:34" x14ac:dyDescent="0.2">
      <c r="B3090" s="2">
        <f ca="1"/>
        <v>0.89572378996503454</v>
      </c>
      <c r="O3090" s="2">
        <f ca="1"/>
        <v>-0.53909833904265014</v>
      </c>
      <c r="X3090" s="2">
        <f ca="1"/>
        <v>60.817553451609079</v>
      </c>
      <c r="AG3090" s="2">
        <f ca="1"/>
        <v>0.56153203327195378</v>
      </c>
      <c r="AH3090" s="2" t="str">
        <f ca="1"/>
        <v>Bad</v>
      </c>
    </row>
    <row r="3091" spans="2:34" x14ac:dyDescent="0.2">
      <c r="B3091" s="2">
        <f ca="1"/>
        <v>0.81175672449863345</v>
      </c>
      <c r="O3091" s="2">
        <f ca="1"/>
        <v>-0.74181804636646809</v>
      </c>
      <c r="X3091" s="2">
        <f ca="1"/>
        <v>36.362154750260409</v>
      </c>
      <c r="AG3091" s="2">
        <f ca="1"/>
        <v>0.83336950182977354</v>
      </c>
      <c r="AH3091" s="2" t="str">
        <f ca="1"/>
        <v>Bad</v>
      </c>
    </row>
    <row r="3092" spans="2:34" x14ac:dyDescent="0.2">
      <c r="B3092" s="2">
        <f ca="1"/>
        <v>0.73203153885176642</v>
      </c>
      <c r="O3092" s="2">
        <f ca="1"/>
        <v>0.61309861498939044</v>
      </c>
      <c r="X3092" s="2">
        <f ca="1"/>
        <v>60.680443664481373</v>
      </c>
      <c r="AG3092" s="2">
        <f ca="1"/>
        <v>0.5979143600850676</v>
      </c>
      <c r="AH3092" s="2" t="str">
        <f ca="1"/>
        <v>Bad</v>
      </c>
    </row>
    <row r="3093" spans="2:34" x14ac:dyDescent="0.2">
      <c r="B3093" s="2">
        <f ca="1"/>
        <v>0.67587289492332636</v>
      </c>
      <c r="O3093" s="2">
        <f ca="1"/>
        <v>0.26335723213915857</v>
      </c>
      <c r="X3093" s="2">
        <f ca="1"/>
        <v>54.847191364448193</v>
      </c>
      <c r="AG3093" s="2">
        <f ca="1"/>
        <v>0.27770740053967358</v>
      </c>
      <c r="AH3093" s="2" t="str">
        <f ca="1"/>
        <v>OK</v>
      </c>
    </row>
    <row r="3094" spans="2:34" x14ac:dyDescent="0.2">
      <c r="B3094" s="2">
        <f ca="1"/>
        <v>0.56852194256620114</v>
      </c>
      <c r="O3094" s="2">
        <f ca="1"/>
        <v>0.6869385727879781</v>
      </c>
      <c r="X3094" s="2">
        <f ca="1"/>
        <v>56.465136606787823</v>
      </c>
      <c r="AG3094" s="2">
        <f ca="1"/>
        <v>0.87678001203371636</v>
      </c>
      <c r="AH3094" s="2" t="str">
        <f ca="1"/>
        <v>Bad</v>
      </c>
    </row>
    <row r="3095" spans="2:34" x14ac:dyDescent="0.2">
      <c r="B3095" s="2">
        <f ca="1"/>
        <v>0.38355720621324196</v>
      </c>
      <c r="O3095" s="2">
        <f ca="1"/>
        <v>-0.18999506271563499</v>
      </c>
      <c r="X3095" s="2">
        <f ca="1"/>
        <v>43.991947195083803</v>
      </c>
      <c r="AG3095" s="2">
        <f ca="1"/>
        <v>0.89879428786046645</v>
      </c>
      <c r="AH3095" s="2" t="str">
        <f ca="1"/>
        <v>Bad</v>
      </c>
    </row>
    <row r="3096" spans="2:34" x14ac:dyDescent="0.2">
      <c r="B3096" s="2">
        <f ca="1"/>
        <v>0.43702846528735262</v>
      </c>
      <c r="O3096" s="2">
        <f ca="1"/>
        <v>-1.573426997088565</v>
      </c>
      <c r="X3096" s="2">
        <f ca="1"/>
        <v>36.845910368806813</v>
      </c>
      <c r="AG3096" s="2">
        <f ca="1"/>
        <v>8.2250051821948222E-3</v>
      </c>
      <c r="AH3096" s="2" t="str">
        <f ca="1"/>
        <v>Good</v>
      </c>
    </row>
    <row r="3097" spans="2:34" x14ac:dyDescent="0.2">
      <c r="B3097" s="2">
        <f ca="1"/>
        <v>0.48278574284212983</v>
      </c>
      <c r="O3097" s="2">
        <f ca="1"/>
        <v>-0.62791475936986008</v>
      </c>
      <c r="X3097" s="2">
        <f ca="1"/>
        <v>27.39070566802765</v>
      </c>
      <c r="AG3097" s="2">
        <f ca="1"/>
        <v>0.41071044104319032</v>
      </c>
      <c r="AH3097" s="2" t="str">
        <f ca="1"/>
        <v>Bad</v>
      </c>
    </row>
    <row r="3098" spans="2:34" x14ac:dyDescent="0.2">
      <c r="B3098" s="2">
        <f ca="1"/>
        <v>0.91476961442318627</v>
      </c>
      <c r="O3098" s="2">
        <f ca="1"/>
        <v>1.3531979473290958</v>
      </c>
      <c r="X3098" s="2">
        <f ca="1"/>
        <v>30.219271248380576</v>
      </c>
      <c r="AG3098" s="2">
        <f ca="1"/>
        <v>0.26811787836941403</v>
      </c>
      <c r="AH3098" s="2" t="str">
        <f ca="1"/>
        <v>OK</v>
      </c>
    </row>
    <row r="3099" spans="2:34" x14ac:dyDescent="0.2">
      <c r="B3099" s="2">
        <f ca="1"/>
        <v>5.2366086275213997E-2</v>
      </c>
      <c r="O3099" s="2">
        <f ca="1"/>
        <v>0.2105344416810587</v>
      </c>
      <c r="X3099" s="2">
        <f ca="1"/>
        <v>16.7826412979128</v>
      </c>
      <c r="AG3099" s="2">
        <f ca="1"/>
        <v>9.6931618170864375E-2</v>
      </c>
      <c r="AH3099" s="2" t="str">
        <f ca="1"/>
        <v>OK</v>
      </c>
    </row>
    <row r="3100" spans="2:34" x14ac:dyDescent="0.2">
      <c r="B3100" s="2">
        <f ca="1"/>
        <v>0.16953764693510376</v>
      </c>
      <c r="O3100" s="2">
        <f ca="1"/>
        <v>1.795338567142676</v>
      </c>
      <c r="X3100" s="2">
        <f ca="1"/>
        <v>43.406937347944805</v>
      </c>
      <c r="AG3100" s="2">
        <f ca="1"/>
        <v>0.46527317013291958</v>
      </c>
      <c r="AH3100" s="2" t="str">
        <f ca="1"/>
        <v>Bad</v>
      </c>
    </row>
    <row r="3101" spans="2:34" x14ac:dyDescent="0.2">
      <c r="B3101" s="2">
        <f ca="1"/>
        <v>0.77512278945454804</v>
      </c>
      <c r="O3101" s="2">
        <f ca="1"/>
        <v>-0.54639227629677667</v>
      </c>
      <c r="X3101" s="2">
        <f ca="1"/>
        <v>50.990081090806029</v>
      </c>
      <c r="AG3101" s="2">
        <f ca="1"/>
        <v>0.45075164062561868</v>
      </c>
      <c r="AH3101" s="2" t="str">
        <f ca="1"/>
        <v>Bad</v>
      </c>
    </row>
    <row r="3102" spans="2:34" x14ac:dyDescent="0.2">
      <c r="B3102" s="2">
        <f ca="1"/>
        <v>0.60905441489199608</v>
      </c>
      <c r="O3102" s="2">
        <f ca="1"/>
        <v>9.1996751676025099E-2</v>
      </c>
      <c r="X3102" s="2">
        <f ca="1"/>
        <v>60.621797217813494</v>
      </c>
      <c r="AG3102" s="2">
        <f ca="1"/>
        <v>2.4608022445616218E-2</v>
      </c>
      <c r="AH3102" s="2" t="str">
        <f ca="1"/>
        <v>Good</v>
      </c>
    </row>
    <row r="3103" spans="2:34" x14ac:dyDescent="0.2">
      <c r="B3103" s="2">
        <f ca="1"/>
        <v>0.57804664446291021</v>
      </c>
      <c r="O3103" s="2">
        <f ca="1"/>
        <v>-0.81791042586808194</v>
      </c>
      <c r="X3103" s="2">
        <f ca="1"/>
        <v>69.524694436030089</v>
      </c>
      <c r="AG3103" s="2">
        <f ca="1"/>
        <v>0.33100847171116921</v>
      </c>
      <c r="AH3103" s="2" t="str">
        <f ca="1"/>
        <v>OK</v>
      </c>
    </row>
    <row r="3104" spans="2:34" x14ac:dyDescent="0.2">
      <c r="B3104" s="2">
        <f ca="1"/>
        <v>0.73828157124212379</v>
      </c>
      <c r="O3104" s="2">
        <f ca="1"/>
        <v>-0.20846862340435837</v>
      </c>
      <c r="X3104" s="2">
        <f ca="1"/>
        <v>24.839441171281941</v>
      </c>
      <c r="AG3104" s="2">
        <f ca="1"/>
        <v>0.20628497065217744</v>
      </c>
      <c r="AH3104" s="2" t="str">
        <f ca="1"/>
        <v>OK</v>
      </c>
    </row>
    <row r="3105" spans="2:34" x14ac:dyDescent="0.2">
      <c r="B3105" s="2">
        <f ca="1"/>
        <v>0.56872921629226036</v>
      </c>
      <c r="O3105" s="2">
        <f ca="1"/>
        <v>1.165191747867969</v>
      </c>
      <c r="X3105" s="2">
        <f ca="1"/>
        <v>56.070521791158924</v>
      </c>
      <c r="AG3105" s="2">
        <f ca="1"/>
        <v>0.27616265474386315</v>
      </c>
      <c r="AH3105" s="2" t="str">
        <f ca="1"/>
        <v>OK</v>
      </c>
    </row>
    <row r="3106" spans="2:34" x14ac:dyDescent="0.2">
      <c r="B3106" s="2">
        <f ca="1"/>
        <v>0.71186775444186279</v>
      </c>
      <c r="O3106" s="2">
        <f ca="1"/>
        <v>-0.66604754167912494</v>
      </c>
      <c r="X3106" s="2">
        <f ca="1"/>
        <v>29.275951706505055</v>
      </c>
      <c r="AG3106" s="2">
        <f ca="1"/>
        <v>0.80079741395700155</v>
      </c>
      <c r="AH3106" s="2" t="str">
        <f ca="1"/>
        <v>Bad</v>
      </c>
    </row>
    <row r="3107" spans="2:34" x14ac:dyDescent="0.2">
      <c r="B3107" s="2">
        <f ca="1"/>
        <v>0.75008717170210049</v>
      </c>
      <c r="O3107" s="2">
        <f ca="1"/>
        <v>-0.2580357204288955</v>
      </c>
      <c r="X3107" s="2">
        <f ca="1"/>
        <v>32.880619711946395</v>
      </c>
      <c r="AG3107" s="2">
        <f ca="1"/>
        <v>0.39664326234049629</v>
      </c>
      <c r="AH3107" s="2" t="str">
        <f ca="1"/>
        <v>OK</v>
      </c>
    </row>
    <row r="3108" spans="2:34" x14ac:dyDescent="0.2">
      <c r="B3108" s="2">
        <f ca="1"/>
        <v>0.56752800592894759</v>
      </c>
      <c r="O3108" s="2">
        <f ca="1"/>
        <v>1.6051091527655694</v>
      </c>
      <c r="X3108" s="2">
        <f ca="1"/>
        <v>44.890697561953573</v>
      </c>
      <c r="AG3108" s="2">
        <f ca="1"/>
        <v>0.48329378541321355</v>
      </c>
      <c r="AH3108" s="2" t="str">
        <f ca="1"/>
        <v>Bad</v>
      </c>
    </row>
    <row r="3109" spans="2:34" x14ac:dyDescent="0.2">
      <c r="B3109" s="2">
        <f ca="1"/>
        <v>0.66932688609755031</v>
      </c>
      <c r="O3109" s="2">
        <f ca="1"/>
        <v>1.0162628306564643</v>
      </c>
      <c r="X3109" s="2">
        <f ca="1"/>
        <v>37.004641314839411</v>
      </c>
      <c r="AG3109" s="2">
        <f ca="1"/>
        <v>0.61677290817942465</v>
      </c>
      <c r="AH3109" s="2" t="str">
        <f ca="1"/>
        <v>Bad</v>
      </c>
    </row>
    <row r="3110" spans="2:34" x14ac:dyDescent="0.2">
      <c r="B3110" s="2">
        <f ca="1"/>
        <v>0.81783378124685746</v>
      </c>
      <c r="O3110" s="2">
        <f ca="1"/>
        <v>-1.1248296839711922</v>
      </c>
      <c r="X3110" s="2">
        <f ca="1"/>
        <v>39.468229150915647</v>
      </c>
      <c r="AG3110" s="2">
        <f ca="1"/>
        <v>0.34535318105156709</v>
      </c>
      <c r="AH3110" s="2" t="str">
        <f ca="1"/>
        <v>OK</v>
      </c>
    </row>
    <row r="3111" spans="2:34" x14ac:dyDescent="0.2">
      <c r="B3111" s="2">
        <f ca="1"/>
        <v>0.48309370601638402</v>
      </c>
      <c r="O3111" s="2">
        <f ca="1"/>
        <v>1.7150382999566762</v>
      </c>
      <c r="X3111" s="2">
        <f ca="1"/>
        <v>68.45698798124927</v>
      </c>
      <c r="AG3111" s="2">
        <f ca="1"/>
        <v>2.4962353346125177E-4</v>
      </c>
      <c r="AH3111" s="2" t="str">
        <f ca="1"/>
        <v>Good</v>
      </c>
    </row>
    <row r="3112" spans="2:34" x14ac:dyDescent="0.2">
      <c r="B3112" s="2">
        <f ca="1"/>
        <v>0.34892838412928828</v>
      </c>
      <c r="O3112" s="2">
        <f ca="1"/>
        <v>-1.1907245526398913</v>
      </c>
      <c r="X3112" s="2">
        <f ca="1"/>
        <v>56.589302894419696</v>
      </c>
      <c r="AG3112" s="2">
        <f ca="1"/>
        <v>0.70809269888894755</v>
      </c>
      <c r="AH3112" s="2" t="str">
        <f ca="1"/>
        <v>Bad</v>
      </c>
    </row>
    <row r="3113" spans="2:34" x14ac:dyDescent="0.2">
      <c r="B3113" s="2">
        <f ca="1"/>
        <v>0.28439092421995071</v>
      </c>
      <c r="O3113" s="2">
        <f ca="1"/>
        <v>-0.64235350417310388</v>
      </c>
      <c r="X3113" s="2">
        <f ca="1"/>
        <v>29.998491006517281</v>
      </c>
      <c r="AG3113" s="2">
        <f ca="1"/>
        <v>0.38841096165868971</v>
      </c>
      <c r="AH3113" s="2" t="str">
        <f ca="1"/>
        <v>OK</v>
      </c>
    </row>
    <row r="3114" spans="2:34" x14ac:dyDescent="0.2">
      <c r="B3114" s="2">
        <f ca="1"/>
        <v>3.0266742921554624E-2</v>
      </c>
      <c r="O3114" s="2">
        <f ca="1"/>
        <v>-1.1681852688234191</v>
      </c>
      <c r="X3114" s="2">
        <f ca="1"/>
        <v>71.877042743945353</v>
      </c>
      <c r="AG3114" s="2">
        <f ca="1"/>
        <v>0.5024013394774427</v>
      </c>
      <c r="AH3114" s="2" t="str">
        <f ca="1"/>
        <v>Bad</v>
      </c>
    </row>
    <row r="3115" spans="2:34" x14ac:dyDescent="0.2">
      <c r="B3115" s="2">
        <f ca="1"/>
        <v>0.6542464452908201</v>
      </c>
      <c r="O3115" s="2">
        <f ca="1"/>
        <v>0.81254434308380064</v>
      </c>
      <c r="X3115" s="2">
        <f ca="1"/>
        <v>104.3845587248736</v>
      </c>
      <c r="AG3115" s="2">
        <f ca="1"/>
        <v>0.49608201183333556</v>
      </c>
      <c r="AH3115" s="2" t="str">
        <f ca="1"/>
        <v>Bad</v>
      </c>
    </row>
    <row r="3116" spans="2:34" x14ac:dyDescent="0.2">
      <c r="B3116" s="2">
        <f ca="1"/>
        <v>0.88971381744775591</v>
      </c>
      <c r="O3116" s="2">
        <f ca="1"/>
        <v>-0.4874575135250358</v>
      </c>
      <c r="X3116" s="2">
        <f ca="1"/>
        <v>54.745807389388368</v>
      </c>
      <c r="AG3116" s="2">
        <f ca="1"/>
        <v>0.75200041334243384</v>
      </c>
      <c r="AH3116" s="2" t="str">
        <f ca="1"/>
        <v>Bad</v>
      </c>
    </row>
    <row r="3117" spans="2:34" x14ac:dyDescent="0.2">
      <c r="B3117" s="2">
        <f ca="1"/>
        <v>0.89506991054329532</v>
      </c>
      <c r="O3117" s="2">
        <f ca="1"/>
        <v>1.4242369693597103</v>
      </c>
      <c r="X3117" s="2">
        <f ca="1"/>
        <v>28.51054785867564</v>
      </c>
      <c r="AG3117" s="2">
        <f ca="1"/>
        <v>0.26746979248934366</v>
      </c>
      <c r="AH3117" s="2" t="str">
        <f ca="1"/>
        <v>OK</v>
      </c>
    </row>
    <row r="3118" spans="2:34" x14ac:dyDescent="0.2">
      <c r="B3118" s="2">
        <f ca="1"/>
        <v>0.49865948605322141</v>
      </c>
      <c r="O3118" s="2">
        <f ca="1"/>
        <v>0.93525223151981918</v>
      </c>
      <c r="X3118" s="2">
        <f ca="1"/>
        <v>52.159034462806311</v>
      </c>
      <c r="AG3118" s="2">
        <f ca="1"/>
        <v>0.91991553255902736</v>
      </c>
      <c r="AH3118" s="2" t="str">
        <f ca="1"/>
        <v>Bad</v>
      </c>
    </row>
    <row r="3119" spans="2:34" x14ac:dyDescent="0.2">
      <c r="B3119" s="2">
        <f ca="1"/>
        <v>0.17294554098072945</v>
      </c>
      <c r="O3119" s="2">
        <f ca="1"/>
        <v>1.76720287608203</v>
      </c>
      <c r="X3119" s="2">
        <f ca="1"/>
        <v>38.776885396845799</v>
      </c>
      <c r="AG3119" s="2">
        <f ca="1"/>
        <v>0.64054857140300281</v>
      </c>
      <c r="AH3119" s="2" t="str">
        <f ca="1"/>
        <v>Bad</v>
      </c>
    </row>
    <row r="3120" spans="2:34" x14ac:dyDescent="0.2">
      <c r="B3120" s="2">
        <f ca="1"/>
        <v>0.61627102101669151</v>
      </c>
      <c r="O3120" s="2">
        <f ca="1"/>
        <v>-0.53800623505708767</v>
      </c>
      <c r="X3120" s="2">
        <f ca="1"/>
        <v>48.353211225924888</v>
      </c>
      <c r="AG3120" s="2">
        <f ca="1"/>
        <v>0.1041864828123007</v>
      </c>
      <c r="AH3120" s="2" t="str">
        <f ca="1"/>
        <v>OK</v>
      </c>
    </row>
    <row r="3121" spans="2:34" x14ac:dyDescent="0.2">
      <c r="B3121" s="2">
        <f ca="1"/>
        <v>2.8330841385878491E-2</v>
      </c>
      <c r="O3121" s="2">
        <f ca="1"/>
        <v>-2.2745729197634086</v>
      </c>
      <c r="X3121" s="2">
        <f ca="1"/>
        <v>24.078538477391721</v>
      </c>
      <c r="AG3121" s="2">
        <f ca="1"/>
        <v>0.28997029977306576</v>
      </c>
      <c r="AH3121" s="2" t="str">
        <f ca="1"/>
        <v>OK</v>
      </c>
    </row>
    <row r="3122" spans="2:34" x14ac:dyDescent="0.2">
      <c r="B3122" s="2">
        <f ca="1"/>
        <v>0.68508086876403107</v>
      </c>
      <c r="O3122" s="2">
        <f ca="1"/>
        <v>-1.505656407274367</v>
      </c>
      <c r="X3122" s="2">
        <f ca="1"/>
        <v>69.559349476086794</v>
      </c>
      <c r="AG3122" s="2">
        <f ca="1"/>
        <v>0.63955147762767539</v>
      </c>
      <c r="AH3122" s="2" t="str">
        <f ca="1"/>
        <v>Bad</v>
      </c>
    </row>
    <row r="3123" spans="2:34" x14ac:dyDescent="0.2">
      <c r="B3123" s="2">
        <f ca="1"/>
        <v>0.95363376170514802</v>
      </c>
      <c r="O3123" s="2">
        <f ca="1"/>
        <v>-1.6245078496356711</v>
      </c>
      <c r="X3123" s="2">
        <f ca="1"/>
        <v>72.029039034810893</v>
      </c>
      <c r="AG3123" s="2">
        <f ca="1"/>
        <v>0.65462317740556419</v>
      </c>
      <c r="AH3123" s="2" t="str">
        <f ca="1"/>
        <v>Bad</v>
      </c>
    </row>
    <row r="3124" spans="2:34" x14ac:dyDescent="0.2">
      <c r="B3124" s="2">
        <f ca="1"/>
        <v>0.30920694719834696</v>
      </c>
      <c r="O3124" s="2">
        <f ca="1"/>
        <v>-1.0786294129823386</v>
      </c>
      <c r="X3124" s="2">
        <f ca="1"/>
        <v>43.287332800989162</v>
      </c>
      <c r="AG3124" s="2">
        <f ca="1"/>
        <v>0.22269087952335131</v>
      </c>
      <c r="AH3124" s="2" t="str">
        <f ca="1"/>
        <v>OK</v>
      </c>
    </row>
    <row r="3125" spans="2:34" x14ac:dyDescent="0.2">
      <c r="B3125" s="2">
        <f ca="1"/>
        <v>0.58354636823327621</v>
      </c>
      <c r="O3125" s="2">
        <f ca="1"/>
        <v>1.9959468427477451</v>
      </c>
      <c r="X3125" s="2">
        <f ca="1"/>
        <v>24.514936625120647</v>
      </c>
      <c r="AG3125" s="2">
        <f ca="1"/>
        <v>0.96816090909361208</v>
      </c>
      <c r="AH3125" s="2" t="str">
        <f ca="1"/>
        <v>Bad</v>
      </c>
    </row>
    <row r="3126" spans="2:34" x14ac:dyDescent="0.2">
      <c r="B3126" s="2">
        <f ca="1"/>
        <v>0.5488848345542825</v>
      </c>
      <c r="O3126" s="2">
        <f ca="1"/>
        <v>0.82286589625191597</v>
      </c>
      <c r="X3126" s="2">
        <f ca="1"/>
        <v>48.814500394679186</v>
      </c>
      <c r="AG3126" s="2">
        <f ca="1"/>
        <v>6.7454530740872709E-2</v>
      </c>
      <c r="AH3126" s="2" t="str">
        <f ca="1"/>
        <v>OK</v>
      </c>
    </row>
    <row r="3127" spans="2:34" x14ac:dyDescent="0.2">
      <c r="B3127" s="2">
        <f ca="1"/>
        <v>0.35266115037397361</v>
      </c>
      <c r="O3127" s="2">
        <f ca="1"/>
        <v>0.62386031673228381</v>
      </c>
      <c r="X3127" s="2">
        <f ca="1"/>
        <v>40.051623049132928</v>
      </c>
      <c r="AG3127" s="2">
        <f ca="1"/>
        <v>0.44765762878076254</v>
      </c>
      <c r="AH3127" s="2" t="str">
        <f ca="1"/>
        <v>Bad</v>
      </c>
    </row>
    <row r="3128" spans="2:34" x14ac:dyDescent="0.2">
      <c r="B3128" s="2">
        <f ca="1"/>
        <v>0.59683235831377335</v>
      </c>
      <c r="O3128" s="2">
        <f ca="1"/>
        <v>0.54531898909091314</v>
      </c>
      <c r="X3128" s="2">
        <f ca="1"/>
        <v>25.941993007510426</v>
      </c>
      <c r="AG3128" s="2">
        <f ca="1"/>
        <v>0.51150382639430614</v>
      </c>
      <c r="AH3128" s="2" t="str">
        <f ca="1"/>
        <v>Bad</v>
      </c>
    </row>
    <row r="3129" spans="2:34" x14ac:dyDescent="0.2">
      <c r="B3129" s="2">
        <f ca="1"/>
        <v>0.92707468467227727</v>
      </c>
      <c r="O3129" s="2">
        <f ca="1"/>
        <v>-0.401538436148347</v>
      </c>
      <c r="X3129" s="2">
        <f ca="1"/>
        <v>34.819953377191226</v>
      </c>
      <c r="AG3129" s="2">
        <f ca="1"/>
        <v>0.51727699944748085</v>
      </c>
      <c r="AH3129" s="2" t="str">
        <f ca="1"/>
        <v>Bad</v>
      </c>
    </row>
    <row r="3130" spans="2:34" x14ac:dyDescent="0.2">
      <c r="B3130" s="2">
        <f ca="1"/>
        <v>3.5334502623897146E-2</v>
      </c>
      <c r="O3130" s="2">
        <f ca="1"/>
        <v>0.40326162662630416</v>
      </c>
      <c r="X3130" s="2">
        <f ca="1"/>
        <v>71.093254020828908</v>
      </c>
      <c r="AG3130" s="2">
        <f ca="1"/>
        <v>0.31383382030166684</v>
      </c>
      <c r="AH3130" s="2" t="str">
        <f ca="1"/>
        <v>OK</v>
      </c>
    </row>
    <row r="3131" spans="2:34" x14ac:dyDescent="0.2">
      <c r="B3131" s="2">
        <f ca="1"/>
        <v>0.68372296033470548</v>
      </c>
      <c r="O3131" s="2">
        <f ca="1"/>
        <v>1.1773215941513686</v>
      </c>
      <c r="X3131" s="2">
        <f ca="1"/>
        <v>44.169467843545235</v>
      </c>
      <c r="AG3131" s="2">
        <f ca="1"/>
        <v>0.35779972941638349</v>
      </c>
      <c r="AH3131" s="2" t="str">
        <f ca="1"/>
        <v>OK</v>
      </c>
    </row>
    <row r="3132" spans="2:34" x14ac:dyDescent="0.2">
      <c r="B3132" s="2">
        <f ca="1"/>
        <v>0.24104953592778822</v>
      </c>
      <c r="O3132" s="2">
        <f ca="1"/>
        <v>0.48615146649506513</v>
      </c>
      <c r="X3132" s="2">
        <f ca="1"/>
        <v>41.366598439780226</v>
      </c>
      <c r="AG3132" s="2">
        <f ca="1"/>
        <v>0.32234350212675444</v>
      </c>
      <c r="AH3132" s="2" t="str">
        <f ca="1"/>
        <v>OK</v>
      </c>
    </row>
    <row r="3133" spans="2:34" x14ac:dyDescent="0.2">
      <c r="B3133" s="2">
        <f ca="1"/>
        <v>0.32097156640462798</v>
      </c>
      <c r="O3133" s="2">
        <f ca="1"/>
        <v>0.79158538440140847</v>
      </c>
      <c r="X3133" s="2">
        <f ca="1"/>
        <v>44.99652254572969</v>
      </c>
      <c r="AG3133" s="2">
        <f ca="1"/>
        <v>0.99961775158774935</v>
      </c>
      <c r="AH3133" s="2" t="str">
        <f ca="1"/>
        <v>Bad</v>
      </c>
    </row>
    <row r="3134" spans="2:34" x14ac:dyDescent="0.2">
      <c r="B3134" s="2">
        <f ca="1"/>
        <v>0.81646831480009951</v>
      </c>
      <c r="O3134" s="2">
        <f ca="1"/>
        <v>1.336743055471844</v>
      </c>
      <c r="X3134" s="2">
        <f ca="1"/>
        <v>41.90220190528435</v>
      </c>
      <c r="AG3134" s="2">
        <f ca="1"/>
        <v>0.9160502188138524</v>
      </c>
      <c r="AH3134" s="2" t="str">
        <f ca="1"/>
        <v>Bad</v>
      </c>
    </row>
    <row r="3135" spans="2:34" x14ac:dyDescent="0.2">
      <c r="B3135" s="2">
        <f ca="1"/>
        <v>0.59157670557056874</v>
      </c>
      <c r="O3135" s="2">
        <f ca="1"/>
        <v>-6.8626549787009397E-2</v>
      </c>
      <c r="X3135" s="2">
        <f ca="1"/>
        <v>30.676906309436976</v>
      </c>
      <c r="AG3135" s="2">
        <f ca="1"/>
        <v>0.50074088600808286</v>
      </c>
      <c r="AH3135" s="2" t="str">
        <f ca="1"/>
        <v>Bad</v>
      </c>
    </row>
    <row r="3136" spans="2:34" x14ac:dyDescent="0.2">
      <c r="B3136" s="2">
        <f ca="1"/>
        <v>0.67531266677992785</v>
      </c>
      <c r="O3136" s="2">
        <f ca="1"/>
        <v>-0.17828232815612477</v>
      </c>
      <c r="X3136" s="2">
        <f ca="1"/>
        <v>44.507393019000354</v>
      </c>
      <c r="AG3136" s="2">
        <f ca="1"/>
        <v>0.25650136980120597</v>
      </c>
      <c r="AH3136" s="2" t="str">
        <f ca="1"/>
        <v>OK</v>
      </c>
    </row>
    <row r="3137" spans="2:34" x14ac:dyDescent="0.2">
      <c r="B3137" s="2">
        <f ca="1"/>
        <v>0.71833981019443471</v>
      </c>
      <c r="O3137" s="2">
        <f ca="1"/>
        <v>-0.4719012990049084</v>
      </c>
      <c r="X3137" s="2">
        <f ca="1"/>
        <v>58.970953926359556</v>
      </c>
      <c r="AG3137" s="2">
        <f ca="1"/>
        <v>0.25753708258761399</v>
      </c>
      <c r="AH3137" s="2" t="str">
        <f ca="1"/>
        <v>OK</v>
      </c>
    </row>
    <row r="3138" spans="2:34" x14ac:dyDescent="0.2">
      <c r="B3138" s="2">
        <f ca="1"/>
        <v>0.38097796785857696</v>
      </c>
      <c r="O3138" s="2">
        <f ca="1"/>
        <v>-0.19261866365687694</v>
      </c>
      <c r="X3138" s="2">
        <f ca="1"/>
        <v>65.833121500674579</v>
      </c>
      <c r="AG3138" s="2">
        <f ca="1"/>
        <v>6.3817038101615209E-2</v>
      </c>
      <c r="AH3138" s="2" t="str">
        <f ca="1"/>
        <v>OK</v>
      </c>
    </row>
    <row r="3139" spans="2:34" x14ac:dyDescent="0.2">
      <c r="B3139" s="2">
        <f ca="1"/>
        <v>0.20749033364218006</v>
      </c>
      <c r="O3139" s="2">
        <f ca="1"/>
        <v>4.9131131566818323E-2</v>
      </c>
      <c r="X3139" s="2">
        <f ca="1"/>
        <v>46.382950863198559</v>
      </c>
      <c r="AG3139" s="2">
        <f ca="1"/>
        <v>0.73634683765038034</v>
      </c>
      <c r="AH3139" s="2" t="str">
        <f ca="1"/>
        <v>Bad</v>
      </c>
    </row>
    <row r="3140" spans="2:34" x14ac:dyDescent="0.2">
      <c r="B3140" s="2">
        <f ca="1"/>
        <v>0.92615992497430422</v>
      </c>
      <c r="O3140" s="2">
        <f ca="1"/>
        <v>-0.62215283455637449</v>
      </c>
      <c r="X3140" s="2">
        <f ca="1"/>
        <v>71.774026181902101</v>
      </c>
      <c r="AG3140" s="2">
        <f ca="1"/>
        <v>0.12965147637379282</v>
      </c>
      <c r="AH3140" s="2" t="str">
        <f ca="1"/>
        <v>OK</v>
      </c>
    </row>
    <row r="3141" spans="2:34" x14ac:dyDescent="0.2">
      <c r="B3141" s="2">
        <f ca="1"/>
        <v>0.95076440241995686</v>
      </c>
      <c r="O3141" s="2">
        <f ca="1"/>
        <v>3.7153934231468309E-2</v>
      </c>
      <c r="X3141" s="2">
        <f ca="1"/>
        <v>51.936500137790361</v>
      </c>
      <c r="AG3141" s="2">
        <f ca="1"/>
        <v>0.19690164445478042</v>
      </c>
      <c r="AH3141" s="2" t="str">
        <f ca="1"/>
        <v>OK</v>
      </c>
    </row>
    <row r="3142" spans="2:34" x14ac:dyDescent="0.2">
      <c r="B3142" s="2">
        <f ca="1"/>
        <v>0.25218480391623976</v>
      </c>
      <c r="O3142" s="2">
        <f ca="1"/>
        <v>-0.36099784649394101</v>
      </c>
      <c r="X3142" s="2">
        <f ca="1"/>
        <v>42.863943105946028</v>
      </c>
      <c r="AG3142" s="2">
        <f ca="1"/>
        <v>0.84397904548102654</v>
      </c>
      <c r="AH3142" s="2" t="str">
        <f ca="1"/>
        <v>Bad</v>
      </c>
    </row>
    <row r="3143" spans="2:34" x14ac:dyDescent="0.2">
      <c r="B3143" s="2">
        <f ca="1"/>
        <v>0.76659796021398297</v>
      </c>
      <c r="O3143" s="2">
        <f ca="1"/>
        <v>0.21471592363866357</v>
      </c>
      <c r="X3143" s="2">
        <f ca="1"/>
        <v>24.79696599243896</v>
      </c>
      <c r="AG3143" s="2">
        <f ca="1"/>
        <v>0.53100658536027767</v>
      </c>
      <c r="AH3143" s="2" t="str">
        <f ca="1"/>
        <v>Bad</v>
      </c>
    </row>
    <row r="3144" spans="2:34" x14ac:dyDescent="0.2">
      <c r="B3144" s="2">
        <f ca="1"/>
        <v>0.56676533583971778</v>
      </c>
      <c r="O3144" s="2">
        <f ca="1"/>
        <v>1.1964502457105139</v>
      </c>
      <c r="X3144" s="2">
        <f ca="1"/>
        <v>55.626481994804806</v>
      </c>
      <c r="AG3144" s="2">
        <f ca="1"/>
        <v>0.84379436255067986</v>
      </c>
      <c r="AH3144" s="2" t="str">
        <f ca="1"/>
        <v>Bad</v>
      </c>
    </row>
    <row r="3145" spans="2:34" x14ac:dyDescent="0.2">
      <c r="B3145" s="2">
        <f ca="1"/>
        <v>0.18692709274639019</v>
      </c>
      <c r="O3145" s="2">
        <f ca="1"/>
        <v>-0.4391652981026487</v>
      </c>
      <c r="X3145" s="2">
        <f ca="1"/>
        <v>52.711603832461009</v>
      </c>
      <c r="AG3145" s="2">
        <f ca="1"/>
        <v>0.62257761407115386</v>
      </c>
      <c r="AH3145" s="2" t="str">
        <f ca="1"/>
        <v>Bad</v>
      </c>
    </row>
    <row r="3146" spans="2:34" x14ac:dyDescent="0.2">
      <c r="B3146" s="2">
        <f ca="1"/>
        <v>0.39120623667217891</v>
      </c>
      <c r="O3146" s="2">
        <f ca="1"/>
        <v>1.354744906656425</v>
      </c>
      <c r="X3146" s="2">
        <f ca="1"/>
        <v>39.82044826196551</v>
      </c>
      <c r="AG3146" s="2">
        <f ca="1"/>
        <v>0.42765061527137371</v>
      </c>
      <c r="AH3146" s="2" t="str">
        <f ca="1"/>
        <v>Bad</v>
      </c>
    </row>
    <row r="3147" spans="2:34" x14ac:dyDescent="0.2">
      <c r="B3147" s="2">
        <f ca="1"/>
        <v>0.18826485323164666</v>
      </c>
      <c r="O3147" s="2">
        <f ca="1"/>
        <v>-0.53340017210996349</v>
      </c>
      <c r="X3147" s="2">
        <f ca="1"/>
        <v>60.902905449589078</v>
      </c>
      <c r="AG3147" s="2">
        <f ca="1"/>
        <v>0.19035428609226934</v>
      </c>
      <c r="AH3147" s="2" t="str">
        <f ca="1"/>
        <v>OK</v>
      </c>
    </row>
    <row r="3148" spans="2:34" x14ac:dyDescent="0.2">
      <c r="B3148" s="2">
        <f ca="1"/>
        <v>0.21639816494402808</v>
      </c>
      <c r="O3148" s="2">
        <f ca="1"/>
        <v>0.19064125436232127</v>
      </c>
      <c r="X3148" s="2">
        <f ca="1"/>
        <v>62.891043686946148</v>
      </c>
      <c r="AG3148" s="2">
        <f ca="1"/>
        <v>0.90679644719585384</v>
      </c>
      <c r="AH3148" s="2" t="str">
        <f ca="1"/>
        <v>Bad</v>
      </c>
    </row>
    <row r="3149" spans="2:34" x14ac:dyDescent="0.2">
      <c r="B3149" s="2">
        <f ca="1"/>
        <v>0.7929662268767721</v>
      </c>
      <c r="O3149" s="2">
        <f ca="1"/>
        <v>-2.0384279129233267</v>
      </c>
      <c r="X3149" s="2">
        <f ca="1"/>
        <v>33.035424662289969</v>
      </c>
      <c r="AG3149" s="2">
        <f ca="1"/>
        <v>0.91972509561095417</v>
      </c>
      <c r="AH3149" s="2" t="str">
        <f ca="1"/>
        <v>Bad</v>
      </c>
    </row>
    <row r="3150" spans="2:34" x14ac:dyDescent="0.2">
      <c r="B3150" s="2">
        <f ca="1"/>
        <v>0.51448114375028675</v>
      </c>
      <c r="O3150" s="2">
        <f ca="1"/>
        <v>1.3336878641220358</v>
      </c>
      <c r="X3150" s="2">
        <f ca="1"/>
        <v>50.674290291991326</v>
      </c>
      <c r="AG3150" s="2">
        <f ca="1"/>
        <v>0.78017473034960894</v>
      </c>
      <c r="AH3150" s="2" t="str">
        <f ca="1"/>
        <v>Bad</v>
      </c>
    </row>
    <row r="3151" spans="2:34" x14ac:dyDescent="0.2">
      <c r="B3151" s="2">
        <f ca="1"/>
        <v>0.14014826378056044</v>
      </c>
      <c r="O3151" s="2">
        <f ca="1"/>
        <v>1.7488132859920802</v>
      </c>
      <c r="X3151" s="2">
        <f ca="1"/>
        <v>25.417124585808185</v>
      </c>
      <c r="AG3151" s="2">
        <f ca="1"/>
        <v>8.1424160477572283E-3</v>
      </c>
      <c r="AH3151" s="2" t="str">
        <f ca="1"/>
        <v>Good</v>
      </c>
    </row>
    <row r="3152" spans="2:34" x14ac:dyDescent="0.2">
      <c r="B3152" s="2">
        <f ca="1"/>
        <v>0.30994471490142717</v>
      </c>
      <c r="O3152" s="2">
        <f ca="1"/>
        <v>-0.67490757240805066</v>
      </c>
      <c r="X3152" s="2">
        <f ca="1"/>
        <v>41.304784504479969</v>
      </c>
      <c r="AG3152" s="2">
        <f ca="1"/>
        <v>7.0559804527710712E-2</v>
      </c>
      <c r="AH3152" s="2" t="str">
        <f ca="1"/>
        <v>OK</v>
      </c>
    </row>
    <row r="3153" spans="2:34" x14ac:dyDescent="0.2">
      <c r="B3153" s="2">
        <f ca="1"/>
        <v>0.27367155607814353</v>
      </c>
      <c r="O3153" s="2">
        <f ca="1"/>
        <v>0.24380958461682045</v>
      </c>
      <c r="X3153" s="2">
        <f ca="1"/>
        <v>36.290245124795504</v>
      </c>
      <c r="AG3153" s="2">
        <f ca="1"/>
        <v>0.55200644978794844</v>
      </c>
      <c r="AH3153" s="2" t="str">
        <f ca="1"/>
        <v>Bad</v>
      </c>
    </row>
    <row r="3154" spans="2:34" x14ac:dyDescent="0.2">
      <c r="B3154" s="2">
        <f ca="1"/>
        <v>0.84384819893864926</v>
      </c>
      <c r="O3154" s="2">
        <f ca="1"/>
        <v>-1.9803422490407934</v>
      </c>
      <c r="X3154" s="2">
        <f ca="1"/>
        <v>55.090584057848496</v>
      </c>
      <c r="AG3154" s="2">
        <f ca="1"/>
        <v>0.22196572916341339</v>
      </c>
      <c r="AH3154" s="2" t="str">
        <f ca="1"/>
        <v>OK</v>
      </c>
    </row>
    <row r="3155" spans="2:34" x14ac:dyDescent="0.2">
      <c r="B3155" s="2">
        <f ca="1"/>
        <v>0.99316954707690464</v>
      </c>
      <c r="O3155" s="2">
        <f ca="1"/>
        <v>0.56762413658624189</v>
      </c>
      <c r="X3155" s="2">
        <f ca="1"/>
        <v>36.800615370145977</v>
      </c>
      <c r="AG3155" s="2">
        <f ca="1"/>
        <v>0.89357672679347933</v>
      </c>
      <c r="AH3155" s="2" t="str">
        <f ca="1"/>
        <v>Bad</v>
      </c>
    </row>
    <row r="3156" spans="2:34" x14ac:dyDescent="0.2">
      <c r="B3156" s="2">
        <f ca="1"/>
        <v>0.37246068588759429</v>
      </c>
      <c r="O3156" s="2">
        <f ca="1"/>
        <v>1.0503726438119414</v>
      </c>
      <c r="X3156" s="2">
        <f ca="1"/>
        <v>60.328000919748881</v>
      </c>
      <c r="AG3156" s="2">
        <f ca="1"/>
        <v>0.56730435499594778</v>
      </c>
      <c r="AH3156" s="2" t="str">
        <f ca="1"/>
        <v>Bad</v>
      </c>
    </row>
    <row r="3157" spans="2:34" x14ac:dyDescent="0.2">
      <c r="B3157" s="2">
        <f ca="1"/>
        <v>0.14291335543764161</v>
      </c>
      <c r="O3157" s="2">
        <f ca="1"/>
        <v>0.66901745787516975</v>
      </c>
      <c r="X3157" s="2">
        <f ca="1"/>
        <v>25.853959813546883</v>
      </c>
      <c r="AG3157" s="2">
        <f ca="1"/>
        <v>5.1143152813069248E-2</v>
      </c>
      <c r="AH3157" s="2" t="str">
        <f ca="1"/>
        <v>OK</v>
      </c>
    </row>
    <row r="3158" spans="2:34" x14ac:dyDescent="0.2">
      <c r="B3158" s="2">
        <f ca="1"/>
        <v>0.79985678726532239</v>
      </c>
      <c r="O3158" s="2">
        <f ca="1"/>
        <v>1.1315948094680079E-2</v>
      </c>
      <c r="X3158" s="2">
        <f ca="1"/>
        <v>48.939244561754009</v>
      </c>
      <c r="AG3158" s="2">
        <f ca="1"/>
        <v>0.37894837863227337</v>
      </c>
      <c r="AH3158" s="2" t="str">
        <f ca="1"/>
        <v>OK</v>
      </c>
    </row>
    <row r="3159" spans="2:34" x14ac:dyDescent="0.2">
      <c r="B3159" s="2">
        <f ca="1"/>
        <v>0.76544991276107455</v>
      </c>
      <c r="O3159" s="2">
        <f ca="1"/>
        <v>-0.55745561305159685</v>
      </c>
      <c r="X3159" s="2">
        <f ca="1"/>
        <v>57.204189277562364</v>
      </c>
      <c r="AG3159" s="2">
        <f ca="1"/>
        <v>0.39697851933526618</v>
      </c>
      <c r="AH3159" s="2" t="str">
        <f ca="1"/>
        <v>OK</v>
      </c>
    </row>
    <row r="3160" spans="2:34" x14ac:dyDescent="0.2">
      <c r="B3160" s="2">
        <f ca="1"/>
        <v>0.36942976427595786</v>
      </c>
      <c r="O3160" s="2">
        <f ca="1"/>
        <v>0.42300054656597191</v>
      </c>
      <c r="X3160" s="2">
        <f ca="1"/>
        <v>34.055028062727985</v>
      </c>
      <c r="AG3160" s="2">
        <f ca="1"/>
        <v>0.37893328071040799</v>
      </c>
      <c r="AH3160" s="2" t="str">
        <f ca="1"/>
        <v>OK</v>
      </c>
    </row>
    <row r="3161" spans="2:34" x14ac:dyDescent="0.2">
      <c r="B3161" s="2">
        <f ca="1"/>
        <v>0.3928010310489225</v>
      </c>
      <c r="O3161" s="2">
        <f ca="1"/>
        <v>0.20311722296091611</v>
      </c>
      <c r="X3161" s="2">
        <f ca="1"/>
        <v>26.070241206988378</v>
      </c>
      <c r="AG3161" s="2">
        <f ca="1"/>
        <v>0.32856054557862513</v>
      </c>
      <c r="AH3161" s="2" t="str">
        <f ca="1"/>
        <v>OK</v>
      </c>
    </row>
    <row r="3162" spans="2:34" x14ac:dyDescent="0.2">
      <c r="B3162" s="2">
        <f ca="1"/>
        <v>8.1144838341344894E-3</v>
      </c>
      <c r="O3162" s="2">
        <f ca="1"/>
        <v>1.3524039081990014</v>
      </c>
      <c r="X3162" s="2">
        <f ca="1"/>
        <v>62.941756250512562</v>
      </c>
      <c r="AG3162" s="2">
        <f ca="1"/>
        <v>5.7778925125437031E-2</v>
      </c>
      <c r="AH3162" s="2" t="str">
        <f ca="1"/>
        <v>OK</v>
      </c>
    </row>
    <row r="3163" spans="2:34" x14ac:dyDescent="0.2">
      <c r="B3163" s="2">
        <f ca="1"/>
        <v>0.70765243144036072</v>
      </c>
      <c r="O3163" s="2">
        <f ca="1"/>
        <v>1.2128038698554136</v>
      </c>
      <c r="X3163" s="2">
        <f ca="1"/>
        <v>39.184339726997756</v>
      </c>
      <c r="AG3163" s="2">
        <f ca="1"/>
        <v>0.24532456310021811</v>
      </c>
      <c r="AH3163" s="2" t="str">
        <f ca="1"/>
        <v>OK</v>
      </c>
    </row>
    <row r="3164" spans="2:34" x14ac:dyDescent="0.2">
      <c r="B3164" s="2">
        <f ca="1"/>
        <v>0.40103572012994126</v>
      </c>
      <c r="O3164" s="2">
        <f ca="1"/>
        <v>0.83216438994316189</v>
      </c>
      <c r="X3164" s="2">
        <f ca="1"/>
        <v>47.712654705696302</v>
      </c>
      <c r="AG3164" s="2">
        <f ca="1"/>
        <v>0.3995138447808384</v>
      </c>
      <c r="AH3164" s="2" t="str">
        <f ca="1"/>
        <v>OK</v>
      </c>
    </row>
    <row r="3165" spans="2:34" x14ac:dyDescent="0.2">
      <c r="B3165" s="2">
        <f ca="1"/>
        <v>0.74640158866226103</v>
      </c>
      <c r="O3165" s="2">
        <f ca="1"/>
        <v>0.65188677001072748</v>
      </c>
      <c r="X3165" s="2">
        <f ca="1"/>
        <v>123.37820643980722</v>
      </c>
      <c r="AG3165" s="2">
        <f ca="1"/>
        <v>3.7776189578692776E-2</v>
      </c>
      <c r="AH3165" s="2" t="str">
        <f ca="1"/>
        <v>Good</v>
      </c>
    </row>
    <row r="3166" spans="2:34" x14ac:dyDescent="0.2">
      <c r="B3166" s="2">
        <f ca="1"/>
        <v>0.56983725685124487</v>
      </c>
      <c r="O3166" s="2">
        <f ca="1"/>
        <v>-1.0852596323598047</v>
      </c>
      <c r="X3166" s="2">
        <f ca="1"/>
        <v>59.983480665068349</v>
      </c>
      <c r="AG3166" s="2">
        <f ca="1"/>
        <v>0.51676660412574771</v>
      </c>
      <c r="AH3166" s="2" t="str">
        <f ca="1"/>
        <v>Bad</v>
      </c>
    </row>
    <row r="3167" spans="2:34" x14ac:dyDescent="0.2">
      <c r="B3167" s="2">
        <f ca="1"/>
        <v>0.96421420294749116</v>
      </c>
      <c r="O3167" s="2">
        <f ca="1"/>
        <v>1.116763170439528</v>
      </c>
      <c r="X3167" s="2">
        <f ca="1"/>
        <v>58.37061239369045</v>
      </c>
      <c r="AG3167" s="2">
        <f ca="1"/>
        <v>2.699960452377459E-2</v>
      </c>
      <c r="AH3167" s="2" t="str">
        <f ca="1"/>
        <v>Good</v>
      </c>
    </row>
    <row r="3168" spans="2:34" x14ac:dyDescent="0.2">
      <c r="B3168" s="2">
        <f ca="1"/>
        <v>0.83430729578877094</v>
      </c>
      <c r="O3168" s="2">
        <f ca="1"/>
        <v>-0.73000662953727669</v>
      </c>
      <c r="X3168" s="2">
        <f ca="1"/>
        <v>42.253467579147411</v>
      </c>
      <c r="AG3168" s="2">
        <f ca="1"/>
        <v>0.21298890447986829</v>
      </c>
      <c r="AH3168" s="2" t="str">
        <f ca="1"/>
        <v>OK</v>
      </c>
    </row>
    <row r="3169" spans="2:34" x14ac:dyDescent="0.2">
      <c r="B3169" s="2">
        <f ca="1"/>
        <v>0.80231155225514983</v>
      </c>
      <c r="O3169" s="2">
        <f ca="1"/>
        <v>1.2489159224364303</v>
      </c>
      <c r="X3169" s="2">
        <f ca="1"/>
        <v>77.311833877206936</v>
      </c>
      <c r="AG3169" s="2">
        <f ca="1"/>
        <v>0.56835900672343276</v>
      </c>
      <c r="AH3169" s="2" t="str">
        <f ca="1"/>
        <v>Bad</v>
      </c>
    </row>
    <row r="3170" spans="2:34" x14ac:dyDescent="0.2">
      <c r="B3170" s="2">
        <f ca="1"/>
        <v>0.47886259622397342</v>
      </c>
      <c r="O3170" s="2">
        <f ca="1"/>
        <v>0.66584333527711248</v>
      </c>
      <c r="X3170" s="2">
        <f ca="1"/>
        <v>28.367805795497169</v>
      </c>
      <c r="AG3170" s="2">
        <f ca="1"/>
        <v>0.98323505045164494</v>
      </c>
      <c r="AH3170" s="2" t="str">
        <f ca="1"/>
        <v>Bad</v>
      </c>
    </row>
    <row r="3171" spans="2:34" x14ac:dyDescent="0.2">
      <c r="B3171" s="2">
        <f ca="1"/>
        <v>0.45553560797677206</v>
      </c>
      <c r="O3171" s="2">
        <f ca="1"/>
        <v>0.73488664480176225</v>
      </c>
      <c r="X3171" s="2">
        <f ca="1"/>
        <v>80.265437075021708</v>
      </c>
      <c r="AG3171" s="2">
        <f ca="1"/>
        <v>0.64320573436829398</v>
      </c>
      <c r="AH3171" s="2" t="str">
        <f ca="1"/>
        <v>Bad</v>
      </c>
    </row>
    <row r="3172" spans="2:34" x14ac:dyDescent="0.2">
      <c r="B3172" s="2">
        <f ca="1"/>
        <v>0.8127680236402075</v>
      </c>
      <c r="O3172" s="2">
        <f ca="1"/>
        <v>0.23446183778529384</v>
      </c>
      <c r="X3172" s="2">
        <f ca="1"/>
        <v>55.220868293413723</v>
      </c>
      <c r="AG3172" s="2">
        <f ca="1"/>
        <v>0.48075704778693007</v>
      </c>
      <c r="AH3172" s="2" t="str">
        <f ca="1"/>
        <v>Bad</v>
      </c>
    </row>
    <row r="3173" spans="2:34" x14ac:dyDescent="0.2">
      <c r="B3173" s="2">
        <f ca="1"/>
        <v>0.9940994297657153</v>
      </c>
      <c r="O3173" s="2">
        <f ca="1"/>
        <v>-0.43286826347933621</v>
      </c>
      <c r="X3173" s="2">
        <f ca="1"/>
        <v>44.695846774882028</v>
      </c>
      <c r="AG3173" s="2">
        <f ca="1"/>
        <v>0.27027183716705383</v>
      </c>
      <c r="AH3173" s="2" t="str">
        <f ca="1"/>
        <v>OK</v>
      </c>
    </row>
    <row r="3174" spans="2:34" x14ac:dyDescent="0.2">
      <c r="B3174" s="2">
        <f ca="1"/>
        <v>0.82142153232213921</v>
      </c>
      <c r="O3174" s="2">
        <f ca="1"/>
        <v>-1.5395336289983299</v>
      </c>
      <c r="X3174" s="2">
        <f ca="1"/>
        <v>64.737663610090493</v>
      </c>
      <c r="AG3174" s="2">
        <f ca="1"/>
        <v>0.67653086045755728</v>
      </c>
      <c r="AH3174" s="2" t="str">
        <f ca="1"/>
        <v>Bad</v>
      </c>
    </row>
    <row r="3175" spans="2:34" x14ac:dyDescent="0.2">
      <c r="B3175" s="2">
        <f ca="1"/>
        <v>0.39463890452760708</v>
      </c>
      <c r="O3175" s="2">
        <f ca="1"/>
        <v>1.1064512918155509</v>
      </c>
      <c r="X3175" s="2">
        <f ca="1"/>
        <v>38.303314504557598</v>
      </c>
      <c r="AG3175" s="2">
        <f ca="1"/>
        <v>0.60899376109058223</v>
      </c>
      <c r="AH3175" s="2" t="str">
        <f ca="1"/>
        <v>Bad</v>
      </c>
    </row>
    <row r="3176" spans="2:34" x14ac:dyDescent="0.2">
      <c r="B3176" s="2">
        <f ca="1"/>
        <v>8.6145038068921487E-2</v>
      </c>
      <c r="O3176" s="2">
        <f ca="1"/>
        <v>0.317290207471843</v>
      </c>
      <c r="X3176" s="2">
        <f ca="1"/>
        <v>63.407189130176612</v>
      </c>
      <c r="AG3176" s="2">
        <f ca="1"/>
        <v>0.4770171942970014</v>
      </c>
      <c r="AH3176" s="2" t="str">
        <f ca="1"/>
        <v>Bad</v>
      </c>
    </row>
    <row r="3177" spans="2:34" x14ac:dyDescent="0.2">
      <c r="B3177" s="2">
        <f ca="1"/>
        <v>0.2560343704960879</v>
      </c>
      <c r="O3177" s="2">
        <f ca="1"/>
        <v>0.63815312669784841</v>
      </c>
      <c r="X3177" s="2">
        <f ca="1"/>
        <v>38.429600131269353</v>
      </c>
      <c r="AG3177" s="2">
        <f ca="1"/>
        <v>0.38129969862963753</v>
      </c>
      <c r="AH3177" s="2" t="str">
        <f ca="1"/>
        <v>OK</v>
      </c>
    </row>
    <row r="3178" spans="2:34" x14ac:dyDescent="0.2">
      <c r="B3178" s="2">
        <f ca="1"/>
        <v>0.81663337402941827</v>
      </c>
      <c r="O3178" s="2">
        <f ca="1"/>
        <v>0.85503701393077824</v>
      </c>
      <c r="X3178" s="2">
        <f ca="1"/>
        <v>44.029644039228764</v>
      </c>
      <c r="AG3178" s="2">
        <f ca="1"/>
        <v>0.57081784062760677</v>
      </c>
      <c r="AH3178" s="2" t="str">
        <f ca="1"/>
        <v>Bad</v>
      </c>
    </row>
    <row r="3179" spans="2:34" x14ac:dyDescent="0.2">
      <c r="B3179" s="2">
        <f ca="1"/>
        <v>0.14988167051427936</v>
      </c>
      <c r="O3179" s="2">
        <f ca="1"/>
        <v>1.2865651520282013</v>
      </c>
      <c r="X3179" s="2">
        <f ca="1"/>
        <v>33.801421350618753</v>
      </c>
      <c r="AG3179" s="2">
        <f ca="1"/>
        <v>0.13710319541929072</v>
      </c>
      <c r="AH3179" s="2" t="str">
        <f ca="1"/>
        <v>OK</v>
      </c>
    </row>
    <row r="3180" spans="2:34" x14ac:dyDescent="0.2">
      <c r="B3180" s="2">
        <f ca="1"/>
        <v>0.77670349233543345</v>
      </c>
      <c r="O3180" s="2">
        <f ca="1"/>
        <v>-1.76481325760435</v>
      </c>
      <c r="X3180" s="2">
        <f ca="1"/>
        <v>49.082118923682373</v>
      </c>
      <c r="AG3180" s="2">
        <f ca="1"/>
        <v>0.57163211707403505</v>
      </c>
      <c r="AH3180" s="2" t="str">
        <f ca="1"/>
        <v>Bad</v>
      </c>
    </row>
    <row r="3181" spans="2:34" x14ac:dyDescent="0.2">
      <c r="B3181" s="2">
        <f ca="1"/>
        <v>0.33778490970854547</v>
      </c>
      <c r="O3181" s="2">
        <f ca="1"/>
        <v>-0.16687001884260338</v>
      </c>
      <c r="X3181" s="2">
        <f ca="1"/>
        <v>50.876039491756622</v>
      </c>
      <c r="AG3181" s="2">
        <f ca="1"/>
        <v>0.14072603715924403</v>
      </c>
      <c r="AH3181" s="2" t="str">
        <f ca="1"/>
        <v>OK</v>
      </c>
    </row>
    <row r="3182" spans="2:34" x14ac:dyDescent="0.2">
      <c r="B3182" s="2">
        <f ca="1"/>
        <v>9.6755012140667951E-3</v>
      </c>
      <c r="O3182" s="2">
        <f ca="1"/>
        <v>-0.47548297142133539</v>
      </c>
      <c r="X3182" s="2">
        <f ca="1"/>
        <v>23.814290564640871</v>
      </c>
      <c r="AG3182" s="2">
        <f ca="1"/>
        <v>2.9933516913205782E-2</v>
      </c>
      <c r="AH3182" s="2" t="str">
        <f ca="1"/>
        <v>Good</v>
      </c>
    </row>
    <row r="3183" spans="2:34" x14ac:dyDescent="0.2">
      <c r="B3183" s="2">
        <f ca="1"/>
        <v>0.66566600627163974</v>
      </c>
      <c r="O3183" s="2">
        <f ca="1"/>
        <v>2.0073030450766649</v>
      </c>
      <c r="X3183" s="2">
        <f ca="1"/>
        <v>36.30782518399247</v>
      </c>
      <c r="AG3183" s="2">
        <f ca="1"/>
        <v>0.33432092712580053</v>
      </c>
      <c r="AH3183" s="2" t="str">
        <f ca="1"/>
        <v>OK</v>
      </c>
    </row>
    <row r="3184" spans="2:34" x14ac:dyDescent="0.2">
      <c r="B3184" s="2">
        <f ca="1"/>
        <v>0.72191134479711594</v>
      </c>
      <c r="O3184" s="2">
        <f ca="1"/>
        <v>-0.12053777457195007</v>
      </c>
      <c r="X3184" s="2">
        <f ca="1"/>
        <v>69.273653236455857</v>
      </c>
      <c r="AG3184" s="2">
        <f ca="1"/>
        <v>0.37919326150861044</v>
      </c>
      <c r="AH3184" s="2" t="str">
        <f ca="1"/>
        <v>OK</v>
      </c>
    </row>
    <row r="3185" spans="2:34" x14ac:dyDescent="0.2">
      <c r="B3185" s="2">
        <f ca="1"/>
        <v>0.50505217181224782</v>
      </c>
      <c r="O3185" s="2">
        <f ca="1"/>
        <v>-0.83598063839229964</v>
      </c>
      <c r="X3185" s="2">
        <f ca="1"/>
        <v>39.222809859986846</v>
      </c>
      <c r="AG3185" s="2">
        <f ca="1"/>
        <v>0.24155013286497584</v>
      </c>
      <c r="AH3185" s="2" t="str">
        <f ca="1"/>
        <v>OK</v>
      </c>
    </row>
    <row r="3186" spans="2:34" x14ac:dyDescent="0.2">
      <c r="B3186" s="2">
        <f ca="1"/>
        <v>0.53636281498523974</v>
      </c>
      <c r="O3186" s="2">
        <f ca="1"/>
        <v>-0.47539449951245227</v>
      </c>
      <c r="X3186" s="2">
        <f ca="1"/>
        <v>57.064723989338262</v>
      </c>
      <c r="AG3186" s="2">
        <f ca="1"/>
        <v>0.75941081321978321</v>
      </c>
      <c r="AH3186" s="2" t="str">
        <f ca="1"/>
        <v>Bad</v>
      </c>
    </row>
    <row r="3187" spans="2:34" x14ac:dyDescent="0.2">
      <c r="B3187" s="2">
        <f ca="1"/>
        <v>0.67356982533304421</v>
      </c>
      <c r="O3187" s="2">
        <f ca="1"/>
        <v>-0.76159900502642897</v>
      </c>
      <c r="X3187" s="2">
        <f ca="1"/>
        <v>56.6588013491493</v>
      </c>
      <c r="AG3187" s="2">
        <f ca="1"/>
        <v>0.14739145872441961</v>
      </c>
      <c r="AH3187" s="2" t="str">
        <f ca="1"/>
        <v>OK</v>
      </c>
    </row>
    <row r="3188" spans="2:34" x14ac:dyDescent="0.2">
      <c r="B3188" s="2">
        <f ca="1"/>
        <v>0.43729240748196663</v>
      </c>
      <c r="O3188" s="2">
        <f ca="1"/>
        <v>0.64538129956390611</v>
      </c>
      <c r="X3188" s="2">
        <f ca="1"/>
        <v>57.349695696816511</v>
      </c>
      <c r="AG3188" s="2">
        <f ca="1"/>
        <v>0.20236556119036608</v>
      </c>
      <c r="AH3188" s="2" t="str">
        <f ca="1"/>
        <v>OK</v>
      </c>
    </row>
    <row r="3189" spans="2:34" x14ac:dyDescent="0.2">
      <c r="B3189" s="2">
        <f ca="1"/>
        <v>0.58114232019551726</v>
      </c>
      <c r="O3189" s="2">
        <f ca="1"/>
        <v>1.3976717144489712</v>
      </c>
      <c r="X3189" s="2">
        <f ca="1"/>
        <v>61.961964538293877</v>
      </c>
      <c r="AG3189" s="2">
        <f ca="1"/>
        <v>0.15887191380227694</v>
      </c>
      <c r="AH3189" s="2" t="str">
        <f ca="1"/>
        <v>OK</v>
      </c>
    </row>
    <row r="3190" spans="2:34" x14ac:dyDescent="0.2">
      <c r="B3190" s="2">
        <f ca="1"/>
        <v>0.54614887539660772</v>
      </c>
      <c r="O3190" s="2">
        <f ca="1"/>
        <v>-0.70329320574533993</v>
      </c>
      <c r="X3190" s="2">
        <f ca="1"/>
        <v>50.478640864459308</v>
      </c>
      <c r="AG3190" s="2">
        <f ca="1"/>
        <v>0.32920407216369241</v>
      </c>
      <c r="AH3190" s="2" t="str">
        <f ca="1"/>
        <v>OK</v>
      </c>
    </row>
    <row r="3191" spans="2:34" x14ac:dyDescent="0.2">
      <c r="B3191" s="2">
        <f ca="1"/>
        <v>0.548208130590224</v>
      </c>
      <c r="O3191" s="2">
        <f ca="1"/>
        <v>1.480212291487756E-2</v>
      </c>
      <c r="X3191" s="2">
        <f ca="1"/>
        <v>63.448916857241208</v>
      </c>
      <c r="AG3191" s="2">
        <f ca="1"/>
        <v>0.68427478827665666</v>
      </c>
      <c r="AH3191" s="2" t="str">
        <f ca="1"/>
        <v>Bad</v>
      </c>
    </row>
    <row r="3192" spans="2:34" x14ac:dyDescent="0.2">
      <c r="B3192" s="2">
        <f ca="1"/>
        <v>0.57911813670110068</v>
      </c>
      <c r="O3192" s="2">
        <f ca="1"/>
        <v>-1.0782522329958386</v>
      </c>
      <c r="X3192" s="2">
        <f ca="1"/>
        <v>44.375126458151328</v>
      </c>
      <c r="AG3192" s="2">
        <f ca="1"/>
        <v>0.49158190945607472</v>
      </c>
      <c r="AH3192" s="2" t="str">
        <f ca="1"/>
        <v>Bad</v>
      </c>
    </row>
    <row r="3193" spans="2:34" x14ac:dyDescent="0.2">
      <c r="B3193" s="2">
        <f ca="1"/>
        <v>0.56871991946341183</v>
      </c>
      <c r="O3193" s="2">
        <f ca="1"/>
        <v>1.0567663569737873</v>
      </c>
      <c r="X3193" s="2">
        <f ca="1"/>
        <v>67.005687982906196</v>
      </c>
      <c r="AG3193" s="2">
        <f ca="1"/>
        <v>0.6265865124352914</v>
      </c>
      <c r="AH3193" s="2" t="str">
        <f ca="1"/>
        <v>Bad</v>
      </c>
    </row>
    <row r="3194" spans="2:34" x14ac:dyDescent="0.2">
      <c r="B3194" s="2">
        <f ca="1"/>
        <v>0.85716329422784865</v>
      </c>
      <c r="O3194" s="2">
        <f ca="1"/>
        <v>-0.62058280892852402</v>
      </c>
      <c r="X3194" s="2">
        <f ca="1"/>
        <v>59.136849935334233</v>
      </c>
      <c r="AG3194" s="2">
        <f ca="1"/>
        <v>8.478482686970823E-3</v>
      </c>
      <c r="AH3194" s="2" t="str">
        <f ca="1"/>
        <v>Good</v>
      </c>
    </row>
    <row r="3195" spans="2:34" x14ac:dyDescent="0.2">
      <c r="B3195" s="2">
        <f ca="1"/>
        <v>0.96402747526538901</v>
      </c>
      <c r="O3195" s="2">
        <f ca="1"/>
        <v>-0.74256176889345382</v>
      </c>
      <c r="X3195" s="2">
        <f ca="1"/>
        <v>54.55750787484034</v>
      </c>
      <c r="AG3195" s="2">
        <f ca="1"/>
        <v>0.2097546073107015</v>
      </c>
      <c r="AH3195" s="2" t="str">
        <f ca="1"/>
        <v>OK</v>
      </c>
    </row>
    <row r="3196" spans="2:34" x14ac:dyDescent="0.2">
      <c r="B3196" s="2">
        <f ca="1"/>
        <v>0.61994150754668631</v>
      </c>
      <c r="O3196" s="2">
        <f ca="1"/>
        <v>-0.98618571559216184</v>
      </c>
      <c r="X3196" s="2">
        <f ca="1"/>
        <v>30.221638978466761</v>
      </c>
      <c r="AG3196" s="2">
        <f ca="1"/>
        <v>0.9581970855071873</v>
      </c>
      <c r="AH3196" s="2" t="str">
        <f ca="1"/>
        <v>Bad</v>
      </c>
    </row>
    <row r="3197" spans="2:34" x14ac:dyDescent="0.2">
      <c r="B3197" s="2">
        <f ca="1"/>
        <v>0.12037808255456861</v>
      </c>
      <c r="O3197" s="2">
        <f ca="1"/>
        <v>-0.75168132180165426</v>
      </c>
      <c r="X3197" s="2">
        <f ca="1"/>
        <v>23.911597158018253</v>
      </c>
      <c r="AG3197" s="2">
        <f ca="1"/>
        <v>0.45103555173571253</v>
      </c>
      <c r="AH3197" s="2" t="str">
        <f ca="1"/>
        <v>Bad</v>
      </c>
    </row>
    <row r="3198" spans="2:34" x14ac:dyDescent="0.2">
      <c r="B3198" s="2">
        <f ca="1"/>
        <v>0.62500444689816348</v>
      </c>
      <c r="O3198" s="2">
        <f ca="1"/>
        <v>0.63965995791006636</v>
      </c>
      <c r="X3198" s="2">
        <f ca="1"/>
        <v>31.511353418098807</v>
      </c>
      <c r="AG3198" s="2">
        <f ca="1"/>
        <v>9.9322467006857096E-3</v>
      </c>
      <c r="AH3198" s="2" t="str">
        <f ca="1"/>
        <v>Good</v>
      </c>
    </row>
    <row r="3199" spans="2:34" x14ac:dyDescent="0.2">
      <c r="B3199" s="2">
        <f ca="1"/>
        <v>0.55020853443580786</v>
      </c>
      <c r="O3199" s="2">
        <f ca="1"/>
        <v>-1.1451399371133526</v>
      </c>
      <c r="X3199" s="2">
        <f ca="1"/>
        <v>74.883583541248512</v>
      </c>
      <c r="AG3199" s="2">
        <f ca="1"/>
        <v>0.99271892986226717</v>
      </c>
      <c r="AH3199" s="2" t="str">
        <f ca="1"/>
        <v>Bad</v>
      </c>
    </row>
    <row r="3200" spans="2:34" x14ac:dyDescent="0.2">
      <c r="B3200" s="2">
        <f ca="1"/>
        <v>0.39448130633719103</v>
      </c>
      <c r="O3200" s="2">
        <f ca="1"/>
        <v>0.7600987163870796</v>
      </c>
      <c r="X3200" s="2">
        <f ca="1"/>
        <v>90.594952859520376</v>
      </c>
      <c r="AG3200" s="2">
        <f ca="1"/>
        <v>0.8547488185936527</v>
      </c>
      <c r="AH3200" s="2" t="str">
        <f ca="1"/>
        <v>Bad</v>
      </c>
    </row>
    <row r="3201" spans="2:34" x14ac:dyDescent="0.2">
      <c r="B3201" s="2">
        <f ca="1"/>
        <v>0.95619075858254221</v>
      </c>
      <c r="O3201" s="2">
        <f ca="1"/>
        <v>1.0179060176422481</v>
      </c>
      <c r="X3201" s="2">
        <f ca="1"/>
        <v>74.206484557774587</v>
      </c>
      <c r="AG3201" s="2">
        <f ca="1"/>
        <v>0.39211380030968157</v>
      </c>
      <c r="AH3201" s="2" t="str">
        <f ca="1"/>
        <v>OK</v>
      </c>
    </row>
    <row r="3202" spans="2:34" x14ac:dyDescent="0.2">
      <c r="B3202" s="2">
        <f ca="1"/>
        <v>0.40803343516045953</v>
      </c>
      <c r="O3202" s="2">
        <f ca="1"/>
        <v>-9.3499838584682943E-2</v>
      </c>
      <c r="X3202" s="2">
        <f ca="1"/>
        <v>75.636251652533289</v>
      </c>
      <c r="AG3202" s="2">
        <f ca="1"/>
        <v>0.59871752728881411</v>
      </c>
      <c r="AH3202" s="2" t="str">
        <f ca="1"/>
        <v>Bad</v>
      </c>
    </row>
    <row r="3203" spans="2:34" x14ac:dyDescent="0.2">
      <c r="B3203" s="2">
        <f ca="1"/>
        <v>0.71608439020186676</v>
      </c>
      <c r="O3203" s="2">
        <f ca="1"/>
        <v>-1.154020440014401</v>
      </c>
      <c r="X3203" s="2">
        <f ca="1"/>
        <v>67.749228148447273</v>
      </c>
      <c r="AG3203" s="2">
        <f ca="1"/>
        <v>0.84215352474624106</v>
      </c>
      <c r="AH3203" s="2" t="str">
        <f ca="1"/>
        <v>Bad</v>
      </c>
    </row>
    <row r="3204" spans="2:34" x14ac:dyDescent="0.2">
      <c r="B3204" s="2">
        <f ca="1"/>
        <v>0.59140235715744094</v>
      </c>
      <c r="O3204" s="2">
        <f ca="1"/>
        <v>0.26781556180783711</v>
      </c>
      <c r="X3204" s="2">
        <f ca="1"/>
        <v>60.164678675409846</v>
      </c>
      <c r="AG3204" s="2">
        <f ca="1"/>
        <v>3.3955671562810874E-2</v>
      </c>
      <c r="AH3204" s="2" t="str">
        <f ca="1"/>
        <v>Good</v>
      </c>
    </row>
    <row r="3205" spans="2:34" x14ac:dyDescent="0.2">
      <c r="B3205" s="2">
        <f ca="1"/>
        <v>0.4454293803138254</v>
      </c>
      <c r="O3205" s="2">
        <f ca="1"/>
        <v>-1.105328235025743</v>
      </c>
      <c r="X3205" s="2">
        <f ca="1"/>
        <v>35.514242141250271</v>
      </c>
      <c r="AG3205" s="2">
        <f ca="1"/>
        <v>0.34768872081472035</v>
      </c>
      <c r="AH3205" s="2" t="str">
        <f ca="1"/>
        <v>OK</v>
      </c>
    </row>
    <row r="3206" spans="2:34" x14ac:dyDescent="0.2">
      <c r="B3206" s="2">
        <f ca="1"/>
        <v>0.79322821211869976</v>
      </c>
      <c r="O3206" s="2">
        <f ca="1"/>
        <v>-0.79231496317205996</v>
      </c>
      <c r="X3206" s="2">
        <f ca="1"/>
        <v>30.332571717292268</v>
      </c>
      <c r="AG3206" s="2">
        <f ca="1"/>
        <v>0.27689677552605807</v>
      </c>
      <c r="AH3206" s="2" t="str">
        <f ca="1"/>
        <v>OK</v>
      </c>
    </row>
    <row r="3207" spans="2:34" x14ac:dyDescent="0.2">
      <c r="B3207" s="2">
        <f ca="1"/>
        <v>0.38597310630313864</v>
      </c>
      <c r="O3207" s="2">
        <f ca="1"/>
        <v>-0.97602446231142925</v>
      </c>
      <c r="X3207" s="2">
        <f ca="1"/>
        <v>41.369076724343508</v>
      </c>
      <c r="AG3207" s="2">
        <f ca="1"/>
        <v>0.41413582011787575</v>
      </c>
      <c r="AH3207" s="2" t="str">
        <f ca="1"/>
        <v>Bad</v>
      </c>
    </row>
    <row r="3208" spans="2:34" x14ac:dyDescent="0.2">
      <c r="B3208" s="2">
        <f ca="1"/>
        <v>0.4185837022192922</v>
      </c>
      <c r="O3208" s="2">
        <f ca="1"/>
        <v>0.70358369414085742</v>
      </c>
      <c r="X3208" s="2">
        <f ca="1"/>
        <v>37.844987393409461</v>
      </c>
      <c r="AG3208" s="2">
        <f ca="1"/>
        <v>0.54158669905769141</v>
      </c>
      <c r="AH3208" s="2" t="str">
        <f ca="1"/>
        <v>Bad</v>
      </c>
    </row>
    <row r="3209" spans="2:34" x14ac:dyDescent="0.2">
      <c r="B3209" s="2">
        <f ca="1"/>
        <v>0.35710624163912641</v>
      </c>
      <c r="O3209" s="2">
        <f ca="1"/>
        <v>0.19616988387307782</v>
      </c>
      <c r="X3209" s="2">
        <f ca="1"/>
        <v>39.31277812858194</v>
      </c>
      <c r="AG3209" s="2">
        <f ca="1"/>
        <v>0.79910090588850924</v>
      </c>
      <c r="AH3209" s="2" t="str">
        <f ca="1"/>
        <v>Bad</v>
      </c>
    </row>
    <row r="3210" spans="2:34" x14ac:dyDescent="0.2">
      <c r="B3210" s="2">
        <f ca="1"/>
        <v>0.59161590422790455</v>
      </c>
      <c r="O3210" s="2">
        <f ca="1"/>
        <v>1.0032437473964749E-2</v>
      </c>
      <c r="X3210" s="2">
        <f ca="1"/>
        <v>67.423572075772839</v>
      </c>
      <c r="AG3210" s="2">
        <f ca="1"/>
        <v>1.119383633494575E-2</v>
      </c>
      <c r="AH3210" s="2" t="str">
        <f ca="1"/>
        <v>Good</v>
      </c>
    </row>
    <row r="3211" spans="2:34" x14ac:dyDescent="0.2">
      <c r="B3211" s="2">
        <f ca="1"/>
        <v>0.82483820180002421</v>
      </c>
      <c r="O3211" s="2">
        <f ca="1"/>
        <v>2.2603352681839547E-2</v>
      </c>
      <c r="X3211" s="2">
        <f ca="1"/>
        <v>39.512716085254482</v>
      </c>
      <c r="AG3211" s="2">
        <f ca="1"/>
        <v>0.88928199156559407</v>
      </c>
      <c r="AH3211" s="2" t="str">
        <f ca="1"/>
        <v>Bad</v>
      </c>
    </row>
    <row r="3212" spans="2:34" x14ac:dyDescent="0.2">
      <c r="B3212" s="2">
        <f ca="1"/>
        <v>0.61471229303798869</v>
      </c>
      <c r="O3212" s="2">
        <f ca="1"/>
        <v>0.3374514265357475</v>
      </c>
      <c r="X3212" s="2">
        <f ca="1"/>
        <v>28.793544766898933</v>
      </c>
      <c r="AG3212" s="2">
        <f ca="1"/>
        <v>0.47849685802283681</v>
      </c>
      <c r="AH3212" s="2" t="str">
        <f ca="1"/>
        <v>Bad</v>
      </c>
    </row>
    <row r="3213" spans="2:34" x14ac:dyDescent="0.2">
      <c r="B3213" s="2">
        <f ca="1"/>
        <v>7.8546821272591716E-2</v>
      </c>
      <c r="O3213" s="2">
        <f ca="1"/>
        <v>0.66252508325239579</v>
      </c>
      <c r="X3213" s="2">
        <f ca="1"/>
        <v>58.824685698587167</v>
      </c>
      <c r="AG3213" s="2">
        <f ca="1"/>
        <v>0.80696470354088978</v>
      </c>
      <c r="AH3213" s="2" t="str">
        <f ca="1"/>
        <v>Bad</v>
      </c>
    </row>
    <row r="3214" spans="2:34" x14ac:dyDescent="0.2">
      <c r="B3214" s="2">
        <f ca="1"/>
        <v>0.14062066489590985</v>
      </c>
      <c r="O3214" s="2">
        <f ca="1"/>
        <v>0.38589661816023935</v>
      </c>
      <c r="X3214" s="2">
        <f ca="1"/>
        <v>39.101071509204978</v>
      </c>
      <c r="AG3214" s="2">
        <f ca="1"/>
        <v>0.28714044645794412</v>
      </c>
      <c r="AH3214" s="2" t="str">
        <f ca="1"/>
        <v>OK</v>
      </c>
    </row>
    <row r="3215" spans="2:34" x14ac:dyDescent="0.2">
      <c r="B3215" s="2">
        <f ca="1"/>
        <v>0.16241315664880873</v>
      </c>
      <c r="O3215" s="2">
        <f ca="1"/>
        <v>-0.44625825396736291</v>
      </c>
      <c r="X3215" s="2">
        <f ca="1"/>
        <v>61.218941149745099</v>
      </c>
      <c r="AG3215" s="2">
        <f ca="1"/>
        <v>0.87953579993097741</v>
      </c>
      <c r="AH3215" s="2" t="str">
        <f ca="1"/>
        <v>Bad</v>
      </c>
    </row>
    <row r="3216" spans="2:34" x14ac:dyDescent="0.2">
      <c r="B3216" s="2">
        <f ca="1"/>
        <v>5.2722830678407107E-2</v>
      </c>
      <c r="O3216" s="2">
        <f ca="1"/>
        <v>-0.1786341949941091</v>
      </c>
      <c r="X3216" s="2">
        <f ca="1"/>
        <v>68.03172742598835</v>
      </c>
      <c r="AG3216" s="2">
        <f ca="1"/>
        <v>0.10194907656535657</v>
      </c>
      <c r="AH3216" s="2" t="str">
        <f ca="1"/>
        <v>OK</v>
      </c>
    </row>
    <row r="3217" spans="2:34" x14ac:dyDescent="0.2">
      <c r="B3217" s="2">
        <f ca="1"/>
        <v>0.96010553571501167</v>
      </c>
      <c r="O3217" s="2">
        <f ca="1"/>
        <v>0.41066991489716309</v>
      </c>
      <c r="X3217" s="2">
        <f ca="1"/>
        <v>75.86796662097467</v>
      </c>
      <c r="AG3217" s="2">
        <f ca="1"/>
        <v>0.42840170796059973</v>
      </c>
      <c r="AH3217" s="2" t="str">
        <f ca="1"/>
        <v>Bad</v>
      </c>
    </row>
    <row r="3218" spans="2:34" x14ac:dyDescent="0.2">
      <c r="B3218" s="2">
        <f ca="1"/>
        <v>0.7427449282966434</v>
      </c>
      <c r="O3218" s="2">
        <f ca="1"/>
        <v>-0.67517761602497084</v>
      </c>
      <c r="X3218" s="2">
        <f ca="1"/>
        <v>48.026050011571471</v>
      </c>
      <c r="AG3218" s="2">
        <f ca="1"/>
        <v>0.17687153825582813</v>
      </c>
      <c r="AH3218" s="2" t="str">
        <f ca="1"/>
        <v>OK</v>
      </c>
    </row>
    <row r="3219" spans="2:34" x14ac:dyDescent="0.2">
      <c r="B3219" s="2">
        <f ca="1"/>
        <v>0.45982383465210375</v>
      </c>
      <c r="O3219" s="2">
        <f ca="1"/>
        <v>-0.29753097273472373</v>
      </c>
      <c r="X3219" s="2">
        <f ca="1"/>
        <v>51.611895438015061</v>
      </c>
      <c r="AG3219" s="2">
        <f ca="1"/>
        <v>0.14792192916156499</v>
      </c>
      <c r="AH3219" s="2" t="str">
        <f ca="1"/>
        <v>OK</v>
      </c>
    </row>
    <row r="3220" spans="2:34" x14ac:dyDescent="0.2">
      <c r="B3220" s="2">
        <f ca="1"/>
        <v>0.96525749447527609</v>
      </c>
      <c r="O3220" s="2">
        <f ca="1"/>
        <v>-0.23551516738284706</v>
      </c>
      <c r="X3220" s="2">
        <f ca="1"/>
        <v>57.912970155933465</v>
      </c>
      <c r="AG3220" s="2">
        <f ca="1"/>
        <v>0.55524140150163337</v>
      </c>
      <c r="AH3220" s="2" t="str">
        <f ca="1"/>
        <v>Bad</v>
      </c>
    </row>
    <row r="3221" spans="2:34" x14ac:dyDescent="0.2">
      <c r="B3221" s="2">
        <f ca="1"/>
        <v>0.10648480325167919</v>
      </c>
      <c r="O3221" s="2">
        <f ca="1"/>
        <v>-6.5890320950184406E-2</v>
      </c>
      <c r="X3221" s="2">
        <f ca="1"/>
        <v>36.17110252814966</v>
      </c>
      <c r="AG3221" s="2">
        <f ca="1"/>
        <v>0.91574160335611943</v>
      </c>
      <c r="AH3221" s="2" t="str">
        <f ca="1"/>
        <v>Bad</v>
      </c>
    </row>
    <row r="3222" spans="2:34" x14ac:dyDescent="0.2">
      <c r="B3222" s="2">
        <f ca="1"/>
        <v>0.64601365324005577</v>
      </c>
      <c r="O3222" s="2">
        <f ca="1"/>
        <v>0.24350763308902476</v>
      </c>
      <c r="X3222" s="2">
        <f ca="1"/>
        <v>38.778647874970595</v>
      </c>
      <c r="AG3222" s="2">
        <f ca="1"/>
        <v>0.69334632792766215</v>
      </c>
      <c r="AH3222" s="2" t="str">
        <f ca="1"/>
        <v>Bad</v>
      </c>
    </row>
    <row r="3223" spans="2:34" x14ac:dyDescent="0.2">
      <c r="B3223" s="2">
        <f ca="1"/>
        <v>0.30805214701442951</v>
      </c>
      <c r="O3223" s="2">
        <f ca="1"/>
        <v>0.28994443548325599</v>
      </c>
      <c r="X3223" s="2">
        <f ca="1"/>
        <v>69.282225223424504</v>
      </c>
      <c r="AG3223" s="2">
        <f ca="1"/>
        <v>0.89925848979834178</v>
      </c>
      <c r="AH3223" s="2" t="str">
        <f ca="1"/>
        <v>Bad</v>
      </c>
    </row>
    <row r="3224" spans="2:34" x14ac:dyDescent="0.2">
      <c r="B3224" s="2">
        <f ca="1"/>
        <v>0.77650221077640325</v>
      </c>
      <c r="O3224" s="2">
        <f ca="1"/>
        <v>1.0441446240481724</v>
      </c>
      <c r="X3224" s="2">
        <f ca="1"/>
        <v>43.391561148471595</v>
      </c>
      <c r="AG3224" s="2">
        <f ca="1"/>
        <v>0.78842475110618704</v>
      </c>
      <c r="AH3224" s="2" t="str">
        <f ca="1"/>
        <v>Bad</v>
      </c>
    </row>
    <row r="3225" spans="2:34" x14ac:dyDescent="0.2">
      <c r="B3225" s="2">
        <f ca="1"/>
        <v>0.94557073708061412</v>
      </c>
      <c r="O3225" s="2">
        <f ca="1"/>
        <v>2.831371115737517E-2</v>
      </c>
      <c r="X3225" s="2">
        <f ca="1"/>
        <v>67.053479883057037</v>
      </c>
      <c r="AG3225" s="2">
        <f ca="1"/>
        <v>0.56742489416127651</v>
      </c>
      <c r="AH3225" s="2" t="str">
        <f ca="1"/>
        <v>Bad</v>
      </c>
    </row>
    <row r="3226" spans="2:34" x14ac:dyDescent="0.2">
      <c r="B3226" s="2">
        <f ca="1"/>
        <v>0.15493815743900696</v>
      </c>
      <c r="O3226" s="2">
        <f ca="1"/>
        <v>1.5627625701653649</v>
      </c>
      <c r="X3226" s="2">
        <f ca="1"/>
        <v>56.013477978322797</v>
      </c>
      <c r="AG3226" s="2">
        <f ca="1"/>
        <v>0.24792910873071294</v>
      </c>
      <c r="AH3226" s="2" t="str">
        <f ca="1"/>
        <v>OK</v>
      </c>
    </row>
    <row r="3227" spans="2:34" x14ac:dyDescent="0.2">
      <c r="B3227" s="2">
        <f ca="1"/>
        <v>0.5493372297872805</v>
      </c>
      <c r="O3227" s="2">
        <f ca="1"/>
        <v>1.1252606907445191</v>
      </c>
      <c r="X3227" s="2">
        <f ca="1"/>
        <v>40.434039767186285</v>
      </c>
      <c r="AG3227" s="2">
        <f ca="1"/>
        <v>0.24543497895649713</v>
      </c>
      <c r="AH3227" s="2" t="str">
        <f ca="1"/>
        <v>OK</v>
      </c>
    </row>
    <row r="3228" spans="2:34" x14ac:dyDescent="0.2">
      <c r="B3228" s="2">
        <f ca="1"/>
        <v>9.6276418189544133E-2</v>
      </c>
      <c r="O3228" s="2">
        <f ca="1"/>
        <v>8.7698233141357981E-2</v>
      </c>
      <c r="X3228" s="2">
        <f ca="1"/>
        <v>53.640640132766386</v>
      </c>
      <c r="AG3228" s="2">
        <f ca="1"/>
        <v>0.76924320363001231</v>
      </c>
      <c r="AH3228" s="2" t="str">
        <f ca="1"/>
        <v>Bad</v>
      </c>
    </row>
    <row r="3229" spans="2:34" x14ac:dyDescent="0.2">
      <c r="B3229" s="2">
        <f ca="1"/>
        <v>0.79390340278460814</v>
      </c>
      <c r="O3229" s="2">
        <f ca="1"/>
        <v>0.26849793432039054</v>
      </c>
      <c r="X3229" s="2">
        <f ca="1"/>
        <v>33.024725901645347</v>
      </c>
      <c r="AG3229" s="2">
        <f ca="1"/>
        <v>0.15829294260352489</v>
      </c>
      <c r="AH3229" s="2" t="str">
        <f ca="1"/>
        <v>OK</v>
      </c>
    </row>
    <row r="3230" spans="2:34" x14ac:dyDescent="0.2">
      <c r="B3230" s="2">
        <f ca="1"/>
        <v>0.47886871220618743</v>
      </c>
      <c r="O3230" s="2">
        <f ca="1"/>
        <v>-0.79205004421681668</v>
      </c>
      <c r="X3230" s="2">
        <f ca="1"/>
        <v>38.307951432566632</v>
      </c>
      <c r="AG3230" s="2">
        <f ca="1"/>
        <v>0.31931011039794055</v>
      </c>
      <c r="AH3230" s="2" t="str">
        <f ca="1"/>
        <v>OK</v>
      </c>
    </row>
    <row r="3231" spans="2:34" x14ac:dyDescent="0.2">
      <c r="B3231" s="2">
        <f ca="1"/>
        <v>0.77513156059450239</v>
      </c>
      <c r="O3231" s="2">
        <f ca="1"/>
        <v>1.6186041179802258E-2</v>
      </c>
      <c r="X3231" s="2">
        <f ca="1"/>
        <v>38.628023130014725</v>
      </c>
      <c r="AG3231" s="2">
        <f ca="1"/>
        <v>7.3675220575471378E-2</v>
      </c>
      <c r="AH3231" s="2" t="str">
        <f ca="1"/>
        <v>OK</v>
      </c>
    </row>
    <row r="3232" spans="2:34" x14ac:dyDescent="0.2">
      <c r="B3232" s="2">
        <f ca="1"/>
        <v>0.15325786395185026</v>
      </c>
      <c r="O3232" s="2">
        <f ca="1"/>
        <v>0.36521923386728711</v>
      </c>
      <c r="X3232" s="2">
        <f ca="1"/>
        <v>47.916045049595972</v>
      </c>
      <c r="AG3232" s="2">
        <f ca="1"/>
        <v>0.12679724204311205</v>
      </c>
      <c r="AH3232" s="2" t="str">
        <f ca="1"/>
        <v>OK</v>
      </c>
    </row>
    <row r="3233" spans="2:34" x14ac:dyDescent="0.2">
      <c r="B3233" s="2">
        <f ca="1"/>
        <v>0.23105705691295886</v>
      </c>
      <c r="O3233" s="2">
        <f ca="1"/>
        <v>1.4293340125983844</v>
      </c>
      <c r="X3233" s="2">
        <f ca="1"/>
        <v>54.441980275565527</v>
      </c>
      <c r="AG3233" s="2">
        <f ca="1"/>
        <v>0.38651587514292918</v>
      </c>
      <c r="AH3233" s="2" t="str">
        <f ca="1"/>
        <v>OK</v>
      </c>
    </row>
    <row r="3234" spans="2:34" x14ac:dyDescent="0.2">
      <c r="B3234" s="2">
        <f ca="1"/>
        <v>0.70857675194729142</v>
      </c>
      <c r="O3234" s="2">
        <f ca="1"/>
        <v>0.3927544454191591</v>
      </c>
      <c r="X3234" s="2">
        <f ca="1"/>
        <v>27.724721583494542</v>
      </c>
      <c r="AG3234" s="2">
        <f ca="1"/>
        <v>0.8905112541837632</v>
      </c>
      <c r="AH3234" s="2" t="str">
        <f ca="1"/>
        <v>Bad</v>
      </c>
    </row>
    <row r="3235" spans="2:34" x14ac:dyDescent="0.2">
      <c r="B3235" s="2">
        <f ca="1"/>
        <v>0.95363359335100717</v>
      </c>
      <c r="O3235" s="2">
        <f ca="1"/>
        <v>0.6168859886249054</v>
      </c>
      <c r="X3235" s="2">
        <f ca="1"/>
        <v>28.429752855747221</v>
      </c>
      <c r="AG3235" s="2">
        <f ca="1"/>
        <v>0.17791381464915101</v>
      </c>
      <c r="AH3235" s="2" t="str">
        <f ca="1"/>
        <v>OK</v>
      </c>
    </row>
    <row r="3236" spans="2:34" x14ac:dyDescent="0.2">
      <c r="B3236" s="2">
        <f ca="1"/>
        <v>0.88671213508861801</v>
      </c>
      <c r="O3236" s="2">
        <f ca="1"/>
        <v>0.49639676768865831</v>
      </c>
      <c r="X3236" s="2">
        <f ca="1"/>
        <v>52.620904383958461</v>
      </c>
      <c r="AG3236" s="2">
        <f ca="1"/>
        <v>0.86302006547230237</v>
      </c>
      <c r="AH3236" s="2" t="str">
        <f ca="1"/>
        <v>Bad</v>
      </c>
    </row>
    <row r="3237" spans="2:34" x14ac:dyDescent="0.2">
      <c r="B3237" s="2">
        <f ca="1"/>
        <v>0.72896398593516709</v>
      </c>
      <c r="O3237" s="2">
        <f ca="1"/>
        <v>0.20321381462032584</v>
      </c>
      <c r="X3237" s="2">
        <f ca="1"/>
        <v>47.282744615607115</v>
      </c>
      <c r="AG3237" s="2">
        <f ca="1"/>
        <v>7.176928834388363E-3</v>
      </c>
      <c r="AH3237" s="2" t="str">
        <f ca="1"/>
        <v>Good</v>
      </c>
    </row>
    <row r="3238" spans="2:34" x14ac:dyDescent="0.2">
      <c r="B3238" s="2">
        <f ca="1"/>
        <v>0.48042282476982834</v>
      </c>
      <c r="O3238" s="2">
        <f ca="1"/>
        <v>0.19585241007513354</v>
      </c>
      <c r="X3238" s="2">
        <f ca="1"/>
        <v>30.990963092594797</v>
      </c>
      <c r="AG3238" s="2">
        <f ca="1"/>
        <v>0.19568181243280391</v>
      </c>
      <c r="AH3238" s="2" t="str">
        <f ca="1"/>
        <v>OK</v>
      </c>
    </row>
    <row r="3239" spans="2:34" x14ac:dyDescent="0.2">
      <c r="B3239" s="2">
        <f ca="1"/>
        <v>0.83096716956141781</v>
      </c>
      <c r="O3239" s="2">
        <f ca="1"/>
        <v>-0.25914349906551121</v>
      </c>
      <c r="X3239" s="2">
        <f ca="1"/>
        <v>64.316886043597975</v>
      </c>
      <c r="AG3239" s="2">
        <f ca="1"/>
        <v>0.29507000786393411</v>
      </c>
      <c r="AH3239" s="2" t="str">
        <f ca="1"/>
        <v>OK</v>
      </c>
    </row>
    <row r="3240" spans="2:34" x14ac:dyDescent="0.2">
      <c r="B3240" s="2">
        <f ca="1"/>
        <v>0.87886796681081347</v>
      </c>
      <c r="O3240" s="2">
        <f ca="1"/>
        <v>0.24072948331681043</v>
      </c>
      <c r="X3240" s="2">
        <f ca="1"/>
        <v>56.948492034123184</v>
      </c>
      <c r="AG3240" s="2">
        <f ca="1"/>
        <v>0.7792200084291443</v>
      </c>
      <c r="AH3240" s="2" t="str">
        <f ca="1"/>
        <v>Bad</v>
      </c>
    </row>
    <row r="3241" spans="2:34" x14ac:dyDescent="0.2">
      <c r="B3241" s="2">
        <f ca="1"/>
        <v>0.20686862118189731</v>
      </c>
      <c r="O3241" s="2">
        <f ca="1"/>
        <v>-0.4223101529737871</v>
      </c>
      <c r="X3241" s="2">
        <f ca="1"/>
        <v>62.248031084547279</v>
      </c>
      <c r="AG3241" s="2">
        <f ca="1"/>
        <v>0.4100805395988032</v>
      </c>
      <c r="AH3241" s="2" t="str">
        <f ca="1"/>
        <v>Bad</v>
      </c>
    </row>
    <row r="3242" spans="2:34" x14ac:dyDescent="0.2">
      <c r="B3242" s="2">
        <f ca="1"/>
        <v>0.69592081771385916</v>
      </c>
      <c r="O3242" s="2">
        <f ca="1"/>
        <v>-0.41761335021721757</v>
      </c>
      <c r="X3242" s="2">
        <f ca="1"/>
        <v>45.805521943386857</v>
      </c>
      <c r="AG3242" s="2">
        <f ca="1"/>
        <v>0.81813098631045911</v>
      </c>
      <c r="AH3242" s="2" t="str">
        <f ca="1"/>
        <v>Bad</v>
      </c>
    </row>
    <row r="3243" spans="2:34" x14ac:dyDescent="0.2">
      <c r="B3243" s="2">
        <f ca="1"/>
        <v>7.590034981937821E-2</v>
      </c>
      <c r="O3243" s="2">
        <f ca="1"/>
        <v>-0.55634607365126221</v>
      </c>
      <c r="X3243" s="2">
        <f ca="1"/>
        <v>68.969490649575548</v>
      </c>
      <c r="AG3243" s="2">
        <f ca="1"/>
        <v>0.94082683773888287</v>
      </c>
      <c r="AH3243" s="2" t="str">
        <f ca="1"/>
        <v>Bad</v>
      </c>
    </row>
    <row r="3244" spans="2:34" x14ac:dyDescent="0.2">
      <c r="B3244" s="2">
        <f ca="1"/>
        <v>0.47286998497042143</v>
      </c>
      <c r="O3244" s="2">
        <f ca="1"/>
        <v>-0.68108675955935449</v>
      </c>
      <c r="X3244" s="2">
        <f ca="1"/>
        <v>51.270327255636573</v>
      </c>
      <c r="AG3244" s="2">
        <f ca="1"/>
        <v>0.37999377347976782</v>
      </c>
      <c r="AH3244" s="2" t="str">
        <f ca="1"/>
        <v>OK</v>
      </c>
    </row>
    <row r="3245" spans="2:34" x14ac:dyDescent="0.2">
      <c r="B3245" s="2">
        <f ca="1"/>
        <v>0.1418483924191507</v>
      </c>
      <c r="O3245" s="2">
        <f ca="1"/>
        <v>-1.0785037084891038</v>
      </c>
      <c r="X3245" s="2">
        <f ca="1"/>
        <v>83.086637987621415</v>
      </c>
      <c r="AG3245" s="2">
        <f ca="1"/>
        <v>0.14025175591784778</v>
      </c>
      <c r="AH3245" s="2" t="str">
        <f ca="1"/>
        <v>OK</v>
      </c>
    </row>
    <row r="3246" spans="2:34" x14ac:dyDescent="0.2">
      <c r="B3246" s="2">
        <f ca="1"/>
        <v>0.4746601821219838</v>
      </c>
      <c r="O3246" s="2">
        <f ca="1"/>
        <v>0.35544842362680507</v>
      </c>
      <c r="X3246" s="2">
        <f ca="1"/>
        <v>38.933480519004895</v>
      </c>
      <c r="AG3246" s="2">
        <f ca="1"/>
        <v>0.81229891668363585</v>
      </c>
      <c r="AH3246" s="2" t="str">
        <f ca="1"/>
        <v>Bad</v>
      </c>
    </row>
    <row r="3247" spans="2:34" x14ac:dyDescent="0.2">
      <c r="B3247" s="2">
        <f ca="1"/>
        <v>0.57477914510085149</v>
      </c>
      <c r="O3247" s="2">
        <f ca="1"/>
        <v>-0.48162656888400301</v>
      </c>
      <c r="X3247" s="2">
        <f ca="1"/>
        <v>51.903409847338352</v>
      </c>
      <c r="AG3247" s="2">
        <f ca="1"/>
        <v>0.60865605681556967</v>
      </c>
      <c r="AH3247" s="2" t="str">
        <f ca="1"/>
        <v>Bad</v>
      </c>
    </row>
    <row r="3248" spans="2:34" x14ac:dyDescent="0.2">
      <c r="B3248" s="2">
        <f ca="1"/>
        <v>0.40511865705043171</v>
      </c>
      <c r="O3248" s="2">
        <f ca="1"/>
        <v>-0.57722459329933917</v>
      </c>
      <c r="X3248" s="2">
        <f ca="1"/>
        <v>35.283973457171257</v>
      </c>
      <c r="AG3248" s="2">
        <f ca="1"/>
        <v>7.6136711793577838E-2</v>
      </c>
      <c r="AH3248" s="2" t="str">
        <f ca="1"/>
        <v>OK</v>
      </c>
    </row>
    <row r="3249" spans="2:34" x14ac:dyDescent="0.2">
      <c r="B3249" s="2">
        <f ca="1"/>
        <v>0.11742925244828761</v>
      </c>
      <c r="O3249" s="2">
        <f ca="1"/>
        <v>-0.25200224850402686</v>
      </c>
      <c r="X3249" s="2">
        <f ca="1"/>
        <v>48.958820391225842</v>
      </c>
      <c r="AG3249" s="2">
        <f ca="1"/>
        <v>0.736129558528829</v>
      </c>
      <c r="AH3249" s="2" t="str">
        <f ca="1"/>
        <v>Bad</v>
      </c>
    </row>
    <row r="3250" spans="2:34" x14ac:dyDescent="0.2">
      <c r="B3250" s="2">
        <f ca="1"/>
        <v>0.12407373243601216</v>
      </c>
      <c r="O3250" s="2">
        <f ca="1"/>
        <v>0.44735437142587747</v>
      </c>
      <c r="X3250" s="2">
        <f ca="1"/>
        <v>56.577659551830955</v>
      </c>
      <c r="AG3250" s="2">
        <f ca="1"/>
        <v>0.33155677924178439</v>
      </c>
      <c r="AH3250" s="2" t="str">
        <f ca="1"/>
        <v>OK</v>
      </c>
    </row>
    <row r="3251" spans="2:34" x14ac:dyDescent="0.2">
      <c r="B3251" s="2">
        <f ca="1"/>
        <v>0.74246931966946428</v>
      </c>
      <c r="O3251" s="2">
        <f ca="1"/>
        <v>-1.6781588361345861</v>
      </c>
      <c r="X3251" s="2">
        <f ca="1"/>
        <v>57.017266505121171</v>
      </c>
      <c r="AG3251" s="2">
        <f ca="1"/>
        <v>0.26081080878777874</v>
      </c>
      <c r="AH3251" s="2" t="str">
        <f ca="1"/>
        <v>OK</v>
      </c>
    </row>
    <row r="3252" spans="2:34" x14ac:dyDescent="0.2">
      <c r="B3252" s="2">
        <f ca="1"/>
        <v>0.45027687746797729</v>
      </c>
      <c r="O3252" s="2">
        <f ca="1"/>
        <v>-0.63215225204036396</v>
      </c>
      <c r="X3252" s="2">
        <f ca="1"/>
        <v>52.423331428462127</v>
      </c>
      <c r="AG3252" s="2">
        <f ca="1"/>
        <v>0.72996724907120392</v>
      </c>
      <c r="AH3252" s="2" t="str">
        <f ca="1"/>
        <v>Bad</v>
      </c>
    </row>
    <row r="3253" spans="2:34" x14ac:dyDescent="0.2">
      <c r="B3253" s="2">
        <f ca="1"/>
        <v>0.3885575776090453</v>
      </c>
      <c r="O3253" s="2">
        <f ca="1"/>
        <v>-0.87798321606449892</v>
      </c>
      <c r="X3253" s="2">
        <f ca="1"/>
        <v>62.210438354900333</v>
      </c>
      <c r="AG3253" s="2">
        <f ca="1"/>
        <v>6.4159756562667702E-2</v>
      </c>
      <c r="AH3253" s="2" t="str">
        <f ca="1"/>
        <v>OK</v>
      </c>
    </row>
    <row r="3254" spans="2:34" x14ac:dyDescent="0.2">
      <c r="B3254" s="2">
        <f ca="1"/>
        <v>0.68964019509763497</v>
      </c>
      <c r="O3254" s="2">
        <f ca="1"/>
        <v>0.60252330694020917</v>
      </c>
      <c r="X3254" s="2">
        <f ca="1"/>
        <v>54.312908002366385</v>
      </c>
      <c r="AG3254" s="2">
        <f ca="1"/>
        <v>0.49378979237524123</v>
      </c>
      <c r="AH3254" s="2" t="str">
        <f ca="1"/>
        <v>Bad</v>
      </c>
    </row>
    <row r="3255" spans="2:34" x14ac:dyDescent="0.2">
      <c r="B3255" s="2">
        <f ca="1"/>
        <v>0.92210744277718693</v>
      </c>
      <c r="O3255" s="2">
        <f ca="1"/>
        <v>0.51029695845571976</v>
      </c>
      <c r="X3255" s="2">
        <f ca="1"/>
        <v>47.494807113396675</v>
      </c>
      <c r="AG3255" s="2">
        <f ca="1"/>
        <v>0.36893975577204929</v>
      </c>
      <c r="AH3255" s="2" t="str">
        <f ca="1"/>
        <v>OK</v>
      </c>
    </row>
    <row r="3256" spans="2:34" x14ac:dyDescent="0.2">
      <c r="B3256" s="2">
        <f ca="1"/>
        <v>0.33784522573600184</v>
      </c>
      <c r="O3256" s="2">
        <f ca="1"/>
        <v>0.84979555216179836</v>
      </c>
      <c r="X3256" s="2">
        <f ca="1"/>
        <v>41.791894315314011</v>
      </c>
      <c r="AG3256" s="2">
        <f ca="1"/>
        <v>0.41579707524332976</v>
      </c>
      <c r="AH3256" s="2" t="str">
        <f ca="1"/>
        <v>Bad</v>
      </c>
    </row>
    <row r="3257" spans="2:34" x14ac:dyDescent="0.2">
      <c r="B3257" s="2">
        <f ca="1"/>
        <v>0.37730914660561954</v>
      </c>
      <c r="O3257" s="2">
        <f ca="1"/>
        <v>-0.12816616076621187</v>
      </c>
      <c r="X3257" s="2">
        <f ca="1"/>
        <v>82.213851616721826</v>
      </c>
      <c r="AG3257" s="2">
        <f ca="1"/>
        <v>0.71813121786634837</v>
      </c>
      <c r="AH3257" s="2" t="str">
        <f ca="1"/>
        <v>Bad</v>
      </c>
    </row>
    <row r="3258" spans="2:34" x14ac:dyDescent="0.2">
      <c r="B3258" s="2">
        <f ca="1"/>
        <v>0.4949751037579917</v>
      </c>
      <c r="O3258" s="2">
        <f ca="1"/>
        <v>0.25317372628709073</v>
      </c>
      <c r="X3258" s="2">
        <f ca="1"/>
        <v>72.823061848588083</v>
      </c>
      <c r="AG3258" s="2">
        <f ca="1"/>
        <v>0.36750114319564653</v>
      </c>
      <c r="AH3258" s="2" t="str">
        <f ca="1"/>
        <v>OK</v>
      </c>
    </row>
    <row r="3259" spans="2:34" x14ac:dyDescent="0.2">
      <c r="B3259" s="2">
        <f ca="1"/>
        <v>0.24049526374455898</v>
      </c>
      <c r="O3259" s="2">
        <f ca="1"/>
        <v>-0.32717321896679186</v>
      </c>
      <c r="X3259" s="2">
        <f ca="1"/>
        <v>49.686309733441092</v>
      </c>
      <c r="AG3259" s="2">
        <f ca="1"/>
        <v>0.36712548693433056</v>
      </c>
      <c r="AH3259" s="2" t="str">
        <f ca="1"/>
        <v>OK</v>
      </c>
    </row>
    <row r="3260" spans="2:34" x14ac:dyDescent="0.2">
      <c r="B3260" s="2">
        <f ca="1"/>
        <v>0.86991635085367047</v>
      </c>
      <c r="O3260" s="2">
        <f ca="1"/>
        <v>-0.77143904284032427</v>
      </c>
      <c r="X3260" s="2">
        <f ca="1"/>
        <v>47.289458041038273</v>
      </c>
      <c r="AG3260" s="2">
        <f ca="1"/>
        <v>0.10208919975106356</v>
      </c>
      <c r="AH3260" s="2" t="str">
        <f ca="1"/>
        <v>OK</v>
      </c>
    </row>
    <row r="3261" spans="2:34" x14ac:dyDescent="0.2">
      <c r="B3261" s="2">
        <f ca="1"/>
        <v>0.99759976844739184</v>
      </c>
      <c r="O3261" s="2">
        <f ca="1"/>
        <v>0.3318722098345856</v>
      </c>
      <c r="X3261" s="2">
        <f ca="1"/>
        <v>52.469802397360993</v>
      </c>
      <c r="AG3261" s="2">
        <f ca="1"/>
        <v>5.8470690800516145E-2</v>
      </c>
      <c r="AH3261" s="2" t="str">
        <f ca="1"/>
        <v>OK</v>
      </c>
    </row>
    <row r="3262" spans="2:34" x14ac:dyDescent="0.2">
      <c r="B3262" s="2">
        <f ca="1"/>
        <v>0.56657922293412044</v>
      </c>
      <c r="O3262" s="2">
        <f ca="1"/>
        <v>2.8236505788032866E-3</v>
      </c>
      <c r="X3262" s="2">
        <f ca="1"/>
        <v>93.512512360946204</v>
      </c>
      <c r="AG3262" s="2">
        <f ca="1"/>
        <v>0.86879527054444283</v>
      </c>
      <c r="AH3262" s="2" t="str">
        <f ca="1"/>
        <v>Bad</v>
      </c>
    </row>
    <row r="3263" spans="2:34" x14ac:dyDescent="0.2">
      <c r="B3263" s="2">
        <f ca="1"/>
        <v>0.12259863901030554</v>
      </c>
      <c r="O3263" s="2">
        <f ca="1"/>
        <v>1.5191342515726007</v>
      </c>
      <c r="X3263" s="2">
        <f ca="1"/>
        <v>36.569510297369803</v>
      </c>
      <c r="AG3263" s="2">
        <f ca="1"/>
        <v>7.1878269166816278E-2</v>
      </c>
      <c r="AH3263" s="2" t="str">
        <f ca="1"/>
        <v>OK</v>
      </c>
    </row>
    <row r="3264" spans="2:34" x14ac:dyDescent="0.2">
      <c r="B3264" s="2">
        <f ca="1"/>
        <v>0.97704725220306154</v>
      </c>
      <c r="O3264" s="2">
        <f ca="1"/>
        <v>2.8598961591674135</v>
      </c>
      <c r="X3264" s="2">
        <f ca="1"/>
        <v>33.123507961371857</v>
      </c>
      <c r="AG3264" s="2">
        <f ca="1"/>
        <v>9.7566162452820571E-2</v>
      </c>
      <c r="AH3264" s="2" t="str">
        <f ca="1"/>
        <v>OK</v>
      </c>
    </row>
    <row r="3265" spans="2:34" x14ac:dyDescent="0.2">
      <c r="B3265" s="2">
        <f ca="1"/>
        <v>0.52593676024686631</v>
      </c>
      <c r="O3265" s="2">
        <f ca="1"/>
        <v>9.5546992093782673E-2</v>
      </c>
      <c r="X3265" s="2">
        <f ca="1"/>
        <v>55.798721721988557</v>
      </c>
      <c r="AG3265" s="2">
        <f ca="1"/>
        <v>7.680072160343876E-2</v>
      </c>
      <c r="AH3265" s="2" t="str">
        <f ca="1"/>
        <v>OK</v>
      </c>
    </row>
    <row r="3266" spans="2:34" x14ac:dyDescent="0.2">
      <c r="B3266" s="2">
        <f ca="1"/>
        <v>0.91992612422197784</v>
      </c>
      <c r="O3266" s="2">
        <f ca="1"/>
        <v>1.8017231518173142</v>
      </c>
      <c r="X3266" s="2">
        <f ca="1"/>
        <v>72.576409117565674</v>
      </c>
      <c r="AG3266" s="2">
        <f ca="1"/>
        <v>0.13866181156289215</v>
      </c>
      <c r="AH3266" s="2" t="str">
        <f ca="1"/>
        <v>OK</v>
      </c>
    </row>
    <row r="3267" spans="2:34" x14ac:dyDescent="0.2">
      <c r="B3267" s="2">
        <f ca="1"/>
        <v>0.25791151959246816</v>
      </c>
      <c r="O3267" s="2">
        <f ca="1"/>
        <v>-1.8618361804082428</v>
      </c>
      <c r="X3267" s="2">
        <f ca="1"/>
        <v>63.940572686163392</v>
      </c>
      <c r="AG3267" s="2">
        <f ca="1"/>
        <v>0.93803277371685634</v>
      </c>
      <c r="AH3267" s="2" t="str">
        <f ca="1"/>
        <v>Bad</v>
      </c>
    </row>
    <row r="3268" spans="2:34" x14ac:dyDescent="0.2">
      <c r="B3268" s="2">
        <f ca="1"/>
        <v>0.6246272060841136</v>
      </c>
      <c r="O3268" s="2">
        <f ca="1"/>
        <v>-0.71405215967925861</v>
      </c>
      <c r="X3268" s="2">
        <f ca="1"/>
        <v>37.767589658558805</v>
      </c>
      <c r="AG3268" s="2">
        <f ca="1"/>
        <v>0.18303247860155025</v>
      </c>
      <c r="AH3268" s="2" t="str">
        <f ca="1"/>
        <v>OK</v>
      </c>
    </row>
    <row r="3269" spans="2:34" x14ac:dyDescent="0.2">
      <c r="B3269" s="2">
        <f ca="1"/>
        <v>1.0358778194996088E-2</v>
      </c>
      <c r="O3269" s="2">
        <f ca="1"/>
        <v>-0.158414869747702</v>
      </c>
      <c r="X3269" s="2">
        <f ca="1"/>
        <v>63.796262192360373</v>
      </c>
      <c r="AG3269" s="2">
        <f ca="1"/>
        <v>0.14753013509218382</v>
      </c>
      <c r="AH3269" s="2" t="str">
        <f ca="1"/>
        <v>OK</v>
      </c>
    </row>
    <row r="3270" spans="2:34" x14ac:dyDescent="0.2">
      <c r="B3270" s="2">
        <f ca="1"/>
        <v>7.8179733646247529E-2</v>
      </c>
      <c r="O3270" s="2">
        <f ca="1"/>
        <v>-0.15459101206857381</v>
      </c>
      <c r="X3270" s="2">
        <f ca="1"/>
        <v>31.204098943312729</v>
      </c>
      <c r="AG3270" s="2">
        <f ca="1"/>
        <v>0.75259637720480588</v>
      </c>
      <c r="AH3270" s="2" t="str">
        <f ca="1"/>
        <v>Bad</v>
      </c>
    </row>
    <row r="3271" spans="2:34" x14ac:dyDescent="0.2">
      <c r="B3271" s="2">
        <f ca="1"/>
        <v>0.54092449149414557</v>
      </c>
      <c r="O3271" s="2">
        <f ca="1"/>
        <v>-0.1990601839097943</v>
      </c>
      <c r="X3271" s="2">
        <f ca="1"/>
        <v>44.320386733395445</v>
      </c>
      <c r="AG3271" s="2">
        <f ca="1"/>
        <v>0.52341156357260532</v>
      </c>
      <c r="AH3271" s="2" t="str">
        <f ca="1"/>
        <v>Bad</v>
      </c>
    </row>
    <row r="3272" spans="2:34" x14ac:dyDescent="0.2">
      <c r="B3272" s="2">
        <f ca="1"/>
        <v>0.23031140941843442</v>
      </c>
      <c r="O3272" s="2">
        <f ca="1"/>
        <v>0.72887333333042403</v>
      </c>
      <c r="X3272" s="2">
        <f ca="1"/>
        <v>23.530741881228042</v>
      </c>
      <c r="AG3272" s="2">
        <f ca="1"/>
        <v>0.55947738856451235</v>
      </c>
      <c r="AH3272" s="2" t="str">
        <f ca="1"/>
        <v>Bad</v>
      </c>
    </row>
    <row r="3273" spans="2:34" x14ac:dyDescent="0.2">
      <c r="B3273" s="2">
        <f ca="1"/>
        <v>6.9758482838020441E-2</v>
      </c>
      <c r="O3273" s="2">
        <f ca="1"/>
        <v>2.3834377568556442E-2</v>
      </c>
      <c r="X3273" s="2">
        <f ca="1"/>
        <v>38.325988479368768</v>
      </c>
      <c r="AG3273" s="2">
        <f ca="1"/>
        <v>0.3090769081186362</v>
      </c>
      <c r="AH3273" s="2" t="str">
        <f ca="1"/>
        <v>OK</v>
      </c>
    </row>
    <row r="3274" spans="2:34" x14ac:dyDescent="0.2">
      <c r="B3274" s="2">
        <f ca="1"/>
        <v>0.58877040419870297</v>
      </c>
      <c r="O3274" s="2">
        <f ca="1"/>
        <v>0.19154557569316857</v>
      </c>
      <c r="X3274" s="2">
        <f ca="1"/>
        <v>31.006426670137085</v>
      </c>
      <c r="AG3274" s="2">
        <f ca="1"/>
        <v>3.2731825482666732E-2</v>
      </c>
      <c r="AH3274" s="2" t="str">
        <f ca="1"/>
        <v>Good</v>
      </c>
    </row>
    <row r="3275" spans="2:34" x14ac:dyDescent="0.2">
      <c r="B3275" s="2">
        <f ca="1"/>
        <v>0.70497649579023891</v>
      </c>
      <c r="O3275" s="2">
        <f ca="1"/>
        <v>0.30251183598667264</v>
      </c>
      <c r="X3275" s="2">
        <f ca="1"/>
        <v>34.661887015995859</v>
      </c>
      <c r="AG3275" s="2">
        <f ca="1"/>
        <v>0.59944339491079202</v>
      </c>
      <c r="AH3275" s="2" t="str">
        <f ca="1"/>
        <v>Bad</v>
      </c>
    </row>
    <row r="3276" spans="2:34" x14ac:dyDescent="0.2">
      <c r="B3276" s="2">
        <f ca="1"/>
        <v>0.21218469846470733</v>
      </c>
      <c r="O3276" s="2">
        <f ca="1"/>
        <v>-0.39433067335039185</v>
      </c>
      <c r="X3276" s="2">
        <f ca="1"/>
        <v>51.327447058966882</v>
      </c>
      <c r="AG3276" s="2">
        <f ca="1"/>
        <v>0.77166713099815554</v>
      </c>
      <c r="AH3276" s="2" t="str">
        <f ca="1"/>
        <v>Bad</v>
      </c>
    </row>
    <row r="3277" spans="2:34" x14ac:dyDescent="0.2">
      <c r="B3277" s="2">
        <f ca="1"/>
        <v>0.99598636197888246</v>
      </c>
      <c r="O3277" s="2">
        <f ca="1"/>
        <v>0.78125787595405682</v>
      </c>
      <c r="X3277" s="2">
        <f ca="1"/>
        <v>84.974004356837895</v>
      </c>
      <c r="AG3277" s="2">
        <f ca="1"/>
        <v>0.60029753998903934</v>
      </c>
      <c r="AH3277" s="2" t="str">
        <f ca="1"/>
        <v>Bad</v>
      </c>
    </row>
    <row r="3278" spans="2:34" x14ac:dyDescent="0.2">
      <c r="B3278" s="2">
        <f ca="1"/>
        <v>0.41165025433451174</v>
      </c>
      <c r="O3278" s="2">
        <f ca="1"/>
        <v>-0.3558003486888594</v>
      </c>
      <c r="X3278" s="2">
        <f ca="1"/>
        <v>60.14493566111603</v>
      </c>
      <c r="AG3278" s="2">
        <f ca="1"/>
        <v>0.23436322634166484</v>
      </c>
      <c r="AH3278" s="2" t="str">
        <f ca="1"/>
        <v>OK</v>
      </c>
    </row>
    <row r="3279" spans="2:34" x14ac:dyDescent="0.2">
      <c r="B3279" s="2">
        <f ca="1"/>
        <v>0.59434789089672524</v>
      </c>
      <c r="O3279" s="2">
        <f ca="1"/>
        <v>7.6733444388420641E-2</v>
      </c>
      <c r="X3279" s="2">
        <f ca="1"/>
        <v>25.077449018252299</v>
      </c>
      <c r="AG3279" s="2">
        <f ca="1"/>
        <v>9.1567353180584066E-2</v>
      </c>
      <c r="AH3279" s="2" t="str">
        <f ca="1"/>
        <v>OK</v>
      </c>
    </row>
    <row r="3280" spans="2:34" x14ac:dyDescent="0.2">
      <c r="B3280" s="2">
        <f ca="1"/>
        <v>0.40598577262008617</v>
      </c>
      <c r="O3280" s="2">
        <f ca="1"/>
        <v>5.3110788738144177E-2</v>
      </c>
      <c r="X3280" s="2">
        <f ca="1"/>
        <v>65.713023455744008</v>
      </c>
      <c r="AG3280" s="2">
        <f ca="1"/>
        <v>0.1384013178220953</v>
      </c>
      <c r="AH3280" s="2" t="str">
        <f ca="1"/>
        <v>OK</v>
      </c>
    </row>
    <row r="3281" spans="2:34" x14ac:dyDescent="0.2">
      <c r="B3281" s="2">
        <f ca="1"/>
        <v>0.17023090109612604</v>
      </c>
      <c r="O3281" s="2">
        <f ca="1"/>
        <v>1.0648075219993776</v>
      </c>
      <c r="X3281" s="2">
        <f ca="1"/>
        <v>37.939784123716663</v>
      </c>
      <c r="AG3281" s="2">
        <f ca="1"/>
        <v>0.56973542071773853</v>
      </c>
      <c r="AH3281" s="2" t="str">
        <f ca="1"/>
        <v>Bad</v>
      </c>
    </row>
    <row r="3282" spans="2:34" x14ac:dyDescent="0.2">
      <c r="B3282" s="2">
        <f ca="1"/>
        <v>0.92484436022892669</v>
      </c>
      <c r="O3282" s="2">
        <f ca="1"/>
        <v>-0.28740342455802326</v>
      </c>
      <c r="X3282" s="2">
        <f ca="1"/>
        <v>39.309863704746</v>
      </c>
      <c r="AG3282" s="2">
        <f ca="1"/>
        <v>0.64946973405881114</v>
      </c>
      <c r="AH3282" s="2" t="str">
        <f ca="1"/>
        <v>Bad</v>
      </c>
    </row>
    <row r="3283" spans="2:34" x14ac:dyDescent="0.2">
      <c r="B3283" s="2">
        <f ca="1"/>
        <v>0.4699190594713909</v>
      </c>
      <c r="O3283" s="2">
        <f ca="1"/>
        <v>-1.6616023296417048</v>
      </c>
      <c r="X3283" s="2">
        <f ca="1"/>
        <v>89.911224181589304</v>
      </c>
      <c r="AG3283" s="2">
        <f ca="1"/>
        <v>0.72863966567910499</v>
      </c>
      <c r="AH3283" s="2" t="str">
        <f ca="1"/>
        <v>Bad</v>
      </c>
    </row>
    <row r="3284" spans="2:34" x14ac:dyDescent="0.2">
      <c r="B3284" s="2">
        <f ca="1"/>
        <v>0.25845055066430334</v>
      </c>
      <c r="O3284" s="2">
        <f ca="1"/>
        <v>-0.75469753864761113</v>
      </c>
      <c r="X3284" s="2">
        <f ca="1"/>
        <v>35.856886509600578</v>
      </c>
      <c r="AG3284" s="2">
        <f ca="1"/>
        <v>0.94996552520407307</v>
      </c>
      <c r="AH3284" s="2" t="str">
        <f ca="1"/>
        <v>Bad</v>
      </c>
    </row>
    <row r="3285" spans="2:34" x14ac:dyDescent="0.2">
      <c r="B3285" s="2">
        <f ca="1"/>
        <v>0.19323082725571283</v>
      </c>
      <c r="O3285" s="2">
        <f ca="1"/>
        <v>-1.3520421913488729</v>
      </c>
      <c r="X3285" s="2">
        <f ca="1"/>
        <v>55.932336579057072</v>
      </c>
      <c r="AG3285" s="2">
        <f ca="1"/>
        <v>0.29413346605692503</v>
      </c>
      <c r="AH3285" s="2" t="str">
        <f ca="1"/>
        <v>OK</v>
      </c>
    </row>
    <row r="3286" spans="2:34" x14ac:dyDescent="0.2">
      <c r="B3286" s="2">
        <f ca="1"/>
        <v>0.59465579621612785</v>
      </c>
      <c r="O3286" s="2">
        <f ca="1"/>
        <v>0.84514712774722156</v>
      </c>
      <c r="X3286" s="2">
        <f ca="1"/>
        <v>49.074260060700432</v>
      </c>
      <c r="AG3286" s="2">
        <f ca="1"/>
        <v>0.82792207411442176</v>
      </c>
      <c r="AH3286" s="2" t="str">
        <f ca="1"/>
        <v>Bad</v>
      </c>
    </row>
    <row r="3287" spans="2:34" x14ac:dyDescent="0.2">
      <c r="B3287" s="2">
        <f ca="1"/>
        <v>0.28329312775297466</v>
      </c>
      <c r="O3287" s="2">
        <f ca="1"/>
        <v>-1.4811153052110959</v>
      </c>
      <c r="X3287" s="2">
        <f ca="1"/>
        <v>64.246019721462858</v>
      </c>
      <c r="AG3287" s="2">
        <f ca="1"/>
        <v>0.77679236935955931</v>
      </c>
      <c r="AH3287" s="2" t="str">
        <f ca="1"/>
        <v>Bad</v>
      </c>
    </row>
    <row r="3288" spans="2:34" x14ac:dyDescent="0.2">
      <c r="B3288" s="2">
        <f ca="1"/>
        <v>0.99499345245695414</v>
      </c>
      <c r="O3288" s="2">
        <f ca="1"/>
        <v>0.39665245585036735</v>
      </c>
      <c r="X3288" s="2">
        <f ca="1"/>
        <v>82.195389067650211</v>
      </c>
      <c r="AG3288" s="2">
        <f ca="1"/>
        <v>4.7733709066842156E-2</v>
      </c>
      <c r="AH3288" s="2" t="str">
        <f ca="1"/>
        <v>Good</v>
      </c>
    </row>
    <row r="3289" spans="2:34" x14ac:dyDescent="0.2">
      <c r="B3289" s="2">
        <f ca="1"/>
        <v>0.66787323323645542</v>
      </c>
      <c r="O3289" s="2">
        <f ca="1"/>
        <v>-0.17262808554091363</v>
      </c>
      <c r="X3289" s="2">
        <f ca="1"/>
        <v>73.260076447664133</v>
      </c>
      <c r="AG3289" s="2">
        <f ca="1"/>
        <v>0.27731400063025635</v>
      </c>
      <c r="AH3289" s="2" t="str">
        <f ca="1"/>
        <v>OK</v>
      </c>
    </row>
    <row r="3290" spans="2:34" x14ac:dyDescent="0.2">
      <c r="B3290" s="2">
        <f ca="1"/>
        <v>0.16285364306224581</v>
      </c>
      <c r="O3290" s="2">
        <f ca="1"/>
        <v>1.7190424117049028</v>
      </c>
      <c r="X3290" s="2">
        <f ca="1"/>
        <v>35.673860474452212</v>
      </c>
      <c r="AG3290" s="2">
        <f ca="1"/>
        <v>0.29992899396551875</v>
      </c>
      <c r="AH3290" s="2" t="str">
        <f ca="1"/>
        <v>OK</v>
      </c>
    </row>
    <row r="3291" spans="2:34" x14ac:dyDescent="0.2">
      <c r="B3291" s="2">
        <f ca="1"/>
        <v>0.4144072420928655</v>
      </c>
      <c r="O3291" s="2">
        <f ca="1"/>
        <v>-0.24671770530196949</v>
      </c>
      <c r="X3291" s="2">
        <f ca="1"/>
        <v>37.516495029530375</v>
      </c>
      <c r="AG3291" s="2">
        <f ca="1"/>
        <v>0.87473604318320608</v>
      </c>
      <c r="AH3291" s="2" t="str">
        <f ca="1"/>
        <v>Bad</v>
      </c>
    </row>
    <row r="3292" spans="2:34" x14ac:dyDescent="0.2">
      <c r="B3292" s="2">
        <f ca="1"/>
        <v>6.6716933049833171E-2</v>
      </c>
      <c r="O3292" s="2">
        <f ca="1"/>
        <v>8.5300232910157189E-2</v>
      </c>
      <c r="X3292" s="2">
        <f ca="1"/>
        <v>27.324380805169007</v>
      </c>
      <c r="AG3292" s="2">
        <f ca="1"/>
        <v>0.67232899531378321</v>
      </c>
      <c r="AH3292" s="2" t="str">
        <f ca="1"/>
        <v>Bad</v>
      </c>
    </row>
    <row r="3293" spans="2:34" x14ac:dyDescent="0.2">
      <c r="B3293" s="2">
        <f ca="1"/>
        <v>0.78113643764643426</v>
      </c>
      <c r="O3293" s="2">
        <f ca="1"/>
        <v>0.75667365208195869</v>
      </c>
      <c r="X3293" s="2">
        <f ca="1"/>
        <v>50.513248942024553</v>
      </c>
      <c r="AG3293" s="2">
        <f ca="1"/>
        <v>0.50266665966755619</v>
      </c>
      <c r="AH3293" s="2" t="str">
        <f ca="1"/>
        <v>Bad</v>
      </c>
    </row>
    <row r="3294" spans="2:34" x14ac:dyDescent="0.2">
      <c r="B3294" s="2">
        <f ca="1"/>
        <v>0.42655828884097402</v>
      </c>
      <c r="O3294" s="2">
        <f ca="1"/>
        <v>-0.71435109127722196</v>
      </c>
      <c r="X3294" s="2">
        <f ca="1"/>
        <v>43.105027458228349</v>
      </c>
      <c r="AG3294" s="2">
        <f ca="1"/>
        <v>0.22722479089191006</v>
      </c>
      <c r="AH3294" s="2" t="str">
        <f ca="1"/>
        <v>OK</v>
      </c>
    </row>
    <row r="3295" spans="2:34" x14ac:dyDescent="0.2">
      <c r="B3295" s="2">
        <f ca="1"/>
        <v>0.81672785011556237</v>
      </c>
      <c r="O3295" s="2">
        <f ca="1"/>
        <v>1.6471132280202709</v>
      </c>
      <c r="X3295" s="2">
        <f ca="1"/>
        <v>37.16822857332329</v>
      </c>
      <c r="AG3295" s="2">
        <f ca="1"/>
        <v>0.58735200657581221</v>
      </c>
      <c r="AH3295" s="2" t="str">
        <f ca="1"/>
        <v>Bad</v>
      </c>
    </row>
    <row r="3296" spans="2:34" x14ac:dyDescent="0.2">
      <c r="B3296" s="2">
        <f ca="1"/>
        <v>5.463355691298255E-2</v>
      </c>
      <c r="O3296" s="2">
        <f ca="1"/>
        <v>-1.3863329106739171</v>
      </c>
      <c r="X3296" s="2">
        <f ca="1"/>
        <v>60.12896686732357</v>
      </c>
      <c r="AG3296" s="2">
        <f ca="1"/>
        <v>0.42984383728960318</v>
      </c>
      <c r="AH3296" s="2" t="str">
        <f ca="1"/>
        <v>Bad</v>
      </c>
    </row>
    <row r="3297" spans="2:34" x14ac:dyDescent="0.2">
      <c r="B3297" s="2">
        <f ca="1"/>
        <v>0.3306464167361205</v>
      </c>
      <c r="O3297" s="2">
        <f ca="1"/>
        <v>1.9304055679855101</v>
      </c>
      <c r="X3297" s="2">
        <f ca="1"/>
        <v>35.537286931247465</v>
      </c>
      <c r="AG3297" s="2">
        <f ca="1"/>
        <v>0.44197256737735757</v>
      </c>
      <c r="AH3297" s="2" t="str">
        <f ca="1"/>
        <v>Bad</v>
      </c>
    </row>
    <row r="3298" spans="2:34" x14ac:dyDescent="0.2">
      <c r="B3298" s="2">
        <f ca="1"/>
        <v>5.7739629094164968E-2</v>
      </c>
      <c r="O3298" s="2">
        <f ca="1"/>
        <v>2.5770561602309119</v>
      </c>
      <c r="X3298" s="2">
        <f ca="1"/>
        <v>62.080518821451548</v>
      </c>
      <c r="AG3298" s="2">
        <f ca="1"/>
        <v>0.39015710104882828</v>
      </c>
      <c r="AH3298" s="2" t="str">
        <f ca="1"/>
        <v>OK</v>
      </c>
    </row>
    <row r="3299" spans="2:34" x14ac:dyDescent="0.2">
      <c r="B3299" s="2">
        <f ca="1"/>
        <v>0.84769186887561498</v>
      </c>
      <c r="O3299" s="2">
        <f ca="1"/>
        <v>-1.5170876644952096</v>
      </c>
      <c r="X3299" s="2">
        <f ca="1"/>
        <v>65.277763190520687</v>
      </c>
      <c r="AG3299" s="2">
        <f ca="1"/>
        <v>0.18818622285608977</v>
      </c>
      <c r="AH3299" s="2" t="str">
        <f ca="1"/>
        <v>OK</v>
      </c>
    </row>
    <row r="3300" spans="2:34" x14ac:dyDescent="0.2">
      <c r="B3300" s="2">
        <f ca="1"/>
        <v>0.65848355909688494</v>
      </c>
      <c r="O3300" s="2">
        <f ca="1"/>
        <v>0.21411054878597746</v>
      </c>
      <c r="X3300" s="2">
        <f ca="1"/>
        <v>39.350836761220471</v>
      </c>
      <c r="AG3300" s="2">
        <f ca="1"/>
        <v>1.1780658435678548E-2</v>
      </c>
      <c r="AH3300" s="2" t="str">
        <f ca="1"/>
        <v>Good</v>
      </c>
    </row>
    <row r="3301" spans="2:34" x14ac:dyDescent="0.2">
      <c r="B3301" s="2">
        <f ca="1"/>
        <v>0.23964701138542477</v>
      </c>
      <c r="O3301" s="2">
        <f ca="1"/>
        <v>-0.7079625536171309</v>
      </c>
      <c r="X3301" s="2">
        <f ca="1"/>
        <v>45.062571086777169</v>
      </c>
      <c r="AG3301" s="2">
        <f ca="1"/>
        <v>0.14699862678762288</v>
      </c>
      <c r="AH3301" s="2" t="str">
        <f ca="1"/>
        <v>OK</v>
      </c>
    </row>
    <row r="3302" spans="2:34" x14ac:dyDescent="0.2">
      <c r="B3302" s="2">
        <f ca="1"/>
        <v>0.25616725728237122</v>
      </c>
      <c r="O3302" s="2">
        <f ca="1"/>
        <v>-1.3251436490671895</v>
      </c>
      <c r="X3302" s="2">
        <f ca="1"/>
        <v>52.298824091342901</v>
      </c>
      <c r="AG3302" s="2">
        <f ca="1"/>
        <v>0.68865076152336102</v>
      </c>
      <c r="AH3302" s="2" t="str">
        <f ca="1"/>
        <v>Bad</v>
      </c>
    </row>
    <row r="3303" spans="2:34" x14ac:dyDescent="0.2">
      <c r="B3303" s="2">
        <f ca="1"/>
        <v>0.67539862603152323</v>
      </c>
      <c r="O3303" s="2">
        <f ca="1"/>
        <v>-0.82935120587876088</v>
      </c>
      <c r="X3303" s="2">
        <f ca="1"/>
        <v>30.488964588061734</v>
      </c>
      <c r="AG3303" s="2">
        <f ca="1"/>
        <v>0.24084957208161062</v>
      </c>
      <c r="AH3303" s="2" t="str">
        <f ca="1"/>
        <v>OK</v>
      </c>
    </row>
    <row r="3304" spans="2:34" x14ac:dyDescent="0.2">
      <c r="B3304" s="2">
        <f ca="1"/>
        <v>3.4842606335834247E-2</v>
      </c>
      <c r="O3304" s="2">
        <f ca="1"/>
        <v>0.30604800184056907</v>
      </c>
      <c r="X3304" s="2">
        <f ca="1"/>
        <v>80.575506401671191</v>
      </c>
      <c r="AG3304" s="2">
        <f ca="1"/>
        <v>0.75808253909355927</v>
      </c>
      <c r="AH3304" s="2" t="str">
        <f ca="1"/>
        <v>Bad</v>
      </c>
    </row>
    <row r="3305" spans="2:34" x14ac:dyDescent="0.2">
      <c r="B3305" s="2">
        <f ca="1"/>
        <v>0.41158602618763629</v>
      </c>
      <c r="O3305" s="2">
        <f ca="1"/>
        <v>-0.11432744187019521</v>
      </c>
      <c r="X3305" s="2">
        <f ca="1"/>
        <v>90.501714293487396</v>
      </c>
      <c r="AG3305" s="2">
        <f ca="1"/>
        <v>4.0163002553458504E-2</v>
      </c>
      <c r="AH3305" s="2" t="str">
        <f ca="1"/>
        <v>Good</v>
      </c>
    </row>
    <row r="3306" spans="2:34" x14ac:dyDescent="0.2">
      <c r="B3306" s="2">
        <f ca="1"/>
        <v>0.83751377348878742</v>
      </c>
      <c r="O3306" s="2">
        <f ca="1"/>
        <v>-0.43498928530971881</v>
      </c>
      <c r="X3306" s="2">
        <f ca="1"/>
        <v>46.217232493220052</v>
      </c>
      <c r="AG3306" s="2">
        <f ca="1"/>
        <v>0.46013575895240666</v>
      </c>
      <c r="AH3306" s="2" t="str">
        <f ca="1"/>
        <v>Bad</v>
      </c>
    </row>
    <row r="3307" spans="2:34" x14ac:dyDescent="0.2">
      <c r="B3307" s="2">
        <f ca="1"/>
        <v>0.49671408118204341</v>
      </c>
      <c r="O3307" s="2">
        <f ca="1"/>
        <v>-1.5357307217251999</v>
      </c>
      <c r="X3307" s="2">
        <f ca="1"/>
        <v>40.655508482998869</v>
      </c>
      <c r="AG3307" s="2">
        <f ca="1"/>
        <v>0.11765041667715503</v>
      </c>
      <c r="AH3307" s="2" t="str">
        <f ca="1"/>
        <v>OK</v>
      </c>
    </row>
    <row r="3308" spans="2:34" x14ac:dyDescent="0.2">
      <c r="B3308" s="2">
        <f ca="1"/>
        <v>6.1486506731496693E-2</v>
      </c>
      <c r="O3308" s="2">
        <f ca="1"/>
        <v>-1.3562537555521887</v>
      </c>
      <c r="X3308" s="2">
        <f ca="1"/>
        <v>38.879054604284619</v>
      </c>
      <c r="AG3308" s="2">
        <f ca="1"/>
        <v>0.47727081591121134</v>
      </c>
      <c r="AH3308" s="2" t="str">
        <f ca="1"/>
        <v>Bad</v>
      </c>
    </row>
    <row r="3309" spans="2:34" x14ac:dyDescent="0.2">
      <c r="B3309" s="2">
        <f ca="1"/>
        <v>0.10289712268278839</v>
      </c>
      <c r="O3309" s="2">
        <f ca="1"/>
        <v>-0.99634890810791488</v>
      </c>
      <c r="X3309" s="2">
        <f ca="1"/>
        <v>57.39549442137708</v>
      </c>
      <c r="AG3309" s="2">
        <f ca="1"/>
        <v>8.2193415308112527E-2</v>
      </c>
      <c r="AH3309" s="2" t="str">
        <f ca="1"/>
        <v>OK</v>
      </c>
    </row>
    <row r="3310" spans="2:34" x14ac:dyDescent="0.2">
      <c r="B3310" s="2">
        <f ca="1"/>
        <v>0.49070232063988328</v>
      </c>
      <c r="O3310" s="2">
        <f ca="1"/>
        <v>-0.32189931506335129</v>
      </c>
      <c r="X3310" s="2">
        <f ca="1"/>
        <v>52.218213663975817</v>
      </c>
      <c r="AG3310" s="2">
        <f ca="1"/>
        <v>0.5770744472598881</v>
      </c>
      <c r="AH3310" s="2" t="str">
        <f ca="1"/>
        <v>Bad</v>
      </c>
    </row>
    <row r="3311" spans="2:34" x14ac:dyDescent="0.2">
      <c r="B3311" s="2">
        <f ca="1"/>
        <v>0.11804113689827855</v>
      </c>
      <c r="O3311" s="2">
        <f ca="1"/>
        <v>0.36094743901157839</v>
      </c>
      <c r="X3311" s="2">
        <f ca="1"/>
        <v>58.252927237998549</v>
      </c>
      <c r="AG3311" s="2">
        <f ca="1"/>
        <v>4.5901387328055154E-2</v>
      </c>
      <c r="AH3311" s="2" t="str">
        <f ca="1"/>
        <v>Good</v>
      </c>
    </row>
    <row r="3312" spans="2:34" x14ac:dyDescent="0.2">
      <c r="B3312" s="2">
        <f ca="1"/>
        <v>0.17342247121893184</v>
      </c>
      <c r="O3312" s="2">
        <f ca="1"/>
        <v>-5.5409705405338627E-2</v>
      </c>
      <c r="X3312" s="2">
        <f ca="1"/>
        <v>45.968631596915799</v>
      </c>
      <c r="AG3312" s="2">
        <f ca="1"/>
        <v>0.70986648836705091</v>
      </c>
      <c r="AH3312" s="2" t="str">
        <f ca="1"/>
        <v>Bad</v>
      </c>
    </row>
    <row r="3313" spans="2:34" x14ac:dyDescent="0.2">
      <c r="B3313" s="2">
        <f ca="1"/>
        <v>0.43999811889171014</v>
      </c>
      <c r="O3313" s="2">
        <f ca="1"/>
        <v>5.1669188362260997E-2</v>
      </c>
      <c r="X3313" s="2">
        <f ca="1"/>
        <v>48.117594227171132</v>
      </c>
      <c r="AG3313" s="2">
        <f ca="1"/>
        <v>0.87228921840383533</v>
      </c>
      <c r="AH3313" s="2" t="str">
        <f ca="1"/>
        <v>Bad</v>
      </c>
    </row>
    <row r="3314" spans="2:34" x14ac:dyDescent="0.2">
      <c r="B3314" s="2">
        <f ca="1"/>
        <v>0.52380650496621772</v>
      </c>
      <c r="O3314" s="2">
        <f ca="1"/>
        <v>0.42891996225197526</v>
      </c>
      <c r="X3314" s="2">
        <f ca="1"/>
        <v>59.480674783544274</v>
      </c>
      <c r="AG3314" s="2">
        <f ca="1"/>
        <v>0.66342562519587589</v>
      </c>
      <c r="AH3314" s="2" t="str">
        <f ca="1"/>
        <v>Bad</v>
      </c>
    </row>
    <row r="3315" spans="2:34" x14ac:dyDescent="0.2">
      <c r="B3315" s="2">
        <f ca="1"/>
        <v>0.77882018467600278</v>
      </c>
      <c r="O3315" s="2">
        <f ca="1"/>
        <v>-0.63283611182480337</v>
      </c>
      <c r="X3315" s="2">
        <f ca="1"/>
        <v>55.402199419418928</v>
      </c>
      <c r="AG3315" s="2">
        <f ca="1"/>
        <v>0.59620876440898996</v>
      </c>
      <c r="AH3315" s="2" t="str">
        <f ca="1"/>
        <v>Bad</v>
      </c>
    </row>
    <row r="3316" spans="2:34" x14ac:dyDescent="0.2">
      <c r="B3316" s="2">
        <f ca="1"/>
        <v>0.57397330058988016</v>
      </c>
      <c r="O3316" s="2">
        <f ca="1"/>
        <v>0.14707262763991527</v>
      </c>
      <c r="X3316" s="2">
        <f ca="1"/>
        <v>64.319225686358863</v>
      </c>
      <c r="AG3316" s="2">
        <f ca="1"/>
        <v>0.39519901993988049</v>
      </c>
      <c r="AH3316" s="2" t="str">
        <f ca="1"/>
        <v>OK</v>
      </c>
    </row>
    <row r="3317" spans="2:34" x14ac:dyDescent="0.2">
      <c r="B3317" s="2">
        <f ca="1"/>
        <v>0.8067961129891239</v>
      </c>
      <c r="O3317" s="2">
        <f ca="1"/>
        <v>0.58178532063839916</v>
      </c>
      <c r="X3317" s="2">
        <f ca="1"/>
        <v>66.821837758323412</v>
      </c>
      <c r="AG3317" s="2">
        <f ca="1"/>
        <v>0.99477608532584583</v>
      </c>
      <c r="AH3317" s="2" t="str">
        <f ca="1"/>
        <v>Bad</v>
      </c>
    </row>
    <row r="3318" spans="2:34" x14ac:dyDescent="0.2">
      <c r="B3318" s="2">
        <f ca="1"/>
        <v>0.33503640663246936</v>
      </c>
      <c r="O3318" s="2">
        <f ca="1"/>
        <v>-0.54625065937254647</v>
      </c>
      <c r="X3318" s="2">
        <f ca="1"/>
        <v>39.580345783529978</v>
      </c>
      <c r="AG3318" s="2">
        <f ca="1"/>
        <v>2.0008510105890442E-2</v>
      </c>
      <c r="AH3318" s="2" t="str">
        <f ca="1"/>
        <v>Good</v>
      </c>
    </row>
    <row r="3319" spans="2:34" x14ac:dyDescent="0.2">
      <c r="B3319" s="2">
        <f ca="1"/>
        <v>2.3853064587938677E-2</v>
      </c>
      <c r="O3319" s="2">
        <f ca="1"/>
        <v>-0.33297326327956855</v>
      </c>
      <c r="X3319" s="2">
        <f ca="1"/>
        <v>84.512923825268672</v>
      </c>
      <c r="AG3319" s="2">
        <f ca="1"/>
        <v>0.24693961871292025</v>
      </c>
      <c r="AH3319" s="2" t="str">
        <f ca="1"/>
        <v>OK</v>
      </c>
    </row>
    <row r="3320" spans="2:34" x14ac:dyDescent="0.2">
      <c r="B3320" s="2">
        <f ca="1"/>
        <v>0.79439438958621778</v>
      </c>
      <c r="O3320" s="2">
        <f ca="1"/>
        <v>0.50028364626636779</v>
      </c>
      <c r="X3320" s="2">
        <f ca="1"/>
        <v>35.770748583832926</v>
      </c>
      <c r="AG3320" s="2">
        <f ca="1"/>
        <v>0.57112952617981749</v>
      </c>
      <c r="AH3320" s="2" t="str">
        <f ca="1"/>
        <v>Bad</v>
      </c>
    </row>
    <row r="3321" spans="2:34" x14ac:dyDescent="0.2">
      <c r="B3321" s="2">
        <f ca="1"/>
        <v>4.1195676602030051E-2</v>
      </c>
      <c r="O3321" s="2">
        <f ca="1"/>
        <v>0.49214284121917279</v>
      </c>
      <c r="X3321" s="2">
        <f ca="1"/>
        <v>50.918847411658696</v>
      </c>
      <c r="AG3321" s="2">
        <f ca="1"/>
        <v>0.74236038997701925</v>
      </c>
      <c r="AH3321" s="2" t="str">
        <f ca="1"/>
        <v>Bad</v>
      </c>
    </row>
    <row r="3322" spans="2:34" x14ac:dyDescent="0.2">
      <c r="B3322" s="2">
        <f ca="1"/>
        <v>0.74312894678458563</v>
      </c>
      <c r="O3322" s="2">
        <f ca="1"/>
        <v>-6.3463178541719872E-3</v>
      </c>
      <c r="X3322" s="2">
        <f ca="1"/>
        <v>45.32018379037163</v>
      </c>
      <c r="AG3322" s="2">
        <f ca="1"/>
        <v>0.18158725220910132</v>
      </c>
      <c r="AH3322" s="2" t="str">
        <f ca="1"/>
        <v>OK</v>
      </c>
    </row>
    <row r="3323" spans="2:34" x14ac:dyDescent="0.2">
      <c r="B3323" s="2">
        <f ca="1"/>
        <v>0.82725233557374067</v>
      </c>
      <c r="O3323" s="2">
        <f ca="1"/>
        <v>-0.14801229412611103</v>
      </c>
      <c r="X3323" s="2">
        <f ca="1"/>
        <v>63.018422642548359</v>
      </c>
      <c r="AG3323" s="2">
        <f ca="1"/>
        <v>0.47167687496544786</v>
      </c>
      <c r="AH3323" s="2" t="str">
        <f ca="1"/>
        <v>Bad</v>
      </c>
    </row>
    <row r="3324" spans="2:34" x14ac:dyDescent="0.2">
      <c r="B3324" s="2">
        <f ca="1"/>
        <v>0.11172274925654113</v>
      </c>
      <c r="O3324" s="2">
        <f ca="1"/>
        <v>2.5267538539534136</v>
      </c>
      <c r="X3324" s="2">
        <f ca="1"/>
        <v>40.266846326152752</v>
      </c>
      <c r="AG3324" s="2">
        <f ca="1"/>
        <v>0.34358065265480575</v>
      </c>
      <c r="AH3324" s="2" t="str">
        <f ca="1"/>
        <v>OK</v>
      </c>
    </row>
    <row r="3325" spans="2:34" x14ac:dyDescent="0.2">
      <c r="B3325" s="2">
        <f ca="1"/>
        <v>2.5515811537883737E-2</v>
      </c>
      <c r="O3325" s="2">
        <f ca="1"/>
        <v>0.784057923168342</v>
      </c>
      <c r="X3325" s="2">
        <f ca="1"/>
        <v>40.48901601691442</v>
      </c>
      <c r="AG3325" s="2">
        <f ca="1"/>
        <v>0.68518265848827586</v>
      </c>
      <c r="AH3325" s="2" t="str">
        <f ca="1"/>
        <v>Bad</v>
      </c>
    </row>
    <row r="3326" spans="2:34" x14ac:dyDescent="0.2">
      <c r="B3326" s="2">
        <f ca="1"/>
        <v>0.11078546456602689</v>
      </c>
      <c r="O3326" s="2">
        <f ca="1"/>
        <v>0.88515735946715302</v>
      </c>
      <c r="X3326" s="2">
        <f ca="1"/>
        <v>65.959580045053798</v>
      </c>
      <c r="AG3326" s="2">
        <f ca="1"/>
        <v>0.23587180954434972</v>
      </c>
      <c r="AH3326" s="2" t="str">
        <f ca="1"/>
        <v>OK</v>
      </c>
    </row>
    <row r="3327" spans="2:34" x14ac:dyDescent="0.2">
      <c r="B3327" s="2">
        <f ca="1"/>
        <v>0.40830032505182312</v>
      </c>
      <c r="O3327" s="2">
        <f ca="1"/>
        <v>0.71925812769489073</v>
      </c>
      <c r="X3327" s="2">
        <f ca="1"/>
        <v>40.808322818205447</v>
      </c>
      <c r="AG3327" s="2">
        <f ca="1"/>
        <v>0.41820106991350081</v>
      </c>
      <c r="AH3327" s="2" t="str">
        <f ca="1"/>
        <v>Bad</v>
      </c>
    </row>
    <row r="3328" spans="2:34" x14ac:dyDescent="0.2">
      <c r="B3328" s="2">
        <f ca="1"/>
        <v>0.88746105581356205</v>
      </c>
      <c r="O3328" s="2">
        <f ca="1"/>
        <v>1.4039350409590281</v>
      </c>
      <c r="X3328" s="2">
        <f ca="1"/>
        <v>70.659948298042551</v>
      </c>
      <c r="AG3328" s="2">
        <f ca="1"/>
        <v>0.87272492916601019</v>
      </c>
      <c r="AH3328" s="2" t="str">
        <f ca="1"/>
        <v>Bad</v>
      </c>
    </row>
    <row r="3329" spans="2:34" x14ac:dyDescent="0.2">
      <c r="B3329" s="2">
        <f ca="1"/>
        <v>0.26988554356249206</v>
      </c>
      <c r="O3329" s="2">
        <f ca="1"/>
        <v>-0.57926362454051938</v>
      </c>
      <c r="X3329" s="2">
        <f ca="1"/>
        <v>45.486992602116459</v>
      </c>
      <c r="AG3329" s="2">
        <f ca="1"/>
        <v>0.85807171239851443</v>
      </c>
      <c r="AH3329" s="2" t="str">
        <f ca="1"/>
        <v>Bad</v>
      </c>
    </row>
    <row r="3330" spans="2:34" x14ac:dyDescent="0.2">
      <c r="B3330" s="2">
        <f ca="1"/>
        <v>0.44970554076211355</v>
      </c>
      <c r="O3330" s="2">
        <f ca="1"/>
        <v>0.77150208475180071</v>
      </c>
      <c r="X3330" s="2">
        <f ca="1"/>
        <v>54.430967068527835</v>
      </c>
      <c r="AG3330" s="2">
        <f ca="1"/>
        <v>0.6379325692607507</v>
      </c>
      <c r="AH3330" s="2" t="str">
        <f ca="1"/>
        <v>Bad</v>
      </c>
    </row>
    <row r="3331" spans="2:34" x14ac:dyDescent="0.2">
      <c r="B3331" s="2">
        <f ca="1"/>
        <v>0.30957512088650652</v>
      </c>
      <c r="O3331" s="2">
        <f ca="1"/>
        <v>0.60218510246675128</v>
      </c>
      <c r="X3331" s="2">
        <f ca="1"/>
        <v>54.282574937694896</v>
      </c>
      <c r="AG3331" s="2">
        <f ca="1"/>
        <v>0.39498720492436412</v>
      </c>
      <c r="AH3331" s="2" t="str">
        <f ca="1"/>
        <v>OK</v>
      </c>
    </row>
    <row r="3332" spans="2:34" x14ac:dyDescent="0.2">
      <c r="B3332" s="2">
        <f ca="1"/>
        <v>0.41979703411161129</v>
      </c>
      <c r="O3332" s="2">
        <f ca="1"/>
        <v>0.76958988690709118</v>
      </c>
      <c r="X3332" s="2">
        <f ca="1"/>
        <v>42.220242243773079</v>
      </c>
      <c r="AG3332" s="2">
        <f ca="1"/>
        <v>0.59150957752538447</v>
      </c>
      <c r="AH3332" s="2" t="str">
        <f ca="1"/>
        <v>Bad</v>
      </c>
    </row>
    <row r="3333" spans="2:34" x14ac:dyDescent="0.2">
      <c r="B3333" s="2">
        <f ca="1"/>
        <v>0.26572333325837194</v>
      </c>
      <c r="O3333" s="2">
        <f ca="1"/>
        <v>3.6714309222823961E-2</v>
      </c>
      <c r="X3333" s="2">
        <f ca="1"/>
        <v>58.454504355005703</v>
      </c>
      <c r="AG3333" s="2">
        <f ca="1"/>
        <v>0.45368195042676263</v>
      </c>
      <c r="AH3333" s="2" t="str">
        <f ca="1"/>
        <v>Bad</v>
      </c>
    </row>
    <row r="3334" spans="2:34" x14ac:dyDescent="0.2">
      <c r="B3334" s="2">
        <f ca="1"/>
        <v>0.37851685482615194</v>
      </c>
      <c r="O3334" s="2">
        <f ca="1"/>
        <v>0.41672151798813706</v>
      </c>
      <c r="X3334" s="2">
        <f ca="1"/>
        <v>59.448261760717344</v>
      </c>
      <c r="AG3334" s="2">
        <f ca="1"/>
        <v>0.71939726701106332</v>
      </c>
      <c r="AH3334" s="2" t="str">
        <f ca="1"/>
        <v>Bad</v>
      </c>
    </row>
    <row r="3335" spans="2:34" x14ac:dyDescent="0.2">
      <c r="B3335" s="2">
        <f ca="1"/>
        <v>0.90841223798375559</v>
      </c>
      <c r="O3335" s="2">
        <f ca="1"/>
        <v>0.1781601668574293</v>
      </c>
      <c r="X3335" s="2">
        <f ca="1"/>
        <v>47.468904355471253</v>
      </c>
      <c r="AG3335" s="2">
        <f ca="1"/>
        <v>0.2192044236463806</v>
      </c>
      <c r="AH3335" s="2" t="str">
        <f ca="1"/>
        <v>OK</v>
      </c>
    </row>
    <row r="3336" spans="2:34" x14ac:dyDescent="0.2">
      <c r="B3336" s="2">
        <f ca="1"/>
        <v>5.0429541490575325E-2</v>
      </c>
      <c r="O3336" s="2">
        <f ca="1"/>
        <v>-1.4360083424993577</v>
      </c>
      <c r="X3336" s="2">
        <f ca="1"/>
        <v>58.541992067614856</v>
      </c>
      <c r="AG3336" s="2">
        <f ca="1"/>
        <v>0.25015881740688761</v>
      </c>
      <c r="AH3336" s="2" t="str">
        <f ca="1"/>
        <v>OK</v>
      </c>
    </row>
    <row r="3337" spans="2:34" x14ac:dyDescent="0.2">
      <c r="B3337" s="2">
        <f ca="1"/>
        <v>0.44443891379489631</v>
      </c>
      <c r="O3337" s="2">
        <f ca="1"/>
        <v>1.7618142877799328</v>
      </c>
      <c r="X3337" s="2">
        <f ca="1"/>
        <v>55.835446623156685</v>
      </c>
      <c r="AG3337" s="2">
        <f ca="1"/>
        <v>0.46765115906135168</v>
      </c>
      <c r="AH3337" s="2" t="str">
        <f ca="1"/>
        <v>Bad</v>
      </c>
    </row>
    <row r="3338" spans="2:34" x14ac:dyDescent="0.2">
      <c r="B3338" s="2">
        <f ca="1"/>
        <v>0.28317403018783538</v>
      </c>
      <c r="O3338" s="2">
        <f ca="1"/>
        <v>-0.7462605172452843</v>
      </c>
      <c r="X3338" s="2">
        <f ca="1"/>
        <v>48.886751335009926</v>
      </c>
      <c r="AG3338" s="2">
        <f ca="1"/>
        <v>0.12343303773074665</v>
      </c>
      <c r="AH3338" s="2" t="str">
        <f ca="1"/>
        <v>OK</v>
      </c>
    </row>
    <row r="3339" spans="2:34" x14ac:dyDescent="0.2">
      <c r="B3339" s="2">
        <f ca="1"/>
        <v>0.13682526591520139</v>
      </c>
      <c r="O3339" s="2">
        <f ca="1"/>
        <v>-0.22816345547041572</v>
      </c>
      <c r="X3339" s="2">
        <f ca="1"/>
        <v>27.980672593076385</v>
      </c>
      <c r="AG3339" s="2">
        <f ca="1"/>
        <v>3.3457682637903829E-2</v>
      </c>
      <c r="AH3339" s="2" t="str">
        <f ca="1"/>
        <v>Good</v>
      </c>
    </row>
    <row r="3340" spans="2:34" x14ac:dyDescent="0.2">
      <c r="B3340" s="2">
        <f ca="1"/>
        <v>0.16873491095403947</v>
      </c>
      <c r="O3340" s="2">
        <f ca="1"/>
        <v>-0.89980291338207807</v>
      </c>
      <c r="X3340" s="2">
        <f ca="1"/>
        <v>61.234069262810678</v>
      </c>
      <c r="AG3340" s="2">
        <f ca="1"/>
        <v>0.9161148988074872</v>
      </c>
      <c r="AH3340" s="2" t="str">
        <f ca="1"/>
        <v>Bad</v>
      </c>
    </row>
    <row r="3341" spans="2:34" x14ac:dyDescent="0.2">
      <c r="B3341" s="2">
        <f ca="1"/>
        <v>0.8012634287005711</v>
      </c>
      <c r="O3341" s="2">
        <f ca="1"/>
        <v>-1.3126770353698218</v>
      </c>
      <c r="X3341" s="2">
        <f ca="1"/>
        <v>40.496320173593659</v>
      </c>
      <c r="AG3341" s="2">
        <f ca="1"/>
        <v>0.88544463978254706</v>
      </c>
      <c r="AH3341" s="2" t="str">
        <f ca="1"/>
        <v>Bad</v>
      </c>
    </row>
    <row r="3342" spans="2:34" x14ac:dyDescent="0.2">
      <c r="B3342" s="2">
        <f ca="1"/>
        <v>0.96533534899077544</v>
      </c>
      <c r="O3342" s="2">
        <f ca="1"/>
        <v>-0.89977785332329341</v>
      </c>
      <c r="X3342" s="2">
        <f ca="1"/>
        <v>49.698993437615535</v>
      </c>
      <c r="AG3342" s="2">
        <f ca="1"/>
        <v>0.43544449820345643</v>
      </c>
      <c r="AH3342" s="2" t="str">
        <f ca="1"/>
        <v>Bad</v>
      </c>
    </row>
    <row r="3343" spans="2:34" x14ac:dyDescent="0.2">
      <c r="B3343" s="2">
        <f ca="1"/>
        <v>0.25779222736873098</v>
      </c>
      <c r="O3343" s="2">
        <f ca="1"/>
        <v>1.2379721159552557</v>
      </c>
      <c r="X3343" s="2">
        <f ca="1"/>
        <v>27.172791888664285</v>
      </c>
      <c r="AG3343" s="2">
        <f ca="1"/>
        <v>0.16961259274720386</v>
      </c>
      <c r="AH3343" s="2" t="str">
        <f ca="1"/>
        <v>OK</v>
      </c>
    </row>
    <row r="3344" spans="2:34" x14ac:dyDescent="0.2">
      <c r="B3344" s="2">
        <f ca="1"/>
        <v>3.6735976552126903E-3</v>
      </c>
      <c r="O3344" s="2">
        <f ca="1"/>
        <v>1.4069614205813046</v>
      </c>
      <c r="X3344" s="2">
        <f ca="1"/>
        <v>52.175435661104558</v>
      </c>
      <c r="AG3344" s="2">
        <f ca="1"/>
        <v>0.84231661514757583</v>
      </c>
      <c r="AH3344" s="2" t="str">
        <f ca="1"/>
        <v>Bad</v>
      </c>
    </row>
    <row r="3345" spans="2:34" x14ac:dyDescent="0.2">
      <c r="B3345" s="2">
        <f ca="1"/>
        <v>0.6098001525979575</v>
      </c>
      <c r="O3345" s="2">
        <f ca="1"/>
        <v>1.6529165892338054</v>
      </c>
      <c r="X3345" s="2">
        <f ca="1"/>
        <v>36.612013402770373</v>
      </c>
      <c r="AG3345" s="2">
        <f ca="1"/>
        <v>0.57501963795447297</v>
      </c>
      <c r="AH3345" s="2" t="str">
        <f ca="1"/>
        <v>Bad</v>
      </c>
    </row>
    <row r="3346" spans="2:34" x14ac:dyDescent="0.2">
      <c r="B3346" s="2">
        <f ca="1"/>
        <v>3.8062775089642287E-3</v>
      </c>
      <c r="O3346" s="2">
        <f ca="1"/>
        <v>0.89083370063592637</v>
      </c>
      <c r="X3346" s="2">
        <f ca="1"/>
        <v>54.069896293422055</v>
      </c>
      <c r="AG3346" s="2">
        <f ca="1"/>
        <v>0.61147943333781152</v>
      </c>
      <c r="AH3346" s="2" t="str">
        <f ca="1"/>
        <v>Bad</v>
      </c>
    </row>
    <row r="3347" spans="2:34" x14ac:dyDescent="0.2">
      <c r="B3347" s="2">
        <f ca="1"/>
        <v>0.40350826554750485</v>
      </c>
      <c r="O3347" s="2">
        <f ca="1"/>
        <v>-1.1560230726517037E-2</v>
      </c>
      <c r="X3347" s="2">
        <f ca="1"/>
        <v>39.205933636329242</v>
      </c>
      <c r="AG3347" s="2">
        <f ca="1"/>
        <v>0.728139641964898</v>
      </c>
      <c r="AH3347" s="2" t="str">
        <f ca="1"/>
        <v>Bad</v>
      </c>
    </row>
    <row r="3348" spans="2:34" x14ac:dyDescent="0.2">
      <c r="B3348" s="2">
        <f ca="1"/>
        <v>9.7148961323867411E-4</v>
      </c>
      <c r="O3348" s="2">
        <f ca="1"/>
        <v>0.17022559463496392</v>
      </c>
      <c r="X3348" s="2">
        <f ca="1"/>
        <v>47.952615100766316</v>
      </c>
      <c r="AG3348" s="2">
        <f ca="1"/>
        <v>0.50679629127308212</v>
      </c>
      <c r="AH3348" s="2" t="str">
        <f ca="1"/>
        <v>Bad</v>
      </c>
    </row>
    <row r="3349" spans="2:34" x14ac:dyDescent="0.2">
      <c r="B3349" s="2">
        <f ca="1"/>
        <v>0.54240439927710837</v>
      </c>
      <c r="O3349" s="2">
        <f ca="1"/>
        <v>-0.9558996363660015</v>
      </c>
      <c r="X3349" s="2">
        <f ca="1"/>
        <v>56.733184671943626</v>
      </c>
      <c r="AG3349" s="2">
        <f ca="1"/>
        <v>0.93218548816992919</v>
      </c>
      <c r="AH3349" s="2" t="str">
        <f ca="1"/>
        <v>Bad</v>
      </c>
    </row>
    <row r="3350" spans="2:34" x14ac:dyDescent="0.2">
      <c r="B3350" s="2">
        <f ca="1"/>
        <v>0.36972669386407886</v>
      </c>
      <c r="O3350" s="2">
        <f ca="1"/>
        <v>0.64500685889974851</v>
      </c>
      <c r="X3350" s="2">
        <f ca="1"/>
        <v>34.517147705416718</v>
      </c>
      <c r="AG3350" s="2">
        <f ca="1"/>
        <v>0.20672607357975359</v>
      </c>
      <c r="AH3350" s="2" t="str">
        <f ca="1"/>
        <v>OK</v>
      </c>
    </row>
    <row r="3351" spans="2:34" x14ac:dyDescent="0.2">
      <c r="B3351" s="2">
        <f ca="1"/>
        <v>0.35213233962211254</v>
      </c>
      <c r="O3351" s="2">
        <f ca="1"/>
        <v>-0.10103917683941673</v>
      </c>
      <c r="X3351" s="2">
        <f ca="1"/>
        <v>49.216989351379581</v>
      </c>
      <c r="AG3351" s="2">
        <f ca="1"/>
        <v>0.17192164702728929</v>
      </c>
      <c r="AH3351" s="2" t="str">
        <f ca="1"/>
        <v>OK</v>
      </c>
    </row>
    <row r="3352" spans="2:34" x14ac:dyDescent="0.2">
      <c r="B3352" s="2">
        <f ca="1"/>
        <v>0.99594358276216965</v>
      </c>
      <c r="O3352" s="2">
        <f ca="1"/>
        <v>-1.9267340400415074</v>
      </c>
      <c r="X3352" s="2">
        <f ca="1"/>
        <v>35.328266355851305</v>
      </c>
      <c r="AG3352" s="2">
        <f ca="1"/>
        <v>0.79728016826382442</v>
      </c>
      <c r="AH3352" s="2" t="str">
        <f ca="1"/>
        <v>Bad</v>
      </c>
    </row>
    <row r="3353" spans="2:34" x14ac:dyDescent="0.2">
      <c r="B3353" s="2">
        <f ca="1"/>
        <v>0.33844347761660187</v>
      </c>
      <c r="O3353" s="2">
        <f ca="1"/>
        <v>-1.1943003051167824</v>
      </c>
      <c r="X3353" s="2">
        <f ca="1"/>
        <v>43.390862269061699</v>
      </c>
      <c r="AG3353" s="2">
        <f ca="1"/>
        <v>0.69491613551632447</v>
      </c>
      <c r="AH3353" s="2" t="str">
        <f ca="1"/>
        <v>Bad</v>
      </c>
    </row>
    <row r="3354" spans="2:34" x14ac:dyDescent="0.2">
      <c r="B3354" s="2">
        <f ca="1"/>
        <v>0.77770335527746681</v>
      </c>
      <c r="O3354" s="2">
        <f ca="1"/>
        <v>-0.78441720164954021</v>
      </c>
      <c r="X3354" s="2">
        <f ca="1"/>
        <v>34.588076435449665</v>
      </c>
      <c r="AG3354" s="2">
        <f ca="1"/>
        <v>0.33561219507734674</v>
      </c>
      <c r="AH3354" s="2" t="str">
        <f ca="1"/>
        <v>OK</v>
      </c>
    </row>
    <row r="3355" spans="2:34" x14ac:dyDescent="0.2">
      <c r="B3355" s="2">
        <f ca="1"/>
        <v>0.98292468187571402</v>
      </c>
      <c r="O3355" s="2">
        <f ca="1"/>
        <v>0.28174529215452915</v>
      </c>
      <c r="X3355" s="2">
        <f ca="1"/>
        <v>18.500126974055977</v>
      </c>
      <c r="AG3355" s="2">
        <f ca="1"/>
        <v>0.69910186108685601</v>
      </c>
      <c r="AH3355" s="2" t="str">
        <f ca="1"/>
        <v>Bad</v>
      </c>
    </row>
    <row r="3356" spans="2:34" x14ac:dyDescent="0.2">
      <c r="B3356" s="2">
        <f ca="1"/>
        <v>0.14389787508985963</v>
      </c>
      <c r="O3356" s="2">
        <f ca="1"/>
        <v>0.7326672453498313</v>
      </c>
      <c r="X3356" s="2">
        <f ca="1"/>
        <v>53.189649538654074</v>
      </c>
      <c r="AG3356" s="2">
        <f ca="1"/>
        <v>0.69358579848100543</v>
      </c>
      <c r="AH3356" s="2" t="str">
        <f ca="1"/>
        <v>Bad</v>
      </c>
    </row>
    <row r="3357" spans="2:34" x14ac:dyDescent="0.2">
      <c r="B3357" s="2">
        <f ca="1"/>
        <v>0.39747573102905731</v>
      </c>
      <c r="O3357" s="2">
        <f ca="1"/>
        <v>-0.11262572407073135</v>
      </c>
      <c r="X3357" s="2">
        <f ca="1"/>
        <v>37.162774193871577</v>
      </c>
      <c r="AG3357" s="2">
        <f ca="1"/>
        <v>0.29757339122256021</v>
      </c>
      <c r="AH3357" s="2" t="str">
        <f ca="1"/>
        <v>OK</v>
      </c>
    </row>
    <row r="3358" spans="2:34" x14ac:dyDescent="0.2">
      <c r="B3358" s="2">
        <f ca="1"/>
        <v>0.95849887835964931</v>
      </c>
      <c r="O3358" s="2">
        <f ca="1"/>
        <v>-0.64329621613421561</v>
      </c>
      <c r="X3358" s="2">
        <f ca="1"/>
        <v>26.062738823419483</v>
      </c>
      <c r="AG3358" s="2">
        <f ca="1"/>
        <v>0.41877690162620684</v>
      </c>
      <c r="AH3358" s="2" t="str">
        <f ca="1"/>
        <v>Bad</v>
      </c>
    </row>
    <row r="3359" spans="2:34" x14ac:dyDescent="0.2">
      <c r="B3359" s="2">
        <f ca="1"/>
        <v>0.28724021686414236</v>
      </c>
      <c r="O3359" s="2">
        <f ca="1"/>
        <v>0.51674635950565284</v>
      </c>
      <c r="X3359" s="2">
        <f ca="1"/>
        <v>29.071011826045957</v>
      </c>
      <c r="AG3359" s="2">
        <f ca="1"/>
        <v>0.33998145165884663</v>
      </c>
      <c r="AH3359" s="2" t="str">
        <f ca="1"/>
        <v>OK</v>
      </c>
    </row>
    <row r="3360" spans="2:34" x14ac:dyDescent="0.2">
      <c r="B3360" s="2">
        <f ca="1"/>
        <v>0.15723941836240951</v>
      </c>
      <c r="O3360" s="2">
        <f ca="1"/>
        <v>-0.35588981522853164</v>
      </c>
      <c r="X3360" s="2">
        <f ca="1"/>
        <v>48.033404552236192</v>
      </c>
      <c r="AG3360" s="2">
        <f ca="1"/>
        <v>0.75721859215968279</v>
      </c>
      <c r="AH3360" s="2" t="str">
        <f ca="1"/>
        <v>Bad</v>
      </c>
    </row>
    <row r="3361" spans="2:34" x14ac:dyDescent="0.2">
      <c r="B3361" s="2">
        <f ca="1"/>
        <v>1.5287515771151172E-2</v>
      </c>
      <c r="O3361" s="2">
        <f ca="1"/>
        <v>-0.77238611290944226</v>
      </c>
      <c r="X3361" s="2">
        <f ca="1"/>
        <v>41.397910287805459</v>
      </c>
      <c r="AG3361" s="2">
        <f ca="1"/>
        <v>0.10014870897054085</v>
      </c>
      <c r="AH3361" s="2" t="str">
        <f ca="1"/>
        <v>OK</v>
      </c>
    </row>
    <row r="3362" spans="2:34" x14ac:dyDescent="0.2">
      <c r="B3362" s="2">
        <f ca="1"/>
        <v>0.49368065702458486</v>
      </c>
      <c r="O3362" s="2">
        <f ca="1"/>
        <v>-0.31612509336094285</v>
      </c>
      <c r="X3362" s="2">
        <f ca="1"/>
        <v>59.305478445008745</v>
      </c>
      <c r="AG3362" s="2">
        <f ca="1"/>
        <v>0.93923657407343186</v>
      </c>
      <c r="AH3362" s="2" t="str">
        <f ca="1"/>
        <v>Bad</v>
      </c>
    </row>
    <row r="3363" spans="2:34" x14ac:dyDescent="0.2">
      <c r="B3363" s="2">
        <f ca="1"/>
        <v>0.4301187962226567</v>
      </c>
      <c r="O3363" s="2">
        <f ca="1"/>
        <v>-2.5168749896356468</v>
      </c>
      <c r="X3363" s="2">
        <f ca="1"/>
        <v>54.94945437351425</v>
      </c>
      <c r="AG3363" s="2">
        <f ca="1"/>
        <v>0.25836250201327937</v>
      </c>
      <c r="AH3363" s="2" t="str">
        <f ca="1"/>
        <v>OK</v>
      </c>
    </row>
    <row r="3364" spans="2:34" x14ac:dyDescent="0.2">
      <c r="B3364" s="2">
        <f ca="1"/>
        <v>0.98240208270114437</v>
      </c>
      <c r="O3364" s="2">
        <f ca="1"/>
        <v>1.669381085170053</v>
      </c>
      <c r="X3364" s="2">
        <f ca="1"/>
        <v>30.270671539300626</v>
      </c>
      <c r="AG3364" s="2">
        <f ca="1"/>
        <v>0.97208177121544592</v>
      </c>
      <c r="AH3364" s="2" t="str">
        <f ca="1"/>
        <v>Bad</v>
      </c>
    </row>
    <row r="3365" spans="2:34" x14ac:dyDescent="0.2">
      <c r="B3365" s="2">
        <f ca="1"/>
        <v>0.6696985282886605</v>
      </c>
      <c r="O3365" s="2">
        <f ca="1"/>
        <v>0.68255620170083708</v>
      </c>
      <c r="X3365" s="2">
        <f ca="1"/>
        <v>22.763788673022368</v>
      </c>
      <c r="AG3365" s="2">
        <f ca="1"/>
        <v>0.65777452362693856</v>
      </c>
      <c r="AH3365" s="2" t="str">
        <f ca="1"/>
        <v>Bad</v>
      </c>
    </row>
    <row r="3366" spans="2:34" x14ac:dyDescent="0.2">
      <c r="B3366" s="2">
        <f ca="1"/>
        <v>0.25257632447351175</v>
      </c>
      <c r="O3366" s="2">
        <f ca="1"/>
        <v>-0.77608820834814718</v>
      </c>
      <c r="X3366" s="2">
        <f ca="1"/>
        <v>32.299389542421309</v>
      </c>
      <c r="AG3366" s="2">
        <f ca="1"/>
        <v>0.69888107139271205</v>
      </c>
      <c r="AH3366" s="2" t="str">
        <f ca="1"/>
        <v>Bad</v>
      </c>
    </row>
    <row r="3367" spans="2:34" x14ac:dyDescent="0.2">
      <c r="B3367" s="2">
        <f ca="1"/>
        <v>0.86926416647982552</v>
      </c>
      <c r="O3367" s="2">
        <f ca="1"/>
        <v>-0.14693874051530373</v>
      </c>
      <c r="X3367" s="2">
        <f ca="1"/>
        <v>51.007364797737679</v>
      </c>
      <c r="AG3367" s="2">
        <f ca="1"/>
        <v>0.11387288540983653</v>
      </c>
      <c r="AH3367" s="2" t="str">
        <f ca="1"/>
        <v>OK</v>
      </c>
    </row>
    <row r="3368" spans="2:34" x14ac:dyDescent="0.2">
      <c r="B3368" s="2">
        <f ca="1"/>
        <v>0.89023829591496684</v>
      </c>
      <c r="O3368" s="2">
        <f ca="1"/>
        <v>-0.5636537631816626</v>
      </c>
      <c r="X3368" s="2">
        <f ca="1"/>
        <v>33.532574006213466</v>
      </c>
      <c r="AG3368" s="2">
        <f ca="1"/>
        <v>0.6483269877830431</v>
      </c>
      <c r="AH3368" s="2" t="str">
        <f ca="1"/>
        <v>Bad</v>
      </c>
    </row>
    <row r="3369" spans="2:34" x14ac:dyDescent="0.2">
      <c r="B3369" s="2">
        <f ca="1"/>
        <v>0.15518112594860956</v>
      </c>
      <c r="O3369" s="2">
        <f ca="1"/>
        <v>-0.43348629862563398</v>
      </c>
      <c r="X3369" s="2">
        <f ca="1"/>
        <v>59.133202473779789</v>
      </c>
      <c r="AG3369" s="2">
        <f ca="1"/>
        <v>0.54524617386533225</v>
      </c>
      <c r="AH3369" s="2" t="str">
        <f ca="1"/>
        <v>Bad</v>
      </c>
    </row>
    <row r="3370" spans="2:34" x14ac:dyDescent="0.2">
      <c r="B3370" s="2">
        <f ca="1"/>
        <v>0.7780835682917564</v>
      </c>
      <c r="O3370" s="2">
        <f ca="1"/>
        <v>-0.55024988516223505</v>
      </c>
      <c r="X3370" s="2">
        <f ca="1"/>
        <v>68.96775437136057</v>
      </c>
      <c r="AG3370" s="2">
        <f ca="1"/>
        <v>0.51817752446409471</v>
      </c>
      <c r="AH3370" s="2" t="str">
        <f ca="1"/>
        <v>Bad</v>
      </c>
    </row>
    <row r="3371" spans="2:34" x14ac:dyDescent="0.2">
      <c r="B3371" s="2">
        <f ca="1"/>
        <v>0.62481567252008396</v>
      </c>
      <c r="O3371" s="2">
        <f ca="1"/>
        <v>-0.55443895850011093</v>
      </c>
      <c r="X3371" s="2">
        <f ca="1"/>
        <v>34.443712563992563</v>
      </c>
      <c r="AG3371" s="2">
        <f ca="1"/>
        <v>0.2052756341059685</v>
      </c>
      <c r="AH3371" s="2" t="str">
        <f ca="1"/>
        <v>OK</v>
      </c>
    </row>
    <row r="3372" spans="2:34" x14ac:dyDescent="0.2">
      <c r="B3372" s="2">
        <f ca="1"/>
        <v>0.83551697619593712</v>
      </c>
      <c r="O3372" s="2">
        <f ca="1"/>
        <v>-0.2118794039870735</v>
      </c>
      <c r="X3372" s="2">
        <f ca="1"/>
        <v>44.897140503415748</v>
      </c>
      <c r="AG3372" s="2">
        <f ca="1"/>
        <v>0.24348212212726517</v>
      </c>
      <c r="AH3372" s="2" t="str">
        <f ca="1"/>
        <v>OK</v>
      </c>
    </row>
    <row r="3373" spans="2:34" x14ac:dyDescent="0.2">
      <c r="B3373" s="2">
        <f ca="1"/>
        <v>0.23467209145952572</v>
      </c>
      <c r="O3373" s="2">
        <f ca="1"/>
        <v>-0.20718072650407673</v>
      </c>
      <c r="X3373" s="2">
        <f ca="1"/>
        <v>59.557863260920449</v>
      </c>
      <c r="AG3373" s="2">
        <f ca="1"/>
        <v>0.82061536455535644</v>
      </c>
      <c r="AH3373" s="2" t="str">
        <f ca="1"/>
        <v>Bad</v>
      </c>
    </row>
    <row r="3374" spans="2:34" x14ac:dyDescent="0.2">
      <c r="B3374" s="2">
        <f ca="1"/>
        <v>0.93344895279080253</v>
      </c>
      <c r="O3374" s="2">
        <f ca="1"/>
        <v>-0.22135293385442251</v>
      </c>
      <c r="X3374" s="2">
        <f ca="1"/>
        <v>40.25960085893945</v>
      </c>
      <c r="AG3374" s="2">
        <f ca="1"/>
        <v>0.67151044537202775</v>
      </c>
      <c r="AH3374" s="2" t="str">
        <f ca="1"/>
        <v>Bad</v>
      </c>
    </row>
    <row r="3375" spans="2:34" x14ac:dyDescent="0.2">
      <c r="B3375" s="2">
        <f ca="1"/>
        <v>0.7347181075829281</v>
      </c>
      <c r="O3375" s="2">
        <f ca="1"/>
        <v>2.4549178049382716</v>
      </c>
      <c r="X3375" s="2">
        <f ca="1"/>
        <v>52.978968815640556</v>
      </c>
      <c r="AG3375" s="2">
        <f ca="1"/>
        <v>0.80526851232756314</v>
      </c>
      <c r="AH3375" s="2" t="str">
        <f ca="1"/>
        <v>Bad</v>
      </c>
    </row>
    <row r="3376" spans="2:34" x14ac:dyDescent="0.2">
      <c r="B3376" s="2">
        <f ca="1"/>
        <v>0.41847158384222038</v>
      </c>
      <c r="O3376" s="2">
        <f ca="1"/>
        <v>1.3443850741604675</v>
      </c>
      <c r="X3376" s="2">
        <f ca="1"/>
        <v>47.708848917941857</v>
      </c>
      <c r="AG3376" s="2">
        <f ca="1"/>
        <v>0.74276029991790593</v>
      </c>
      <c r="AH3376" s="2" t="str">
        <f ca="1"/>
        <v>Bad</v>
      </c>
    </row>
    <row r="3377" spans="2:34" x14ac:dyDescent="0.2">
      <c r="B3377" s="2">
        <f ca="1"/>
        <v>0.90781287868285121</v>
      </c>
      <c r="O3377" s="2">
        <f ca="1"/>
        <v>-0.62444206524535606</v>
      </c>
      <c r="X3377" s="2">
        <f ca="1"/>
        <v>66.639949555820991</v>
      </c>
      <c r="AG3377" s="2">
        <f ca="1"/>
        <v>0.71176456472039029</v>
      </c>
      <c r="AH3377" s="2" t="str">
        <f ca="1"/>
        <v>Bad</v>
      </c>
    </row>
    <row r="3378" spans="2:34" x14ac:dyDescent="0.2">
      <c r="B3378" s="2">
        <f ca="1"/>
        <v>0.26257244182758432</v>
      </c>
      <c r="O3378" s="2">
        <f ca="1"/>
        <v>2.1750546078355373</v>
      </c>
      <c r="X3378" s="2">
        <f ca="1"/>
        <v>26.913112191793459</v>
      </c>
      <c r="AG3378" s="2">
        <f ca="1"/>
        <v>0.73679786443235828</v>
      </c>
      <c r="AH3378" s="2" t="str">
        <f ca="1"/>
        <v>Bad</v>
      </c>
    </row>
    <row r="3379" spans="2:34" x14ac:dyDescent="0.2">
      <c r="B3379" s="2">
        <f ca="1"/>
        <v>0.43165583019195375</v>
      </c>
      <c r="O3379" s="2">
        <f ca="1"/>
        <v>2.1752531443433156</v>
      </c>
      <c r="X3379" s="2">
        <f ca="1"/>
        <v>61.104313282450953</v>
      </c>
      <c r="AG3379" s="2">
        <f ca="1"/>
        <v>0.28586227870133007</v>
      </c>
      <c r="AH3379" s="2" t="str">
        <f ca="1"/>
        <v>OK</v>
      </c>
    </row>
    <row r="3380" spans="2:34" x14ac:dyDescent="0.2">
      <c r="B3380" s="2">
        <f ca="1"/>
        <v>0.7121432473698468</v>
      </c>
      <c r="O3380" s="2">
        <f ca="1"/>
        <v>-2.0837377167907305</v>
      </c>
      <c r="X3380" s="2">
        <f ca="1"/>
        <v>37.219757663136043</v>
      </c>
      <c r="AG3380" s="2">
        <f ca="1"/>
        <v>0.94538643326582106</v>
      </c>
      <c r="AH3380" s="2" t="str">
        <f ca="1"/>
        <v>Bad</v>
      </c>
    </row>
    <row r="3381" spans="2:34" x14ac:dyDescent="0.2">
      <c r="B3381" s="2">
        <f ca="1"/>
        <v>0.87388275216556743</v>
      </c>
      <c r="O3381" s="2">
        <f ca="1"/>
        <v>1.5876970561141737</v>
      </c>
      <c r="X3381" s="2">
        <f ca="1"/>
        <v>39.217908547106418</v>
      </c>
      <c r="AG3381" s="2">
        <f ca="1"/>
        <v>0.38187191932732589</v>
      </c>
      <c r="AH3381" s="2" t="str">
        <f ca="1"/>
        <v>OK</v>
      </c>
    </row>
    <row r="3382" spans="2:34" x14ac:dyDescent="0.2">
      <c r="B3382" s="2">
        <f ca="1"/>
        <v>0.62712101256928721</v>
      </c>
      <c r="O3382" s="2">
        <f ca="1"/>
        <v>-0.2716954747262238</v>
      </c>
      <c r="X3382" s="2">
        <f ca="1"/>
        <v>66.093039808007447</v>
      </c>
      <c r="AG3382" s="2">
        <f ca="1"/>
        <v>0.55009012388336598</v>
      </c>
      <c r="AH3382" s="2" t="str">
        <f ca="1"/>
        <v>Bad</v>
      </c>
    </row>
    <row r="3383" spans="2:34" x14ac:dyDescent="0.2">
      <c r="B3383" s="2">
        <f ca="1"/>
        <v>0.33304895566728998</v>
      </c>
      <c r="O3383" s="2">
        <f ca="1"/>
        <v>0.19684222783010327</v>
      </c>
      <c r="X3383" s="2">
        <f ca="1"/>
        <v>41.395716435401411</v>
      </c>
      <c r="AG3383" s="2">
        <f ca="1"/>
        <v>0.26781842013124013</v>
      </c>
      <c r="AH3383" s="2" t="str">
        <f ca="1"/>
        <v>OK</v>
      </c>
    </row>
    <row r="3384" spans="2:34" x14ac:dyDescent="0.2">
      <c r="B3384" s="2">
        <f ca="1"/>
        <v>0.41006910604897939</v>
      </c>
      <c r="O3384" s="2">
        <f ca="1"/>
        <v>0.68539168471165679</v>
      </c>
      <c r="X3384" s="2">
        <f ca="1"/>
        <v>46.499638167099363</v>
      </c>
      <c r="AG3384" s="2">
        <f ca="1"/>
        <v>0.22253373552427425</v>
      </c>
      <c r="AH3384" s="2" t="str">
        <f ca="1"/>
        <v>OK</v>
      </c>
    </row>
    <row r="3385" spans="2:34" x14ac:dyDescent="0.2">
      <c r="B3385" s="2">
        <f ca="1"/>
        <v>0.63585738129473834</v>
      </c>
      <c r="O3385" s="2">
        <f ca="1"/>
        <v>3.9858391418196991E-2</v>
      </c>
      <c r="X3385" s="2">
        <f ca="1"/>
        <v>44.139509202457639</v>
      </c>
      <c r="AG3385" s="2">
        <f ca="1"/>
        <v>8.1560575453296202E-2</v>
      </c>
      <c r="AH3385" s="2" t="str">
        <f ca="1"/>
        <v>OK</v>
      </c>
    </row>
    <row r="3386" spans="2:34" x14ac:dyDescent="0.2">
      <c r="B3386" s="2">
        <f ca="1"/>
        <v>0.91686445624361035</v>
      </c>
      <c r="O3386" s="2">
        <f ca="1"/>
        <v>1.88073056633552E-2</v>
      </c>
      <c r="X3386" s="2">
        <f ca="1"/>
        <v>50.256409987635791</v>
      </c>
      <c r="AG3386" s="2">
        <f ca="1"/>
        <v>0.66010274310170702</v>
      </c>
      <c r="AH3386" s="2" t="str">
        <f ca="1"/>
        <v>Bad</v>
      </c>
    </row>
    <row r="3387" spans="2:34" x14ac:dyDescent="0.2">
      <c r="B3387" s="2">
        <f ca="1"/>
        <v>0.21725070720702222</v>
      </c>
      <c r="O3387" s="2">
        <f ca="1"/>
        <v>-1.0858389859783708</v>
      </c>
      <c r="X3387" s="2">
        <f ca="1"/>
        <v>65.930385491611801</v>
      </c>
      <c r="AG3387" s="2">
        <f ca="1"/>
        <v>7.6156702856020164E-2</v>
      </c>
      <c r="AH3387" s="2" t="str">
        <f ca="1"/>
        <v>OK</v>
      </c>
    </row>
    <row r="3388" spans="2:34" x14ac:dyDescent="0.2">
      <c r="B3388" s="2">
        <f ca="1"/>
        <v>0.25351817206608085</v>
      </c>
      <c r="O3388" s="2">
        <f ca="1"/>
        <v>0.65411196443934028</v>
      </c>
      <c r="X3388" s="2">
        <f ca="1"/>
        <v>51.167611356850891</v>
      </c>
      <c r="AG3388" s="2">
        <f ca="1"/>
        <v>0.44858127757803823</v>
      </c>
      <c r="AH3388" s="2" t="str">
        <f ca="1"/>
        <v>Bad</v>
      </c>
    </row>
    <row r="3389" spans="2:34" x14ac:dyDescent="0.2">
      <c r="B3389" s="2">
        <f ca="1"/>
        <v>1.7853439968460894E-2</v>
      </c>
      <c r="O3389" s="2">
        <f ca="1"/>
        <v>-0.78615336687803783</v>
      </c>
      <c r="X3389" s="2">
        <f ca="1"/>
        <v>49.63870576294913</v>
      </c>
      <c r="AG3389" s="2">
        <f ca="1"/>
        <v>0.7677522137169337</v>
      </c>
      <c r="AH3389" s="2" t="str">
        <f ca="1"/>
        <v>Bad</v>
      </c>
    </row>
    <row r="3390" spans="2:34" x14ac:dyDescent="0.2">
      <c r="B3390" s="2">
        <f ca="1"/>
        <v>0.64629933477955381</v>
      </c>
      <c r="O3390" s="2">
        <f ca="1"/>
        <v>1.2198993777286655</v>
      </c>
      <c r="X3390" s="2">
        <f ca="1"/>
        <v>34.511099325789914</v>
      </c>
      <c r="AG3390" s="2">
        <f ca="1"/>
        <v>3.5708334507965178E-2</v>
      </c>
      <c r="AH3390" s="2" t="str">
        <f ca="1"/>
        <v>Good</v>
      </c>
    </row>
    <row r="3391" spans="2:34" x14ac:dyDescent="0.2">
      <c r="B3391" s="2">
        <f ca="1"/>
        <v>0.37547150031254173</v>
      </c>
      <c r="O3391" s="2">
        <f ca="1"/>
        <v>0.63446332081823276</v>
      </c>
      <c r="X3391" s="2">
        <f ca="1"/>
        <v>27.598453795017242</v>
      </c>
      <c r="AG3391" s="2">
        <f ca="1"/>
        <v>0.9859961945405713</v>
      </c>
      <c r="AH3391" s="2" t="str">
        <f ca="1"/>
        <v>Bad</v>
      </c>
    </row>
    <row r="3392" spans="2:34" x14ac:dyDescent="0.2">
      <c r="B3392" s="2">
        <f ca="1"/>
        <v>0.33429662578537633</v>
      </c>
      <c r="O3392" s="2">
        <f ca="1"/>
        <v>-0.17947541180974655</v>
      </c>
      <c r="X3392" s="2">
        <f ca="1"/>
        <v>40.153051501534158</v>
      </c>
      <c r="AG3392" s="2">
        <f ca="1"/>
        <v>7.6749715059003298E-2</v>
      </c>
      <c r="AH3392" s="2" t="str">
        <f ca="1"/>
        <v>OK</v>
      </c>
    </row>
    <row r="3393" spans="2:34" x14ac:dyDescent="0.2">
      <c r="B3393" s="2">
        <f ca="1"/>
        <v>0.2949016032266718</v>
      </c>
      <c r="O3393" s="2">
        <f ca="1"/>
        <v>3.6968522948834584E-2</v>
      </c>
      <c r="X3393" s="2">
        <f ca="1"/>
        <v>55.311389386818604</v>
      </c>
      <c r="AG3393" s="2">
        <f ca="1"/>
        <v>0.15021766139610548</v>
      </c>
      <c r="AH3393" s="2" t="str">
        <f ca="1"/>
        <v>OK</v>
      </c>
    </row>
    <row r="3394" spans="2:34" x14ac:dyDescent="0.2">
      <c r="B3394" s="2">
        <f ca="1"/>
        <v>0.66099161426544195</v>
      </c>
      <c r="O3394" s="2">
        <f ca="1"/>
        <v>0.3566289142756478</v>
      </c>
      <c r="X3394" s="2">
        <f ca="1"/>
        <v>41.756221819405745</v>
      </c>
      <c r="AG3394" s="2">
        <f ca="1"/>
        <v>0.38260091290504894</v>
      </c>
      <c r="AH3394" s="2" t="str">
        <f ca="1"/>
        <v>OK</v>
      </c>
    </row>
    <row r="3395" spans="2:34" x14ac:dyDescent="0.2">
      <c r="B3395" s="2">
        <f ca="1"/>
        <v>0.60933975541993934</v>
      </c>
      <c r="O3395" s="2">
        <f ca="1"/>
        <v>-4.1994534040417718E-2</v>
      </c>
      <c r="X3395" s="2">
        <f ca="1"/>
        <v>38.166845688399647</v>
      </c>
      <c r="AG3395" s="2">
        <f ca="1"/>
        <v>0.96316860068076893</v>
      </c>
      <c r="AH3395" s="2" t="str">
        <f ca="1"/>
        <v>Bad</v>
      </c>
    </row>
    <row r="3396" spans="2:34" x14ac:dyDescent="0.2">
      <c r="B3396" s="2">
        <f ca="1"/>
        <v>0.39280405247442163</v>
      </c>
      <c r="O3396" s="2">
        <f ca="1"/>
        <v>-0.50864143727256161</v>
      </c>
      <c r="X3396" s="2">
        <f ca="1"/>
        <v>39.06677273833504</v>
      </c>
      <c r="AG3396" s="2">
        <f ca="1"/>
        <v>0.72637622683720893</v>
      </c>
      <c r="AH3396" s="2" t="str">
        <f ca="1"/>
        <v>Bad</v>
      </c>
    </row>
    <row r="3397" spans="2:34" x14ac:dyDescent="0.2">
      <c r="B3397" s="2">
        <f ca="1"/>
        <v>3.9707835955766768E-3</v>
      </c>
      <c r="O3397" s="2">
        <f ca="1"/>
        <v>-2.0618379808927023</v>
      </c>
      <c r="X3397" s="2">
        <f ca="1"/>
        <v>47.403375047667851</v>
      </c>
      <c r="AG3397" s="2">
        <f ca="1"/>
        <v>0.48284864464288124</v>
      </c>
      <c r="AH3397" s="2" t="str">
        <f ca="1"/>
        <v>Bad</v>
      </c>
    </row>
    <row r="3398" spans="2:34" x14ac:dyDescent="0.2">
      <c r="B3398" s="2">
        <f ca="1"/>
        <v>0.18525654218358922</v>
      </c>
      <c r="O3398" s="2">
        <f ca="1"/>
        <v>1.3400302427374493</v>
      </c>
      <c r="X3398" s="2">
        <f ca="1"/>
        <v>69.185711864394563</v>
      </c>
      <c r="AG3398" s="2">
        <f ca="1"/>
        <v>0.83828812790351281</v>
      </c>
      <c r="AH3398" s="2" t="str">
        <f ca="1"/>
        <v>Bad</v>
      </c>
    </row>
    <row r="3399" spans="2:34" x14ac:dyDescent="0.2">
      <c r="B3399" s="2">
        <f ca="1"/>
        <v>0.63140412400022616</v>
      </c>
      <c r="O3399" s="2">
        <f ca="1"/>
        <v>-5.6173341190379464E-2</v>
      </c>
      <c r="X3399" s="2">
        <f ca="1"/>
        <v>44.025865028243558</v>
      </c>
      <c r="AG3399" s="2">
        <f ca="1"/>
        <v>0.9446151413455115</v>
      </c>
      <c r="AH3399" s="2" t="str">
        <f ca="1"/>
        <v>Bad</v>
      </c>
    </row>
    <row r="3400" spans="2:34" x14ac:dyDescent="0.2">
      <c r="B3400" s="2">
        <f ca="1"/>
        <v>0.63828618809559878</v>
      </c>
      <c r="O3400" s="2">
        <f ca="1"/>
        <v>-3.8371108553518822E-2</v>
      </c>
      <c r="X3400" s="2">
        <f ca="1"/>
        <v>44.619645577313918</v>
      </c>
      <c r="AG3400" s="2">
        <f ca="1"/>
        <v>0.8456551660824716</v>
      </c>
      <c r="AH3400" s="2" t="str">
        <f ca="1"/>
        <v>Bad</v>
      </c>
    </row>
    <row r="3401" spans="2:34" x14ac:dyDescent="0.2">
      <c r="B3401" s="2">
        <f ca="1"/>
        <v>0.27160187642992573</v>
      </c>
      <c r="O3401" s="2">
        <f ca="1"/>
        <v>1.3495780810467295</v>
      </c>
      <c r="X3401" s="2">
        <f ca="1"/>
        <v>74.402238823453303</v>
      </c>
      <c r="AG3401" s="2">
        <f ca="1"/>
        <v>0.69793767389923844</v>
      </c>
      <c r="AH3401" s="2" t="str">
        <f ca="1"/>
        <v>Bad</v>
      </c>
    </row>
    <row r="3402" spans="2:34" x14ac:dyDescent="0.2">
      <c r="B3402" s="2">
        <f ca="1"/>
        <v>6.9134377394903579E-2</v>
      </c>
      <c r="O3402" s="2">
        <f ca="1"/>
        <v>-0.90296376618164165</v>
      </c>
      <c r="X3402" s="2">
        <f ca="1"/>
        <v>48.545066363125812</v>
      </c>
      <c r="AG3402" s="2">
        <f ca="1"/>
        <v>0.38651268512168535</v>
      </c>
      <c r="AH3402" s="2" t="str">
        <f ca="1"/>
        <v>OK</v>
      </c>
    </row>
    <row r="3403" spans="2:34" x14ac:dyDescent="0.2">
      <c r="B3403" s="2">
        <f ca="1"/>
        <v>0.44249538407016176</v>
      </c>
      <c r="O3403" s="2">
        <f ca="1"/>
        <v>3.0972307292962804</v>
      </c>
      <c r="X3403" s="2">
        <f ca="1"/>
        <v>35.59858840506849</v>
      </c>
      <c r="AG3403" s="2">
        <f ca="1"/>
        <v>0.91326074457042261</v>
      </c>
      <c r="AH3403" s="2" t="str">
        <f ca="1"/>
        <v>Bad</v>
      </c>
    </row>
    <row r="3404" spans="2:34" x14ac:dyDescent="0.2">
      <c r="B3404" s="2">
        <f ca="1"/>
        <v>0.63984998752471811</v>
      </c>
      <c r="O3404" s="2">
        <f ca="1"/>
        <v>-0.24791103268584708</v>
      </c>
      <c r="X3404" s="2">
        <f ca="1"/>
        <v>42.511886135595418</v>
      </c>
      <c r="AG3404" s="2">
        <f ca="1"/>
        <v>0.32901831234486134</v>
      </c>
      <c r="AH3404" s="2" t="str">
        <f ca="1"/>
        <v>OK</v>
      </c>
    </row>
    <row r="3405" spans="2:34" x14ac:dyDescent="0.2">
      <c r="B3405" s="2">
        <f ca="1"/>
        <v>0.29322345333235411</v>
      </c>
      <c r="O3405" s="2">
        <f ca="1"/>
        <v>-1.7512375854209501</v>
      </c>
      <c r="X3405" s="2">
        <f ca="1"/>
        <v>31.852066268126585</v>
      </c>
      <c r="AG3405" s="2">
        <f ca="1"/>
        <v>0.2329185174750672</v>
      </c>
      <c r="AH3405" s="2" t="str">
        <f ca="1"/>
        <v>OK</v>
      </c>
    </row>
    <row r="3406" spans="2:34" x14ac:dyDescent="0.2">
      <c r="B3406" s="2">
        <f ca="1"/>
        <v>0.9571498396934186</v>
      </c>
      <c r="O3406" s="2">
        <f ca="1"/>
        <v>-0.69316429569894999</v>
      </c>
      <c r="X3406" s="2">
        <f ca="1"/>
        <v>49.270461860711436</v>
      </c>
      <c r="AG3406" s="2">
        <f ca="1"/>
        <v>0.19241027325813831</v>
      </c>
      <c r="AH3406" s="2" t="str">
        <f ca="1"/>
        <v>OK</v>
      </c>
    </row>
    <row r="3407" spans="2:34" x14ac:dyDescent="0.2">
      <c r="B3407" s="2">
        <f ca="1"/>
        <v>0.14744111975783758</v>
      </c>
      <c r="O3407" s="2">
        <f ca="1"/>
        <v>0.61109818904043323</v>
      </c>
      <c r="X3407" s="2">
        <f ca="1"/>
        <v>68.581756328820362</v>
      </c>
      <c r="AG3407" s="2">
        <f ca="1"/>
        <v>0.27631199678047169</v>
      </c>
      <c r="AH3407" s="2" t="str">
        <f ca="1"/>
        <v>OK</v>
      </c>
    </row>
    <row r="3408" spans="2:34" x14ac:dyDescent="0.2">
      <c r="B3408" s="2">
        <f ca="1"/>
        <v>9.0798053768013975E-2</v>
      </c>
      <c r="O3408" s="2">
        <f ca="1"/>
        <v>0.73008881963775762</v>
      </c>
      <c r="X3408" s="2">
        <f ca="1"/>
        <v>84.650612872459291</v>
      </c>
      <c r="AG3408" s="2">
        <f ca="1"/>
        <v>0.48448132060154925</v>
      </c>
      <c r="AH3408" s="2" t="str">
        <f ca="1"/>
        <v>Bad</v>
      </c>
    </row>
    <row r="3409" spans="2:34" x14ac:dyDescent="0.2">
      <c r="B3409" s="2">
        <f ca="1"/>
        <v>0.82529095210789438</v>
      </c>
      <c r="O3409" s="2">
        <f ca="1"/>
        <v>-2.0397665962319596</v>
      </c>
      <c r="X3409" s="2">
        <f ca="1"/>
        <v>38.09141552437773</v>
      </c>
      <c r="AG3409" s="2">
        <f ca="1"/>
        <v>0.73574939379919591</v>
      </c>
      <c r="AH3409" s="2" t="str">
        <f ca="1"/>
        <v>Bad</v>
      </c>
    </row>
    <row r="3410" spans="2:34" x14ac:dyDescent="0.2">
      <c r="B3410" s="2">
        <f ca="1"/>
        <v>0.86535868450033648</v>
      </c>
      <c r="O3410" s="2">
        <f ca="1"/>
        <v>1.819659459408443</v>
      </c>
      <c r="X3410" s="2">
        <f ca="1"/>
        <v>25.708811622058754</v>
      </c>
      <c r="AG3410" s="2">
        <f ca="1"/>
        <v>0.57991214629394916</v>
      </c>
      <c r="AH3410" s="2" t="str">
        <f ca="1"/>
        <v>Bad</v>
      </c>
    </row>
    <row r="3411" spans="2:34" x14ac:dyDescent="0.2">
      <c r="B3411" s="2">
        <f ca="1"/>
        <v>0.73013875872632039</v>
      </c>
      <c r="O3411" s="2">
        <f ca="1"/>
        <v>-0.64153157568085983</v>
      </c>
      <c r="X3411" s="2">
        <f ca="1"/>
        <v>59.499094743861853</v>
      </c>
      <c r="AG3411" s="2">
        <f ca="1"/>
        <v>0.49376632187847735</v>
      </c>
      <c r="AH3411" s="2" t="str">
        <f ca="1"/>
        <v>Bad</v>
      </c>
    </row>
    <row r="3412" spans="2:34" x14ac:dyDescent="0.2">
      <c r="B3412" s="2">
        <f ca="1"/>
        <v>0.63542964724875439</v>
      </c>
      <c r="O3412" s="2">
        <f ca="1"/>
        <v>-0.79952921181265491</v>
      </c>
      <c r="X3412" s="2">
        <f ca="1"/>
        <v>60.949662309171082</v>
      </c>
      <c r="AG3412" s="2">
        <f ca="1"/>
        <v>0.66048759422392989</v>
      </c>
      <c r="AH3412" s="2" t="str">
        <f ca="1"/>
        <v>Bad</v>
      </c>
    </row>
    <row r="3413" spans="2:34" x14ac:dyDescent="0.2">
      <c r="B3413" s="2">
        <f ca="1"/>
        <v>0.47175350373757041</v>
      </c>
      <c r="O3413" s="2">
        <f ca="1"/>
        <v>0.7578257341311877</v>
      </c>
      <c r="X3413" s="2">
        <f ca="1"/>
        <v>28.510597061393131</v>
      </c>
      <c r="AG3413" s="2">
        <f ca="1"/>
        <v>0.64708504386814281</v>
      </c>
      <c r="AH3413" s="2" t="str">
        <f ca="1"/>
        <v>Bad</v>
      </c>
    </row>
    <row r="3414" spans="2:34" x14ac:dyDescent="0.2">
      <c r="B3414" s="2">
        <f ca="1"/>
        <v>0.94229196905736168</v>
      </c>
      <c r="O3414" s="2">
        <f ca="1"/>
        <v>-0.51899113418907228</v>
      </c>
      <c r="X3414" s="2">
        <f ca="1"/>
        <v>32.916591056537762</v>
      </c>
      <c r="AG3414" s="2">
        <f ca="1"/>
        <v>0.32931637727066732</v>
      </c>
      <c r="AH3414" s="2" t="str">
        <f ca="1"/>
        <v>OK</v>
      </c>
    </row>
    <row r="3415" spans="2:34" x14ac:dyDescent="0.2">
      <c r="B3415" s="2">
        <f ca="1"/>
        <v>0.7866010357090818</v>
      </c>
      <c r="O3415" s="2">
        <f ca="1"/>
        <v>-0.14983555200895479</v>
      </c>
      <c r="X3415" s="2">
        <f ca="1"/>
        <v>38.745922137417217</v>
      </c>
      <c r="AG3415" s="2">
        <f ca="1"/>
        <v>0.80141543855898378</v>
      </c>
      <c r="AH3415" s="2" t="str">
        <f ca="1"/>
        <v>Bad</v>
      </c>
    </row>
    <row r="3416" spans="2:34" x14ac:dyDescent="0.2">
      <c r="B3416" s="2">
        <f ca="1"/>
        <v>0.95396907916561635</v>
      </c>
      <c r="O3416" s="2">
        <f ca="1"/>
        <v>-0.90912625493196186</v>
      </c>
      <c r="X3416" s="2">
        <f ca="1"/>
        <v>51.711884097024956</v>
      </c>
      <c r="AG3416" s="2">
        <f ca="1"/>
        <v>0.58073471101257979</v>
      </c>
      <c r="AH3416" s="2" t="str">
        <f ca="1"/>
        <v>Bad</v>
      </c>
    </row>
    <row r="3417" spans="2:34" x14ac:dyDescent="0.2">
      <c r="B3417" s="2">
        <f ca="1"/>
        <v>0.87396547854639062</v>
      </c>
      <c r="O3417" s="2">
        <f ca="1"/>
        <v>-0.52562565717532328</v>
      </c>
      <c r="X3417" s="2">
        <f ca="1"/>
        <v>25.042225535097096</v>
      </c>
      <c r="AG3417" s="2">
        <f ca="1"/>
        <v>0.5508296360427718</v>
      </c>
      <c r="AH3417" s="2" t="str">
        <f ca="1"/>
        <v>Bad</v>
      </c>
    </row>
    <row r="3418" spans="2:34" x14ac:dyDescent="0.2">
      <c r="B3418" s="2">
        <f ca="1"/>
        <v>0.7861992355966374</v>
      </c>
      <c r="O3418" s="2">
        <f ca="1"/>
        <v>-7.2678950499590014E-2</v>
      </c>
      <c r="X3418" s="2">
        <f ca="1"/>
        <v>38.430192245010602</v>
      </c>
      <c r="AG3418" s="2">
        <f ca="1"/>
        <v>0.6700287633901667</v>
      </c>
      <c r="AH3418" s="2" t="str">
        <f ca="1"/>
        <v>Bad</v>
      </c>
    </row>
    <row r="3419" spans="2:34" x14ac:dyDescent="0.2">
      <c r="B3419" s="2">
        <f ca="1"/>
        <v>0.61370503370674845</v>
      </c>
      <c r="O3419" s="2">
        <f ca="1"/>
        <v>-7.89524082346061E-3</v>
      </c>
      <c r="X3419" s="2">
        <f ca="1"/>
        <v>48.157994100248082</v>
      </c>
      <c r="AG3419" s="2">
        <f ca="1"/>
        <v>0.70367879552174672</v>
      </c>
      <c r="AH3419" s="2" t="str">
        <f ca="1"/>
        <v>Bad</v>
      </c>
    </row>
    <row r="3420" spans="2:34" x14ac:dyDescent="0.2">
      <c r="B3420" s="2">
        <f ca="1"/>
        <v>0.27820485502830095</v>
      </c>
      <c r="O3420" s="2">
        <f ca="1"/>
        <v>0.96052537628627244</v>
      </c>
      <c r="X3420" s="2">
        <f ca="1"/>
        <v>64.191161052534241</v>
      </c>
      <c r="AG3420" s="2">
        <f ca="1"/>
        <v>0.45252673861374015</v>
      </c>
      <c r="AH3420" s="2" t="str">
        <f ca="1"/>
        <v>Bad</v>
      </c>
    </row>
    <row r="3421" spans="2:34" x14ac:dyDescent="0.2">
      <c r="B3421" s="2">
        <f ca="1"/>
        <v>0.61116139743444187</v>
      </c>
      <c r="O3421" s="2">
        <f ca="1"/>
        <v>-0.31914388659487319</v>
      </c>
      <c r="X3421" s="2">
        <f ca="1"/>
        <v>54.037340509526366</v>
      </c>
      <c r="AG3421" s="2">
        <f ca="1"/>
        <v>0.16726024905445191</v>
      </c>
      <c r="AH3421" s="2" t="str">
        <f ca="1"/>
        <v>OK</v>
      </c>
    </row>
    <row r="3422" spans="2:34" x14ac:dyDescent="0.2">
      <c r="B3422" s="2">
        <f ca="1"/>
        <v>0.25639397921863916</v>
      </c>
      <c r="O3422" s="2">
        <f ca="1"/>
        <v>2.2052148692623397</v>
      </c>
      <c r="X3422" s="2">
        <f ca="1"/>
        <v>24.069226986513822</v>
      </c>
      <c r="AG3422" s="2">
        <f ca="1"/>
        <v>0.32469851040930142</v>
      </c>
      <c r="AH3422" s="2" t="str">
        <f ca="1"/>
        <v>OK</v>
      </c>
    </row>
    <row r="3423" spans="2:34" x14ac:dyDescent="0.2">
      <c r="B3423" s="2">
        <f ca="1"/>
        <v>0.96064904028961551</v>
      </c>
      <c r="O3423" s="2">
        <f ca="1"/>
        <v>-0.22439148314854909</v>
      </c>
      <c r="X3423" s="2">
        <f ca="1"/>
        <v>39.270655998637586</v>
      </c>
      <c r="AG3423" s="2">
        <f ca="1"/>
        <v>0.77655677515819432</v>
      </c>
      <c r="AH3423" s="2" t="str">
        <f ca="1"/>
        <v>Bad</v>
      </c>
    </row>
    <row r="3424" spans="2:34" x14ac:dyDescent="0.2">
      <c r="B3424" s="2">
        <f ca="1"/>
        <v>0.31291437941910383</v>
      </c>
      <c r="O3424" s="2">
        <f ca="1"/>
        <v>-0.40212510981701843</v>
      </c>
      <c r="X3424" s="2">
        <f ca="1"/>
        <v>30.484722064238046</v>
      </c>
      <c r="AG3424" s="2">
        <f ca="1"/>
        <v>7.8564322454163671E-2</v>
      </c>
      <c r="AH3424" s="2" t="str">
        <f ca="1"/>
        <v>OK</v>
      </c>
    </row>
    <row r="3425" spans="2:34" x14ac:dyDescent="0.2">
      <c r="B3425" s="2">
        <f ca="1"/>
        <v>0.70692966900825982</v>
      </c>
      <c r="O3425" s="2">
        <f ca="1"/>
        <v>-0.45876389661663886</v>
      </c>
      <c r="X3425" s="2">
        <f ca="1"/>
        <v>40.237898960132711</v>
      </c>
      <c r="AG3425" s="2">
        <f ca="1"/>
        <v>0.16255298995673995</v>
      </c>
      <c r="AH3425" s="2" t="str">
        <f ca="1"/>
        <v>OK</v>
      </c>
    </row>
    <row r="3426" spans="2:34" x14ac:dyDescent="0.2">
      <c r="B3426" s="2">
        <f ca="1"/>
        <v>0.96508157072258172</v>
      </c>
      <c r="O3426" s="2">
        <f ca="1"/>
        <v>1.29566482724586</v>
      </c>
      <c r="X3426" s="2">
        <f ca="1"/>
        <v>46.141777960503141</v>
      </c>
      <c r="AG3426" s="2">
        <f ca="1"/>
        <v>0.52890539309408857</v>
      </c>
      <c r="AH3426" s="2" t="str">
        <f ca="1"/>
        <v>Bad</v>
      </c>
    </row>
    <row r="3427" spans="2:34" x14ac:dyDescent="0.2">
      <c r="B3427" s="2">
        <f ca="1"/>
        <v>0.15682944481242966</v>
      </c>
      <c r="O3427" s="2">
        <f ca="1"/>
        <v>-0.52450998783288527</v>
      </c>
      <c r="X3427" s="2">
        <f ca="1"/>
        <v>49.18172126265965</v>
      </c>
      <c r="AG3427" s="2">
        <f ca="1"/>
        <v>0.88052937957399591</v>
      </c>
      <c r="AH3427" s="2" t="str">
        <f ca="1"/>
        <v>Bad</v>
      </c>
    </row>
    <row r="3428" spans="2:34" x14ac:dyDescent="0.2">
      <c r="B3428" s="2">
        <f ca="1"/>
        <v>0.60989058280490593</v>
      </c>
      <c r="O3428" s="2">
        <f ca="1"/>
        <v>0.72246950668304799</v>
      </c>
      <c r="X3428" s="2">
        <f ca="1"/>
        <v>24.224078078503496</v>
      </c>
      <c r="AG3428" s="2">
        <f ca="1"/>
        <v>0.530663907659922</v>
      </c>
      <c r="AH3428" s="2" t="str">
        <f ca="1"/>
        <v>Bad</v>
      </c>
    </row>
    <row r="3429" spans="2:34" x14ac:dyDescent="0.2">
      <c r="B3429" s="2">
        <f ca="1"/>
        <v>0.54411236446343181</v>
      </c>
      <c r="O3429" s="2">
        <f ca="1"/>
        <v>-0.62917481828926114</v>
      </c>
      <c r="X3429" s="2">
        <f ca="1"/>
        <v>51.203340191671145</v>
      </c>
      <c r="AG3429" s="2">
        <f ca="1"/>
        <v>0.53238328152567949</v>
      </c>
      <c r="AH3429" s="2" t="str">
        <f ca="1"/>
        <v>Bad</v>
      </c>
    </row>
    <row r="3430" spans="2:34" x14ac:dyDescent="0.2">
      <c r="B3430" s="2">
        <f ca="1"/>
        <v>0.92483806078123587</v>
      </c>
      <c r="O3430" s="2">
        <f ca="1"/>
        <v>0.93555648586991103</v>
      </c>
      <c r="X3430" s="2">
        <f ca="1"/>
        <v>82.875545527499582</v>
      </c>
      <c r="AG3430" s="2">
        <f ca="1"/>
        <v>0.74698141079554325</v>
      </c>
      <c r="AH3430" s="2" t="str">
        <f ca="1"/>
        <v>Bad</v>
      </c>
    </row>
    <row r="3431" spans="2:34" x14ac:dyDescent="0.2">
      <c r="B3431" s="2">
        <f ca="1"/>
        <v>0.49329868770318397</v>
      </c>
      <c r="O3431" s="2">
        <f ca="1"/>
        <v>-1.0443579650239627</v>
      </c>
      <c r="X3431" s="2">
        <f ca="1"/>
        <v>71.909337688778706</v>
      </c>
      <c r="AG3431" s="2">
        <f ca="1"/>
        <v>0.26758227033248705</v>
      </c>
      <c r="AH3431" s="2" t="str">
        <f ca="1"/>
        <v>OK</v>
      </c>
    </row>
    <row r="3432" spans="2:34" x14ac:dyDescent="0.2">
      <c r="B3432" s="2">
        <f ca="1"/>
        <v>0.20348374949359727</v>
      </c>
      <c r="O3432" s="2">
        <f ca="1"/>
        <v>6.4713665025996597E-2</v>
      </c>
      <c r="X3432" s="2">
        <f ca="1"/>
        <v>55.857239017608968</v>
      </c>
      <c r="AG3432" s="2">
        <f ca="1"/>
        <v>0.59992937563033677</v>
      </c>
      <c r="AH3432" s="2" t="str">
        <f ca="1"/>
        <v>Bad</v>
      </c>
    </row>
    <row r="3433" spans="2:34" x14ac:dyDescent="0.2">
      <c r="B3433" s="2">
        <f ca="1"/>
        <v>0.50497882314652509</v>
      </c>
      <c r="O3433" s="2">
        <f ca="1"/>
        <v>0.47234141401893626</v>
      </c>
      <c r="X3433" s="2">
        <f ca="1"/>
        <v>86.187980186246165</v>
      </c>
      <c r="AG3433" s="2">
        <f ca="1"/>
        <v>0.58558165320572009</v>
      </c>
      <c r="AH3433" s="2" t="str">
        <f ca="1"/>
        <v>Bad</v>
      </c>
    </row>
    <row r="3434" spans="2:34" x14ac:dyDescent="0.2">
      <c r="B3434" s="2">
        <f ca="1"/>
        <v>9.6053505417669438E-2</v>
      </c>
      <c r="O3434" s="2">
        <f ca="1"/>
        <v>-9.0243421845250679E-2</v>
      </c>
      <c r="X3434" s="2">
        <f ca="1"/>
        <v>36.381812954716501</v>
      </c>
      <c r="AG3434" s="2">
        <f ca="1"/>
        <v>0.73987852632002427</v>
      </c>
      <c r="AH3434" s="2" t="str">
        <f ca="1"/>
        <v>Bad</v>
      </c>
    </row>
    <row r="3435" spans="2:34" x14ac:dyDescent="0.2">
      <c r="B3435" s="2">
        <f ca="1"/>
        <v>0.66585898310477631</v>
      </c>
      <c r="O3435" s="2">
        <f ca="1"/>
        <v>-5.8315982201739391E-2</v>
      </c>
      <c r="X3435" s="2">
        <f ca="1"/>
        <v>57.520484097309293</v>
      </c>
      <c r="AG3435" s="2">
        <f ca="1"/>
        <v>0.61885422575809135</v>
      </c>
      <c r="AH3435" s="2" t="str">
        <f ca="1"/>
        <v>Bad</v>
      </c>
    </row>
    <row r="3436" spans="2:34" x14ac:dyDescent="0.2">
      <c r="B3436" s="2">
        <f ca="1"/>
        <v>0.4549265766606041</v>
      </c>
      <c r="O3436" s="2">
        <f ca="1"/>
        <v>6.1598599044273158E-2</v>
      </c>
      <c r="X3436" s="2">
        <f ca="1"/>
        <v>30.151231104201266</v>
      </c>
      <c r="AG3436" s="2">
        <f ca="1"/>
        <v>0.80660617494706877</v>
      </c>
      <c r="AH3436" s="2" t="str">
        <f ca="1"/>
        <v>Bad</v>
      </c>
    </row>
    <row r="3437" spans="2:34" x14ac:dyDescent="0.2">
      <c r="B3437" s="2">
        <f ca="1"/>
        <v>0.93991485163009258</v>
      </c>
      <c r="O3437" s="2">
        <f ca="1"/>
        <v>-0.33902720782333218</v>
      </c>
      <c r="X3437" s="2">
        <f ca="1"/>
        <v>62.197368388109673</v>
      </c>
      <c r="AG3437" s="2">
        <f ca="1"/>
        <v>0.36190095739890116</v>
      </c>
      <c r="AH3437" s="2" t="str">
        <f ca="1"/>
        <v>OK</v>
      </c>
    </row>
    <row r="3438" spans="2:34" x14ac:dyDescent="0.2">
      <c r="B3438" s="2">
        <f ca="1"/>
        <v>0.39968230026001228</v>
      </c>
      <c r="O3438" s="2">
        <f ca="1"/>
        <v>-0.68286607273811695</v>
      </c>
      <c r="X3438" s="2">
        <f ca="1"/>
        <v>48.219752912571259</v>
      </c>
      <c r="AG3438" s="2">
        <f ca="1"/>
        <v>6.6743807386860921E-2</v>
      </c>
      <c r="AH3438" s="2" t="str">
        <f ca="1"/>
        <v>OK</v>
      </c>
    </row>
    <row r="3439" spans="2:34" x14ac:dyDescent="0.2">
      <c r="B3439" s="2">
        <f ca="1"/>
        <v>0.44876497296994255</v>
      </c>
      <c r="O3439" s="2">
        <f ca="1"/>
        <v>0.9411095811540614</v>
      </c>
      <c r="X3439" s="2">
        <f ca="1"/>
        <v>38.276344963907867</v>
      </c>
      <c r="AG3439" s="2">
        <f ca="1"/>
        <v>0.43952927809520115</v>
      </c>
      <c r="AH3439" s="2" t="str">
        <f ca="1"/>
        <v>Bad</v>
      </c>
    </row>
    <row r="3440" spans="2:34" x14ac:dyDescent="0.2">
      <c r="B3440" s="2">
        <f ca="1"/>
        <v>0.44119433964242205</v>
      </c>
      <c r="O3440" s="2">
        <f ca="1"/>
        <v>-0.3260619613906301</v>
      </c>
      <c r="X3440" s="2">
        <f ca="1"/>
        <v>47.105397116876908</v>
      </c>
      <c r="AG3440" s="2">
        <f ca="1"/>
        <v>0.30347150241941434</v>
      </c>
      <c r="AH3440" s="2" t="str">
        <f ca="1"/>
        <v>OK</v>
      </c>
    </row>
    <row r="3441" spans="2:34" x14ac:dyDescent="0.2">
      <c r="B3441" s="2">
        <f ca="1"/>
        <v>0.52680609777820431</v>
      </c>
      <c r="O3441" s="2">
        <f ca="1"/>
        <v>0.47623975884466674</v>
      </c>
      <c r="X3441" s="2">
        <f ca="1"/>
        <v>61.49960007307407</v>
      </c>
      <c r="AG3441" s="2">
        <f ca="1"/>
        <v>0.590292458380137</v>
      </c>
      <c r="AH3441" s="2" t="str">
        <f ca="1"/>
        <v>Bad</v>
      </c>
    </row>
    <row r="3442" spans="2:34" x14ac:dyDescent="0.2">
      <c r="B3442" s="2">
        <f ca="1"/>
        <v>0.54308102231774313</v>
      </c>
      <c r="O3442" s="2">
        <f ca="1"/>
        <v>1.4337828469901748</v>
      </c>
      <c r="X3442" s="2">
        <f ca="1"/>
        <v>73.658446263170106</v>
      </c>
      <c r="AG3442" s="2">
        <f ca="1"/>
        <v>0.43021217151547386</v>
      </c>
      <c r="AH3442" s="2" t="str">
        <f ca="1"/>
        <v>Bad</v>
      </c>
    </row>
    <row r="3443" spans="2:34" x14ac:dyDescent="0.2">
      <c r="B3443" s="2">
        <f ca="1"/>
        <v>0.93036176979577934</v>
      </c>
      <c r="O3443" s="2">
        <f ca="1"/>
        <v>0.61089966325435785</v>
      </c>
      <c r="X3443" s="2">
        <f ca="1"/>
        <v>47.503022486203278</v>
      </c>
      <c r="AG3443" s="2">
        <f ca="1"/>
        <v>0.23674299794754861</v>
      </c>
      <c r="AH3443" s="2" t="str">
        <f ca="1"/>
        <v>OK</v>
      </c>
    </row>
    <row r="3444" spans="2:34" x14ac:dyDescent="0.2">
      <c r="B3444" s="2">
        <f ca="1"/>
        <v>0.37526529647396423</v>
      </c>
      <c r="O3444" s="2">
        <f ca="1"/>
        <v>1.5907331596159702</v>
      </c>
      <c r="X3444" s="2">
        <f ca="1"/>
        <v>45.155016653889518</v>
      </c>
      <c r="AG3444" s="2">
        <f ca="1"/>
        <v>0.2242535499133933</v>
      </c>
      <c r="AH3444" s="2" t="str">
        <f ca="1"/>
        <v>OK</v>
      </c>
    </row>
    <row r="3445" spans="2:34" x14ac:dyDescent="0.2">
      <c r="B3445" s="2">
        <f ca="1"/>
        <v>0.40862019613942424</v>
      </c>
      <c r="O3445" s="2">
        <f ca="1"/>
        <v>-0.71385420847652392</v>
      </c>
      <c r="X3445" s="2">
        <f ca="1"/>
        <v>25.071173591171426</v>
      </c>
      <c r="AG3445" s="2">
        <f ca="1"/>
        <v>0.70203919443718066</v>
      </c>
      <c r="AH3445" s="2" t="str">
        <f ca="1"/>
        <v>Bad</v>
      </c>
    </row>
    <row r="3446" spans="2:34" x14ac:dyDescent="0.2">
      <c r="B3446" s="2">
        <f ca="1"/>
        <v>0.24672648644552497</v>
      </c>
      <c r="O3446" s="2">
        <f ca="1"/>
        <v>0.90090355514703591</v>
      </c>
      <c r="X3446" s="2">
        <f ca="1"/>
        <v>36.740293198159407</v>
      </c>
      <c r="AG3446" s="2">
        <f ca="1"/>
        <v>0.15010402812352153</v>
      </c>
      <c r="AH3446" s="2" t="str">
        <f ca="1"/>
        <v>OK</v>
      </c>
    </row>
    <row r="3447" spans="2:34" x14ac:dyDescent="0.2">
      <c r="B3447" s="2">
        <f ca="1"/>
        <v>0.48060811932221026</v>
      </c>
      <c r="O3447" s="2">
        <f ca="1"/>
        <v>0.55075266372695253</v>
      </c>
      <c r="X3447" s="2">
        <f ca="1"/>
        <v>61.454665521107742</v>
      </c>
      <c r="AG3447" s="2">
        <f ca="1"/>
        <v>0.32598488431749773</v>
      </c>
      <c r="AH3447" s="2" t="str">
        <f ca="1"/>
        <v>OK</v>
      </c>
    </row>
    <row r="3448" spans="2:34" x14ac:dyDescent="0.2">
      <c r="B3448" s="2">
        <f ca="1"/>
        <v>0.58888622473169483</v>
      </c>
      <c r="O3448" s="2">
        <f ca="1"/>
        <v>-0.60226735804549925</v>
      </c>
      <c r="X3448" s="2">
        <f ca="1"/>
        <v>37.761263787627861</v>
      </c>
      <c r="AG3448" s="2">
        <f ca="1"/>
        <v>0.81572072134896034</v>
      </c>
      <c r="AH3448" s="2" t="str">
        <f ca="1"/>
        <v>Bad</v>
      </c>
    </row>
    <row r="3449" spans="2:34" x14ac:dyDescent="0.2">
      <c r="B3449" s="2">
        <f ca="1"/>
        <v>0.42015879855950145</v>
      </c>
      <c r="O3449" s="2">
        <f ca="1"/>
        <v>-1.2350584783168082</v>
      </c>
      <c r="X3449" s="2">
        <f ca="1"/>
        <v>40.72127392734955</v>
      </c>
      <c r="AG3449" s="2">
        <f ca="1"/>
        <v>0.86770857202279883</v>
      </c>
      <c r="AH3449" s="2" t="str">
        <f ca="1"/>
        <v>Bad</v>
      </c>
    </row>
    <row r="3450" spans="2:34" x14ac:dyDescent="0.2">
      <c r="B3450" s="2">
        <f ca="1"/>
        <v>4.5434523247250391E-2</v>
      </c>
      <c r="O3450" s="2">
        <f ca="1"/>
        <v>0.17738221623394657</v>
      </c>
      <c r="X3450" s="2">
        <f ca="1"/>
        <v>51.120512208170858</v>
      </c>
      <c r="AG3450" s="2">
        <f ca="1"/>
        <v>0.64388306697906117</v>
      </c>
      <c r="AH3450" s="2" t="str">
        <f ca="1"/>
        <v>Bad</v>
      </c>
    </row>
    <row r="3451" spans="2:34" x14ac:dyDescent="0.2">
      <c r="B3451" s="2">
        <f ca="1"/>
        <v>0.42107235104456975</v>
      </c>
      <c r="O3451" s="2">
        <f ca="1"/>
        <v>-0.63261745689240156</v>
      </c>
      <c r="X3451" s="2">
        <f ca="1"/>
        <v>58.42854599598337</v>
      </c>
      <c r="AG3451" s="2">
        <f ca="1"/>
        <v>0.31549482369459758</v>
      </c>
      <c r="AH3451" s="2" t="str">
        <f ca="1"/>
        <v>OK</v>
      </c>
    </row>
    <row r="3452" spans="2:34" x14ac:dyDescent="0.2">
      <c r="B3452" s="2">
        <f ca="1"/>
        <v>0.46827981368120497</v>
      </c>
      <c r="O3452" s="2">
        <f ca="1"/>
        <v>-0.1752619831155908</v>
      </c>
      <c r="X3452" s="2">
        <f ca="1"/>
        <v>57.244311366867237</v>
      </c>
      <c r="AG3452" s="2">
        <f ca="1"/>
        <v>0.67438322356684721</v>
      </c>
      <c r="AH3452" s="2" t="str">
        <f ca="1"/>
        <v>Bad</v>
      </c>
    </row>
    <row r="3453" spans="2:34" x14ac:dyDescent="0.2">
      <c r="B3453" s="2">
        <f ca="1"/>
        <v>5.745551528582804E-2</v>
      </c>
      <c r="O3453" s="2">
        <f ca="1"/>
        <v>-0.27653286083895179</v>
      </c>
      <c r="X3453" s="2">
        <f ca="1"/>
        <v>60.130519171012835</v>
      </c>
      <c r="AG3453" s="2">
        <f ca="1"/>
        <v>0.25614530750265652</v>
      </c>
      <c r="AH3453" s="2" t="str">
        <f ca="1"/>
        <v>OK</v>
      </c>
    </row>
    <row r="3454" spans="2:34" x14ac:dyDescent="0.2">
      <c r="B3454" s="2">
        <f ca="1"/>
        <v>0.70578526553679244</v>
      </c>
      <c r="O3454" s="2">
        <f ca="1"/>
        <v>-1.647689852438097</v>
      </c>
      <c r="X3454" s="2">
        <f ca="1"/>
        <v>52.322907059279224</v>
      </c>
      <c r="AG3454" s="2">
        <f ca="1"/>
        <v>0.62503896632831779</v>
      </c>
      <c r="AH3454" s="2" t="str">
        <f ca="1"/>
        <v>Bad</v>
      </c>
    </row>
    <row r="3455" spans="2:34" x14ac:dyDescent="0.2">
      <c r="B3455" s="2">
        <f ca="1"/>
        <v>0.98285975313444607</v>
      </c>
      <c r="O3455" s="2">
        <f ca="1"/>
        <v>0.92297820751490389</v>
      </c>
      <c r="X3455" s="2">
        <f ca="1"/>
        <v>42.076531323725177</v>
      </c>
      <c r="AG3455" s="2">
        <f ca="1"/>
        <v>0.3867189406544147</v>
      </c>
      <c r="AH3455" s="2" t="str">
        <f ca="1"/>
        <v>OK</v>
      </c>
    </row>
    <row r="3456" spans="2:34" x14ac:dyDescent="0.2">
      <c r="B3456" s="2">
        <f ca="1"/>
        <v>7.4491875393775775E-2</v>
      </c>
      <c r="O3456" s="2">
        <f ca="1"/>
        <v>-3.6022830126797731E-2</v>
      </c>
      <c r="X3456" s="2">
        <f ca="1"/>
        <v>23.109531851649585</v>
      </c>
      <c r="AG3456" s="2">
        <f ca="1"/>
        <v>0.59214905005337659</v>
      </c>
      <c r="AH3456" s="2" t="str">
        <f ca="1"/>
        <v>Bad</v>
      </c>
    </row>
    <row r="3457" spans="2:34" x14ac:dyDescent="0.2">
      <c r="B3457" s="2">
        <f ca="1"/>
        <v>0.59898272589441603</v>
      </c>
      <c r="O3457" s="2">
        <f ca="1"/>
        <v>0.9892134108553321</v>
      </c>
      <c r="X3457" s="2">
        <f ca="1"/>
        <v>66.044393468263635</v>
      </c>
      <c r="AG3457" s="2">
        <f ca="1"/>
        <v>0.831769566423187</v>
      </c>
      <c r="AH3457" s="2" t="str">
        <f ca="1"/>
        <v>Bad</v>
      </c>
    </row>
    <row r="3458" spans="2:34" x14ac:dyDescent="0.2">
      <c r="B3458" s="2">
        <f ca="1"/>
        <v>0.57997643780455266</v>
      </c>
      <c r="O3458" s="2">
        <f ca="1"/>
        <v>-0.13359755027185494</v>
      </c>
      <c r="X3458" s="2">
        <f ca="1"/>
        <v>61.490617020158723</v>
      </c>
      <c r="AG3458" s="2">
        <f ca="1"/>
        <v>0.93950429596493401</v>
      </c>
      <c r="AH3458" s="2" t="str">
        <f ca="1"/>
        <v>Bad</v>
      </c>
    </row>
    <row r="3459" spans="2:34" x14ac:dyDescent="0.2">
      <c r="B3459" s="2">
        <f ca="1"/>
        <v>0.78333019001373483</v>
      </c>
      <c r="O3459" s="2">
        <f ca="1"/>
        <v>7.4393403142103062E-2</v>
      </c>
      <c r="X3459" s="2">
        <f ca="1"/>
        <v>55.991417955645005</v>
      </c>
      <c r="AG3459" s="2">
        <f ca="1"/>
        <v>0.18740870929720099</v>
      </c>
      <c r="AH3459" s="2" t="str">
        <f ca="1"/>
        <v>OK</v>
      </c>
    </row>
    <row r="3460" spans="2:34" x14ac:dyDescent="0.2">
      <c r="B3460" s="2">
        <f ca="1"/>
        <v>0.87159342086171288</v>
      </c>
      <c r="O3460" s="2">
        <f ca="1"/>
        <v>-0.6336334196538228</v>
      </c>
      <c r="X3460" s="2">
        <f ca="1"/>
        <v>40.691821830505702</v>
      </c>
      <c r="AG3460" s="2">
        <f ca="1"/>
        <v>0.39908235721546137</v>
      </c>
      <c r="AH3460" s="2" t="str">
        <f ca="1"/>
        <v>OK</v>
      </c>
    </row>
    <row r="3461" spans="2:34" x14ac:dyDescent="0.2">
      <c r="B3461" s="2">
        <f ca="1"/>
        <v>0.82187634434463819</v>
      </c>
      <c r="O3461" s="2">
        <f ca="1"/>
        <v>-1.1976516526635606</v>
      </c>
      <c r="X3461" s="2">
        <f ca="1"/>
        <v>71.128180124244253</v>
      </c>
      <c r="AG3461" s="2">
        <f ca="1"/>
        <v>0.77019528286769168</v>
      </c>
      <c r="AH3461" s="2" t="str">
        <f ca="1"/>
        <v>Bad</v>
      </c>
    </row>
    <row r="3462" spans="2:34" x14ac:dyDescent="0.2">
      <c r="B3462" s="2">
        <f ca="1"/>
        <v>0.79841831462966728</v>
      </c>
      <c r="O3462" s="2">
        <f ca="1"/>
        <v>-1.0633373943720008</v>
      </c>
      <c r="X3462" s="2">
        <f ca="1"/>
        <v>26.417855890428893</v>
      </c>
      <c r="AG3462" s="2">
        <f ca="1"/>
        <v>0.6068083314065964</v>
      </c>
      <c r="AH3462" s="2" t="str">
        <f ca="1"/>
        <v>Bad</v>
      </c>
    </row>
    <row r="3463" spans="2:34" x14ac:dyDescent="0.2">
      <c r="B3463" s="2">
        <f ca="1"/>
        <v>0.54943007195801896</v>
      </c>
      <c r="O3463" s="2">
        <f ca="1"/>
        <v>1.0581172965659018</v>
      </c>
      <c r="X3463" s="2">
        <f ca="1"/>
        <v>48.408485380291154</v>
      </c>
      <c r="AG3463" s="2">
        <f ca="1"/>
        <v>0.73165487916206695</v>
      </c>
      <c r="AH3463" s="2" t="str">
        <f ca="1"/>
        <v>Bad</v>
      </c>
    </row>
    <row r="3464" spans="2:34" x14ac:dyDescent="0.2">
      <c r="B3464" s="2">
        <f ca="1"/>
        <v>0.94618898327813517</v>
      </c>
      <c r="O3464" s="2">
        <f ca="1"/>
        <v>0.72500799890410306</v>
      </c>
      <c r="X3464" s="2">
        <f ca="1"/>
        <v>37.692898249181745</v>
      </c>
      <c r="AG3464" s="2">
        <f ca="1"/>
        <v>0.40765131290434531</v>
      </c>
      <c r="AH3464" s="2" t="str">
        <f ca="1"/>
        <v>Bad</v>
      </c>
    </row>
    <row r="3465" spans="2:34" x14ac:dyDescent="0.2">
      <c r="B3465" s="2">
        <f ca="1"/>
        <v>0.7360470509378354</v>
      </c>
      <c r="O3465" s="2">
        <f ca="1"/>
        <v>0.2031799130201539</v>
      </c>
      <c r="X3465" s="2">
        <f ca="1"/>
        <v>49.083582741220354</v>
      </c>
      <c r="AG3465" s="2">
        <f ca="1"/>
        <v>0.91796743266800029</v>
      </c>
      <c r="AH3465" s="2" t="str">
        <f ca="1"/>
        <v>Bad</v>
      </c>
    </row>
    <row r="3466" spans="2:34" x14ac:dyDescent="0.2">
      <c r="B3466" s="2">
        <f ca="1"/>
        <v>0.84409603001319478</v>
      </c>
      <c r="O3466" s="2">
        <f ca="1"/>
        <v>-0.37171856701318329</v>
      </c>
      <c r="X3466" s="2">
        <f ca="1"/>
        <v>56.018937992522517</v>
      </c>
      <c r="AG3466" s="2">
        <f ca="1"/>
        <v>0.51675248755430681</v>
      </c>
      <c r="AH3466" s="2" t="str">
        <f ca="1"/>
        <v>Bad</v>
      </c>
    </row>
    <row r="3467" spans="2:34" x14ac:dyDescent="0.2">
      <c r="B3467" s="2">
        <f ca="1"/>
        <v>0.95217701666934995</v>
      </c>
      <c r="O3467" s="2">
        <f ca="1"/>
        <v>-1.3237132608786195E-2</v>
      </c>
      <c r="X3467" s="2">
        <f ca="1"/>
        <v>49.036665801693346</v>
      </c>
      <c r="AG3467" s="2">
        <f ca="1"/>
        <v>4.3116275233935575E-2</v>
      </c>
      <c r="AH3467" s="2" t="str">
        <f ca="1"/>
        <v>Good</v>
      </c>
    </row>
    <row r="3468" spans="2:34" x14ac:dyDescent="0.2">
      <c r="B3468" s="2">
        <f ca="1"/>
        <v>0.29645678050565483</v>
      </c>
      <c r="O3468" s="2">
        <f ca="1"/>
        <v>-0.63813125134264237</v>
      </c>
      <c r="X3468" s="2">
        <f ca="1"/>
        <v>61.887826627788428</v>
      </c>
      <c r="AG3468" s="2">
        <f ca="1"/>
        <v>0.95871501949918336</v>
      </c>
      <c r="AH3468" s="2" t="str">
        <f ca="1"/>
        <v>Bad</v>
      </c>
    </row>
    <row r="3469" spans="2:34" x14ac:dyDescent="0.2">
      <c r="B3469" s="2">
        <f ca="1"/>
        <v>0.3079463638107609</v>
      </c>
      <c r="O3469" s="2">
        <f ca="1"/>
        <v>8.5744226551596209E-3</v>
      </c>
      <c r="X3469" s="2">
        <f ca="1"/>
        <v>32.278281868250019</v>
      </c>
      <c r="AG3469" s="2">
        <f ca="1"/>
        <v>0.95176566668430884</v>
      </c>
      <c r="AH3469" s="2" t="str">
        <f ca="1"/>
        <v>Bad</v>
      </c>
    </row>
    <row r="3470" spans="2:34" x14ac:dyDescent="0.2">
      <c r="B3470" s="2">
        <f ca="1"/>
        <v>0.73591903171340589</v>
      </c>
      <c r="O3470" s="2">
        <f ca="1"/>
        <v>0.98639884508108222</v>
      </c>
      <c r="X3470" s="2">
        <f ca="1"/>
        <v>51.451773335326642</v>
      </c>
      <c r="AG3470" s="2">
        <f ca="1"/>
        <v>0.693004861516481</v>
      </c>
      <c r="AH3470" s="2" t="str">
        <f ca="1"/>
        <v>Bad</v>
      </c>
    </row>
    <row r="3471" spans="2:34" x14ac:dyDescent="0.2">
      <c r="B3471" s="2">
        <f ca="1"/>
        <v>0.92620279619816848</v>
      </c>
      <c r="O3471" s="2">
        <f ca="1"/>
        <v>0.5226031687540611</v>
      </c>
      <c r="X3471" s="2">
        <f ca="1"/>
        <v>46.696152963269249</v>
      </c>
      <c r="AG3471" s="2">
        <f ca="1"/>
        <v>0.83998099302468998</v>
      </c>
      <c r="AH3471" s="2" t="str">
        <f ca="1"/>
        <v>Bad</v>
      </c>
    </row>
    <row r="3472" spans="2:34" x14ac:dyDescent="0.2">
      <c r="B3472" s="2">
        <f ca="1"/>
        <v>0.1026798099055044</v>
      </c>
      <c r="O3472" s="2">
        <f ca="1"/>
        <v>-2.3957043103783375</v>
      </c>
      <c r="X3472" s="2">
        <f ca="1"/>
        <v>44.324243454505812</v>
      </c>
      <c r="AG3472" s="2">
        <f ca="1"/>
        <v>0.67496438378050305</v>
      </c>
      <c r="AH3472" s="2" t="str">
        <f ca="1"/>
        <v>Bad</v>
      </c>
    </row>
    <row r="3473" spans="2:34" x14ac:dyDescent="0.2">
      <c r="B3473" s="2">
        <f ca="1"/>
        <v>0.50203860623797958</v>
      </c>
      <c r="O3473" s="2">
        <f ca="1"/>
        <v>-0.84453005177703988</v>
      </c>
      <c r="X3473" s="2">
        <f ca="1"/>
        <v>73.573019928264486</v>
      </c>
      <c r="AG3473" s="2">
        <f ca="1"/>
        <v>3.2125770022129574E-2</v>
      </c>
      <c r="AH3473" s="2" t="str">
        <f ca="1"/>
        <v>Good</v>
      </c>
    </row>
    <row r="3474" spans="2:34" x14ac:dyDescent="0.2">
      <c r="B3474" s="2">
        <f ca="1"/>
        <v>0.45784235450771793</v>
      </c>
      <c r="O3474" s="2">
        <f ca="1"/>
        <v>-0.13062169503923773</v>
      </c>
      <c r="X3474" s="2">
        <f ca="1"/>
        <v>51.759201849024763</v>
      </c>
      <c r="AG3474" s="2">
        <f ca="1"/>
        <v>0.52064482394881328</v>
      </c>
      <c r="AH3474" s="2" t="str">
        <f ca="1"/>
        <v>Bad</v>
      </c>
    </row>
    <row r="3475" spans="2:34" x14ac:dyDescent="0.2">
      <c r="B3475" s="2">
        <f ca="1"/>
        <v>0.36024722395432973</v>
      </c>
      <c r="O3475" s="2">
        <f ca="1"/>
        <v>-1.4442679531996867</v>
      </c>
      <c r="X3475" s="2">
        <f ca="1"/>
        <v>42.778593331261128</v>
      </c>
      <c r="AG3475" s="2">
        <f ca="1"/>
        <v>0.37968667859562655</v>
      </c>
      <c r="AH3475" s="2" t="str">
        <f ca="1"/>
        <v>OK</v>
      </c>
    </row>
    <row r="3476" spans="2:34" x14ac:dyDescent="0.2">
      <c r="B3476" s="2">
        <f ca="1"/>
        <v>0.28557064546503885</v>
      </c>
      <c r="O3476" s="2">
        <f ca="1"/>
        <v>-0.1491530123574088</v>
      </c>
      <c r="X3476" s="2">
        <f ca="1"/>
        <v>49.471051524627796</v>
      </c>
      <c r="AG3476" s="2">
        <f ca="1"/>
        <v>0.27374931127860003</v>
      </c>
      <c r="AH3476" s="2" t="str">
        <f ca="1"/>
        <v>OK</v>
      </c>
    </row>
    <row r="3477" spans="2:34" x14ac:dyDescent="0.2">
      <c r="B3477" s="2">
        <f ca="1"/>
        <v>4.983526590114673E-2</v>
      </c>
      <c r="O3477" s="2">
        <f ca="1"/>
        <v>-0.20190038262182339</v>
      </c>
      <c r="X3477" s="2">
        <f ca="1"/>
        <v>40.113465421956604</v>
      </c>
      <c r="AG3477" s="2">
        <f ca="1"/>
        <v>0.70256413538144669</v>
      </c>
      <c r="AH3477" s="2" t="str">
        <f ca="1"/>
        <v>Bad</v>
      </c>
    </row>
    <row r="3478" spans="2:34" x14ac:dyDescent="0.2">
      <c r="B3478" s="2">
        <f ca="1"/>
        <v>0.54031739635607834</v>
      </c>
      <c r="O3478" s="2">
        <f ca="1"/>
        <v>0.57953355351341107</v>
      </c>
      <c r="X3478" s="2">
        <f ca="1"/>
        <v>40.643634145061725</v>
      </c>
      <c r="AG3478" s="2">
        <f ca="1"/>
        <v>0.47382834901350002</v>
      </c>
      <c r="AH3478" s="2" t="str">
        <f ca="1"/>
        <v>Bad</v>
      </c>
    </row>
    <row r="3479" spans="2:34" x14ac:dyDescent="0.2">
      <c r="B3479" s="2">
        <f ca="1"/>
        <v>0.51438120972259571</v>
      </c>
      <c r="O3479" s="2">
        <f ca="1"/>
        <v>1.0615636998711273</v>
      </c>
      <c r="X3479" s="2">
        <f ca="1"/>
        <v>89.023994098253922</v>
      </c>
      <c r="AG3479" s="2">
        <f ca="1"/>
        <v>0.27483758911186795</v>
      </c>
      <c r="AH3479" s="2" t="str">
        <f ca="1"/>
        <v>OK</v>
      </c>
    </row>
    <row r="3480" spans="2:34" x14ac:dyDescent="0.2">
      <c r="B3480" s="2">
        <f ca="1"/>
        <v>0.30963910614575418</v>
      </c>
      <c r="O3480" s="2">
        <f ca="1"/>
        <v>-1.4806014993767889</v>
      </c>
      <c r="X3480" s="2">
        <f ca="1"/>
        <v>69.353319578718782</v>
      </c>
      <c r="AG3480" s="2">
        <f ca="1"/>
        <v>0.52348324047664541</v>
      </c>
      <c r="AH3480" s="2" t="str">
        <f ca="1"/>
        <v>Bad</v>
      </c>
    </row>
    <row r="3481" spans="2:34" x14ac:dyDescent="0.2">
      <c r="B3481" s="2">
        <f ca="1"/>
        <v>0.88283515469093499</v>
      </c>
      <c r="O3481" s="2">
        <f ca="1"/>
        <v>0.92005558473937643</v>
      </c>
      <c r="X3481" s="2">
        <f ca="1"/>
        <v>40.397714452737702</v>
      </c>
      <c r="AG3481" s="2">
        <f ca="1"/>
        <v>0.265578991900836</v>
      </c>
      <c r="AH3481" s="2" t="str">
        <f ca="1"/>
        <v>OK</v>
      </c>
    </row>
    <row r="3482" spans="2:34" x14ac:dyDescent="0.2">
      <c r="B3482" s="2">
        <f ca="1"/>
        <v>0.38387089085740378</v>
      </c>
      <c r="O3482" s="2">
        <f ca="1"/>
        <v>-0.48489127985976255</v>
      </c>
      <c r="X3482" s="2">
        <f ca="1"/>
        <v>76.496689555441165</v>
      </c>
      <c r="AG3482" s="2">
        <f ca="1"/>
        <v>0.5727277047743331</v>
      </c>
      <c r="AH3482" s="2" t="str">
        <f ca="1"/>
        <v>Bad</v>
      </c>
    </row>
    <row r="3483" spans="2:34" x14ac:dyDescent="0.2">
      <c r="B3483" s="2">
        <f ca="1"/>
        <v>0.69499741185912089</v>
      </c>
      <c r="O3483" s="2">
        <f ca="1"/>
        <v>-0.42983924110015359</v>
      </c>
      <c r="X3483" s="2">
        <f ca="1"/>
        <v>74.560357509128011</v>
      </c>
      <c r="AG3483" s="2">
        <f ca="1"/>
        <v>0.27592579698424347</v>
      </c>
      <c r="AH3483" s="2" t="str">
        <f ca="1"/>
        <v>OK</v>
      </c>
    </row>
    <row r="3484" spans="2:34" x14ac:dyDescent="0.2">
      <c r="B3484" s="2">
        <f ca="1"/>
        <v>0.1230665024969666</v>
      </c>
      <c r="O3484" s="2">
        <f ca="1"/>
        <v>0.11785197181829601</v>
      </c>
      <c r="X3484" s="2">
        <f ca="1"/>
        <v>64.281865995646882</v>
      </c>
      <c r="AG3484" s="2">
        <f ca="1"/>
        <v>0.82754304840233717</v>
      </c>
      <c r="AH3484" s="2" t="str">
        <f ca="1"/>
        <v>Bad</v>
      </c>
    </row>
    <row r="3485" spans="2:34" x14ac:dyDescent="0.2">
      <c r="B3485" s="2">
        <f ca="1"/>
        <v>0.43560933077861441</v>
      </c>
      <c r="O3485" s="2">
        <f ca="1"/>
        <v>0.36278120638111871</v>
      </c>
      <c r="X3485" s="2">
        <f ca="1"/>
        <v>62.988545467931516</v>
      </c>
      <c r="AG3485" s="2">
        <f ca="1"/>
        <v>0.46883737469207976</v>
      </c>
      <c r="AH3485" s="2" t="str">
        <f ca="1"/>
        <v>Bad</v>
      </c>
    </row>
    <row r="3486" spans="2:34" x14ac:dyDescent="0.2">
      <c r="B3486" s="2">
        <f ca="1"/>
        <v>0.7998097126032444</v>
      </c>
      <c r="O3486" s="2">
        <f ca="1"/>
        <v>1.1372278684003279</v>
      </c>
      <c r="X3486" s="2">
        <f ca="1"/>
        <v>36.473547097833809</v>
      </c>
      <c r="AG3486" s="2">
        <f ca="1"/>
        <v>0.42821331498029802</v>
      </c>
      <c r="AH3486" s="2" t="str">
        <f ca="1"/>
        <v>Bad</v>
      </c>
    </row>
    <row r="3487" spans="2:34" x14ac:dyDescent="0.2">
      <c r="B3487" s="2">
        <f ca="1"/>
        <v>0.49010924179816184</v>
      </c>
      <c r="O3487" s="2">
        <f ca="1"/>
        <v>-8.6335033018874324E-2</v>
      </c>
      <c r="X3487" s="2">
        <f ca="1"/>
        <v>32.403732986966553</v>
      </c>
      <c r="AG3487" s="2">
        <f ca="1"/>
        <v>1.9957994252578271E-2</v>
      </c>
      <c r="AH3487" s="2" t="str">
        <f ca="1"/>
        <v>Good</v>
      </c>
    </row>
    <row r="3488" spans="2:34" x14ac:dyDescent="0.2">
      <c r="B3488" s="2">
        <f ca="1"/>
        <v>0.6565886171368629</v>
      </c>
      <c r="O3488" s="2">
        <f ca="1"/>
        <v>0.19207063466528568</v>
      </c>
      <c r="X3488" s="2">
        <f ca="1"/>
        <v>34.053106779990252</v>
      </c>
      <c r="AG3488" s="2">
        <f ca="1"/>
        <v>0.24051926919639288</v>
      </c>
      <c r="AH3488" s="2" t="str">
        <f ca="1"/>
        <v>OK</v>
      </c>
    </row>
    <row r="3489" spans="2:34" x14ac:dyDescent="0.2">
      <c r="B3489" s="2">
        <f ca="1"/>
        <v>0.9697369834845333</v>
      </c>
      <c r="O3489" s="2">
        <f ca="1"/>
        <v>-0.86836864975679584</v>
      </c>
      <c r="X3489" s="2">
        <f ca="1"/>
        <v>36.282514875979068</v>
      </c>
      <c r="AG3489" s="2">
        <f ca="1"/>
        <v>0.88639452133585173</v>
      </c>
      <c r="AH3489" s="2" t="str">
        <f ca="1"/>
        <v>Bad</v>
      </c>
    </row>
    <row r="3490" spans="2:34" x14ac:dyDescent="0.2">
      <c r="B3490" s="2">
        <f ca="1"/>
        <v>0.69139614730515553</v>
      </c>
      <c r="O3490" s="2">
        <f ca="1"/>
        <v>-1.047959280276056</v>
      </c>
      <c r="X3490" s="2">
        <f ca="1"/>
        <v>49.205116766042593</v>
      </c>
      <c r="AG3490" s="2">
        <f ca="1"/>
        <v>0.61191644045823201</v>
      </c>
      <c r="AH3490" s="2" t="str">
        <f ca="1"/>
        <v>Bad</v>
      </c>
    </row>
    <row r="3491" spans="2:34" x14ac:dyDescent="0.2">
      <c r="B3491" s="2">
        <f ca="1"/>
        <v>0.67784790832693287</v>
      </c>
      <c r="O3491" s="2">
        <f ca="1"/>
        <v>0.25875696104134582</v>
      </c>
      <c r="X3491" s="2">
        <f ca="1"/>
        <v>39.22905971982766</v>
      </c>
      <c r="AG3491" s="2">
        <f ca="1"/>
        <v>0.91334109018774146</v>
      </c>
      <c r="AH3491" s="2" t="str">
        <f ca="1"/>
        <v>Bad</v>
      </c>
    </row>
    <row r="3492" spans="2:34" x14ac:dyDescent="0.2">
      <c r="B3492" s="2">
        <f ca="1"/>
        <v>0.47927557318160274</v>
      </c>
      <c r="O3492" s="2">
        <f ca="1"/>
        <v>2.1377741609347414</v>
      </c>
      <c r="X3492" s="2">
        <f ca="1"/>
        <v>42.001067271973355</v>
      </c>
      <c r="AG3492" s="2">
        <f ca="1"/>
        <v>0.46787245396656219</v>
      </c>
      <c r="AH3492" s="2" t="str">
        <f ca="1"/>
        <v>Bad</v>
      </c>
    </row>
    <row r="3493" spans="2:34" x14ac:dyDescent="0.2">
      <c r="B3493" s="2">
        <f ca="1"/>
        <v>0.26815730917002156</v>
      </c>
      <c r="O3493" s="2">
        <f ca="1"/>
        <v>1.1686970678331801</v>
      </c>
      <c r="X3493" s="2">
        <f ca="1"/>
        <v>59.853016665186509</v>
      </c>
      <c r="AG3493" s="2">
        <f ca="1"/>
        <v>0.88106737109093314</v>
      </c>
      <c r="AH3493" s="2" t="str">
        <f ca="1"/>
        <v>Bad</v>
      </c>
    </row>
    <row r="3494" spans="2:34" x14ac:dyDescent="0.2">
      <c r="B3494" s="2">
        <f ca="1"/>
        <v>7.1220561159408557E-2</v>
      </c>
      <c r="O3494" s="2">
        <f ca="1"/>
        <v>-0.63901754331772131</v>
      </c>
      <c r="X3494" s="2">
        <f ca="1"/>
        <v>68.199069502375849</v>
      </c>
      <c r="AG3494" s="2">
        <f ca="1"/>
        <v>0.14805078511592429</v>
      </c>
      <c r="AH3494" s="2" t="str">
        <f ca="1"/>
        <v>OK</v>
      </c>
    </row>
    <row r="3495" spans="2:34" x14ac:dyDescent="0.2">
      <c r="B3495" s="2">
        <f ca="1"/>
        <v>0.14397853743893818</v>
      </c>
      <c r="O3495" s="2">
        <f ca="1"/>
        <v>-0.20504908292143437</v>
      </c>
      <c r="X3495" s="2">
        <f ca="1"/>
        <v>48.555151505652546</v>
      </c>
      <c r="AG3495" s="2">
        <f ca="1"/>
        <v>2.616525792368396E-2</v>
      </c>
      <c r="AH3495" s="2" t="str">
        <f ca="1"/>
        <v>Good</v>
      </c>
    </row>
    <row r="3496" spans="2:34" x14ac:dyDescent="0.2">
      <c r="B3496" s="2">
        <f ca="1"/>
        <v>0.33898155977174582</v>
      </c>
      <c r="O3496" s="2">
        <f ca="1"/>
        <v>-0.54928275259451165</v>
      </c>
      <c r="X3496" s="2">
        <f ca="1"/>
        <v>37.268551382092745</v>
      </c>
      <c r="AG3496" s="2">
        <f ca="1"/>
        <v>0.99836152009684631</v>
      </c>
      <c r="AH3496" s="2" t="str">
        <f ca="1"/>
        <v>Bad</v>
      </c>
    </row>
    <row r="3497" spans="2:34" x14ac:dyDescent="0.2">
      <c r="B3497" s="2">
        <f ca="1"/>
        <v>0.22516960443391643</v>
      </c>
      <c r="O3497" s="2">
        <f ca="1"/>
        <v>1.2857452091596293</v>
      </c>
      <c r="X3497" s="2">
        <f ca="1"/>
        <v>16.183868948611657</v>
      </c>
      <c r="AG3497" s="2">
        <f ca="1"/>
        <v>1.1946888241204157E-2</v>
      </c>
      <c r="AH3497" s="2" t="str">
        <f ca="1"/>
        <v>Good</v>
      </c>
    </row>
    <row r="3498" spans="2:34" x14ac:dyDescent="0.2">
      <c r="B3498" s="2">
        <f ca="1"/>
        <v>0.60092409392151325</v>
      </c>
      <c r="O3498" s="2">
        <f ca="1"/>
        <v>-0.53762171804529657</v>
      </c>
      <c r="X3498" s="2">
        <f ca="1"/>
        <v>33.09053536749343</v>
      </c>
      <c r="AG3498" s="2">
        <f ca="1"/>
        <v>0.67421386003397754</v>
      </c>
      <c r="AH3498" s="2" t="str">
        <f ca="1"/>
        <v>Bad</v>
      </c>
    </row>
    <row r="3499" spans="2:34" x14ac:dyDescent="0.2">
      <c r="B3499" s="2">
        <f ca="1"/>
        <v>0.17754189492727157</v>
      </c>
      <c r="O3499" s="2">
        <f ca="1"/>
        <v>-0.82857342567240588</v>
      </c>
      <c r="X3499" s="2">
        <f ca="1"/>
        <v>32.767688787996853</v>
      </c>
      <c r="AG3499" s="2">
        <f ca="1"/>
        <v>0.92751876124682164</v>
      </c>
      <c r="AH3499" s="2" t="str">
        <f ca="1"/>
        <v>Bad</v>
      </c>
    </row>
    <row r="3500" spans="2:34" x14ac:dyDescent="0.2">
      <c r="B3500" s="2">
        <f ca="1"/>
        <v>0.98443024729661444</v>
      </c>
      <c r="O3500" s="2">
        <f ca="1"/>
        <v>-0.24719728074505928</v>
      </c>
      <c r="X3500" s="2">
        <f ca="1"/>
        <v>70.954573375548236</v>
      </c>
      <c r="AG3500" s="2">
        <f ca="1"/>
        <v>0.3264268724612458</v>
      </c>
      <c r="AH3500" s="2" t="str">
        <f ca="1"/>
        <v>OK</v>
      </c>
    </row>
    <row r="3501" spans="2:34" x14ac:dyDescent="0.2">
      <c r="B3501" s="2">
        <f ca="1"/>
        <v>0.27495265706860761</v>
      </c>
      <c r="O3501" s="2">
        <f ca="1"/>
        <v>-0.77545704730299636</v>
      </c>
      <c r="X3501" s="2">
        <f ca="1"/>
        <v>55.584813708510374</v>
      </c>
      <c r="AG3501" s="2">
        <f ca="1"/>
        <v>0.29911645660764585</v>
      </c>
      <c r="AH3501" s="2" t="str">
        <f ca="1"/>
        <v>OK</v>
      </c>
    </row>
    <row r="3502" spans="2:34" x14ac:dyDescent="0.2">
      <c r="B3502" s="2">
        <f ca="1"/>
        <v>0.94641439830629848</v>
      </c>
      <c r="O3502" s="2">
        <f ca="1"/>
        <v>-6.7349122199718892E-2</v>
      </c>
      <c r="X3502" s="2">
        <f ca="1"/>
        <v>43.21366465876671</v>
      </c>
      <c r="AG3502" s="2">
        <f ca="1"/>
        <v>0.14102100799382256</v>
      </c>
      <c r="AH3502" s="2" t="str">
        <f ca="1"/>
        <v>OK</v>
      </c>
    </row>
    <row r="3503" spans="2:34" x14ac:dyDescent="0.2">
      <c r="B3503" s="2">
        <f ca="1"/>
        <v>0.89155210322428791</v>
      </c>
      <c r="O3503" s="2">
        <f ca="1"/>
        <v>0.24413678621568516</v>
      </c>
      <c r="X3503" s="2">
        <f ca="1"/>
        <v>48.695138764827405</v>
      </c>
      <c r="AG3503" s="2">
        <f ca="1"/>
        <v>0.57953389185751969</v>
      </c>
      <c r="AH3503" s="2" t="str">
        <f ca="1"/>
        <v>Bad</v>
      </c>
    </row>
    <row r="3504" spans="2:34" x14ac:dyDescent="0.2">
      <c r="B3504" s="2">
        <f ca="1"/>
        <v>0.34590266406098147</v>
      </c>
      <c r="O3504" s="2">
        <f ca="1"/>
        <v>-1.6638373209240733</v>
      </c>
      <c r="X3504" s="2">
        <f ca="1"/>
        <v>45.222301647158119</v>
      </c>
      <c r="AG3504" s="2">
        <f ca="1"/>
        <v>0.15240015424234121</v>
      </c>
      <c r="AH3504" s="2" t="str">
        <f ca="1"/>
        <v>OK</v>
      </c>
    </row>
    <row r="3505" spans="2:34" x14ac:dyDescent="0.2">
      <c r="B3505" s="2">
        <f ca="1"/>
        <v>0.76270471076327984</v>
      </c>
      <c r="O3505" s="2">
        <f ca="1"/>
        <v>-0.40113879310632927</v>
      </c>
      <c r="X3505" s="2">
        <f ca="1"/>
        <v>48.232176029204403</v>
      </c>
      <c r="AG3505" s="2">
        <f ca="1"/>
        <v>0.9295247775376323</v>
      </c>
      <c r="AH3505" s="2" t="str">
        <f ca="1"/>
        <v>Bad</v>
      </c>
    </row>
    <row r="3506" spans="2:34" x14ac:dyDescent="0.2">
      <c r="B3506" s="2">
        <f ca="1"/>
        <v>0.95983949292294124</v>
      </c>
      <c r="O3506" s="2">
        <f ca="1"/>
        <v>1.0980214041389114</v>
      </c>
      <c r="X3506" s="2">
        <f ca="1"/>
        <v>34.812995210487976</v>
      </c>
      <c r="AG3506" s="2">
        <f ca="1"/>
        <v>0.97029746999398436</v>
      </c>
      <c r="AH3506" s="2" t="str">
        <f ca="1"/>
        <v>Bad</v>
      </c>
    </row>
    <row r="3507" spans="2:34" x14ac:dyDescent="0.2">
      <c r="B3507" s="2">
        <f ca="1"/>
        <v>2.8295776470780298E-2</v>
      </c>
      <c r="O3507" s="2">
        <f ca="1"/>
        <v>2.2013726084588083</v>
      </c>
      <c r="X3507" s="2">
        <f ca="1"/>
        <v>42.886834655096429</v>
      </c>
      <c r="AG3507" s="2">
        <f ca="1"/>
        <v>0.78004955329969183</v>
      </c>
      <c r="AH3507" s="2" t="str">
        <f ca="1"/>
        <v>Bad</v>
      </c>
    </row>
    <row r="3508" spans="2:34" x14ac:dyDescent="0.2">
      <c r="B3508" s="2">
        <f ca="1"/>
        <v>0.37067088528499736</v>
      </c>
      <c r="O3508" s="2">
        <f ca="1"/>
        <v>0.42155359079176608</v>
      </c>
      <c r="X3508" s="2">
        <f ca="1"/>
        <v>25.759620210743481</v>
      </c>
      <c r="AG3508" s="2">
        <f ca="1"/>
        <v>0.20525926486788881</v>
      </c>
      <c r="AH3508" s="2" t="str">
        <f ca="1"/>
        <v>OK</v>
      </c>
    </row>
    <row r="3509" spans="2:34" x14ac:dyDescent="0.2">
      <c r="B3509" s="2">
        <f ca="1"/>
        <v>0.19423393923115828</v>
      </c>
      <c r="O3509" s="2">
        <f ca="1"/>
        <v>-0.35650916604631305</v>
      </c>
      <c r="X3509" s="2">
        <f ca="1"/>
        <v>44.358113312852218</v>
      </c>
      <c r="AG3509" s="2">
        <f ca="1"/>
        <v>0.50037621924355125</v>
      </c>
      <c r="AH3509" s="2" t="str">
        <f ca="1"/>
        <v>Bad</v>
      </c>
    </row>
    <row r="3510" spans="2:34" x14ac:dyDescent="0.2">
      <c r="B3510" s="2">
        <f ca="1"/>
        <v>4.2089312590054107E-2</v>
      </c>
      <c r="O3510" s="2">
        <f ca="1"/>
        <v>0.50901985392560445</v>
      </c>
      <c r="X3510" s="2">
        <f ca="1"/>
        <v>37.814826229307926</v>
      </c>
      <c r="AG3510" s="2">
        <f ca="1"/>
        <v>0.60917669147316444</v>
      </c>
      <c r="AH3510" s="2" t="str">
        <f ca="1"/>
        <v>Bad</v>
      </c>
    </row>
    <row r="3511" spans="2:34" x14ac:dyDescent="0.2">
      <c r="B3511" s="2">
        <f ca="1"/>
        <v>0.20255671933170882</v>
      </c>
      <c r="O3511" s="2">
        <f ca="1"/>
        <v>0.88485394050545885</v>
      </c>
      <c r="X3511" s="2">
        <f ca="1"/>
        <v>60.820666055535035</v>
      </c>
      <c r="AG3511" s="2">
        <f ca="1"/>
        <v>0.63939090387959463</v>
      </c>
      <c r="AH3511" s="2" t="str">
        <f ca="1"/>
        <v>Bad</v>
      </c>
    </row>
    <row r="3512" spans="2:34" x14ac:dyDescent="0.2">
      <c r="B3512" s="2">
        <f ca="1"/>
        <v>0.57395531826731983</v>
      </c>
      <c r="O3512" s="2">
        <f ca="1"/>
        <v>-7.4769745225695489E-2</v>
      </c>
      <c r="X3512" s="2">
        <f ca="1"/>
        <v>78.955545096163917</v>
      </c>
      <c r="AG3512" s="2">
        <f ca="1"/>
        <v>0.17990983737641564</v>
      </c>
      <c r="AH3512" s="2" t="str">
        <f ca="1"/>
        <v>OK</v>
      </c>
    </row>
    <row r="3513" spans="2:34" x14ac:dyDescent="0.2">
      <c r="B3513" s="2">
        <f ca="1"/>
        <v>0.25112979664177404</v>
      </c>
      <c r="O3513" s="2">
        <f ca="1"/>
        <v>1.0241746306214292</v>
      </c>
      <c r="X3513" s="2">
        <f ca="1"/>
        <v>57.967735505137298</v>
      </c>
      <c r="AG3513" s="2">
        <f ca="1"/>
        <v>0.1554093858244876</v>
      </c>
      <c r="AH3513" s="2" t="str">
        <f ca="1"/>
        <v>OK</v>
      </c>
    </row>
    <row r="3514" spans="2:34" x14ac:dyDescent="0.2">
      <c r="B3514" s="2">
        <f ca="1"/>
        <v>1.8007534320481078E-2</v>
      </c>
      <c r="O3514" s="2">
        <f ca="1"/>
        <v>0.48034809131390682</v>
      </c>
      <c r="X3514" s="2">
        <f ca="1"/>
        <v>52.515344410225602</v>
      </c>
      <c r="AG3514" s="2">
        <f ca="1"/>
        <v>0.40770577895914806</v>
      </c>
      <c r="AH3514" s="2" t="str">
        <f ca="1"/>
        <v>Bad</v>
      </c>
    </row>
    <row r="3515" spans="2:34" x14ac:dyDescent="0.2">
      <c r="B3515" s="2">
        <f ca="1"/>
        <v>0.6533671969934729</v>
      </c>
      <c r="O3515" s="2">
        <f ca="1"/>
        <v>0.93636810335741449</v>
      </c>
      <c r="X3515" s="2">
        <f ca="1"/>
        <v>52.790433780750391</v>
      </c>
      <c r="AG3515" s="2">
        <f ca="1"/>
        <v>0.94861016895859662</v>
      </c>
      <c r="AH3515" s="2" t="str">
        <f ca="1"/>
        <v>Bad</v>
      </c>
    </row>
    <row r="3516" spans="2:34" x14ac:dyDescent="0.2">
      <c r="B3516" s="2">
        <f ca="1"/>
        <v>0.14158690196345458</v>
      </c>
      <c r="O3516" s="2">
        <f ca="1"/>
        <v>-1.2026554677487824</v>
      </c>
      <c r="X3516" s="2">
        <f ca="1"/>
        <v>52.05157747704498</v>
      </c>
      <c r="AG3516" s="2">
        <f ca="1"/>
        <v>0.87050715990182059</v>
      </c>
      <c r="AH3516" s="2" t="str">
        <f ca="1"/>
        <v>Bad</v>
      </c>
    </row>
    <row r="3517" spans="2:34" x14ac:dyDescent="0.2">
      <c r="B3517" s="2">
        <f ca="1"/>
        <v>0.67627417681239521</v>
      </c>
      <c r="O3517" s="2">
        <f ca="1"/>
        <v>-1.5036375988714132</v>
      </c>
      <c r="X3517" s="2">
        <f ca="1"/>
        <v>61.946794796780509</v>
      </c>
      <c r="AG3517" s="2">
        <f ca="1"/>
        <v>1.3932014022968398E-2</v>
      </c>
      <c r="AH3517" s="2" t="str">
        <f ca="1"/>
        <v>Good</v>
      </c>
    </row>
    <row r="3518" spans="2:34" x14ac:dyDescent="0.2">
      <c r="B3518" s="2">
        <f ca="1"/>
        <v>0.51846573975516552</v>
      </c>
      <c r="O3518" s="2">
        <f ca="1"/>
        <v>0.42346530433280433</v>
      </c>
      <c r="X3518" s="2">
        <f ca="1"/>
        <v>20.700381736075805</v>
      </c>
      <c r="AG3518" s="2">
        <f ca="1"/>
        <v>0.1935644959455165</v>
      </c>
      <c r="AH3518" s="2" t="str">
        <f ca="1"/>
        <v>OK</v>
      </c>
    </row>
    <row r="3519" spans="2:34" x14ac:dyDescent="0.2">
      <c r="B3519" s="2">
        <f ca="1"/>
        <v>0.6722216499374789</v>
      </c>
      <c r="O3519" s="2">
        <f ca="1"/>
        <v>-0.38426478476870901</v>
      </c>
      <c r="X3519" s="2">
        <f ca="1"/>
        <v>43.453470687026297</v>
      </c>
      <c r="AG3519" s="2">
        <f ca="1"/>
        <v>0.25742895559256107</v>
      </c>
      <c r="AH3519" s="2" t="str">
        <f ca="1"/>
        <v>OK</v>
      </c>
    </row>
    <row r="3520" spans="2:34" x14ac:dyDescent="0.2">
      <c r="B3520" s="2">
        <f ca="1"/>
        <v>0.24171897987766444</v>
      </c>
      <c r="O3520" s="2">
        <f ca="1"/>
        <v>-1.3585022247111738</v>
      </c>
      <c r="X3520" s="2">
        <f ca="1"/>
        <v>10.936681097241339</v>
      </c>
      <c r="AG3520" s="2">
        <f ca="1"/>
        <v>0.35155021310558787</v>
      </c>
      <c r="AH3520" s="2" t="str">
        <f ca="1"/>
        <v>OK</v>
      </c>
    </row>
    <row r="3521" spans="2:34" x14ac:dyDescent="0.2">
      <c r="B3521" s="2">
        <f ca="1"/>
        <v>0.52603952212228666</v>
      </c>
      <c r="O3521" s="2">
        <f ca="1"/>
        <v>1.5249138026263933</v>
      </c>
      <c r="X3521" s="2">
        <f ca="1"/>
        <v>50.65197436436442</v>
      </c>
      <c r="AG3521" s="2">
        <f ca="1"/>
        <v>0.79564753679828093</v>
      </c>
      <c r="AH3521" s="2" t="str">
        <f ca="1"/>
        <v>Bad</v>
      </c>
    </row>
    <row r="3522" spans="2:34" x14ac:dyDescent="0.2">
      <c r="B3522" s="2">
        <f ca="1"/>
        <v>0.16145545989676457</v>
      </c>
      <c r="O3522" s="2">
        <f ca="1"/>
        <v>-0.76983648286146167</v>
      </c>
      <c r="X3522" s="2">
        <f ca="1"/>
        <v>35.625910411593054</v>
      </c>
      <c r="AG3522" s="2">
        <f ca="1"/>
        <v>6.346379856003348E-2</v>
      </c>
      <c r="AH3522" s="2" t="str">
        <f ca="1"/>
        <v>OK</v>
      </c>
    </row>
    <row r="3523" spans="2:34" x14ac:dyDescent="0.2">
      <c r="B3523" s="2">
        <f ca="1"/>
        <v>0.5164271308008348</v>
      </c>
      <c r="O3523" s="2">
        <f ca="1"/>
        <v>-0.41611490839656462</v>
      </c>
      <c r="X3523" s="2">
        <f ca="1"/>
        <v>38.731638715637985</v>
      </c>
      <c r="AG3523" s="2">
        <f ca="1"/>
        <v>0.56386638249504872</v>
      </c>
      <c r="AH3523" s="2" t="str">
        <f ca="1"/>
        <v>Bad</v>
      </c>
    </row>
    <row r="3524" spans="2:34" x14ac:dyDescent="0.2">
      <c r="B3524" s="2">
        <f ca="1"/>
        <v>0.85620527618161546</v>
      </c>
      <c r="O3524" s="2">
        <f ca="1"/>
        <v>0.65100600187263624</v>
      </c>
      <c r="X3524" s="2">
        <f ca="1"/>
        <v>54.525845168016367</v>
      </c>
      <c r="AG3524" s="2">
        <f ca="1"/>
        <v>0.61633820671850725</v>
      </c>
      <c r="AH3524" s="2" t="str">
        <f ca="1"/>
        <v>Bad</v>
      </c>
    </row>
    <row r="3525" spans="2:34" x14ac:dyDescent="0.2">
      <c r="B3525" s="2">
        <f ca="1"/>
        <v>0.75761577002926872</v>
      </c>
      <c r="O3525" s="2">
        <f ca="1"/>
        <v>-0.15590721862487283</v>
      </c>
      <c r="X3525" s="2">
        <f ca="1"/>
        <v>59.746852283610252</v>
      </c>
      <c r="AG3525" s="2">
        <f ca="1"/>
        <v>0.41405912789658816</v>
      </c>
      <c r="AH3525" s="2" t="str">
        <f ca="1"/>
        <v>Bad</v>
      </c>
    </row>
    <row r="3526" spans="2:34" x14ac:dyDescent="0.2">
      <c r="B3526" s="2">
        <f ca="1"/>
        <v>0.69052713767023444</v>
      </c>
      <c r="O3526" s="2">
        <f ca="1"/>
        <v>8.4927703278213418E-2</v>
      </c>
      <c r="X3526" s="2">
        <f ca="1"/>
        <v>44.98837494036912</v>
      </c>
      <c r="AG3526" s="2">
        <f ca="1"/>
        <v>0.94559210917109571</v>
      </c>
      <c r="AH3526" s="2" t="str">
        <f ca="1"/>
        <v>Bad</v>
      </c>
    </row>
    <row r="3527" spans="2:34" x14ac:dyDescent="0.2">
      <c r="B3527" s="2">
        <f ca="1"/>
        <v>0.57905372862464422</v>
      </c>
      <c r="O3527" s="2">
        <f ca="1"/>
        <v>-0.65268255509596518</v>
      </c>
      <c r="X3527" s="2">
        <f ca="1"/>
        <v>53.367974330928362</v>
      </c>
      <c r="AG3527" s="2">
        <f ca="1"/>
        <v>0.11171904428708435</v>
      </c>
      <c r="AH3527" s="2" t="str">
        <f ca="1"/>
        <v>OK</v>
      </c>
    </row>
    <row r="3528" spans="2:34" x14ac:dyDescent="0.2">
      <c r="B3528" s="2">
        <f ca="1"/>
        <v>0.40533120032187542</v>
      </c>
      <c r="O3528" s="2">
        <f ca="1"/>
        <v>0.29669249752602911</v>
      </c>
      <c r="X3528" s="2">
        <f ca="1"/>
        <v>52.020446359133352</v>
      </c>
      <c r="AG3528" s="2">
        <f ca="1"/>
        <v>0.19695564347116634</v>
      </c>
      <c r="AH3528" s="2" t="str">
        <f ca="1"/>
        <v>OK</v>
      </c>
    </row>
    <row r="3529" spans="2:34" x14ac:dyDescent="0.2">
      <c r="B3529" s="2">
        <f ca="1"/>
        <v>0.68298616621415076</v>
      </c>
      <c r="O3529" s="2">
        <f ca="1"/>
        <v>6.5257394540680176E-3</v>
      </c>
      <c r="X3529" s="2">
        <f ca="1"/>
        <v>37.156585170418367</v>
      </c>
      <c r="AG3529" s="2">
        <f ca="1"/>
        <v>0.21625652786815941</v>
      </c>
      <c r="AH3529" s="2" t="str">
        <f ca="1"/>
        <v>OK</v>
      </c>
    </row>
    <row r="3530" spans="2:34" x14ac:dyDescent="0.2">
      <c r="B3530" s="2">
        <f ca="1"/>
        <v>0.91943400428531707</v>
      </c>
      <c r="O3530" s="2">
        <f ca="1"/>
        <v>-7.6924428604177725E-2</v>
      </c>
      <c r="X3530" s="2">
        <f ca="1"/>
        <v>53.338163538666933</v>
      </c>
      <c r="AG3530" s="2">
        <f ca="1"/>
        <v>0.38591978672768712</v>
      </c>
      <c r="AH3530" s="2" t="str">
        <f ca="1"/>
        <v>OK</v>
      </c>
    </row>
    <row r="3531" spans="2:34" x14ac:dyDescent="0.2">
      <c r="B3531" s="2">
        <f ca="1"/>
        <v>2.1379134330421712E-2</v>
      </c>
      <c r="O3531" s="2">
        <f ca="1"/>
        <v>0.24063760278570739</v>
      </c>
      <c r="X3531" s="2">
        <f ca="1"/>
        <v>29.492304591240956</v>
      </c>
      <c r="AG3531" s="2">
        <f ca="1"/>
        <v>0.76107259172527653</v>
      </c>
      <c r="AH3531" s="2" t="str">
        <f ca="1"/>
        <v>Bad</v>
      </c>
    </row>
    <row r="3532" spans="2:34" x14ac:dyDescent="0.2">
      <c r="B3532" s="2">
        <f ca="1"/>
        <v>0.22683804079327641</v>
      </c>
      <c r="O3532" s="2">
        <f ca="1"/>
        <v>-0.16089728791833147</v>
      </c>
      <c r="X3532" s="2">
        <f ca="1"/>
        <v>53.902590400332073</v>
      </c>
      <c r="AG3532" s="2">
        <f ca="1"/>
        <v>0.83323403868338564</v>
      </c>
      <c r="AH3532" s="2" t="str">
        <f ca="1"/>
        <v>Bad</v>
      </c>
    </row>
    <row r="3533" spans="2:34" x14ac:dyDescent="0.2">
      <c r="B3533" s="2">
        <f ca="1"/>
        <v>0.57021442119456522</v>
      </c>
      <c r="O3533" s="2">
        <f ca="1"/>
        <v>-7.5271254114708294E-2</v>
      </c>
      <c r="X3533" s="2">
        <f ca="1"/>
        <v>39.683906049505694</v>
      </c>
      <c r="AG3533" s="2">
        <f ca="1"/>
        <v>0.45314313820218355</v>
      </c>
      <c r="AH3533" s="2" t="str">
        <f ca="1"/>
        <v>Bad</v>
      </c>
    </row>
    <row r="3534" spans="2:34" x14ac:dyDescent="0.2">
      <c r="B3534" s="2">
        <f ca="1"/>
        <v>0.37117002255814158</v>
      </c>
      <c r="O3534" s="2">
        <f ca="1"/>
        <v>0.80758033405398044</v>
      </c>
      <c r="X3534" s="2">
        <f ca="1"/>
        <v>24.376447760934528</v>
      </c>
      <c r="AG3534" s="2">
        <f ca="1"/>
        <v>8.7765585401346158E-2</v>
      </c>
      <c r="AH3534" s="2" t="str">
        <f ca="1"/>
        <v>OK</v>
      </c>
    </row>
    <row r="3535" spans="2:34" x14ac:dyDescent="0.2">
      <c r="B3535" s="2">
        <f ca="1"/>
        <v>0.86706094883131968</v>
      </c>
      <c r="O3535" s="2">
        <f ca="1"/>
        <v>-0.60113097231692147</v>
      </c>
      <c r="X3535" s="2">
        <f ca="1"/>
        <v>33.051917595304118</v>
      </c>
      <c r="AG3535" s="2">
        <f ca="1"/>
        <v>0.84041053031826207</v>
      </c>
      <c r="AH3535" s="2" t="str">
        <f ca="1"/>
        <v>Bad</v>
      </c>
    </row>
    <row r="3536" spans="2:34" x14ac:dyDescent="0.2">
      <c r="B3536" s="2">
        <f ca="1"/>
        <v>0.63068265799851297</v>
      </c>
      <c r="O3536" s="2">
        <f ca="1"/>
        <v>-0.43014032857970658</v>
      </c>
      <c r="X3536" s="2">
        <f ca="1"/>
        <v>72.536731655200938</v>
      </c>
      <c r="AG3536" s="2">
        <f ca="1"/>
        <v>0.14288266892773205</v>
      </c>
      <c r="AH3536" s="2" t="str">
        <f ca="1"/>
        <v>OK</v>
      </c>
    </row>
    <row r="3537" spans="2:34" x14ac:dyDescent="0.2">
      <c r="B3537" s="2">
        <f ca="1"/>
        <v>0.39393130706233515</v>
      </c>
      <c r="O3537" s="2">
        <f ca="1"/>
        <v>-0.68938691405611519</v>
      </c>
      <c r="X3537" s="2">
        <f ca="1"/>
        <v>40.815105912501693</v>
      </c>
      <c r="AG3537" s="2">
        <f ca="1"/>
        <v>0.85380515333737139</v>
      </c>
      <c r="AH3537" s="2" t="str">
        <f ca="1"/>
        <v>Bad</v>
      </c>
    </row>
    <row r="3538" spans="2:34" x14ac:dyDescent="0.2">
      <c r="B3538" s="2">
        <f ca="1"/>
        <v>0.76541863682512701</v>
      </c>
      <c r="O3538" s="2">
        <f ca="1"/>
        <v>0.14371966747935283</v>
      </c>
      <c r="X3538" s="2">
        <f ca="1"/>
        <v>39.392436167369375</v>
      </c>
      <c r="AG3538" s="2">
        <f ca="1"/>
        <v>0.39363607369428433</v>
      </c>
      <c r="AH3538" s="2" t="str">
        <f ca="1"/>
        <v>OK</v>
      </c>
    </row>
    <row r="3539" spans="2:34" x14ac:dyDescent="0.2">
      <c r="B3539" s="2">
        <f ca="1"/>
        <v>0.62001010648158816</v>
      </c>
      <c r="O3539" s="2">
        <f ca="1"/>
        <v>0.95009027325710838</v>
      </c>
      <c r="X3539" s="2">
        <f ca="1"/>
        <v>54.949932650371153</v>
      </c>
      <c r="AG3539" s="2">
        <f ca="1"/>
        <v>0.44376625145128923</v>
      </c>
      <c r="AH3539" s="2" t="str">
        <f ca="1"/>
        <v>Bad</v>
      </c>
    </row>
    <row r="3540" spans="2:34" x14ac:dyDescent="0.2">
      <c r="B3540" s="2">
        <f ca="1"/>
        <v>0.60767637973960698</v>
      </c>
      <c r="O3540" s="2">
        <f ca="1"/>
        <v>0.70564189850582848</v>
      </c>
      <c r="X3540" s="2">
        <f ca="1"/>
        <v>51.86643449476955</v>
      </c>
      <c r="AG3540" s="2">
        <f ca="1"/>
        <v>0.56769284268834452</v>
      </c>
      <c r="AH3540" s="2" t="str">
        <f ca="1"/>
        <v>Bad</v>
      </c>
    </row>
    <row r="3541" spans="2:34" x14ac:dyDescent="0.2">
      <c r="B3541" s="2">
        <f ca="1"/>
        <v>0.15414299440441925</v>
      </c>
      <c r="O3541" s="2">
        <f ca="1"/>
        <v>1.4072035902329771</v>
      </c>
      <c r="X3541" s="2">
        <f ca="1"/>
        <v>63.928237267277062</v>
      </c>
      <c r="AG3541" s="2">
        <f ca="1"/>
        <v>0.16404759647102107</v>
      </c>
      <c r="AH3541" s="2" t="str">
        <f ca="1"/>
        <v>OK</v>
      </c>
    </row>
    <row r="3542" spans="2:34" x14ac:dyDescent="0.2">
      <c r="B3542" s="2">
        <f ca="1"/>
        <v>0.29826765390506904</v>
      </c>
      <c r="O3542" s="2">
        <f ca="1"/>
        <v>-0.14655119535110606</v>
      </c>
      <c r="X3542" s="2">
        <f ca="1"/>
        <v>34.152442956097715</v>
      </c>
      <c r="AG3542" s="2">
        <f ca="1"/>
        <v>0.29357535940172319</v>
      </c>
      <c r="AH3542" s="2" t="str">
        <f ca="1"/>
        <v>OK</v>
      </c>
    </row>
    <row r="3543" spans="2:34" x14ac:dyDescent="0.2">
      <c r="B3543" s="2">
        <f ca="1"/>
        <v>0.62737314612714967</v>
      </c>
      <c r="O3543" s="2">
        <f ca="1"/>
        <v>0.91641561769079194</v>
      </c>
      <c r="X3543" s="2">
        <f ca="1"/>
        <v>63.630376713708841</v>
      </c>
      <c r="AG3543" s="2">
        <f ca="1"/>
        <v>0.2592050167232951</v>
      </c>
      <c r="AH3543" s="2" t="str">
        <f ca="1"/>
        <v>OK</v>
      </c>
    </row>
    <row r="3544" spans="2:34" x14ac:dyDescent="0.2">
      <c r="B3544" s="2">
        <f ca="1"/>
        <v>0.5844424385075675</v>
      </c>
      <c r="O3544" s="2">
        <f ca="1"/>
        <v>0.10138367175934017</v>
      </c>
      <c r="X3544" s="2">
        <f ca="1"/>
        <v>29.445110524134435</v>
      </c>
      <c r="AG3544" s="2">
        <f ca="1"/>
        <v>0.21707669440487543</v>
      </c>
      <c r="AH3544" s="2" t="str">
        <f ca="1"/>
        <v>OK</v>
      </c>
    </row>
    <row r="3545" spans="2:34" x14ac:dyDescent="0.2">
      <c r="B3545" s="2">
        <f ca="1"/>
        <v>0.37451315608349445</v>
      </c>
      <c r="O3545" s="2">
        <f ca="1"/>
        <v>-6.8173998556474186E-2</v>
      </c>
      <c r="X3545" s="2">
        <f ca="1"/>
        <v>52.204184829630158</v>
      </c>
      <c r="AG3545" s="2">
        <f ca="1"/>
        <v>0.53547856992975595</v>
      </c>
      <c r="AH3545" s="2" t="str">
        <f ca="1"/>
        <v>Bad</v>
      </c>
    </row>
    <row r="3546" spans="2:34" x14ac:dyDescent="0.2">
      <c r="B3546" s="2">
        <f ca="1"/>
        <v>0.45306913523380477</v>
      </c>
      <c r="O3546" s="2">
        <f ca="1"/>
        <v>1.7690566613023913</v>
      </c>
      <c r="X3546" s="2">
        <f ca="1"/>
        <v>55.573350388742362</v>
      </c>
      <c r="AG3546" s="2">
        <f ca="1"/>
        <v>0.15188186383712954</v>
      </c>
      <c r="AH3546" s="2" t="str">
        <f ca="1"/>
        <v>OK</v>
      </c>
    </row>
    <row r="3547" spans="2:34" x14ac:dyDescent="0.2">
      <c r="B3547" s="2">
        <f ca="1"/>
        <v>0.22716832368300044</v>
      </c>
      <c r="O3547" s="2">
        <f ca="1"/>
        <v>-0.9218329821077289</v>
      </c>
      <c r="X3547" s="2">
        <f ca="1"/>
        <v>44.219566438693015</v>
      </c>
      <c r="AG3547" s="2">
        <f ca="1"/>
        <v>0.40329986168637677</v>
      </c>
      <c r="AH3547" s="2" t="str">
        <f ca="1"/>
        <v>Bad</v>
      </c>
    </row>
    <row r="3548" spans="2:34" x14ac:dyDescent="0.2">
      <c r="B3548" s="2">
        <f ca="1"/>
        <v>0.77465904231984029</v>
      </c>
      <c r="O3548" s="2">
        <f ca="1"/>
        <v>2.7644063611348621E-2</v>
      </c>
      <c r="X3548" s="2">
        <f ca="1"/>
        <v>48.365039333423653</v>
      </c>
      <c r="AG3548" s="2">
        <f ca="1"/>
        <v>0.89164547616437462</v>
      </c>
      <c r="AH3548" s="2" t="str">
        <f ca="1"/>
        <v>Bad</v>
      </c>
    </row>
    <row r="3549" spans="2:34" x14ac:dyDescent="0.2">
      <c r="B3549" s="2">
        <f ca="1"/>
        <v>0.71927758803319253</v>
      </c>
      <c r="O3549" s="2">
        <f ca="1"/>
        <v>-1.4064682260560499</v>
      </c>
      <c r="X3549" s="2">
        <f ca="1"/>
        <v>56.632849391980798</v>
      </c>
      <c r="AG3549" s="2">
        <f ca="1"/>
        <v>0.49150867112741414</v>
      </c>
      <c r="AH3549" s="2" t="str">
        <f ca="1"/>
        <v>Bad</v>
      </c>
    </row>
    <row r="3550" spans="2:34" x14ac:dyDescent="0.2">
      <c r="B3550" s="2">
        <f ca="1"/>
        <v>0.81976039419738012</v>
      </c>
      <c r="O3550" s="2">
        <f ca="1"/>
        <v>-0.44660981215966117</v>
      </c>
      <c r="X3550" s="2">
        <f ca="1"/>
        <v>64.868725678064379</v>
      </c>
      <c r="AG3550" s="2">
        <f ca="1"/>
        <v>0.89766944670158022</v>
      </c>
      <c r="AH3550" s="2" t="str">
        <f ca="1"/>
        <v>Bad</v>
      </c>
    </row>
    <row r="3551" spans="2:34" x14ac:dyDescent="0.2">
      <c r="B3551" s="2">
        <f ca="1"/>
        <v>0.52509125181721061</v>
      </c>
      <c r="O3551" s="2">
        <f ca="1"/>
        <v>-1.2368889350166761</v>
      </c>
      <c r="X3551" s="2">
        <f ca="1"/>
        <v>60.584228596040191</v>
      </c>
      <c r="AG3551" s="2">
        <f ca="1"/>
        <v>0.50853783133644193</v>
      </c>
      <c r="AH3551" s="2" t="str">
        <f ca="1"/>
        <v>Bad</v>
      </c>
    </row>
    <row r="3552" spans="2:34" x14ac:dyDescent="0.2">
      <c r="B3552" s="2">
        <f ca="1"/>
        <v>0.87996146585530921</v>
      </c>
      <c r="O3552" s="2">
        <f ca="1"/>
        <v>-1.6218177668247695</v>
      </c>
      <c r="X3552" s="2">
        <f ca="1"/>
        <v>56.25550542994462</v>
      </c>
      <c r="AG3552" s="2">
        <f ca="1"/>
        <v>0.21089823241570671</v>
      </c>
      <c r="AH3552" s="2" t="str">
        <f ca="1"/>
        <v>OK</v>
      </c>
    </row>
    <row r="3553" spans="2:34" x14ac:dyDescent="0.2">
      <c r="B3553" s="2">
        <f ca="1"/>
        <v>0.7397770028302193</v>
      </c>
      <c r="O3553" s="2">
        <f ca="1"/>
        <v>0.85885689610970373</v>
      </c>
      <c r="X3553" s="2">
        <f ca="1"/>
        <v>29.121396284536921</v>
      </c>
      <c r="AG3553" s="2">
        <f ca="1"/>
        <v>0.11410214378874528</v>
      </c>
      <c r="AH3553" s="2" t="str">
        <f ca="1"/>
        <v>OK</v>
      </c>
    </row>
    <row r="3554" spans="2:34" x14ac:dyDescent="0.2">
      <c r="B3554" s="2">
        <f ca="1"/>
        <v>0.96629140404645364</v>
      </c>
      <c r="O3554" s="2">
        <f ca="1"/>
        <v>-0.36763523538271337</v>
      </c>
      <c r="X3554" s="2">
        <f ca="1"/>
        <v>49.29457294512288</v>
      </c>
      <c r="AG3554" s="2">
        <f ca="1"/>
        <v>0.20736007633017128</v>
      </c>
      <c r="AH3554" s="2" t="str">
        <f ca="1"/>
        <v>OK</v>
      </c>
    </row>
    <row r="3555" spans="2:34" x14ac:dyDescent="0.2">
      <c r="B3555" s="2">
        <f ca="1"/>
        <v>0.96250228807824967</v>
      </c>
      <c r="O3555" s="2">
        <f ca="1"/>
        <v>0.70350178010703068</v>
      </c>
      <c r="X3555" s="2">
        <f ca="1"/>
        <v>49.554471100552277</v>
      </c>
      <c r="AG3555" s="2">
        <f ca="1"/>
        <v>0.50523773033403874</v>
      </c>
      <c r="AH3555" s="2" t="str">
        <f ca="1"/>
        <v>Bad</v>
      </c>
    </row>
    <row r="3556" spans="2:34" x14ac:dyDescent="0.2">
      <c r="B3556" s="2">
        <f ca="1"/>
        <v>0.64994199085522042</v>
      </c>
      <c r="O3556" s="2">
        <f ca="1"/>
        <v>1.0379658595004155</v>
      </c>
      <c r="X3556" s="2">
        <f ca="1"/>
        <v>15.326830852556126</v>
      </c>
      <c r="AG3556" s="2">
        <f ca="1"/>
        <v>0.29358628995045888</v>
      </c>
      <c r="AH3556" s="2" t="str">
        <f ca="1"/>
        <v>OK</v>
      </c>
    </row>
    <row r="3557" spans="2:34" x14ac:dyDescent="0.2">
      <c r="B3557" s="2">
        <f ca="1"/>
        <v>0.13691293708766361</v>
      </c>
      <c r="O3557" s="2">
        <f ca="1"/>
        <v>-0.45305737456122658</v>
      </c>
      <c r="X3557" s="2">
        <f ca="1"/>
        <v>38.259813596326758</v>
      </c>
      <c r="AG3557" s="2">
        <f ca="1"/>
        <v>0.4773198795586755</v>
      </c>
      <c r="AH3557" s="2" t="str">
        <f ca="1"/>
        <v>Bad</v>
      </c>
    </row>
    <row r="3558" spans="2:34" x14ac:dyDescent="0.2">
      <c r="B3558" s="2">
        <f ca="1"/>
        <v>0.75779361571600501</v>
      </c>
      <c r="O3558" s="2">
        <f ca="1"/>
        <v>-1.6740135497824689</v>
      </c>
      <c r="X3558" s="2">
        <f ca="1"/>
        <v>50.071188400553638</v>
      </c>
      <c r="AG3558" s="2">
        <f ca="1"/>
        <v>0.53769875457083449</v>
      </c>
      <c r="AH3558" s="2" t="str">
        <f ca="1"/>
        <v>Bad</v>
      </c>
    </row>
    <row r="3559" spans="2:34" x14ac:dyDescent="0.2">
      <c r="B3559" s="2">
        <f ca="1"/>
        <v>1.5348212603128131E-2</v>
      </c>
      <c r="O3559" s="2">
        <f ca="1"/>
        <v>1.5903609540507844</v>
      </c>
      <c r="X3559" s="2">
        <f ca="1"/>
        <v>43.59927432950461</v>
      </c>
      <c r="AG3559" s="2">
        <f ca="1"/>
        <v>0.64944549596057533</v>
      </c>
      <c r="AH3559" s="2" t="str">
        <f ca="1"/>
        <v>Bad</v>
      </c>
    </row>
    <row r="3560" spans="2:34" x14ac:dyDescent="0.2">
      <c r="B3560" s="2">
        <f ca="1"/>
        <v>0.27498584769669043</v>
      </c>
      <c r="O3560" s="2">
        <f ca="1"/>
        <v>-0.37890816167666774</v>
      </c>
      <c r="X3560" s="2">
        <f ca="1"/>
        <v>19.040897937668863</v>
      </c>
      <c r="AG3560" s="2">
        <f ca="1"/>
        <v>0.44477943755569149</v>
      </c>
      <c r="AH3560" s="2" t="str">
        <f ca="1"/>
        <v>Bad</v>
      </c>
    </row>
    <row r="3561" spans="2:34" x14ac:dyDescent="0.2">
      <c r="B3561" s="2">
        <f ca="1"/>
        <v>0.58138223396338362</v>
      </c>
      <c r="O3561" s="2">
        <f ca="1"/>
        <v>-0.93915506528330339</v>
      </c>
      <c r="X3561" s="2">
        <f ca="1"/>
        <v>66.090418412439377</v>
      </c>
      <c r="AG3561" s="2">
        <f ca="1"/>
        <v>0.6435939405098885</v>
      </c>
      <c r="AH3561" s="2" t="str">
        <f ca="1"/>
        <v>Bad</v>
      </c>
    </row>
    <row r="3562" spans="2:34" x14ac:dyDescent="0.2">
      <c r="B3562" s="2">
        <f ca="1"/>
        <v>5.6568450628108113E-2</v>
      </c>
      <c r="O3562" s="2">
        <f ca="1"/>
        <v>0.64672677063855322</v>
      </c>
      <c r="X3562" s="2">
        <f ca="1"/>
        <v>29.532449082073903</v>
      </c>
      <c r="AG3562" s="2">
        <f ca="1"/>
        <v>0.84856579164242207</v>
      </c>
      <c r="AH3562" s="2" t="str">
        <f ca="1"/>
        <v>Bad</v>
      </c>
    </row>
    <row r="3563" spans="2:34" x14ac:dyDescent="0.2">
      <c r="B3563" s="2">
        <f ca="1"/>
        <v>0.84281310643078466</v>
      </c>
      <c r="O3563" s="2">
        <f ca="1"/>
        <v>-0.5768095922618367</v>
      </c>
      <c r="X3563" s="2">
        <f ca="1"/>
        <v>50.748527499501122</v>
      </c>
      <c r="AG3563" s="2">
        <f ca="1"/>
        <v>0.39047861735975098</v>
      </c>
      <c r="AH3563" s="2" t="str">
        <f ca="1"/>
        <v>OK</v>
      </c>
    </row>
    <row r="3564" spans="2:34" x14ac:dyDescent="0.2">
      <c r="B3564" s="2">
        <f ca="1"/>
        <v>0.84190434128622282</v>
      </c>
      <c r="O3564" s="2">
        <f ca="1"/>
        <v>1.186290146978273</v>
      </c>
      <c r="X3564" s="2">
        <f ca="1"/>
        <v>54.206646688265792</v>
      </c>
      <c r="AG3564" s="2">
        <f ca="1"/>
        <v>0.56739188377099414</v>
      </c>
      <c r="AH3564" s="2" t="str">
        <f ca="1"/>
        <v>Bad</v>
      </c>
    </row>
    <row r="3565" spans="2:34" x14ac:dyDescent="0.2">
      <c r="B3565" s="2">
        <f ca="1"/>
        <v>0.96754641231555527</v>
      </c>
      <c r="O3565" s="2">
        <f ca="1"/>
        <v>0.76690727395574454</v>
      </c>
      <c r="X3565" s="2">
        <f ca="1"/>
        <v>95.033240018946898</v>
      </c>
      <c r="AG3565" s="2">
        <f ca="1"/>
        <v>0.24338229121233668</v>
      </c>
      <c r="AH3565" s="2" t="str">
        <f ca="1"/>
        <v>OK</v>
      </c>
    </row>
    <row r="3566" spans="2:34" x14ac:dyDescent="0.2">
      <c r="B3566" s="2">
        <f ca="1"/>
        <v>1.5207205264182733E-2</v>
      </c>
      <c r="O3566" s="2">
        <f ca="1"/>
        <v>0.62201425496366747</v>
      </c>
      <c r="X3566" s="2">
        <f ca="1"/>
        <v>21.986172053434704</v>
      </c>
      <c r="AG3566" s="2">
        <f ca="1"/>
        <v>0.17364185440455748</v>
      </c>
      <c r="AH3566" s="2" t="str">
        <f ca="1"/>
        <v>OK</v>
      </c>
    </row>
    <row r="3567" spans="2:34" x14ac:dyDescent="0.2">
      <c r="B3567" s="2">
        <f ca="1"/>
        <v>0.29506461009067975</v>
      </c>
      <c r="O3567" s="2">
        <f ca="1"/>
        <v>1.0432059597938044</v>
      </c>
      <c r="X3567" s="2">
        <f ca="1"/>
        <v>61.683246632796596</v>
      </c>
      <c r="AG3567" s="2">
        <f ca="1"/>
        <v>0.95066950561969144</v>
      </c>
      <c r="AH3567" s="2" t="str">
        <f ca="1"/>
        <v>Bad</v>
      </c>
    </row>
    <row r="3568" spans="2:34" x14ac:dyDescent="0.2">
      <c r="B3568" s="2">
        <f ca="1"/>
        <v>0.56364286640019468</v>
      </c>
      <c r="O3568" s="2">
        <f ca="1"/>
        <v>-0.85491100350643889</v>
      </c>
      <c r="X3568" s="2">
        <f ca="1"/>
        <v>33.74975160923163</v>
      </c>
      <c r="AG3568" s="2">
        <f ca="1"/>
        <v>0.81462521411724942</v>
      </c>
      <c r="AH3568" s="2" t="str">
        <f ca="1"/>
        <v>Bad</v>
      </c>
    </row>
    <row r="3569" spans="2:34" x14ac:dyDescent="0.2">
      <c r="B3569" s="2">
        <f ca="1"/>
        <v>0.68350696751663187</v>
      </c>
      <c r="O3569" s="2">
        <f ca="1"/>
        <v>-0.27745082908477819</v>
      </c>
      <c r="X3569" s="2">
        <f ca="1"/>
        <v>67.374882146200804</v>
      </c>
      <c r="AG3569" s="2">
        <f ca="1"/>
        <v>0.23345223498106815</v>
      </c>
      <c r="AH3569" s="2" t="str">
        <f ca="1"/>
        <v>OK</v>
      </c>
    </row>
    <row r="3570" spans="2:34" x14ac:dyDescent="0.2">
      <c r="B3570" s="2">
        <f ca="1"/>
        <v>0.90668092396851296</v>
      </c>
      <c r="O3570" s="2">
        <f ca="1"/>
        <v>0.37617870401061637</v>
      </c>
      <c r="X3570" s="2">
        <f ca="1"/>
        <v>32.83226066629566</v>
      </c>
      <c r="AG3570" s="2">
        <f ca="1"/>
        <v>0.87839168865946005</v>
      </c>
      <c r="AH3570" s="2" t="str">
        <f ca="1"/>
        <v>Bad</v>
      </c>
    </row>
    <row r="3571" spans="2:34" x14ac:dyDescent="0.2">
      <c r="B3571" s="2">
        <f ca="1"/>
        <v>0.38352342162016417</v>
      </c>
      <c r="O3571" s="2">
        <f ca="1"/>
        <v>-0.12736350958483258</v>
      </c>
      <c r="X3571" s="2">
        <f ca="1"/>
        <v>50.481342568432545</v>
      </c>
      <c r="AG3571" s="2">
        <f ca="1"/>
        <v>0.95461871434127632</v>
      </c>
      <c r="AH3571" s="2" t="str">
        <f ca="1"/>
        <v>Bad</v>
      </c>
    </row>
    <row r="3572" spans="2:34" x14ac:dyDescent="0.2">
      <c r="B3572" s="2">
        <f ca="1"/>
        <v>0.82800148046497335</v>
      </c>
      <c r="O3572" s="2">
        <f ca="1"/>
        <v>2.9351671425737083</v>
      </c>
      <c r="X3572" s="2">
        <f ca="1"/>
        <v>41.104029397795081</v>
      </c>
      <c r="AG3572" s="2">
        <f ca="1"/>
        <v>0.20403186037437648</v>
      </c>
      <c r="AH3572" s="2" t="str">
        <f ca="1"/>
        <v>OK</v>
      </c>
    </row>
    <row r="3573" spans="2:34" x14ac:dyDescent="0.2">
      <c r="B3573" s="2">
        <f ca="1"/>
        <v>0.97527123709035801</v>
      </c>
      <c r="O3573" s="2">
        <f ca="1"/>
        <v>2.6651166912684925</v>
      </c>
      <c r="X3573" s="2">
        <f ca="1"/>
        <v>29.155798688045472</v>
      </c>
      <c r="AG3573" s="2">
        <f ca="1"/>
        <v>0.44326431756524243</v>
      </c>
      <c r="AH3573" s="2" t="str">
        <f ca="1"/>
        <v>Bad</v>
      </c>
    </row>
    <row r="3574" spans="2:34" x14ac:dyDescent="0.2">
      <c r="B3574" s="2">
        <f ca="1"/>
        <v>0.77249575783151592</v>
      </c>
      <c r="O3574" s="2">
        <f ca="1"/>
        <v>2.1428814969418801</v>
      </c>
      <c r="X3574" s="2">
        <f ca="1"/>
        <v>56.13610081198231</v>
      </c>
      <c r="AG3574" s="2">
        <f ca="1"/>
        <v>0.924757142222147</v>
      </c>
      <c r="AH3574" s="2" t="str">
        <f ca="1"/>
        <v>Bad</v>
      </c>
    </row>
    <row r="3575" spans="2:34" x14ac:dyDescent="0.2">
      <c r="B3575" s="2">
        <f ca="1"/>
        <v>0.81828466996974702</v>
      </c>
      <c r="O3575" s="2">
        <f ca="1"/>
        <v>-1.1331542209716605</v>
      </c>
      <c r="X3575" s="2">
        <f ca="1"/>
        <v>94.585644942587379</v>
      </c>
      <c r="AG3575" s="2">
        <f ca="1"/>
        <v>0.29087370827032055</v>
      </c>
      <c r="AH3575" s="2" t="str">
        <f ca="1"/>
        <v>OK</v>
      </c>
    </row>
    <row r="3576" spans="2:34" x14ac:dyDescent="0.2">
      <c r="B3576" s="2">
        <f ca="1"/>
        <v>0.18770000777636753</v>
      </c>
      <c r="O3576" s="2">
        <f ca="1"/>
        <v>1.1979634061252122</v>
      </c>
      <c r="X3576" s="2">
        <f ca="1"/>
        <v>47.24959106895394</v>
      </c>
      <c r="AG3576" s="2">
        <f ca="1"/>
        <v>0.39427662996214519</v>
      </c>
      <c r="AH3576" s="2" t="str">
        <f ca="1"/>
        <v>OK</v>
      </c>
    </row>
    <row r="3577" spans="2:34" x14ac:dyDescent="0.2">
      <c r="B3577" s="2">
        <f ca="1"/>
        <v>0.94720767728901456</v>
      </c>
      <c r="O3577" s="2">
        <f ca="1"/>
        <v>-2.9138847967374444</v>
      </c>
      <c r="X3577" s="2">
        <f ca="1"/>
        <v>69.262514955252669</v>
      </c>
      <c r="AG3577" s="2">
        <f ca="1"/>
        <v>8.4848165209501669E-2</v>
      </c>
      <c r="AH3577" s="2" t="str">
        <f ca="1"/>
        <v>OK</v>
      </c>
    </row>
    <row r="3578" spans="2:34" x14ac:dyDescent="0.2">
      <c r="B3578" s="2">
        <f ca="1"/>
        <v>0.57933779095431359</v>
      </c>
      <c r="O3578" s="2">
        <f ca="1"/>
        <v>1.1529717475238956</v>
      </c>
      <c r="X3578" s="2">
        <f ca="1"/>
        <v>44.21547180886683</v>
      </c>
      <c r="AG3578" s="2">
        <f ca="1"/>
        <v>0.55761070355206055</v>
      </c>
      <c r="AH3578" s="2" t="str">
        <f ca="1"/>
        <v>Bad</v>
      </c>
    </row>
    <row r="3579" spans="2:34" x14ac:dyDescent="0.2">
      <c r="B3579" s="2">
        <f ca="1"/>
        <v>0.84835272340987999</v>
      </c>
      <c r="O3579" s="2">
        <f ca="1"/>
        <v>-0.36936611847050221</v>
      </c>
      <c r="X3579" s="2">
        <f ca="1"/>
        <v>50.492686116148214</v>
      </c>
      <c r="AG3579" s="2">
        <f ca="1"/>
        <v>0.8838485582956459</v>
      </c>
      <c r="AH3579" s="2" t="str">
        <f ca="1"/>
        <v>Bad</v>
      </c>
    </row>
    <row r="3580" spans="2:34" x14ac:dyDescent="0.2">
      <c r="B3580" s="2">
        <f ca="1"/>
        <v>0.31937073755200895</v>
      </c>
      <c r="O3580" s="2">
        <f ca="1"/>
        <v>-0.96472300472244099</v>
      </c>
      <c r="X3580" s="2">
        <f ca="1"/>
        <v>67.118132324023122</v>
      </c>
      <c r="AG3580" s="2">
        <f ca="1"/>
        <v>0.61632369132409703</v>
      </c>
      <c r="AH3580" s="2" t="str">
        <f ca="1"/>
        <v>Bad</v>
      </c>
    </row>
    <row r="3581" spans="2:34" x14ac:dyDescent="0.2">
      <c r="B3581" s="2">
        <f ca="1"/>
        <v>6.2106568373636817E-2</v>
      </c>
      <c r="O3581" s="2">
        <f ca="1"/>
        <v>1.1536105305498541</v>
      </c>
      <c r="X3581" s="2">
        <f ca="1"/>
        <v>41.494455559502001</v>
      </c>
      <c r="AG3581" s="2">
        <f ca="1"/>
        <v>0.81093875494403278</v>
      </c>
      <c r="AH3581" s="2" t="str">
        <f ca="1"/>
        <v>Bad</v>
      </c>
    </row>
    <row r="3582" spans="2:34" x14ac:dyDescent="0.2">
      <c r="B3582" s="2">
        <f ca="1"/>
        <v>0.29113290931813429</v>
      </c>
      <c r="O3582" s="2">
        <f ca="1"/>
        <v>-1.3706449292101395</v>
      </c>
      <c r="X3582" s="2">
        <f ca="1"/>
        <v>24.452181052785743</v>
      </c>
      <c r="AG3582" s="2">
        <f ca="1"/>
        <v>0.15718868531369212</v>
      </c>
      <c r="AH3582" s="2" t="str">
        <f ca="1"/>
        <v>OK</v>
      </c>
    </row>
    <row r="3583" spans="2:34" x14ac:dyDescent="0.2">
      <c r="B3583" s="2">
        <f ca="1"/>
        <v>0.94242483555377898</v>
      </c>
      <c r="O3583" s="2">
        <f ca="1"/>
        <v>5.2311164456345684E-2</v>
      </c>
      <c r="X3583" s="2">
        <f ca="1"/>
        <v>54.281157053037205</v>
      </c>
      <c r="AG3583" s="2">
        <f ca="1"/>
        <v>0.11484727411810591</v>
      </c>
      <c r="AH3583" s="2" t="str">
        <f ca="1"/>
        <v>OK</v>
      </c>
    </row>
    <row r="3584" spans="2:34" x14ac:dyDescent="0.2">
      <c r="B3584" s="2">
        <f ca="1"/>
        <v>0.9202669561115786</v>
      </c>
      <c r="O3584" s="2">
        <f ca="1"/>
        <v>0.32140224790628857</v>
      </c>
      <c r="X3584" s="2">
        <f ca="1"/>
        <v>60.63468269417119</v>
      </c>
      <c r="AG3584" s="2">
        <f ca="1"/>
        <v>0.33665957780356059</v>
      </c>
      <c r="AH3584" s="2" t="str">
        <f ca="1"/>
        <v>OK</v>
      </c>
    </row>
    <row r="3585" spans="2:34" x14ac:dyDescent="0.2">
      <c r="B3585" s="2">
        <f ca="1"/>
        <v>0.26936196052974926</v>
      </c>
      <c r="O3585" s="2">
        <f ca="1"/>
        <v>-0.38623026404950311</v>
      </c>
      <c r="X3585" s="2">
        <f ca="1"/>
        <v>43.651217716831837</v>
      </c>
      <c r="AG3585" s="2">
        <f ca="1"/>
        <v>0.37724465569545851</v>
      </c>
      <c r="AH3585" s="2" t="str">
        <f ca="1"/>
        <v>OK</v>
      </c>
    </row>
    <row r="3586" spans="2:34" x14ac:dyDescent="0.2">
      <c r="B3586" s="2">
        <f ca="1"/>
        <v>0.90767897673796694</v>
      </c>
      <c r="O3586" s="2">
        <f ca="1"/>
        <v>0.87792271574907588</v>
      </c>
      <c r="X3586" s="2">
        <f ca="1"/>
        <v>56.402417206749369</v>
      </c>
      <c r="AG3586" s="2">
        <f ca="1"/>
        <v>0.81595610474963065</v>
      </c>
      <c r="AH3586" s="2" t="str">
        <f ca="1"/>
        <v>Bad</v>
      </c>
    </row>
    <row r="3587" spans="2:34" x14ac:dyDescent="0.2">
      <c r="B3587" s="2">
        <f ca="1"/>
        <v>0.11202747076325892</v>
      </c>
      <c r="O3587" s="2">
        <f ca="1"/>
        <v>-0.53035566494391373</v>
      </c>
      <c r="X3587" s="2">
        <f ca="1"/>
        <v>23.490856191361349</v>
      </c>
      <c r="AG3587" s="2">
        <f ca="1"/>
        <v>0.58024924645499754</v>
      </c>
      <c r="AH3587" s="2" t="str">
        <f ca="1"/>
        <v>Bad</v>
      </c>
    </row>
    <row r="3588" spans="2:34" x14ac:dyDescent="0.2">
      <c r="B3588" s="2">
        <f ca="1"/>
        <v>0.50319683521929925</v>
      </c>
      <c r="O3588" s="2">
        <f ca="1"/>
        <v>0.97311716682108651</v>
      </c>
      <c r="X3588" s="2">
        <f ca="1"/>
        <v>79.871533457826786</v>
      </c>
      <c r="AG3588" s="2">
        <f ca="1"/>
        <v>0.12461450304872401</v>
      </c>
      <c r="AH3588" s="2" t="str">
        <f ca="1"/>
        <v>OK</v>
      </c>
    </row>
    <row r="3589" spans="2:34" x14ac:dyDescent="0.2">
      <c r="B3589" s="2">
        <f ca="1"/>
        <v>0.7600413379478872</v>
      </c>
      <c r="O3589" s="2">
        <f ca="1"/>
        <v>-0.41088866642421301</v>
      </c>
      <c r="X3589" s="2">
        <f ca="1"/>
        <v>62.410135563176397</v>
      </c>
      <c r="AG3589" s="2">
        <f ca="1"/>
        <v>0.98081827989839865</v>
      </c>
      <c r="AH3589" s="2" t="str">
        <f ca="1"/>
        <v>Bad</v>
      </c>
    </row>
    <row r="3590" spans="2:34" x14ac:dyDescent="0.2">
      <c r="B3590" s="2">
        <f ca="1"/>
        <v>0.29319693323600449</v>
      </c>
      <c r="O3590" s="2">
        <f ca="1"/>
        <v>-1.1346557397082027</v>
      </c>
      <c r="X3590" s="2">
        <f ca="1"/>
        <v>42.319584480308521</v>
      </c>
      <c r="AG3590" s="2">
        <f ca="1"/>
        <v>0.29179441829000941</v>
      </c>
      <c r="AH3590" s="2" t="str">
        <f ca="1"/>
        <v>OK</v>
      </c>
    </row>
    <row r="3591" spans="2:34" x14ac:dyDescent="0.2">
      <c r="B3591" s="2">
        <f ca="1"/>
        <v>0.52506265882064129</v>
      </c>
      <c r="O3591" s="2">
        <f ca="1"/>
        <v>-1.0961042798104705</v>
      </c>
      <c r="X3591" s="2">
        <f ca="1"/>
        <v>54.208036400926176</v>
      </c>
      <c r="AG3591" s="2">
        <f ca="1"/>
        <v>0.38133511687436816</v>
      </c>
      <c r="AH3591" s="2" t="str">
        <f ca="1"/>
        <v>OK</v>
      </c>
    </row>
    <row r="3592" spans="2:34" x14ac:dyDescent="0.2">
      <c r="B3592" s="2">
        <f ca="1"/>
        <v>0.70893593916923892</v>
      </c>
      <c r="O3592" s="2">
        <f ca="1"/>
        <v>-0.12048358091064316</v>
      </c>
      <c r="X3592" s="2">
        <f ca="1"/>
        <v>55.749913910077112</v>
      </c>
      <c r="AG3592" s="2">
        <f ca="1"/>
        <v>0.66997144301551659</v>
      </c>
      <c r="AH3592" s="2" t="str">
        <f ca="1"/>
        <v>Bad</v>
      </c>
    </row>
    <row r="3593" spans="2:34" x14ac:dyDescent="0.2">
      <c r="B3593" s="2">
        <f ca="1"/>
        <v>0.30128056546537874</v>
      </c>
      <c r="O3593" s="2">
        <f ca="1"/>
        <v>-0.10304919833574387</v>
      </c>
      <c r="X3593" s="2">
        <f ca="1"/>
        <v>35.699894113725172</v>
      </c>
      <c r="AG3593" s="2">
        <f ca="1"/>
        <v>1.8861176429065152E-2</v>
      </c>
      <c r="AH3593" s="2" t="str">
        <f ca="1"/>
        <v>Good</v>
      </c>
    </row>
    <row r="3594" spans="2:34" x14ac:dyDescent="0.2">
      <c r="B3594" s="2">
        <f ca="1"/>
        <v>0.54193068834327129</v>
      </c>
      <c r="O3594" s="2">
        <f ca="1"/>
        <v>-0.75163132657702136</v>
      </c>
      <c r="X3594" s="2">
        <f ca="1"/>
        <v>26.397722413163539</v>
      </c>
      <c r="AG3594" s="2">
        <f ca="1"/>
        <v>0.4281009304959027</v>
      </c>
      <c r="AH3594" s="2" t="str">
        <f ca="1"/>
        <v>Bad</v>
      </c>
    </row>
    <row r="3595" spans="2:34" x14ac:dyDescent="0.2">
      <c r="B3595" s="2">
        <f ca="1"/>
        <v>0.61509562858631583</v>
      </c>
      <c r="O3595" s="2">
        <f ca="1"/>
        <v>-0.20412507754015372</v>
      </c>
      <c r="X3595" s="2">
        <f ca="1"/>
        <v>56.215847266390668</v>
      </c>
      <c r="AG3595" s="2">
        <f ca="1"/>
        <v>0.6477444948304063</v>
      </c>
      <c r="AH3595" s="2" t="str">
        <f ca="1"/>
        <v>Bad</v>
      </c>
    </row>
    <row r="3596" spans="2:34" x14ac:dyDescent="0.2">
      <c r="B3596" s="2">
        <f ca="1"/>
        <v>0.14755266215616403</v>
      </c>
      <c r="O3596" s="2">
        <f ca="1"/>
        <v>-2.5068326834969495E-2</v>
      </c>
      <c r="X3596" s="2">
        <f ca="1"/>
        <v>40.106926719845823</v>
      </c>
      <c r="AG3596" s="2">
        <f ca="1"/>
        <v>0.30610131858102818</v>
      </c>
      <c r="AH3596" s="2" t="str">
        <f ca="1"/>
        <v>OK</v>
      </c>
    </row>
    <row r="3597" spans="2:34" x14ac:dyDescent="0.2">
      <c r="B3597" s="2">
        <f ca="1"/>
        <v>3.7985191144787045E-2</v>
      </c>
      <c r="O3597" s="2">
        <f ca="1"/>
        <v>-1.2435494063977577</v>
      </c>
      <c r="X3597" s="2">
        <f ca="1"/>
        <v>38.542602262727641</v>
      </c>
      <c r="AG3597" s="2">
        <f ca="1"/>
        <v>0.79277477428117149</v>
      </c>
      <c r="AH3597" s="2" t="str">
        <f ca="1"/>
        <v>Bad</v>
      </c>
    </row>
    <row r="3598" spans="2:34" x14ac:dyDescent="0.2">
      <c r="B3598" s="2">
        <f ca="1"/>
        <v>0.62336018685981665</v>
      </c>
      <c r="O3598" s="2">
        <f ca="1"/>
        <v>0.58496118973010192</v>
      </c>
      <c r="X3598" s="2">
        <f ca="1"/>
        <v>34.785217492549016</v>
      </c>
      <c r="AG3598" s="2">
        <f ca="1"/>
        <v>0.5337644443830003</v>
      </c>
      <c r="AH3598" s="2" t="str">
        <f ca="1"/>
        <v>Bad</v>
      </c>
    </row>
    <row r="3599" spans="2:34" x14ac:dyDescent="0.2">
      <c r="B3599" s="2">
        <f ca="1"/>
        <v>0.80891435244621546</v>
      </c>
      <c r="O3599" s="2">
        <f ca="1"/>
        <v>-0.49624027687021405</v>
      </c>
      <c r="X3599" s="2">
        <f ca="1"/>
        <v>57.553495886048431</v>
      </c>
      <c r="AG3599" s="2">
        <f ca="1"/>
        <v>0.2621821047246562</v>
      </c>
      <c r="AH3599" s="2" t="str">
        <f ca="1"/>
        <v>OK</v>
      </c>
    </row>
    <row r="3600" spans="2:34" x14ac:dyDescent="0.2">
      <c r="B3600" s="2">
        <f ca="1"/>
        <v>1.460908325121224E-2</v>
      </c>
      <c r="O3600" s="2">
        <f ca="1"/>
        <v>-0.80166990887802902</v>
      </c>
      <c r="X3600" s="2">
        <f ca="1"/>
        <v>57.263218189281176</v>
      </c>
      <c r="AG3600" s="2">
        <f ca="1"/>
        <v>0.8318330057225034</v>
      </c>
      <c r="AH3600" s="2" t="str">
        <f ca="1"/>
        <v>Bad</v>
      </c>
    </row>
    <row r="3601" spans="2:34" x14ac:dyDescent="0.2">
      <c r="B3601" s="2">
        <f ca="1"/>
        <v>0.49806811831600539</v>
      </c>
      <c r="O3601" s="2">
        <f ca="1"/>
        <v>0.2675616942883981</v>
      </c>
      <c r="X3601" s="2">
        <f ca="1"/>
        <v>70.818552385031467</v>
      </c>
      <c r="AG3601" s="2">
        <f ca="1"/>
        <v>0.64213170221231253</v>
      </c>
      <c r="AH3601" s="2" t="str">
        <f ca="1"/>
        <v>Bad</v>
      </c>
    </row>
    <row r="3602" spans="2:34" x14ac:dyDescent="0.2">
      <c r="B3602" s="2">
        <f ca="1"/>
        <v>0.29087420741135661</v>
      </c>
      <c r="O3602" s="2">
        <f ca="1"/>
        <v>0.4423257427939572</v>
      </c>
      <c r="X3602" s="2">
        <f ca="1"/>
        <v>54.080360124503869</v>
      </c>
      <c r="AG3602" s="2">
        <f ca="1"/>
        <v>0.50867470681924187</v>
      </c>
      <c r="AH3602" s="2" t="str">
        <f ca="1"/>
        <v>Bad</v>
      </c>
    </row>
    <row r="3603" spans="2:34" x14ac:dyDescent="0.2">
      <c r="B3603" s="2">
        <f ca="1"/>
        <v>0.54653855089232017</v>
      </c>
      <c r="O3603" s="2">
        <f ca="1"/>
        <v>0.18272092991799568</v>
      </c>
      <c r="X3603" s="2">
        <f ca="1"/>
        <v>62.187282221979444</v>
      </c>
      <c r="AG3603" s="2">
        <f ca="1"/>
        <v>0.13873052162626887</v>
      </c>
      <c r="AH3603" s="2" t="str">
        <f ca="1"/>
        <v>OK</v>
      </c>
    </row>
    <row r="3604" spans="2:34" x14ac:dyDescent="0.2">
      <c r="B3604" s="2">
        <f ca="1"/>
        <v>0.88379051498043948</v>
      </c>
      <c r="O3604" s="2">
        <f ca="1"/>
        <v>0.77902390371322816</v>
      </c>
      <c r="X3604" s="2">
        <f ca="1"/>
        <v>28.056390271483117</v>
      </c>
      <c r="AG3604" s="2">
        <f ca="1"/>
        <v>2.0482033088835783E-2</v>
      </c>
      <c r="AH3604" s="2" t="str">
        <f ca="1"/>
        <v>Good</v>
      </c>
    </row>
    <row r="3605" spans="2:34" x14ac:dyDescent="0.2">
      <c r="B3605" s="2">
        <f ca="1"/>
        <v>0.31407908074206481</v>
      </c>
      <c r="O3605" s="2">
        <f ca="1"/>
        <v>1.8173887841539074</v>
      </c>
      <c r="X3605" s="2">
        <f ca="1"/>
        <v>39.787283081059236</v>
      </c>
      <c r="AG3605" s="2">
        <f ca="1"/>
        <v>0.52467212079092618</v>
      </c>
      <c r="AH3605" s="2" t="str">
        <f ca="1"/>
        <v>Bad</v>
      </c>
    </row>
    <row r="3606" spans="2:34" x14ac:dyDescent="0.2">
      <c r="B3606" s="2">
        <f ca="1"/>
        <v>0.74060575193296052</v>
      </c>
      <c r="O3606" s="2">
        <f ca="1"/>
        <v>0.34980472995563433</v>
      </c>
      <c r="X3606" s="2">
        <f ca="1"/>
        <v>36.222286802662616</v>
      </c>
      <c r="AG3606" s="2">
        <f ca="1"/>
        <v>2.2456149976096462E-2</v>
      </c>
      <c r="AH3606" s="2" t="str">
        <f ca="1"/>
        <v>Good</v>
      </c>
    </row>
    <row r="3607" spans="2:34" x14ac:dyDescent="0.2">
      <c r="B3607" s="2">
        <f ca="1"/>
        <v>0.37285330909412795</v>
      </c>
      <c r="O3607" s="2">
        <f ca="1"/>
        <v>-0.35965427683630047</v>
      </c>
      <c r="X3607" s="2">
        <f ca="1"/>
        <v>95.529436819881255</v>
      </c>
      <c r="AG3607" s="2">
        <f ca="1"/>
        <v>3.1695133102778383E-2</v>
      </c>
      <c r="AH3607" s="2" t="str">
        <f ca="1"/>
        <v>Good</v>
      </c>
    </row>
    <row r="3608" spans="2:34" x14ac:dyDescent="0.2">
      <c r="B3608" s="2">
        <f ca="1"/>
        <v>0.23365764295068536</v>
      </c>
      <c r="O3608" s="2">
        <f ca="1"/>
        <v>-0.14051929635901395</v>
      </c>
      <c r="X3608" s="2">
        <f ca="1"/>
        <v>42.336824231021353</v>
      </c>
      <c r="AG3608" s="2">
        <f ca="1"/>
        <v>0.77571218521408536</v>
      </c>
      <c r="AH3608" s="2" t="str">
        <f ca="1"/>
        <v>Bad</v>
      </c>
    </row>
    <row r="3609" spans="2:34" x14ac:dyDescent="0.2">
      <c r="B3609" s="2">
        <f ca="1"/>
        <v>0.5175536266634666</v>
      </c>
      <c r="O3609" s="2">
        <f ca="1"/>
        <v>-1.086511297207907</v>
      </c>
      <c r="X3609" s="2">
        <f ca="1"/>
        <v>33.188538805438398</v>
      </c>
      <c r="AG3609" s="2">
        <f ca="1"/>
        <v>0.88153154501899667</v>
      </c>
      <c r="AH3609" s="2" t="str">
        <f ca="1"/>
        <v>Bad</v>
      </c>
    </row>
    <row r="3610" spans="2:34" x14ac:dyDescent="0.2">
      <c r="B3610" s="2">
        <f ca="1"/>
        <v>0.90051353441773063</v>
      </c>
      <c r="O3610" s="2">
        <f ca="1"/>
        <v>-0.49648390719390134</v>
      </c>
      <c r="X3610" s="2">
        <f ca="1"/>
        <v>43.162132638696768</v>
      </c>
      <c r="AG3610" s="2">
        <f ca="1"/>
        <v>0.73635211172158499</v>
      </c>
      <c r="AH3610" s="2" t="str">
        <f ca="1"/>
        <v>Bad</v>
      </c>
    </row>
    <row r="3611" spans="2:34" x14ac:dyDescent="0.2">
      <c r="B3611" s="2">
        <f ca="1"/>
        <v>0.54199811837781464</v>
      </c>
      <c r="O3611" s="2">
        <f ca="1"/>
        <v>-0.67418314581538652</v>
      </c>
      <c r="X3611" s="2">
        <f ca="1"/>
        <v>37.931390203033779</v>
      </c>
      <c r="AG3611" s="2">
        <f ca="1"/>
        <v>0.55179489452591501</v>
      </c>
      <c r="AH3611" s="2" t="str">
        <f ca="1"/>
        <v>Bad</v>
      </c>
    </row>
    <row r="3612" spans="2:34" x14ac:dyDescent="0.2">
      <c r="B3612" s="2">
        <f ca="1"/>
        <v>0.55322837796405877</v>
      </c>
      <c r="O3612" s="2">
        <f ca="1"/>
        <v>0.42176289224862795</v>
      </c>
      <c r="X3612" s="2">
        <f ca="1"/>
        <v>78.484783336530242</v>
      </c>
      <c r="AG3612" s="2">
        <f ca="1"/>
        <v>0.13166031097210373</v>
      </c>
      <c r="AH3612" s="2" t="str">
        <f ca="1"/>
        <v>OK</v>
      </c>
    </row>
    <row r="3613" spans="2:34" x14ac:dyDescent="0.2">
      <c r="B3613" s="2">
        <f ca="1"/>
        <v>0.50609659056773393</v>
      </c>
      <c r="O3613" s="2">
        <f ca="1"/>
        <v>2.5828783335227556</v>
      </c>
      <c r="X3613" s="2">
        <f ca="1"/>
        <v>36.172755288577818</v>
      </c>
      <c r="AG3613" s="2">
        <f ca="1"/>
        <v>0.79950639166444581</v>
      </c>
      <c r="AH3613" s="2" t="str">
        <f ca="1"/>
        <v>Bad</v>
      </c>
    </row>
    <row r="3614" spans="2:34" x14ac:dyDescent="0.2">
      <c r="B3614" s="2">
        <f ca="1"/>
        <v>0.38546919530753176</v>
      </c>
      <c r="O3614" s="2">
        <f ca="1"/>
        <v>1.0080276777718646</v>
      </c>
      <c r="X3614" s="2">
        <f ca="1"/>
        <v>42.973971456710046</v>
      </c>
      <c r="AG3614" s="2">
        <f ca="1"/>
        <v>0.92502165233581102</v>
      </c>
      <c r="AH3614" s="2" t="str">
        <f ca="1"/>
        <v>Bad</v>
      </c>
    </row>
    <row r="3615" spans="2:34" x14ac:dyDescent="0.2">
      <c r="B3615" s="2">
        <f ca="1"/>
        <v>0.91576025660700422</v>
      </c>
      <c r="O3615" s="2">
        <f ca="1"/>
        <v>0.79726987515204084</v>
      </c>
      <c r="X3615" s="2">
        <f ca="1"/>
        <v>72.400919154841688</v>
      </c>
      <c r="AG3615" s="2">
        <f ca="1"/>
        <v>0.464062455764231</v>
      </c>
      <c r="AH3615" s="2" t="str">
        <f ca="1"/>
        <v>Bad</v>
      </c>
    </row>
    <row r="3616" spans="2:34" x14ac:dyDescent="0.2">
      <c r="B3616" s="2">
        <f ca="1"/>
        <v>0.36780999347377863</v>
      </c>
      <c r="O3616" s="2">
        <f ca="1"/>
        <v>0.47366259516262954</v>
      </c>
      <c r="X3616" s="2">
        <f ca="1"/>
        <v>37.154657819481422</v>
      </c>
      <c r="AG3616" s="2">
        <f ca="1"/>
        <v>0.13603195703803528</v>
      </c>
      <c r="AH3616" s="2" t="str">
        <f ca="1"/>
        <v>OK</v>
      </c>
    </row>
    <row r="3617" spans="2:34" x14ac:dyDescent="0.2">
      <c r="B3617" s="2">
        <f ca="1"/>
        <v>0.85933309370778721</v>
      </c>
      <c r="O3617" s="2">
        <f ca="1"/>
        <v>0.85578112171968279</v>
      </c>
      <c r="X3617" s="2">
        <f ca="1"/>
        <v>56.908970705968684</v>
      </c>
      <c r="AG3617" s="2">
        <f ca="1"/>
        <v>7.1712660829329478E-2</v>
      </c>
      <c r="AH3617" s="2" t="str">
        <f ca="1"/>
        <v>OK</v>
      </c>
    </row>
    <row r="3618" spans="2:34" x14ac:dyDescent="0.2">
      <c r="B3618" s="2">
        <f ca="1"/>
        <v>0.91483929223603022</v>
      </c>
      <c r="O3618" s="2">
        <f ca="1"/>
        <v>-0.58076329616474021</v>
      </c>
      <c r="X3618" s="2">
        <f ca="1"/>
        <v>53.613811086824853</v>
      </c>
      <c r="AG3618" s="2">
        <f ca="1"/>
        <v>0.11216966536908313</v>
      </c>
      <c r="AH3618" s="2" t="str">
        <f ca="1"/>
        <v>OK</v>
      </c>
    </row>
    <row r="3619" spans="2:34" x14ac:dyDescent="0.2">
      <c r="B3619" s="2">
        <f ca="1"/>
        <v>0.45541172882879155</v>
      </c>
      <c r="O3619" s="2">
        <f ca="1"/>
        <v>-0.71023743234054559</v>
      </c>
      <c r="X3619" s="2">
        <f ca="1"/>
        <v>55.595829339772031</v>
      </c>
      <c r="AG3619" s="2">
        <f ca="1"/>
        <v>0.31912297495049291</v>
      </c>
      <c r="AH3619" s="2" t="str">
        <f ca="1"/>
        <v>OK</v>
      </c>
    </row>
    <row r="3620" spans="2:34" x14ac:dyDescent="0.2">
      <c r="B3620" s="2">
        <f ca="1"/>
        <v>0.89253962764237915</v>
      </c>
      <c r="O3620" s="2">
        <f ca="1"/>
        <v>1.5886916807147504</v>
      </c>
      <c r="X3620" s="2">
        <f ca="1"/>
        <v>24.656997016593696</v>
      </c>
      <c r="AG3620" s="2">
        <f ca="1"/>
        <v>0.52298275878281553</v>
      </c>
      <c r="AH3620" s="2" t="str">
        <f ca="1"/>
        <v>Bad</v>
      </c>
    </row>
    <row r="3621" spans="2:34" x14ac:dyDescent="0.2">
      <c r="B3621" s="2">
        <f ca="1"/>
        <v>0.807350185976627</v>
      </c>
      <c r="O3621" s="2">
        <f ca="1"/>
        <v>0.98288739759920052</v>
      </c>
      <c r="X3621" s="2">
        <f ca="1"/>
        <v>18.703344698779194</v>
      </c>
      <c r="AG3621" s="2">
        <f ca="1"/>
        <v>0.91252297281125361</v>
      </c>
      <c r="AH3621" s="2" t="str">
        <f ca="1"/>
        <v>Bad</v>
      </c>
    </row>
    <row r="3622" spans="2:34" x14ac:dyDescent="0.2">
      <c r="B3622" s="2">
        <f ca="1"/>
        <v>5.3727588717714436E-2</v>
      </c>
      <c r="O3622" s="2">
        <f ca="1"/>
        <v>-1.1155435281685073</v>
      </c>
      <c r="X3622" s="2">
        <f ca="1"/>
        <v>52.31338905819711</v>
      </c>
      <c r="AG3622" s="2">
        <f ca="1"/>
        <v>0.60976779676161974</v>
      </c>
      <c r="AH3622" s="2" t="str">
        <f ca="1"/>
        <v>Bad</v>
      </c>
    </row>
    <row r="3623" spans="2:34" x14ac:dyDescent="0.2">
      <c r="B3623" s="2">
        <f ca="1"/>
        <v>0.90575188900261505</v>
      </c>
      <c r="O3623" s="2">
        <f ca="1"/>
        <v>-1.4669344793917214</v>
      </c>
      <c r="X3623" s="2">
        <f ca="1"/>
        <v>63.544879605448372</v>
      </c>
      <c r="AG3623" s="2">
        <f ca="1"/>
        <v>0.39896372749855824</v>
      </c>
      <c r="AH3623" s="2" t="str">
        <f ca="1"/>
        <v>OK</v>
      </c>
    </row>
    <row r="3624" spans="2:34" x14ac:dyDescent="0.2">
      <c r="B3624" s="2">
        <f ca="1"/>
        <v>0.75665343189901058</v>
      </c>
      <c r="O3624" s="2">
        <f ca="1"/>
        <v>-0.87658029102249091</v>
      </c>
      <c r="X3624" s="2">
        <f ca="1"/>
        <v>36.960723326846498</v>
      </c>
      <c r="AG3624" s="2">
        <f ca="1"/>
        <v>0.2999749019282012</v>
      </c>
      <c r="AH3624" s="2" t="str">
        <f ca="1"/>
        <v>OK</v>
      </c>
    </row>
    <row r="3625" spans="2:34" x14ac:dyDescent="0.2">
      <c r="B3625" s="2">
        <f ca="1"/>
        <v>0.73695792541550276</v>
      </c>
      <c r="O3625" s="2">
        <f ca="1"/>
        <v>-1.2620229473097559</v>
      </c>
      <c r="X3625" s="2">
        <f ca="1"/>
        <v>45.2376826844108</v>
      </c>
      <c r="AG3625" s="2">
        <f ca="1"/>
        <v>0.31219501909357072</v>
      </c>
      <c r="AH3625" s="2" t="str">
        <f ca="1"/>
        <v>OK</v>
      </c>
    </row>
    <row r="3626" spans="2:34" x14ac:dyDescent="0.2">
      <c r="B3626" s="2">
        <f ca="1"/>
        <v>0.21564129926437015</v>
      </c>
      <c r="O3626" s="2">
        <f ca="1"/>
        <v>1.2204621148545483</v>
      </c>
      <c r="X3626" s="2">
        <f ca="1"/>
        <v>59.973972714610383</v>
      </c>
      <c r="AG3626" s="2">
        <f ca="1"/>
        <v>0.68871503973081016</v>
      </c>
      <c r="AH3626" s="2" t="str">
        <f ca="1"/>
        <v>Bad</v>
      </c>
    </row>
    <row r="3627" spans="2:34" x14ac:dyDescent="0.2">
      <c r="B3627" s="2">
        <f ca="1"/>
        <v>0.53181365031090744</v>
      </c>
      <c r="O3627" s="2">
        <f ca="1"/>
        <v>2.4732121006138468</v>
      </c>
      <c r="X3627" s="2">
        <f ca="1"/>
        <v>51.193635675281996</v>
      </c>
      <c r="AG3627" s="2">
        <f ca="1"/>
        <v>0.27773609164001956</v>
      </c>
      <c r="AH3627" s="2" t="str">
        <f ca="1"/>
        <v>OK</v>
      </c>
    </row>
    <row r="3628" spans="2:34" x14ac:dyDescent="0.2">
      <c r="B3628" s="2">
        <f ca="1"/>
        <v>0.21396542677249597</v>
      </c>
      <c r="O3628" s="2">
        <f ca="1"/>
        <v>1.9404619825186677</v>
      </c>
      <c r="X3628" s="2">
        <f ca="1"/>
        <v>62.394297981800776</v>
      </c>
      <c r="AG3628" s="2">
        <f ca="1"/>
        <v>0.99574942153227775</v>
      </c>
      <c r="AH3628" s="2" t="str">
        <f ca="1"/>
        <v>Bad</v>
      </c>
    </row>
    <row r="3629" spans="2:34" x14ac:dyDescent="0.2">
      <c r="B3629" s="2">
        <f ca="1"/>
        <v>0.16199015804722472</v>
      </c>
      <c r="O3629" s="2">
        <f ca="1"/>
        <v>-2.3252588786077149</v>
      </c>
      <c r="X3629" s="2">
        <f ca="1"/>
        <v>48.498115433471114</v>
      </c>
      <c r="AG3629" s="2">
        <f ca="1"/>
        <v>0.58091103660752119</v>
      </c>
      <c r="AH3629" s="2" t="str">
        <f ca="1"/>
        <v>Bad</v>
      </c>
    </row>
    <row r="3630" spans="2:34" x14ac:dyDescent="0.2">
      <c r="B3630" s="2">
        <f ca="1"/>
        <v>7.5573288273027561E-2</v>
      </c>
      <c r="O3630" s="2">
        <f ca="1"/>
        <v>0.51065082777165582</v>
      </c>
      <c r="X3630" s="2">
        <f ca="1"/>
        <v>31.60480070816255</v>
      </c>
      <c r="AG3630" s="2">
        <f ca="1"/>
        <v>0.99767851880880087</v>
      </c>
      <c r="AH3630" s="2" t="str">
        <f ca="1"/>
        <v>Bad</v>
      </c>
    </row>
    <row r="3631" spans="2:34" x14ac:dyDescent="0.2">
      <c r="B3631" s="2">
        <f ca="1"/>
        <v>0.71356149543506575</v>
      </c>
      <c r="O3631" s="2">
        <f ca="1"/>
        <v>-1.2936982284930327</v>
      </c>
      <c r="X3631" s="2">
        <f ca="1"/>
        <v>58.08526928923591</v>
      </c>
      <c r="AG3631" s="2">
        <f ca="1"/>
        <v>0.34866401228660759</v>
      </c>
      <c r="AH3631" s="2" t="str">
        <f ca="1"/>
        <v>OK</v>
      </c>
    </row>
    <row r="3632" spans="2:34" x14ac:dyDescent="0.2">
      <c r="B3632" s="2">
        <f ca="1"/>
        <v>7.0958608801286571E-2</v>
      </c>
      <c r="O3632" s="2">
        <f ca="1"/>
        <v>0.22841483076776575</v>
      </c>
      <c r="X3632" s="2">
        <f ca="1"/>
        <v>57.098119800395793</v>
      </c>
      <c r="AG3632" s="2">
        <f ca="1"/>
        <v>0.49798578026510842</v>
      </c>
      <c r="AH3632" s="2" t="str">
        <f ca="1"/>
        <v>Bad</v>
      </c>
    </row>
    <row r="3633" spans="2:34" x14ac:dyDescent="0.2">
      <c r="B3633" s="2">
        <f ca="1"/>
        <v>0.85924092946651531</v>
      </c>
      <c r="O3633" s="2">
        <f ca="1"/>
        <v>-0.15755353268985964</v>
      </c>
      <c r="X3633" s="2">
        <f ca="1"/>
        <v>58.720522517814331</v>
      </c>
      <c r="AG3633" s="2">
        <f ca="1"/>
        <v>0.64122525470440306</v>
      </c>
      <c r="AH3633" s="2" t="str">
        <f ca="1"/>
        <v>Bad</v>
      </c>
    </row>
    <row r="3634" spans="2:34" x14ac:dyDescent="0.2">
      <c r="B3634" s="2">
        <f ca="1"/>
        <v>0.55362189222801916</v>
      </c>
      <c r="O3634" s="2">
        <f ca="1"/>
        <v>1.6101942356448855</v>
      </c>
      <c r="X3634" s="2">
        <f ca="1"/>
        <v>37.776921789032684</v>
      </c>
      <c r="AG3634" s="2">
        <f ca="1"/>
        <v>0.77416725990308288</v>
      </c>
      <c r="AH3634" s="2" t="str">
        <f ca="1"/>
        <v>Bad</v>
      </c>
    </row>
    <row r="3635" spans="2:34" x14ac:dyDescent="0.2">
      <c r="B3635" s="2">
        <f ca="1"/>
        <v>0.33054689596229392</v>
      </c>
      <c r="O3635" s="2">
        <f ca="1"/>
        <v>1.8634771682430036</v>
      </c>
      <c r="X3635" s="2">
        <f ca="1"/>
        <v>30.536680238753124</v>
      </c>
      <c r="AG3635" s="2">
        <f ca="1"/>
        <v>0.9668923963885836</v>
      </c>
      <c r="AH3635" s="2" t="str">
        <f ca="1"/>
        <v>Bad</v>
      </c>
    </row>
    <row r="3636" spans="2:34" x14ac:dyDescent="0.2">
      <c r="B3636" s="2">
        <f ca="1"/>
        <v>0.82572316427443471</v>
      </c>
      <c r="O3636" s="2">
        <f ca="1"/>
        <v>0.7464604438007173</v>
      </c>
      <c r="X3636" s="2">
        <f ca="1"/>
        <v>43.542846632989324</v>
      </c>
      <c r="AG3636" s="2">
        <f ca="1"/>
        <v>0.27240370421891358</v>
      </c>
      <c r="AH3636" s="2" t="str">
        <f ca="1"/>
        <v>OK</v>
      </c>
    </row>
    <row r="3637" spans="2:34" x14ac:dyDescent="0.2">
      <c r="B3637" s="2">
        <f ca="1"/>
        <v>0.59469881409836933</v>
      </c>
      <c r="O3637" s="2">
        <f ca="1"/>
        <v>-0.83089989725663371</v>
      </c>
      <c r="X3637" s="2">
        <f ca="1"/>
        <v>32.816795610928168</v>
      </c>
      <c r="AG3637" s="2">
        <f ca="1"/>
        <v>0.83447910451620877</v>
      </c>
      <c r="AH3637" s="2" t="str">
        <f ca="1"/>
        <v>Bad</v>
      </c>
    </row>
    <row r="3638" spans="2:34" x14ac:dyDescent="0.2">
      <c r="B3638" s="2">
        <f ca="1"/>
        <v>1.786218103234738E-2</v>
      </c>
      <c r="O3638" s="2">
        <f ca="1"/>
        <v>-1.2266555818491869</v>
      </c>
      <c r="X3638" s="2">
        <f ca="1"/>
        <v>34.891680101016448</v>
      </c>
      <c r="AG3638" s="2">
        <f ca="1"/>
        <v>0.20487447538506243</v>
      </c>
      <c r="AH3638" s="2" t="str">
        <f ca="1"/>
        <v>OK</v>
      </c>
    </row>
    <row r="3639" spans="2:34" x14ac:dyDescent="0.2">
      <c r="B3639" s="2">
        <f ca="1"/>
        <v>0.73397824631518449</v>
      </c>
      <c r="O3639" s="2">
        <f ca="1"/>
        <v>-0.58067886726883777</v>
      </c>
      <c r="X3639" s="2">
        <f ca="1"/>
        <v>72.843397349568505</v>
      </c>
      <c r="AG3639" s="2">
        <f ca="1"/>
        <v>0.82074310491919134</v>
      </c>
      <c r="AH3639" s="2" t="str">
        <f ca="1"/>
        <v>Bad</v>
      </c>
    </row>
    <row r="3640" spans="2:34" x14ac:dyDescent="0.2">
      <c r="B3640" s="2">
        <f ca="1"/>
        <v>0.98118350545683564</v>
      </c>
      <c r="O3640" s="2">
        <f ca="1"/>
        <v>-0.86696294907894322</v>
      </c>
      <c r="X3640" s="2">
        <f ca="1"/>
        <v>52.346692879634631</v>
      </c>
      <c r="AG3640" s="2">
        <f ca="1"/>
        <v>9.8767451229465619E-2</v>
      </c>
      <c r="AH3640" s="2" t="str">
        <f ca="1"/>
        <v>OK</v>
      </c>
    </row>
    <row r="3641" spans="2:34" x14ac:dyDescent="0.2">
      <c r="B3641" s="2">
        <f ca="1"/>
        <v>0.82253486852318769</v>
      </c>
      <c r="O3641" s="2">
        <f ca="1"/>
        <v>1.4944430089722158</v>
      </c>
      <c r="X3641" s="2">
        <f ca="1"/>
        <v>37.560161915035167</v>
      </c>
      <c r="AG3641" s="2">
        <f ca="1"/>
        <v>0.92260745564677382</v>
      </c>
      <c r="AH3641" s="2" t="str">
        <f ca="1"/>
        <v>Bad</v>
      </c>
    </row>
    <row r="3642" spans="2:34" x14ac:dyDescent="0.2">
      <c r="B3642" s="2">
        <f ca="1"/>
        <v>0.46480863223221069</v>
      </c>
      <c r="O3642" s="2">
        <f ca="1"/>
        <v>0.86977897851959329</v>
      </c>
      <c r="X3642" s="2">
        <f ca="1"/>
        <v>48.010892558477487</v>
      </c>
      <c r="AG3642" s="2">
        <f ca="1"/>
        <v>0.98241939125296929</v>
      </c>
      <c r="AH3642" s="2" t="str">
        <f ca="1"/>
        <v>Bad</v>
      </c>
    </row>
    <row r="3643" spans="2:34" x14ac:dyDescent="0.2">
      <c r="B3643" s="2">
        <f ca="1"/>
        <v>0.93798892806586576</v>
      </c>
      <c r="O3643" s="2">
        <f ca="1"/>
        <v>-0.58795697243787459</v>
      </c>
      <c r="X3643" s="2">
        <f ca="1"/>
        <v>45.552827899922413</v>
      </c>
      <c r="AG3643" s="2">
        <f ca="1"/>
        <v>0.34459474062083628</v>
      </c>
      <c r="AH3643" s="2" t="str">
        <f ca="1"/>
        <v>OK</v>
      </c>
    </row>
    <row r="3644" spans="2:34" x14ac:dyDescent="0.2">
      <c r="B3644" s="2">
        <f ca="1"/>
        <v>0.95989477801351186</v>
      </c>
      <c r="O3644" s="2">
        <f ca="1"/>
        <v>4.5236885526983281E-2</v>
      </c>
      <c r="X3644" s="2">
        <f ca="1"/>
        <v>61.764359652390944</v>
      </c>
      <c r="AG3644" s="2">
        <f ca="1"/>
        <v>0.2189043135423383</v>
      </c>
      <c r="AH3644" s="2" t="str">
        <f ca="1"/>
        <v>OK</v>
      </c>
    </row>
    <row r="3645" spans="2:34" x14ac:dyDescent="0.2">
      <c r="B3645" s="2">
        <f ca="1"/>
        <v>0.35783907296992146</v>
      </c>
      <c r="O3645" s="2">
        <f ca="1"/>
        <v>-1.4124097045133124</v>
      </c>
      <c r="X3645" s="2">
        <f ca="1"/>
        <v>46.59129941598102</v>
      </c>
      <c r="AG3645" s="2">
        <f ca="1"/>
        <v>0.61929484266220247</v>
      </c>
      <c r="AH3645" s="2" t="str">
        <f ca="1"/>
        <v>Bad</v>
      </c>
    </row>
    <row r="3646" spans="2:34" x14ac:dyDescent="0.2">
      <c r="B3646" s="2">
        <f ca="1"/>
        <v>0.62659478207481367</v>
      </c>
      <c r="O3646" s="2">
        <f ca="1"/>
        <v>0.26764170415715666</v>
      </c>
      <c r="X3646" s="2">
        <f ca="1"/>
        <v>46.492164367816414</v>
      </c>
      <c r="AG3646" s="2">
        <f ca="1"/>
        <v>0.57564018955540242</v>
      </c>
      <c r="AH3646" s="2" t="str">
        <f ca="1"/>
        <v>Bad</v>
      </c>
    </row>
    <row r="3647" spans="2:34" x14ac:dyDescent="0.2">
      <c r="B3647" s="2">
        <f ca="1"/>
        <v>0.97116361458423461</v>
      </c>
      <c r="O3647" s="2">
        <f ca="1"/>
        <v>-0.49325610212854609</v>
      </c>
      <c r="X3647" s="2">
        <f ca="1"/>
        <v>27.335432992136965</v>
      </c>
      <c r="AG3647" s="2">
        <f ca="1"/>
        <v>7.2017388594125542E-3</v>
      </c>
      <c r="AH3647" s="2" t="str">
        <f ca="1"/>
        <v>Good</v>
      </c>
    </row>
    <row r="3648" spans="2:34" x14ac:dyDescent="0.2">
      <c r="B3648" s="2">
        <f ca="1"/>
        <v>0.87356909913987502</v>
      </c>
      <c r="O3648" s="2">
        <f ca="1"/>
        <v>0.4501104558712879</v>
      </c>
      <c r="X3648" s="2">
        <f ca="1"/>
        <v>44.437312089717274</v>
      </c>
      <c r="AG3648" s="2">
        <f ca="1"/>
        <v>0.65106720281714314</v>
      </c>
      <c r="AH3648" s="2" t="str">
        <f ca="1"/>
        <v>Bad</v>
      </c>
    </row>
    <row r="3649" spans="2:34" x14ac:dyDescent="0.2">
      <c r="B3649" s="2">
        <f ca="1"/>
        <v>0.61606213448173675</v>
      </c>
      <c r="O3649" s="2">
        <f ca="1"/>
        <v>1.8868723313110456</v>
      </c>
      <c r="X3649" s="2">
        <f ca="1"/>
        <v>55.423474125635003</v>
      </c>
      <c r="AG3649" s="2">
        <f ca="1"/>
        <v>0.84138459722917758</v>
      </c>
      <c r="AH3649" s="2" t="str">
        <f ca="1"/>
        <v>Bad</v>
      </c>
    </row>
    <row r="3650" spans="2:34" x14ac:dyDescent="0.2">
      <c r="B3650" s="2">
        <f ca="1"/>
        <v>0.76620159976817703</v>
      </c>
      <c r="O3650" s="2">
        <f ca="1"/>
        <v>-0.55680009047464574</v>
      </c>
      <c r="X3650" s="2">
        <f ca="1"/>
        <v>34.432844281306615</v>
      </c>
      <c r="AG3650" s="2">
        <f ca="1"/>
        <v>0.98448813060884599</v>
      </c>
      <c r="AH3650" s="2" t="str">
        <f ca="1"/>
        <v>Bad</v>
      </c>
    </row>
    <row r="3651" spans="2:34" x14ac:dyDescent="0.2">
      <c r="B3651" s="2">
        <f ca="1"/>
        <v>0.86396556470464447</v>
      </c>
      <c r="O3651" s="2">
        <f ca="1"/>
        <v>1.555260166805015</v>
      </c>
      <c r="X3651" s="2">
        <f ca="1"/>
        <v>28.680067694699471</v>
      </c>
      <c r="AG3651" s="2">
        <f ca="1"/>
        <v>0.92465439870901789</v>
      </c>
      <c r="AH3651" s="2" t="str">
        <f ca="1"/>
        <v>Bad</v>
      </c>
    </row>
    <row r="3652" spans="2:34" x14ac:dyDescent="0.2">
      <c r="B3652" s="2">
        <f ca="1"/>
        <v>0.42563595153520706</v>
      </c>
      <c r="O3652" s="2">
        <f ca="1"/>
        <v>-0.57086460077314405</v>
      </c>
      <c r="X3652" s="2">
        <f ca="1"/>
        <v>49.543856677290982</v>
      </c>
      <c r="AG3652" s="2">
        <f ca="1"/>
        <v>0.59874141039501882</v>
      </c>
      <c r="AH3652" s="2" t="str">
        <f ca="1"/>
        <v>Bad</v>
      </c>
    </row>
    <row r="3653" spans="2:34" x14ac:dyDescent="0.2">
      <c r="B3653" s="2">
        <f ca="1"/>
        <v>6.9446398515240038E-2</v>
      </c>
      <c r="O3653" s="2">
        <f ca="1"/>
        <v>-0.50311140534746446</v>
      </c>
      <c r="X3653" s="2">
        <f ca="1"/>
        <v>65.764628204448442</v>
      </c>
      <c r="AG3653" s="2">
        <f ca="1"/>
        <v>0.8211845370314006</v>
      </c>
      <c r="AH3653" s="2" t="str">
        <f ca="1"/>
        <v>Bad</v>
      </c>
    </row>
    <row r="3654" spans="2:34" x14ac:dyDescent="0.2">
      <c r="B3654" s="2">
        <f ca="1"/>
        <v>4.0016089608216232E-2</v>
      </c>
      <c r="O3654" s="2">
        <f ca="1"/>
        <v>0.47178822673833276</v>
      </c>
      <c r="X3654" s="2">
        <f ca="1"/>
        <v>48.810074180568222</v>
      </c>
      <c r="AG3654" s="2">
        <f ca="1"/>
        <v>0.65581973261947968</v>
      </c>
      <c r="AH3654" s="2" t="str">
        <f ca="1"/>
        <v>Bad</v>
      </c>
    </row>
    <row r="3655" spans="2:34" x14ac:dyDescent="0.2">
      <c r="B3655" s="2">
        <f ca="1"/>
        <v>0.23853291819508327</v>
      </c>
      <c r="O3655" s="2">
        <f ca="1"/>
        <v>0.40806881653909627</v>
      </c>
      <c r="X3655" s="2">
        <f ca="1"/>
        <v>75.863258348538793</v>
      </c>
      <c r="AG3655" s="2">
        <f ca="1"/>
        <v>0.58197293374954429</v>
      </c>
      <c r="AH3655" s="2" t="str">
        <f ca="1"/>
        <v>Bad</v>
      </c>
    </row>
    <row r="3656" spans="2:34" x14ac:dyDescent="0.2">
      <c r="B3656" s="2">
        <f ca="1"/>
        <v>0.72945543983718064</v>
      </c>
      <c r="O3656" s="2">
        <f ca="1"/>
        <v>-1.689895223077883</v>
      </c>
      <c r="X3656" s="2">
        <f ca="1"/>
        <v>42.333087943345632</v>
      </c>
      <c r="AG3656" s="2">
        <f ca="1"/>
        <v>0.14686709571599454</v>
      </c>
      <c r="AH3656" s="2" t="str">
        <f ca="1"/>
        <v>OK</v>
      </c>
    </row>
    <row r="3657" spans="2:34" x14ac:dyDescent="0.2">
      <c r="B3657" s="2">
        <f ca="1"/>
        <v>0.815848188611489</v>
      </c>
      <c r="O3657" s="2">
        <f ca="1"/>
        <v>-0.2781401018114863</v>
      </c>
      <c r="X3657" s="2">
        <f ca="1"/>
        <v>69.505383439529353</v>
      </c>
      <c r="AG3657" s="2">
        <f ca="1"/>
        <v>0.29067881683939478</v>
      </c>
      <c r="AH3657" s="2" t="str">
        <f ca="1"/>
        <v>OK</v>
      </c>
    </row>
    <row r="3658" spans="2:34" x14ac:dyDescent="0.2">
      <c r="B3658" s="2">
        <f ca="1"/>
        <v>0.66608527352032976</v>
      </c>
      <c r="O3658" s="2">
        <f ca="1"/>
        <v>-0.46250117264631252</v>
      </c>
      <c r="X3658" s="2">
        <f ca="1"/>
        <v>51.043460252377756</v>
      </c>
      <c r="AG3658" s="2">
        <f ca="1"/>
        <v>0.84074688648257334</v>
      </c>
      <c r="AH3658" s="2" t="str">
        <f ca="1"/>
        <v>Bad</v>
      </c>
    </row>
    <row r="3659" spans="2:34" x14ac:dyDescent="0.2">
      <c r="B3659" s="2">
        <f ca="1"/>
        <v>0.94805990087492531</v>
      </c>
      <c r="O3659" s="2">
        <f ca="1"/>
        <v>0.39391605631108279</v>
      </c>
      <c r="X3659" s="2">
        <f ca="1"/>
        <v>35.836878091756212</v>
      </c>
      <c r="AG3659" s="2">
        <f ca="1"/>
        <v>0.42971914911034648</v>
      </c>
      <c r="AH3659" s="2" t="str">
        <f ca="1"/>
        <v>Bad</v>
      </c>
    </row>
    <row r="3660" spans="2:34" x14ac:dyDescent="0.2">
      <c r="B3660" s="2">
        <f ca="1"/>
        <v>0.87296899809682538</v>
      </c>
      <c r="O3660" s="2">
        <f ca="1"/>
        <v>-1.4138446655342662</v>
      </c>
      <c r="X3660" s="2">
        <f ca="1"/>
        <v>50.040983249869925</v>
      </c>
      <c r="AG3660" s="2">
        <f ca="1"/>
        <v>0.76581456251695212</v>
      </c>
      <c r="AH3660" s="2" t="str">
        <f ca="1"/>
        <v>Bad</v>
      </c>
    </row>
    <row r="3661" spans="2:34" x14ac:dyDescent="0.2">
      <c r="B3661" s="2">
        <f ca="1"/>
        <v>7.9030017732369506E-2</v>
      </c>
      <c r="O3661" s="2">
        <f ca="1"/>
        <v>-0.76969007674023315</v>
      </c>
      <c r="X3661" s="2">
        <f ca="1"/>
        <v>39.59509047267936</v>
      </c>
      <c r="AG3661" s="2">
        <f ca="1"/>
        <v>0.77513397489928537</v>
      </c>
      <c r="AH3661" s="2" t="str">
        <f ca="1"/>
        <v>Bad</v>
      </c>
    </row>
    <row r="3662" spans="2:34" x14ac:dyDescent="0.2">
      <c r="B3662" s="2">
        <f ca="1"/>
        <v>0.55424325152175635</v>
      </c>
      <c r="O3662" s="2">
        <f ca="1"/>
        <v>-0.13904419459876027</v>
      </c>
      <c r="X3662" s="2">
        <f ca="1"/>
        <v>41.004429253416639</v>
      </c>
      <c r="AG3662" s="2">
        <f ca="1"/>
        <v>0.64514403926989261</v>
      </c>
      <c r="AH3662" s="2" t="str">
        <f ca="1"/>
        <v>Bad</v>
      </c>
    </row>
    <row r="3663" spans="2:34" x14ac:dyDescent="0.2">
      <c r="B3663" s="2">
        <f ca="1"/>
        <v>0.30942817046872895</v>
      </c>
      <c r="O3663" s="2">
        <f ca="1"/>
        <v>1.248742172094309</v>
      </c>
      <c r="X3663" s="2">
        <f ca="1"/>
        <v>44.941209223677106</v>
      </c>
      <c r="AG3663" s="2">
        <f ca="1"/>
        <v>0.2668671358004866</v>
      </c>
      <c r="AH3663" s="2" t="str">
        <f ca="1"/>
        <v>OK</v>
      </c>
    </row>
    <row r="3664" spans="2:34" x14ac:dyDescent="0.2">
      <c r="B3664" s="2">
        <f ca="1"/>
        <v>0.33108379475366889</v>
      </c>
      <c r="O3664" s="2">
        <f ca="1"/>
        <v>2.5562348735274347</v>
      </c>
      <c r="X3664" s="2">
        <f ca="1"/>
        <v>40.002942297337043</v>
      </c>
      <c r="AG3664" s="2">
        <f ca="1"/>
        <v>0.86397435858002858</v>
      </c>
      <c r="AH3664" s="2" t="str">
        <f ca="1"/>
        <v>Bad</v>
      </c>
    </row>
    <row r="3665" spans="2:34" x14ac:dyDescent="0.2">
      <c r="B3665" s="2">
        <f ca="1"/>
        <v>0.99081775089179991</v>
      </c>
      <c r="O3665" s="2">
        <f ca="1"/>
        <v>-0.34113306751084826</v>
      </c>
      <c r="X3665" s="2">
        <f ca="1"/>
        <v>53.007033478719201</v>
      </c>
      <c r="AG3665" s="2">
        <f ca="1"/>
        <v>0.41110156307882018</v>
      </c>
      <c r="AH3665" s="2" t="str">
        <f ca="1"/>
        <v>Bad</v>
      </c>
    </row>
    <row r="3666" spans="2:34" x14ac:dyDescent="0.2">
      <c r="B3666" s="2">
        <f ca="1"/>
        <v>0.50007918325171818</v>
      </c>
      <c r="O3666" s="2">
        <f ca="1"/>
        <v>-0.60551312501981225</v>
      </c>
      <c r="X3666" s="2">
        <f ca="1"/>
        <v>61.570965503014804</v>
      </c>
      <c r="AG3666" s="2">
        <f ca="1"/>
        <v>0.59832791322615986</v>
      </c>
      <c r="AH3666" s="2" t="str">
        <f ca="1"/>
        <v>Bad</v>
      </c>
    </row>
    <row r="3667" spans="2:34" x14ac:dyDescent="0.2">
      <c r="B3667" s="2">
        <f ca="1"/>
        <v>0.52988887782776883</v>
      </c>
      <c r="O3667" s="2">
        <f ca="1"/>
        <v>1.0934106772850765</v>
      </c>
      <c r="X3667" s="2">
        <f ca="1"/>
        <v>31.227787637761743</v>
      </c>
      <c r="AG3667" s="2">
        <f ca="1"/>
        <v>0.35712036251780122</v>
      </c>
      <c r="AH3667" s="2" t="str">
        <f ca="1"/>
        <v>OK</v>
      </c>
    </row>
    <row r="3668" spans="2:34" x14ac:dyDescent="0.2">
      <c r="B3668" s="2">
        <f ca="1"/>
        <v>0.72756396120663758</v>
      </c>
      <c r="O3668" s="2">
        <f ca="1"/>
        <v>-0.27701510969010262</v>
      </c>
      <c r="X3668" s="2">
        <f ca="1"/>
        <v>39.628047646926333</v>
      </c>
      <c r="AG3668" s="2">
        <f ca="1"/>
        <v>0.41774687259672705</v>
      </c>
      <c r="AH3668" s="2" t="str">
        <f ca="1"/>
        <v>Bad</v>
      </c>
    </row>
    <row r="3669" spans="2:34" x14ac:dyDescent="0.2">
      <c r="B3669" s="2">
        <f ca="1"/>
        <v>0.20609569567063191</v>
      </c>
      <c r="O3669" s="2">
        <f ca="1"/>
        <v>-0.96212561245347317</v>
      </c>
      <c r="X3669" s="2">
        <f ca="1"/>
        <v>33.826321779363184</v>
      </c>
      <c r="AG3669" s="2">
        <f ca="1"/>
        <v>0.15029968578741792</v>
      </c>
      <c r="AH3669" s="2" t="str">
        <f ca="1"/>
        <v>OK</v>
      </c>
    </row>
    <row r="3670" spans="2:34" x14ac:dyDescent="0.2">
      <c r="B3670" s="2">
        <f ca="1"/>
        <v>0.31382964999099427</v>
      </c>
      <c r="O3670" s="2">
        <f ca="1"/>
        <v>1.5803715802047356</v>
      </c>
      <c r="X3670" s="2">
        <f ca="1"/>
        <v>59.026298517958153</v>
      </c>
      <c r="AG3670" s="2">
        <f ca="1"/>
        <v>0.56190760528717743</v>
      </c>
      <c r="AH3670" s="2" t="str">
        <f ca="1"/>
        <v>Bad</v>
      </c>
    </row>
    <row r="3671" spans="2:34" x14ac:dyDescent="0.2">
      <c r="B3671" s="2">
        <f ca="1"/>
        <v>0.232390043288492</v>
      </c>
      <c r="O3671" s="2">
        <f ca="1"/>
        <v>1.187255204437861</v>
      </c>
      <c r="X3671" s="2">
        <f ca="1"/>
        <v>36.572604429256721</v>
      </c>
      <c r="AG3671" s="2">
        <f ca="1"/>
        <v>0.2345775805692687</v>
      </c>
      <c r="AH3671" s="2" t="str">
        <f ca="1"/>
        <v>OK</v>
      </c>
    </row>
    <row r="3672" spans="2:34" x14ac:dyDescent="0.2">
      <c r="B3672" s="2">
        <f ca="1"/>
        <v>0.30748610183834502</v>
      </c>
      <c r="O3672" s="2">
        <f ca="1"/>
        <v>-0.52729501512616417</v>
      </c>
      <c r="X3672" s="2">
        <f ca="1"/>
        <v>58.034920092245528</v>
      </c>
      <c r="AG3672" s="2">
        <f ca="1"/>
        <v>0.86733958866387817</v>
      </c>
      <c r="AH3672" s="2" t="str">
        <f ca="1"/>
        <v>Bad</v>
      </c>
    </row>
    <row r="3673" spans="2:34" x14ac:dyDescent="0.2">
      <c r="B3673" s="2">
        <f ca="1"/>
        <v>0.3629068524641641</v>
      </c>
      <c r="O3673" s="2">
        <f ca="1"/>
        <v>-0.35207074213029588</v>
      </c>
      <c r="X3673" s="2">
        <f ca="1"/>
        <v>48.870294490232233</v>
      </c>
      <c r="AG3673" s="2">
        <f ca="1"/>
        <v>0.42119053986495714</v>
      </c>
      <c r="AH3673" s="2" t="str">
        <f ca="1"/>
        <v>Bad</v>
      </c>
    </row>
    <row r="3674" spans="2:34" x14ac:dyDescent="0.2">
      <c r="B3674" s="2">
        <f ca="1"/>
        <v>0.12229081432866962</v>
      </c>
      <c r="O3674" s="2">
        <f ca="1"/>
        <v>0.57947873505222569</v>
      </c>
      <c r="X3674" s="2">
        <f ca="1"/>
        <v>77.095866070879254</v>
      </c>
      <c r="AG3674" s="2">
        <f ca="1"/>
        <v>0.25450528038940012</v>
      </c>
      <c r="AH3674" s="2" t="str">
        <f ca="1"/>
        <v>OK</v>
      </c>
    </row>
    <row r="3675" spans="2:34" x14ac:dyDescent="0.2">
      <c r="B3675" s="2">
        <f ca="1"/>
        <v>0.41069232024224478</v>
      </c>
      <c r="O3675" s="2">
        <f ca="1"/>
        <v>0.62516592880453881</v>
      </c>
      <c r="X3675" s="2">
        <f ca="1"/>
        <v>66.113252216802991</v>
      </c>
      <c r="AG3675" s="2">
        <f ca="1"/>
        <v>0.14602777958580071</v>
      </c>
      <c r="AH3675" s="2" t="str">
        <f ca="1"/>
        <v>OK</v>
      </c>
    </row>
    <row r="3676" spans="2:34" x14ac:dyDescent="0.2">
      <c r="B3676" s="2">
        <f ca="1"/>
        <v>0.45738421669426721</v>
      </c>
      <c r="O3676" s="2">
        <f ca="1"/>
        <v>0.86470341091141756</v>
      </c>
      <c r="X3676" s="2">
        <f ca="1"/>
        <v>63.55790692737132</v>
      </c>
      <c r="AG3676" s="2">
        <f ca="1"/>
        <v>0.30870977149824608</v>
      </c>
      <c r="AH3676" s="2" t="str">
        <f ca="1"/>
        <v>OK</v>
      </c>
    </row>
    <row r="3677" spans="2:34" x14ac:dyDescent="0.2">
      <c r="B3677" s="2">
        <f ca="1"/>
        <v>0.25924489354945646</v>
      </c>
      <c r="O3677" s="2">
        <f ca="1"/>
        <v>0.15225213837824264</v>
      </c>
      <c r="X3677" s="2">
        <f ca="1"/>
        <v>56.710096952996444</v>
      </c>
      <c r="AG3677" s="2">
        <f ca="1"/>
        <v>0.76075538030730083</v>
      </c>
      <c r="AH3677" s="2" t="str">
        <f ca="1"/>
        <v>Bad</v>
      </c>
    </row>
    <row r="3678" spans="2:34" x14ac:dyDescent="0.2">
      <c r="B3678" s="2">
        <f ca="1"/>
        <v>0.40694770399826186</v>
      </c>
      <c r="O3678" s="2">
        <f ca="1"/>
        <v>1.2589977013789999</v>
      </c>
      <c r="X3678" s="2">
        <f ca="1"/>
        <v>59.230923018406905</v>
      </c>
      <c r="AG3678" s="2">
        <f ca="1"/>
        <v>0.52311061377846735</v>
      </c>
      <c r="AH3678" s="2" t="str">
        <f ca="1"/>
        <v>Bad</v>
      </c>
    </row>
    <row r="3679" spans="2:34" x14ac:dyDescent="0.2">
      <c r="B3679" s="2">
        <f ca="1"/>
        <v>0.24922530297596102</v>
      </c>
      <c r="O3679" s="2">
        <f ca="1"/>
        <v>0.82636457662541252</v>
      </c>
      <c r="X3679" s="2">
        <f ca="1"/>
        <v>73.812143245070104</v>
      </c>
      <c r="AG3679" s="2">
        <f ca="1"/>
        <v>0.93992429456765003</v>
      </c>
      <c r="AH3679" s="2" t="str">
        <f ca="1"/>
        <v>Bad</v>
      </c>
    </row>
    <row r="3680" spans="2:34" x14ac:dyDescent="0.2">
      <c r="B3680" s="2">
        <f ca="1"/>
        <v>0.83689686657722473</v>
      </c>
      <c r="O3680" s="2">
        <f ca="1"/>
        <v>0.58470016653416645</v>
      </c>
      <c r="X3680" s="2">
        <f ca="1"/>
        <v>48.215994220915547</v>
      </c>
      <c r="AG3680" s="2">
        <f ca="1"/>
        <v>0.35110118439488769</v>
      </c>
      <c r="AH3680" s="2" t="str">
        <f ca="1"/>
        <v>OK</v>
      </c>
    </row>
    <row r="3681" spans="2:34" x14ac:dyDescent="0.2">
      <c r="B3681" s="2">
        <f ca="1"/>
        <v>0.26778425373346226</v>
      </c>
      <c r="O3681" s="2">
        <f ca="1"/>
        <v>0.19124436775746959</v>
      </c>
      <c r="X3681" s="2">
        <f ca="1"/>
        <v>32.547288663402355</v>
      </c>
      <c r="AG3681" s="2">
        <f ca="1"/>
        <v>0.8238038507476686</v>
      </c>
      <c r="AH3681" s="2" t="str">
        <f ca="1"/>
        <v>Bad</v>
      </c>
    </row>
    <row r="3682" spans="2:34" x14ac:dyDescent="0.2">
      <c r="B3682" s="2">
        <f ca="1"/>
        <v>0.77617017256322729</v>
      </c>
      <c r="O3682" s="2">
        <f ca="1"/>
        <v>1.3771870356499865</v>
      </c>
      <c r="X3682" s="2">
        <f ca="1"/>
        <v>46.356900496050798</v>
      </c>
      <c r="AG3682" s="2">
        <f ca="1"/>
        <v>0.54993828453428306</v>
      </c>
      <c r="AH3682" s="2" t="str">
        <f ca="1"/>
        <v>Bad</v>
      </c>
    </row>
    <row r="3683" spans="2:34" x14ac:dyDescent="0.2">
      <c r="B3683" s="2">
        <f ca="1"/>
        <v>0.73758152329214033</v>
      </c>
      <c r="O3683" s="2">
        <f ca="1"/>
        <v>-0.38010785316927342</v>
      </c>
      <c r="X3683" s="2">
        <f ca="1"/>
        <v>58.92863476776904</v>
      </c>
      <c r="AG3683" s="2">
        <f ca="1"/>
        <v>0.70545148560072879</v>
      </c>
      <c r="AH3683" s="2" t="str">
        <f ca="1"/>
        <v>Bad</v>
      </c>
    </row>
    <row r="3684" spans="2:34" x14ac:dyDescent="0.2">
      <c r="B3684" s="2">
        <f ca="1"/>
        <v>0.75113400855115708</v>
      </c>
      <c r="O3684" s="2">
        <f ca="1"/>
        <v>0.53851339254815922</v>
      </c>
      <c r="X3684" s="2">
        <f ca="1"/>
        <v>55.305858009252916</v>
      </c>
      <c r="AG3684" s="2">
        <f ca="1"/>
        <v>0.68573423287728175</v>
      </c>
      <c r="AH3684" s="2" t="str">
        <f ca="1"/>
        <v>Bad</v>
      </c>
    </row>
    <row r="3685" spans="2:34" x14ac:dyDescent="0.2">
      <c r="B3685" s="2">
        <f ca="1"/>
        <v>0.40713193871975251</v>
      </c>
      <c r="O3685" s="2">
        <f ca="1"/>
        <v>-1.4218109625385005</v>
      </c>
      <c r="X3685" s="2">
        <f ca="1"/>
        <v>47.823062803064651</v>
      </c>
      <c r="AG3685" s="2">
        <f ca="1"/>
        <v>0.49213491314612101</v>
      </c>
      <c r="AH3685" s="2" t="str">
        <f ca="1"/>
        <v>Bad</v>
      </c>
    </row>
    <row r="3686" spans="2:34" x14ac:dyDescent="0.2">
      <c r="B3686" s="2">
        <f ca="1"/>
        <v>0.37059724066104094</v>
      </c>
      <c r="O3686" s="2">
        <f ca="1"/>
        <v>0.82810171813408429</v>
      </c>
      <c r="X3686" s="2">
        <f ca="1"/>
        <v>43.511201905086168</v>
      </c>
      <c r="AG3686" s="2">
        <f ca="1"/>
        <v>0.36788625208849157</v>
      </c>
      <c r="AH3686" s="2" t="str">
        <f ca="1"/>
        <v>OK</v>
      </c>
    </row>
    <row r="3687" spans="2:34" x14ac:dyDescent="0.2">
      <c r="B3687" s="2">
        <f ca="1"/>
        <v>0.43875034978193006</v>
      </c>
      <c r="O3687" s="2">
        <f ca="1"/>
        <v>-0.56139792523242571</v>
      </c>
      <c r="X3687" s="2">
        <f ca="1"/>
        <v>62.189917347111759</v>
      </c>
      <c r="AG3687" s="2">
        <f ca="1"/>
        <v>0.70840094064450554</v>
      </c>
      <c r="AH3687" s="2" t="str">
        <f ca="1"/>
        <v>Bad</v>
      </c>
    </row>
    <row r="3688" spans="2:34" x14ac:dyDescent="0.2">
      <c r="B3688" s="2">
        <f ca="1"/>
        <v>0.63714296742699483</v>
      </c>
      <c r="O3688" s="2">
        <f ca="1"/>
        <v>1.3997207049465994</v>
      </c>
      <c r="X3688" s="2">
        <f ca="1"/>
        <v>60.965437808343324</v>
      </c>
      <c r="AG3688" s="2">
        <f ca="1"/>
        <v>0.42734630853568656</v>
      </c>
      <c r="AH3688" s="2" t="str">
        <f ca="1"/>
        <v>Bad</v>
      </c>
    </row>
    <row r="3689" spans="2:34" x14ac:dyDescent="0.2">
      <c r="B3689" s="2">
        <f ca="1"/>
        <v>0.30263547797179369</v>
      </c>
      <c r="O3689" s="2">
        <f ca="1"/>
        <v>0.1445731051206412</v>
      </c>
      <c r="X3689" s="2">
        <f ca="1"/>
        <v>49.516408789597968</v>
      </c>
      <c r="AG3689" s="2">
        <f ca="1"/>
        <v>0.46095116564408034</v>
      </c>
      <c r="AH3689" s="2" t="str">
        <f ca="1"/>
        <v>Bad</v>
      </c>
    </row>
    <row r="3690" spans="2:34" x14ac:dyDescent="0.2">
      <c r="B3690" s="2">
        <f ca="1"/>
        <v>0.92021823431900573</v>
      </c>
      <c r="O3690" s="2">
        <f ca="1"/>
        <v>1.3947425939109226</v>
      </c>
      <c r="X3690" s="2">
        <f ca="1"/>
        <v>53.535731711470191</v>
      </c>
      <c r="AG3690" s="2">
        <f ca="1"/>
        <v>0.16528518969666739</v>
      </c>
      <c r="AH3690" s="2" t="str">
        <f ca="1"/>
        <v>OK</v>
      </c>
    </row>
    <row r="3691" spans="2:34" x14ac:dyDescent="0.2">
      <c r="B3691" s="2">
        <f ca="1"/>
        <v>7.7334276938549662E-2</v>
      </c>
      <c r="O3691" s="2">
        <f ca="1"/>
        <v>-0.41733464541330056</v>
      </c>
      <c r="X3691" s="2">
        <f ca="1"/>
        <v>39.644927722286091</v>
      </c>
      <c r="AG3691" s="2">
        <f ca="1"/>
        <v>0.12972184754469929</v>
      </c>
      <c r="AH3691" s="2" t="str">
        <f ca="1"/>
        <v>OK</v>
      </c>
    </row>
    <row r="3692" spans="2:34" x14ac:dyDescent="0.2">
      <c r="B3692" s="2">
        <f ca="1"/>
        <v>0.13666969448469235</v>
      </c>
      <c r="O3692" s="2">
        <f ca="1"/>
        <v>-0.28931164990010172</v>
      </c>
      <c r="X3692" s="2">
        <f ca="1"/>
        <v>29.594829891576996</v>
      </c>
      <c r="AG3692" s="2">
        <f ca="1"/>
        <v>0.1391299671883488</v>
      </c>
      <c r="AH3692" s="2" t="str">
        <f ca="1"/>
        <v>OK</v>
      </c>
    </row>
    <row r="3693" spans="2:34" x14ac:dyDescent="0.2">
      <c r="B3693" s="2">
        <f ca="1"/>
        <v>0.57412077324528821</v>
      </c>
      <c r="O3693" s="2">
        <f ca="1"/>
        <v>-1.0363434610190088</v>
      </c>
      <c r="X3693" s="2">
        <f ca="1"/>
        <v>50.578272539275162</v>
      </c>
      <c r="AG3693" s="2">
        <f ca="1"/>
        <v>0.82633681057971198</v>
      </c>
      <c r="AH3693" s="2" t="str">
        <f ca="1"/>
        <v>Bad</v>
      </c>
    </row>
    <row r="3694" spans="2:34" x14ac:dyDescent="0.2">
      <c r="B3694" s="2">
        <f ca="1"/>
        <v>0.37506520243573838</v>
      </c>
      <c r="O3694" s="2">
        <f ca="1"/>
        <v>1.1698464187241593</v>
      </c>
      <c r="X3694" s="2">
        <f ca="1"/>
        <v>65.176877361205527</v>
      </c>
      <c r="AG3694" s="2">
        <f ca="1"/>
        <v>0.99193497815628184</v>
      </c>
      <c r="AH3694" s="2" t="str">
        <f ca="1"/>
        <v>Bad</v>
      </c>
    </row>
    <row r="3695" spans="2:34" x14ac:dyDescent="0.2">
      <c r="B3695" s="2">
        <f ca="1"/>
        <v>4.4740308157884545E-2</v>
      </c>
      <c r="O3695" s="2">
        <f ca="1"/>
        <v>-1.6591640752953111E-2</v>
      </c>
      <c r="X3695" s="2">
        <f ca="1"/>
        <v>68.217952929587099</v>
      </c>
      <c r="AG3695" s="2">
        <f ca="1"/>
        <v>0.22122422254030649</v>
      </c>
      <c r="AH3695" s="2" t="str">
        <f ca="1"/>
        <v>OK</v>
      </c>
    </row>
    <row r="3696" spans="2:34" x14ac:dyDescent="0.2">
      <c r="B3696" s="2">
        <f ca="1"/>
        <v>0.88446644309558486</v>
      </c>
      <c r="O3696" s="2">
        <f ca="1"/>
        <v>4.1589052351323583E-2</v>
      </c>
      <c r="X3696" s="2">
        <f ca="1"/>
        <v>46.492753303712135</v>
      </c>
      <c r="AG3696" s="2">
        <f ca="1"/>
        <v>0.30365454485324261</v>
      </c>
      <c r="AH3696" s="2" t="str">
        <f ca="1"/>
        <v>OK</v>
      </c>
    </row>
    <row r="3697" spans="2:34" x14ac:dyDescent="0.2">
      <c r="B3697" s="2">
        <f ca="1"/>
        <v>9.4593034609609106E-2</v>
      </c>
      <c r="O3697" s="2">
        <f ca="1"/>
        <v>1.182731987550012</v>
      </c>
      <c r="X3697" s="2">
        <f ca="1"/>
        <v>39.910201221313159</v>
      </c>
      <c r="AG3697" s="2">
        <f ca="1"/>
        <v>3.251388928721366E-2</v>
      </c>
      <c r="AH3697" s="2" t="str">
        <f ca="1"/>
        <v>Good</v>
      </c>
    </row>
    <row r="3698" spans="2:34" x14ac:dyDescent="0.2">
      <c r="B3698" s="2">
        <f ca="1"/>
        <v>0.99877404112779988</v>
      </c>
      <c r="O3698" s="2">
        <f ca="1"/>
        <v>-0.83242978783797039</v>
      </c>
      <c r="X3698" s="2">
        <f ca="1"/>
        <v>43.094711712338672</v>
      </c>
      <c r="AG3698" s="2">
        <f ca="1"/>
        <v>0.10287510760610163</v>
      </c>
      <c r="AH3698" s="2" t="str">
        <f ca="1"/>
        <v>OK</v>
      </c>
    </row>
    <row r="3699" spans="2:34" x14ac:dyDescent="0.2">
      <c r="B3699" s="2">
        <f ca="1"/>
        <v>0.69493159775133884</v>
      </c>
      <c r="O3699" s="2">
        <f ca="1"/>
        <v>-0.25079111399284332</v>
      </c>
      <c r="X3699" s="2">
        <f ca="1"/>
        <v>49.086980629997356</v>
      </c>
      <c r="AG3699" s="2">
        <f ca="1"/>
        <v>0.62824518608996516</v>
      </c>
      <c r="AH3699" s="2" t="str">
        <f ca="1"/>
        <v>Bad</v>
      </c>
    </row>
    <row r="3700" spans="2:34" x14ac:dyDescent="0.2">
      <c r="B3700" s="2">
        <f ca="1"/>
        <v>0.42208599759523513</v>
      </c>
      <c r="O3700" s="2">
        <f ca="1"/>
        <v>-0.11032114033011421</v>
      </c>
      <c r="X3700" s="2">
        <f ca="1"/>
        <v>43.228503594058381</v>
      </c>
      <c r="AG3700" s="2">
        <f ca="1"/>
        <v>7.5264220824103667E-2</v>
      </c>
      <c r="AH3700" s="2" t="str">
        <f ca="1"/>
        <v>OK</v>
      </c>
    </row>
    <row r="3701" spans="2:34" x14ac:dyDescent="0.2">
      <c r="B3701" s="2">
        <f ca="1"/>
        <v>0.38958886440779361</v>
      </c>
      <c r="O3701" s="2">
        <f ca="1"/>
        <v>1.3944271326891062</v>
      </c>
      <c r="X3701" s="2">
        <f ca="1"/>
        <v>42.047620133986349</v>
      </c>
      <c r="AG3701" s="2">
        <f ca="1"/>
        <v>0.20013700215332131</v>
      </c>
      <c r="AH3701" s="2" t="str">
        <f ca="1"/>
        <v>OK</v>
      </c>
    </row>
    <row r="3702" spans="2:34" x14ac:dyDescent="0.2">
      <c r="B3702" s="2">
        <f ca="1"/>
        <v>9.8980243254776834E-2</v>
      </c>
      <c r="O3702" s="2">
        <f ca="1"/>
        <v>1.5695335062160121</v>
      </c>
      <c r="X3702" s="2">
        <f ca="1"/>
        <v>55.399913282949072</v>
      </c>
      <c r="AG3702" s="2">
        <f ca="1"/>
        <v>0.89153017728430894</v>
      </c>
      <c r="AH3702" s="2" t="str">
        <f ca="1"/>
        <v>Bad</v>
      </c>
    </row>
    <row r="3703" spans="2:34" x14ac:dyDescent="0.2">
      <c r="B3703" s="2">
        <f ca="1"/>
        <v>0.37931066294801052</v>
      </c>
      <c r="O3703" s="2">
        <f ca="1"/>
        <v>0.74371165749212864</v>
      </c>
      <c r="X3703" s="2">
        <f ca="1"/>
        <v>33.908065861305332</v>
      </c>
      <c r="AG3703" s="2">
        <f ca="1"/>
        <v>0.55483982586903102</v>
      </c>
      <c r="AH3703" s="2" t="str">
        <f ca="1"/>
        <v>Bad</v>
      </c>
    </row>
    <row r="3704" spans="2:34" x14ac:dyDescent="0.2">
      <c r="B3704" s="2">
        <f ca="1"/>
        <v>0.60029403911612023</v>
      </c>
      <c r="O3704" s="2">
        <f ca="1"/>
        <v>3.8667755685312652E-2</v>
      </c>
      <c r="X3704" s="2">
        <f ca="1"/>
        <v>63.801722143630279</v>
      </c>
      <c r="AG3704" s="2">
        <f ca="1"/>
        <v>0.31628676437140357</v>
      </c>
      <c r="AH3704" s="2" t="str">
        <f ca="1"/>
        <v>OK</v>
      </c>
    </row>
    <row r="3705" spans="2:34" x14ac:dyDescent="0.2">
      <c r="B3705" s="2">
        <f ca="1"/>
        <v>0.29375058741654292</v>
      </c>
      <c r="O3705" s="2">
        <f ca="1"/>
        <v>-0.68327842306717568</v>
      </c>
      <c r="X3705" s="2">
        <f ca="1"/>
        <v>52.34864337623285</v>
      </c>
      <c r="AG3705" s="2">
        <f ca="1"/>
        <v>0.73175363373787716</v>
      </c>
      <c r="AH3705" s="2" t="str">
        <f ca="1"/>
        <v>Bad</v>
      </c>
    </row>
    <row r="3706" spans="2:34" x14ac:dyDescent="0.2">
      <c r="B3706" s="2">
        <f ca="1"/>
        <v>0.79850797768005766</v>
      </c>
      <c r="O3706" s="2">
        <f ca="1"/>
        <v>0.38611956470434461</v>
      </c>
      <c r="X3706" s="2">
        <f ca="1"/>
        <v>76.40247474332223</v>
      </c>
      <c r="AG3706" s="2">
        <f ca="1"/>
        <v>0.56099686570860108</v>
      </c>
      <c r="AH3706" s="2" t="str">
        <f ca="1"/>
        <v>Bad</v>
      </c>
    </row>
    <row r="3707" spans="2:34" x14ac:dyDescent="0.2">
      <c r="B3707" s="2">
        <f ca="1"/>
        <v>0.60036159291685598</v>
      </c>
      <c r="O3707" s="2">
        <f ca="1"/>
        <v>0.37837785264816282</v>
      </c>
      <c r="X3707" s="2">
        <f ca="1"/>
        <v>44.723750803247469</v>
      </c>
      <c r="AG3707" s="2">
        <f ca="1"/>
        <v>0.44087352325585782</v>
      </c>
      <c r="AH3707" s="2" t="str">
        <f ca="1"/>
        <v>Bad</v>
      </c>
    </row>
    <row r="3708" spans="2:34" x14ac:dyDescent="0.2">
      <c r="B3708" s="2">
        <f ca="1"/>
        <v>0.44324227990311926</v>
      </c>
      <c r="O3708" s="2">
        <f ca="1"/>
        <v>0.14074822004969531</v>
      </c>
      <c r="X3708" s="2">
        <f ca="1"/>
        <v>32.062109795610255</v>
      </c>
      <c r="AG3708" s="2">
        <f ca="1"/>
        <v>0.47413312244552408</v>
      </c>
      <c r="AH3708" s="2" t="str">
        <f ca="1"/>
        <v>Bad</v>
      </c>
    </row>
    <row r="3709" spans="2:34" x14ac:dyDescent="0.2">
      <c r="B3709" s="2">
        <f ca="1"/>
        <v>0.80104204557193071</v>
      </c>
      <c r="O3709" s="2">
        <f ca="1"/>
        <v>-3.0474256599608805E-2</v>
      </c>
      <c r="X3709" s="2">
        <f ca="1"/>
        <v>39.545749999262469</v>
      </c>
      <c r="AG3709" s="2">
        <f ca="1"/>
        <v>0.26284802615381486</v>
      </c>
      <c r="AH3709" s="2" t="str">
        <f ca="1"/>
        <v>OK</v>
      </c>
    </row>
    <row r="3710" spans="2:34" x14ac:dyDescent="0.2">
      <c r="B3710" s="2">
        <f ca="1"/>
        <v>0.63441914540417965</v>
      </c>
      <c r="O3710" s="2">
        <f ca="1"/>
        <v>0.65417707858479401</v>
      </c>
      <c r="X3710" s="2">
        <f ca="1"/>
        <v>55.656035030074435</v>
      </c>
      <c r="AG3710" s="2">
        <f ca="1"/>
        <v>0.28359100887166266</v>
      </c>
      <c r="AH3710" s="2" t="str">
        <f ca="1"/>
        <v>OK</v>
      </c>
    </row>
    <row r="3711" spans="2:34" x14ac:dyDescent="0.2">
      <c r="B3711" s="2">
        <f ca="1"/>
        <v>0.92234102791360617</v>
      </c>
      <c r="O3711" s="2">
        <f ca="1"/>
        <v>-0.89339521629281182</v>
      </c>
      <c r="X3711" s="2">
        <f ca="1"/>
        <v>55.313023979364459</v>
      </c>
      <c r="AG3711" s="2">
        <f ca="1"/>
        <v>0.87373186430230687</v>
      </c>
      <c r="AH3711" s="2" t="str">
        <f ca="1"/>
        <v>Bad</v>
      </c>
    </row>
    <row r="3712" spans="2:34" x14ac:dyDescent="0.2">
      <c r="B3712" s="2">
        <f ca="1"/>
        <v>7.7165392143042189E-2</v>
      </c>
      <c r="O3712" s="2">
        <f ca="1"/>
        <v>1.3210576155250031</v>
      </c>
      <c r="X3712" s="2">
        <f ca="1"/>
        <v>34.26164531382058</v>
      </c>
      <c r="AG3712" s="2">
        <f ca="1"/>
        <v>0.72441886224676155</v>
      </c>
      <c r="AH3712" s="2" t="str">
        <f ca="1"/>
        <v>Bad</v>
      </c>
    </row>
    <row r="3713" spans="2:34" x14ac:dyDescent="0.2">
      <c r="B3713" s="2">
        <f ca="1"/>
        <v>0.85124505073690515</v>
      </c>
      <c r="O3713" s="2">
        <f ca="1"/>
        <v>-0.4117013923015897</v>
      </c>
      <c r="X3713" s="2">
        <f ca="1"/>
        <v>58.219885796993374</v>
      </c>
      <c r="AG3713" s="2">
        <f ca="1"/>
        <v>0.89414994476625242</v>
      </c>
      <c r="AH3713" s="2" t="str">
        <f ca="1"/>
        <v>Bad</v>
      </c>
    </row>
    <row r="3714" spans="2:34" x14ac:dyDescent="0.2">
      <c r="B3714" s="2">
        <f ca="1"/>
        <v>0.92129506295950847</v>
      </c>
      <c r="O3714" s="2">
        <f ca="1"/>
        <v>0.94614878216097542</v>
      </c>
      <c r="X3714" s="2">
        <f ca="1"/>
        <v>29.397325581672039</v>
      </c>
      <c r="AG3714" s="2">
        <f ca="1"/>
        <v>5.7760312449200768E-2</v>
      </c>
      <c r="AH3714" s="2" t="str">
        <f ca="1"/>
        <v>OK</v>
      </c>
    </row>
    <row r="3715" spans="2:34" x14ac:dyDescent="0.2">
      <c r="B3715" s="2">
        <f ca="1"/>
        <v>0.5684062989304961</v>
      </c>
      <c r="O3715" s="2">
        <f ca="1"/>
        <v>7.7185224106480529E-2</v>
      </c>
      <c r="X3715" s="2">
        <f ca="1"/>
        <v>38.939753177489706</v>
      </c>
      <c r="AG3715" s="2">
        <f ca="1"/>
        <v>0.27008498799839376</v>
      </c>
      <c r="AH3715" s="2" t="str">
        <f ca="1"/>
        <v>OK</v>
      </c>
    </row>
    <row r="3716" spans="2:34" x14ac:dyDescent="0.2">
      <c r="B3716" s="2">
        <f ca="1"/>
        <v>0.21565014971202023</v>
      </c>
      <c r="O3716" s="2">
        <f ca="1"/>
        <v>-0.70990213919379852</v>
      </c>
      <c r="X3716" s="2">
        <f ca="1"/>
        <v>41.504205724634922</v>
      </c>
      <c r="AG3716" s="2">
        <f ca="1"/>
        <v>0.14539881921684361</v>
      </c>
      <c r="AH3716" s="2" t="str">
        <f ca="1"/>
        <v>OK</v>
      </c>
    </row>
    <row r="3717" spans="2:34" x14ac:dyDescent="0.2">
      <c r="B3717" s="2">
        <f ca="1"/>
        <v>0.1753491320920737</v>
      </c>
      <c r="O3717" s="2">
        <f ca="1"/>
        <v>1.1701094964750351</v>
      </c>
      <c r="X3717" s="2">
        <f ca="1"/>
        <v>52.654257549491781</v>
      </c>
      <c r="AG3717" s="2">
        <f ca="1"/>
        <v>0.38939127258726747</v>
      </c>
      <c r="AH3717" s="2" t="str">
        <f ca="1"/>
        <v>OK</v>
      </c>
    </row>
    <row r="3718" spans="2:34" x14ac:dyDescent="0.2">
      <c r="B3718" s="2">
        <f ca="1"/>
        <v>0.26322398077558851</v>
      </c>
      <c r="O3718" s="2">
        <f ca="1"/>
        <v>-9.107392809072766E-2</v>
      </c>
      <c r="X3718" s="2">
        <f ca="1"/>
        <v>26.572238461781865</v>
      </c>
      <c r="AG3718" s="2">
        <f ca="1"/>
        <v>0.81109395918503147</v>
      </c>
      <c r="AH3718" s="2" t="str">
        <f ca="1"/>
        <v>Bad</v>
      </c>
    </row>
    <row r="3719" spans="2:34" x14ac:dyDescent="0.2">
      <c r="B3719" s="2">
        <f ca="1"/>
        <v>0.51163601238781764</v>
      </c>
      <c r="O3719" s="2">
        <f ca="1"/>
        <v>1.0573450160921061</v>
      </c>
      <c r="X3719" s="2">
        <f ca="1"/>
        <v>62.463673644801439</v>
      </c>
      <c r="AG3719" s="2">
        <f ca="1"/>
        <v>0.98397966759511135</v>
      </c>
      <c r="AH3719" s="2" t="str">
        <f ca="1"/>
        <v>Bad</v>
      </c>
    </row>
    <row r="3720" spans="2:34" x14ac:dyDescent="0.2">
      <c r="B3720" s="2">
        <f ca="1"/>
        <v>0.40140982327023256</v>
      </c>
      <c r="O3720" s="2">
        <f ca="1"/>
        <v>0.1906054860856484</v>
      </c>
      <c r="X3720" s="2">
        <f ca="1"/>
        <v>45.581473656443947</v>
      </c>
      <c r="AG3720" s="2">
        <f ca="1"/>
        <v>0.37480276255178002</v>
      </c>
      <c r="AH3720" s="2" t="str">
        <f ca="1"/>
        <v>OK</v>
      </c>
    </row>
    <row r="3721" spans="2:34" x14ac:dyDescent="0.2">
      <c r="B3721" s="2">
        <f ca="1"/>
        <v>0.4001636876913035</v>
      </c>
      <c r="O3721" s="2">
        <f ca="1"/>
        <v>4.013529228711004E-2</v>
      </c>
      <c r="X3721" s="2">
        <f ca="1"/>
        <v>43.970683071056989</v>
      </c>
      <c r="AG3721" s="2">
        <f ca="1"/>
        <v>0.52422277541034901</v>
      </c>
      <c r="AH3721" s="2" t="str">
        <f ca="1"/>
        <v>Bad</v>
      </c>
    </row>
    <row r="3722" spans="2:34" x14ac:dyDescent="0.2">
      <c r="B3722" s="2">
        <f ca="1"/>
        <v>0.74761344383002881</v>
      </c>
      <c r="O3722" s="2">
        <f ca="1"/>
        <v>-2.7611048260715072</v>
      </c>
      <c r="X3722" s="2">
        <f ca="1"/>
        <v>36.284104826972914</v>
      </c>
      <c r="AG3722" s="2">
        <f ca="1"/>
        <v>5.5675344438151919E-2</v>
      </c>
      <c r="AH3722" s="2" t="str">
        <f ca="1"/>
        <v>OK</v>
      </c>
    </row>
    <row r="3723" spans="2:34" x14ac:dyDescent="0.2">
      <c r="B3723" s="2">
        <f ca="1"/>
        <v>0.95986546394122896</v>
      </c>
      <c r="O3723" s="2">
        <f ca="1"/>
        <v>0.58565077087412354</v>
      </c>
      <c r="X3723" s="2">
        <f ca="1"/>
        <v>41.223011184865086</v>
      </c>
      <c r="AG3723" s="2">
        <f ca="1"/>
        <v>0.42427310448337074</v>
      </c>
      <c r="AH3723" s="2" t="str">
        <f ca="1"/>
        <v>Bad</v>
      </c>
    </row>
    <row r="3724" spans="2:34" x14ac:dyDescent="0.2">
      <c r="B3724" s="2">
        <f ca="1"/>
        <v>0.73790015894474981</v>
      </c>
      <c r="O3724" s="2">
        <f ca="1"/>
        <v>-2.4093714898739839E-4</v>
      </c>
      <c r="X3724" s="2">
        <f ca="1"/>
        <v>58.749485680968377</v>
      </c>
      <c r="AG3724" s="2">
        <f ca="1"/>
        <v>0.37090465977604947</v>
      </c>
      <c r="AH3724" s="2" t="str">
        <f ca="1"/>
        <v>OK</v>
      </c>
    </row>
    <row r="3725" spans="2:34" x14ac:dyDescent="0.2">
      <c r="B3725" s="2">
        <f ca="1"/>
        <v>0.15393206688878625</v>
      </c>
      <c r="O3725" s="2">
        <f ca="1"/>
        <v>-0.47945277167335731</v>
      </c>
      <c r="X3725" s="2">
        <f ca="1"/>
        <v>37.308741981028618</v>
      </c>
      <c r="AG3725" s="2">
        <f ca="1"/>
        <v>0.6168277469374841</v>
      </c>
      <c r="AH3725" s="2" t="str">
        <f ca="1"/>
        <v>Bad</v>
      </c>
    </row>
    <row r="3726" spans="2:34" x14ac:dyDescent="0.2">
      <c r="B3726" s="2">
        <f ca="1"/>
        <v>0.11333460949686058</v>
      </c>
      <c r="O3726" s="2">
        <f ca="1"/>
        <v>1.816825227134629</v>
      </c>
      <c r="X3726" s="2">
        <f ca="1"/>
        <v>39.94101649991056</v>
      </c>
      <c r="AG3726" s="2">
        <f ca="1"/>
        <v>0.74548839643083609</v>
      </c>
      <c r="AH3726" s="2" t="str">
        <f ca="1"/>
        <v>Bad</v>
      </c>
    </row>
    <row r="3727" spans="2:34" x14ac:dyDescent="0.2">
      <c r="B3727" s="2">
        <f ca="1"/>
        <v>0.8191125547596938</v>
      </c>
      <c r="O3727" s="2">
        <f ca="1"/>
        <v>-0.86616282221305751</v>
      </c>
      <c r="X3727" s="2">
        <f ca="1"/>
        <v>58.977911365663651</v>
      </c>
      <c r="AG3727" s="2">
        <f ca="1"/>
        <v>0.24707471254345781</v>
      </c>
      <c r="AH3727" s="2" t="str">
        <f ca="1"/>
        <v>OK</v>
      </c>
    </row>
    <row r="3728" spans="2:34" x14ac:dyDescent="0.2">
      <c r="B3728" s="2">
        <f ca="1"/>
        <v>0.72595679743427466</v>
      </c>
      <c r="O3728" s="2">
        <f ca="1"/>
        <v>-1.5932685520578904</v>
      </c>
      <c r="X3728" s="2">
        <f ca="1"/>
        <v>49.980661520041359</v>
      </c>
      <c r="AG3728" s="2">
        <f ca="1"/>
        <v>0.89787914553240711</v>
      </c>
      <c r="AH3728" s="2" t="str">
        <f ca="1"/>
        <v>Bad</v>
      </c>
    </row>
    <row r="3729" spans="2:34" x14ac:dyDescent="0.2">
      <c r="B3729" s="2">
        <f ca="1"/>
        <v>0.3244784100438296</v>
      </c>
      <c r="O3729" s="2">
        <f ca="1"/>
        <v>-0.85875644188592715</v>
      </c>
      <c r="X3729" s="2">
        <f ca="1"/>
        <v>68.212923036846604</v>
      </c>
      <c r="AG3729" s="2">
        <f ca="1"/>
        <v>0.43340993254086047</v>
      </c>
      <c r="AH3729" s="2" t="str">
        <f ca="1"/>
        <v>Bad</v>
      </c>
    </row>
    <row r="3730" spans="2:34" x14ac:dyDescent="0.2">
      <c r="B3730" s="2">
        <f ca="1"/>
        <v>0.55714991496804123</v>
      </c>
      <c r="O3730" s="2">
        <f ca="1"/>
        <v>-0.29910240073782612</v>
      </c>
      <c r="X3730" s="2">
        <f ca="1"/>
        <v>50.945057047262239</v>
      </c>
      <c r="AG3730" s="2">
        <f ca="1"/>
        <v>0.48952087296896729</v>
      </c>
      <c r="AH3730" s="2" t="str">
        <f ca="1"/>
        <v>Bad</v>
      </c>
    </row>
    <row r="3731" spans="2:34" x14ac:dyDescent="0.2">
      <c r="B3731" s="2">
        <f ca="1"/>
        <v>0.57837835901183365</v>
      </c>
      <c r="O3731" s="2">
        <f ca="1"/>
        <v>-1.3605618063828206</v>
      </c>
      <c r="X3731" s="2">
        <f ca="1"/>
        <v>61.752454800417162</v>
      </c>
      <c r="AG3731" s="2">
        <f ca="1"/>
        <v>3.1968965870903476E-2</v>
      </c>
      <c r="AH3731" s="2" t="str">
        <f ca="1"/>
        <v>Good</v>
      </c>
    </row>
    <row r="3732" spans="2:34" x14ac:dyDescent="0.2">
      <c r="B3732" s="2">
        <f ca="1"/>
        <v>0.81014179853389523</v>
      </c>
      <c r="O3732" s="2">
        <f ca="1"/>
        <v>-0.32555325034359728</v>
      </c>
      <c r="X3732" s="2">
        <f ca="1"/>
        <v>44.052654504499586</v>
      </c>
      <c r="AG3732" s="2">
        <f ca="1"/>
        <v>0.1164508885781681</v>
      </c>
      <c r="AH3732" s="2" t="str">
        <f ca="1"/>
        <v>OK</v>
      </c>
    </row>
    <row r="3733" spans="2:34" x14ac:dyDescent="0.2">
      <c r="B3733" s="2">
        <f ca="1"/>
        <v>0.9202571426643007</v>
      </c>
      <c r="O3733" s="2">
        <f ca="1"/>
        <v>0.14356997615868036</v>
      </c>
      <c r="X3733" s="2">
        <f ca="1"/>
        <v>57.578065486429644</v>
      </c>
      <c r="AG3733" s="2">
        <f ca="1"/>
        <v>0.63361070807447395</v>
      </c>
      <c r="AH3733" s="2" t="str">
        <f ca="1"/>
        <v>Bad</v>
      </c>
    </row>
    <row r="3734" spans="2:34" x14ac:dyDescent="0.2">
      <c r="B3734" s="2">
        <f ca="1"/>
        <v>0.54567877318376756</v>
      </c>
      <c r="O3734" s="2">
        <f ca="1"/>
        <v>0.7803080138649362</v>
      </c>
      <c r="X3734" s="2">
        <f ca="1"/>
        <v>30.977368221699525</v>
      </c>
      <c r="AG3734" s="2">
        <f ca="1"/>
        <v>0.74636322676826938</v>
      </c>
      <c r="AH3734" s="2" t="str">
        <f ca="1"/>
        <v>Bad</v>
      </c>
    </row>
    <row r="3735" spans="2:34" x14ac:dyDescent="0.2">
      <c r="B3735" s="2">
        <f ca="1"/>
        <v>0.93975135798895781</v>
      </c>
      <c r="O3735" s="2">
        <f ca="1"/>
        <v>1.4822197729903157</v>
      </c>
      <c r="X3735" s="2">
        <f ca="1"/>
        <v>48.603014598246659</v>
      </c>
      <c r="AG3735" s="2">
        <f ca="1"/>
        <v>0.61156339777536983</v>
      </c>
      <c r="AH3735" s="2" t="str">
        <f ca="1"/>
        <v>Bad</v>
      </c>
    </row>
    <row r="3736" spans="2:34" x14ac:dyDescent="0.2">
      <c r="B3736" s="2">
        <f ca="1"/>
        <v>0.56690300089123657</v>
      </c>
      <c r="O3736" s="2">
        <f ca="1"/>
        <v>-1.9649177904084356</v>
      </c>
      <c r="X3736" s="2">
        <f ca="1"/>
        <v>38.735224278044797</v>
      </c>
      <c r="AG3736" s="2">
        <f ca="1"/>
        <v>0.87127669927452955</v>
      </c>
      <c r="AH3736" s="2" t="str">
        <f ca="1"/>
        <v>Bad</v>
      </c>
    </row>
    <row r="3737" spans="2:34" x14ac:dyDescent="0.2">
      <c r="B3737" s="2">
        <f ca="1"/>
        <v>0.18110258367349341</v>
      </c>
      <c r="O3737" s="2">
        <f ca="1"/>
        <v>-1.1523492653915524</v>
      </c>
      <c r="X3737" s="2">
        <f ca="1"/>
        <v>46.46370196652046</v>
      </c>
      <c r="AG3737" s="2">
        <f ca="1"/>
        <v>0.7181628860390139</v>
      </c>
      <c r="AH3737" s="2" t="str">
        <f ca="1"/>
        <v>Bad</v>
      </c>
    </row>
    <row r="3738" spans="2:34" x14ac:dyDescent="0.2">
      <c r="B3738" s="2">
        <f ca="1"/>
        <v>0.47394554688511414</v>
      </c>
      <c r="O3738" s="2">
        <f ca="1"/>
        <v>-0.45466996469862847</v>
      </c>
      <c r="X3738" s="2">
        <f ca="1"/>
        <v>48.429090942852525</v>
      </c>
      <c r="AG3738" s="2">
        <f ca="1"/>
        <v>0.34499681785214831</v>
      </c>
      <c r="AH3738" s="2" t="str">
        <f ca="1"/>
        <v>OK</v>
      </c>
    </row>
    <row r="3739" spans="2:34" x14ac:dyDescent="0.2">
      <c r="B3739" s="2">
        <f ca="1"/>
        <v>0.24667252066681522</v>
      </c>
      <c r="O3739" s="2">
        <f ca="1"/>
        <v>-0.41462641547001455</v>
      </c>
      <c r="X3739" s="2">
        <f ca="1"/>
        <v>61.086972632295286</v>
      </c>
      <c r="AG3739" s="2">
        <f ca="1"/>
        <v>0.43601336752180964</v>
      </c>
      <c r="AH3739" s="2" t="str">
        <f ca="1"/>
        <v>Bad</v>
      </c>
    </row>
    <row r="3740" spans="2:34" x14ac:dyDescent="0.2">
      <c r="B3740" s="2">
        <f ca="1"/>
        <v>0.308585919297512</v>
      </c>
      <c r="O3740" s="2">
        <f ca="1"/>
        <v>2.1426466229903269</v>
      </c>
      <c r="X3740" s="2">
        <f ca="1"/>
        <v>61.835735049514263</v>
      </c>
      <c r="AG3740" s="2">
        <f ca="1"/>
        <v>0.94497945033833819</v>
      </c>
      <c r="AH3740" s="2" t="str">
        <f ca="1"/>
        <v>Bad</v>
      </c>
    </row>
    <row r="3741" spans="2:34" x14ac:dyDescent="0.2">
      <c r="B3741" s="2">
        <f ca="1"/>
        <v>5.4745847705580442E-2</v>
      </c>
      <c r="O3741" s="2">
        <f ca="1"/>
        <v>-0.24089889088177679</v>
      </c>
      <c r="X3741" s="2">
        <f ca="1"/>
        <v>47.984946810081972</v>
      </c>
      <c r="AG3741" s="2">
        <f ca="1"/>
        <v>0.9532958516301866</v>
      </c>
      <c r="AH3741" s="2" t="str">
        <f ca="1"/>
        <v>Bad</v>
      </c>
    </row>
    <row r="3742" spans="2:34" x14ac:dyDescent="0.2">
      <c r="B3742" s="2">
        <f ca="1"/>
        <v>0.29131548464357304</v>
      </c>
      <c r="O3742" s="2">
        <f ca="1"/>
        <v>-0.46995159347415583</v>
      </c>
      <c r="X3742" s="2">
        <f ca="1"/>
        <v>31.405470607672441</v>
      </c>
      <c r="AG3742" s="2">
        <f ca="1"/>
        <v>0.97493486010026476</v>
      </c>
      <c r="AH3742" s="2" t="str">
        <f ca="1"/>
        <v>Bad</v>
      </c>
    </row>
    <row r="3743" spans="2:34" x14ac:dyDescent="0.2">
      <c r="B3743" s="2">
        <f ca="1"/>
        <v>0.98039922729009388</v>
      </c>
      <c r="O3743" s="2">
        <f ca="1"/>
        <v>0.63270539325116348</v>
      </c>
      <c r="X3743" s="2">
        <f ca="1"/>
        <v>61.38948605497508</v>
      </c>
      <c r="AG3743" s="2">
        <f ca="1"/>
        <v>0.12892389295747564</v>
      </c>
      <c r="AH3743" s="2" t="str">
        <f ca="1"/>
        <v>OK</v>
      </c>
    </row>
    <row r="3744" spans="2:34" x14ac:dyDescent="0.2">
      <c r="B3744" s="2">
        <f ca="1"/>
        <v>0.98495254720859804</v>
      </c>
      <c r="O3744" s="2">
        <f ca="1"/>
        <v>-2.6025546460056175</v>
      </c>
      <c r="X3744" s="2">
        <f ca="1"/>
        <v>44.991300136515378</v>
      </c>
      <c r="AG3744" s="2">
        <f ca="1"/>
        <v>0.30823825573629082</v>
      </c>
      <c r="AH3744" s="2" t="str">
        <f ca="1"/>
        <v>OK</v>
      </c>
    </row>
    <row r="3745" spans="2:34" x14ac:dyDescent="0.2">
      <c r="B3745" s="2">
        <f ca="1"/>
        <v>0.43155814752070354</v>
      </c>
      <c r="O3745" s="2">
        <f ca="1"/>
        <v>1.6146834603098179</v>
      </c>
      <c r="X3745" s="2">
        <f ca="1"/>
        <v>52.508391252402362</v>
      </c>
      <c r="AG3745" s="2">
        <f ca="1"/>
        <v>0.24400876120541692</v>
      </c>
      <c r="AH3745" s="2" t="str">
        <f ca="1"/>
        <v>OK</v>
      </c>
    </row>
    <row r="3746" spans="2:34" x14ac:dyDescent="0.2">
      <c r="B3746" s="2">
        <f ca="1"/>
        <v>0.86106767664713413</v>
      </c>
      <c r="O3746" s="2">
        <f ca="1"/>
        <v>-1.2946815390432835</v>
      </c>
      <c r="X3746" s="2">
        <f ca="1"/>
        <v>39.767732350610842</v>
      </c>
      <c r="AG3746" s="2">
        <f ca="1"/>
        <v>0.84264888412144967</v>
      </c>
      <c r="AH3746" s="2" t="str">
        <f ca="1"/>
        <v>Bad</v>
      </c>
    </row>
    <row r="3747" spans="2:34" x14ac:dyDescent="0.2">
      <c r="B3747" s="2">
        <f ca="1"/>
        <v>0.70323463336510605</v>
      </c>
      <c r="O3747" s="2">
        <f ca="1"/>
        <v>1.4319162253460218</v>
      </c>
      <c r="X3747" s="2">
        <f ca="1"/>
        <v>33.063087981923601</v>
      </c>
      <c r="AG3747" s="2">
        <f ca="1"/>
        <v>0.63891829492147911</v>
      </c>
      <c r="AH3747" s="2" t="str">
        <f ca="1"/>
        <v>Bad</v>
      </c>
    </row>
    <row r="3748" spans="2:34" x14ac:dyDescent="0.2">
      <c r="B3748" s="2">
        <f ca="1"/>
        <v>0.66045058417885172</v>
      </c>
      <c r="O3748" s="2">
        <f ca="1"/>
        <v>0.11776152582249776</v>
      </c>
      <c r="X3748" s="2">
        <f ca="1"/>
        <v>40.913704655798881</v>
      </c>
      <c r="AG3748" s="2">
        <f ca="1"/>
        <v>0.98573954712205558</v>
      </c>
      <c r="AH3748" s="2" t="str">
        <f ca="1"/>
        <v>Bad</v>
      </c>
    </row>
    <row r="3749" spans="2:34" x14ac:dyDescent="0.2">
      <c r="B3749" s="2">
        <f ca="1"/>
        <v>0.27802305085038892</v>
      </c>
      <c r="O3749" s="2">
        <f ca="1"/>
        <v>-0.26596117988423196</v>
      </c>
      <c r="X3749" s="2">
        <f ca="1"/>
        <v>48.317645428369687</v>
      </c>
      <c r="AG3749" s="2">
        <f ca="1"/>
        <v>0.94143092624019431</v>
      </c>
      <c r="AH3749" s="2" t="str">
        <f ca="1"/>
        <v>Bad</v>
      </c>
    </row>
    <row r="3750" spans="2:34" x14ac:dyDescent="0.2">
      <c r="B3750" s="2">
        <f ca="1"/>
        <v>6.1455020685218908E-2</v>
      </c>
      <c r="O3750" s="2">
        <f ca="1"/>
        <v>-0.17544411562589654</v>
      </c>
      <c r="X3750" s="2">
        <f ca="1"/>
        <v>62.24892792825937</v>
      </c>
      <c r="AG3750" s="2">
        <f ca="1"/>
        <v>0.12738505711045778</v>
      </c>
      <c r="AH3750" s="2" t="str">
        <f ca="1"/>
        <v>OK</v>
      </c>
    </row>
    <row r="3751" spans="2:34" x14ac:dyDescent="0.2">
      <c r="B3751" s="2">
        <f ca="1"/>
        <v>8.1251672840029876E-2</v>
      </c>
      <c r="O3751" s="2">
        <f ca="1"/>
        <v>-0.93539049497288063</v>
      </c>
      <c r="X3751" s="2">
        <f ca="1"/>
        <v>58.236651558434296</v>
      </c>
      <c r="AG3751" s="2">
        <f ca="1"/>
        <v>0.42226061875601006</v>
      </c>
      <c r="AH3751" s="2" t="str">
        <f ca="1"/>
        <v>Bad</v>
      </c>
    </row>
    <row r="3752" spans="2:34" x14ac:dyDescent="0.2">
      <c r="B3752" s="2">
        <f ca="1"/>
        <v>0.19092892319316013</v>
      </c>
      <c r="O3752" s="2">
        <f ca="1"/>
        <v>0.40803586210145337</v>
      </c>
      <c r="X3752" s="2">
        <f ca="1"/>
        <v>48.971941313352488</v>
      </c>
      <c r="AG3752" s="2">
        <f ca="1"/>
        <v>0.3930161943357886</v>
      </c>
      <c r="AH3752" s="2" t="str">
        <f ca="1"/>
        <v>OK</v>
      </c>
    </row>
    <row r="3753" spans="2:34" x14ac:dyDescent="0.2">
      <c r="B3753" s="2">
        <f ca="1"/>
        <v>0.93161339899546713</v>
      </c>
      <c r="O3753" s="2">
        <f ca="1"/>
        <v>-1.9656906108386731</v>
      </c>
      <c r="X3753" s="2">
        <f ca="1"/>
        <v>30.513679519396145</v>
      </c>
      <c r="AG3753" s="2">
        <f ca="1"/>
        <v>0.56738152338911241</v>
      </c>
      <c r="AH3753" s="2" t="str">
        <f ca="1"/>
        <v>Bad</v>
      </c>
    </row>
    <row r="3754" spans="2:34" x14ac:dyDescent="0.2">
      <c r="B3754" s="2">
        <f ca="1"/>
        <v>0.63618798239395025</v>
      </c>
      <c r="O3754" s="2">
        <f ca="1"/>
        <v>-9.875957397537781E-2</v>
      </c>
      <c r="X3754" s="2">
        <f ca="1"/>
        <v>72.331884059869395</v>
      </c>
      <c r="AG3754" s="2">
        <f ca="1"/>
        <v>0.64751848770388643</v>
      </c>
      <c r="AH3754" s="2" t="str">
        <f ca="1"/>
        <v>Bad</v>
      </c>
    </row>
    <row r="3755" spans="2:34" x14ac:dyDescent="0.2">
      <c r="B3755" s="2">
        <f ca="1"/>
        <v>0.65751937238896696</v>
      </c>
      <c r="O3755" s="2">
        <f ca="1"/>
        <v>0.91653195186429337</v>
      </c>
      <c r="X3755" s="2">
        <f ca="1"/>
        <v>68.345678516482621</v>
      </c>
      <c r="AG3755" s="2">
        <f ca="1"/>
        <v>0.77051883559141321</v>
      </c>
      <c r="AH3755" s="2" t="str">
        <f ca="1"/>
        <v>Bad</v>
      </c>
    </row>
    <row r="3756" spans="2:34" x14ac:dyDescent="0.2">
      <c r="B3756" s="2">
        <f ca="1"/>
        <v>0.47268780405028288</v>
      </c>
      <c r="O3756" s="2">
        <f ca="1"/>
        <v>0.74231308275609365</v>
      </c>
      <c r="X3756" s="2">
        <f ca="1"/>
        <v>56.026322542878866</v>
      </c>
      <c r="AG3756" s="2">
        <f ca="1"/>
        <v>0.71926895058987461</v>
      </c>
      <c r="AH3756" s="2" t="str">
        <f ca="1"/>
        <v>Bad</v>
      </c>
    </row>
    <row r="3757" spans="2:34" x14ac:dyDescent="0.2">
      <c r="B3757" s="2">
        <f ca="1"/>
        <v>0.8881603625929384</v>
      </c>
      <c r="O3757" s="2">
        <f ca="1"/>
        <v>-0.74206982717827275</v>
      </c>
      <c r="X3757" s="2">
        <f ca="1"/>
        <v>64.513682074175705</v>
      </c>
      <c r="AG3757" s="2">
        <f ca="1"/>
        <v>0.24142749941204178</v>
      </c>
      <c r="AH3757" s="2" t="str">
        <f ca="1"/>
        <v>OK</v>
      </c>
    </row>
    <row r="3758" spans="2:34" x14ac:dyDescent="0.2">
      <c r="B3758" s="2">
        <f ca="1"/>
        <v>0.99724324964184219</v>
      </c>
      <c r="O3758" s="2">
        <f ca="1"/>
        <v>-0.59748564224878831</v>
      </c>
      <c r="X3758" s="2">
        <f ca="1"/>
        <v>34.156888666377952</v>
      </c>
      <c r="AG3758" s="2">
        <f ca="1"/>
        <v>0.78421611526721802</v>
      </c>
      <c r="AH3758" s="2" t="str">
        <f ca="1"/>
        <v>Bad</v>
      </c>
    </row>
    <row r="3759" spans="2:34" x14ac:dyDescent="0.2">
      <c r="B3759" s="2">
        <f ca="1"/>
        <v>0.57648375498763049</v>
      </c>
      <c r="O3759" s="2">
        <f ca="1"/>
        <v>1.0158910356410962</v>
      </c>
      <c r="X3759" s="2">
        <f ca="1"/>
        <v>29.021727545753674</v>
      </c>
      <c r="AG3759" s="2">
        <f ca="1"/>
        <v>0.41781253819304287</v>
      </c>
      <c r="AH3759" s="2" t="str">
        <f ca="1"/>
        <v>Bad</v>
      </c>
    </row>
    <row r="3760" spans="2:34" x14ac:dyDescent="0.2">
      <c r="B3760" s="2">
        <f ca="1"/>
        <v>0.87437485138888205</v>
      </c>
      <c r="O3760" s="2">
        <f ca="1"/>
        <v>-2.3173880270263072</v>
      </c>
      <c r="X3760" s="2">
        <f ca="1"/>
        <v>71.053695204850044</v>
      </c>
      <c r="AG3760" s="2">
        <f ca="1"/>
        <v>0.49027283727356386</v>
      </c>
      <c r="AH3760" s="2" t="str">
        <f ca="1"/>
        <v>Bad</v>
      </c>
    </row>
    <row r="3761" spans="2:34" x14ac:dyDescent="0.2">
      <c r="B3761" s="2">
        <f ca="1"/>
        <v>0.41825231245416394</v>
      </c>
      <c r="O3761" s="2">
        <f ca="1"/>
        <v>1.3113499452213195</v>
      </c>
      <c r="X3761" s="2">
        <f ca="1"/>
        <v>47.397734804376903</v>
      </c>
      <c r="AG3761" s="2">
        <f ca="1"/>
        <v>0.8771650737421286</v>
      </c>
      <c r="AH3761" s="2" t="str">
        <f ca="1"/>
        <v>Bad</v>
      </c>
    </row>
    <row r="3762" spans="2:34" x14ac:dyDescent="0.2">
      <c r="B3762" s="2">
        <f ca="1"/>
        <v>0.20688899755448897</v>
      </c>
      <c r="O3762" s="2">
        <f ca="1"/>
        <v>1.1679557917113206</v>
      </c>
      <c r="X3762" s="2">
        <f ca="1"/>
        <v>50.81425056340359</v>
      </c>
      <c r="AG3762" s="2">
        <f ca="1"/>
        <v>0.38149526796086874</v>
      </c>
      <c r="AH3762" s="2" t="str">
        <f ca="1"/>
        <v>OK</v>
      </c>
    </row>
    <row r="3763" spans="2:34" x14ac:dyDescent="0.2">
      <c r="B3763" s="2">
        <f ca="1"/>
        <v>0.52302235459785096</v>
      </c>
      <c r="O3763" s="2">
        <f ca="1"/>
        <v>-0.13693183424438318</v>
      </c>
      <c r="X3763" s="2">
        <f ca="1"/>
        <v>50.031567431243076</v>
      </c>
      <c r="AG3763" s="2">
        <f ca="1"/>
        <v>0.83430474602202187</v>
      </c>
      <c r="AH3763" s="2" t="str">
        <f ca="1"/>
        <v>Bad</v>
      </c>
    </row>
    <row r="3764" spans="2:34" x14ac:dyDescent="0.2">
      <c r="B3764" s="2">
        <f ca="1"/>
        <v>0.28081380382656351</v>
      </c>
      <c r="O3764" s="2">
        <f ca="1"/>
        <v>-1.0879741325249845</v>
      </c>
      <c r="X3764" s="2">
        <f ca="1"/>
        <v>69.732533617435166</v>
      </c>
      <c r="AG3764" s="2">
        <f ca="1"/>
        <v>0.57249288219272465</v>
      </c>
      <c r="AH3764" s="2" t="str">
        <f ca="1"/>
        <v>Bad</v>
      </c>
    </row>
    <row r="3765" spans="2:34" x14ac:dyDescent="0.2">
      <c r="B3765" s="2">
        <f ca="1"/>
        <v>0.61713552367070923</v>
      </c>
      <c r="O3765" s="2">
        <f ca="1"/>
        <v>0.87504656309004658</v>
      </c>
      <c r="X3765" s="2">
        <f ca="1"/>
        <v>84.074812971807944</v>
      </c>
      <c r="AG3765" s="2">
        <f ca="1"/>
        <v>0.38834849139752481</v>
      </c>
      <c r="AH3765" s="2" t="str">
        <f ca="1"/>
        <v>OK</v>
      </c>
    </row>
    <row r="3766" spans="2:34" x14ac:dyDescent="0.2">
      <c r="B3766" s="2">
        <f ca="1"/>
        <v>0.86567977557138809</v>
      </c>
      <c r="O3766" s="2">
        <f ca="1"/>
        <v>0.16149304538746567</v>
      </c>
      <c r="X3766" s="2">
        <f ca="1"/>
        <v>45.586325096984829</v>
      </c>
      <c r="AG3766" s="2">
        <f ca="1"/>
        <v>0.98650613667638032</v>
      </c>
      <c r="AH3766" s="2" t="str">
        <f ca="1"/>
        <v>Bad</v>
      </c>
    </row>
    <row r="3767" spans="2:34" x14ac:dyDescent="0.2">
      <c r="B3767" s="2">
        <f ca="1"/>
        <v>0.84821717937287788</v>
      </c>
      <c r="O3767" s="2">
        <f ca="1"/>
        <v>-0.37294317515900627</v>
      </c>
      <c r="X3767" s="2">
        <f ca="1"/>
        <v>42.683611095534971</v>
      </c>
      <c r="AG3767" s="2">
        <f ca="1"/>
        <v>0.57508996213228736</v>
      </c>
      <c r="AH3767" s="2" t="str">
        <f ca="1"/>
        <v>Bad</v>
      </c>
    </row>
    <row r="3768" spans="2:34" x14ac:dyDescent="0.2">
      <c r="B3768" s="2">
        <f ca="1"/>
        <v>0.38428550282213592</v>
      </c>
      <c r="O3768" s="2">
        <f ca="1"/>
        <v>0.76927328802016925</v>
      </c>
      <c r="X3768" s="2">
        <f ca="1"/>
        <v>48.072649470171086</v>
      </c>
      <c r="AG3768" s="2">
        <f ca="1"/>
        <v>0.23379368825795899</v>
      </c>
      <c r="AH3768" s="2" t="str">
        <f ca="1"/>
        <v>OK</v>
      </c>
    </row>
    <row r="3769" spans="2:34" x14ac:dyDescent="0.2">
      <c r="B3769" s="2">
        <f ca="1"/>
        <v>0.16179096271434701</v>
      </c>
      <c r="O3769" s="2">
        <f ca="1"/>
        <v>0.82922248472872317</v>
      </c>
      <c r="X3769" s="2">
        <f ca="1"/>
        <v>71.950789004230217</v>
      </c>
      <c r="AG3769" s="2">
        <f ca="1"/>
        <v>7.7142451267125045E-2</v>
      </c>
      <c r="AH3769" s="2" t="str">
        <f ca="1"/>
        <v>OK</v>
      </c>
    </row>
    <row r="3770" spans="2:34" x14ac:dyDescent="0.2">
      <c r="B3770" s="2">
        <f ca="1"/>
        <v>0.67949506286332007</v>
      </c>
      <c r="O3770" s="2">
        <f ca="1"/>
        <v>-0.7276562989819555</v>
      </c>
      <c r="X3770" s="2">
        <f ca="1"/>
        <v>45.68481031402235</v>
      </c>
      <c r="AG3770" s="2">
        <f ca="1"/>
        <v>0.89560680346617083</v>
      </c>
      <c r="AH3770" s="2" t="str">
        <f ca="1"/>
        <v>Bad</v>
      </c>
    </row>
    <row r="3771" spans="2:34" x14ac:dyDescent="0.2">
      <c r="B3771" s="2">
        <f ca="1"/>
        <v>0.37847630490737338</v>
      </c>
      <c r="O3771" s="2">
        <f ca="1"/>
        <v>-0.67853559114786266</v>
      </c>
      <c r="X3771" s="2">
        <f ca="1"/>
        <v>61.243750101968971</v>
      </c>
      <c r="AG3771" s="2">
        <f ca="1"/>
        <v>0.74438339742082893</v>
      </c>
      <c r="AH3771" s="2" t="str">
        <f ca="1"/>
        <v>Bad</v>
      </c>
    </row>
    <row r="3772" spans="2:34" x14ac:dyDescent="0.2">
      <c r="B3772" s="2">
        <f ca="1"/>
        <v>0.13151335252543395</v>
      </c>
      <c r="O3772" s="2">
        <f ca="1"/>
        <v>-0.92709277276823476</v>
      </c>
      <c r="X3772" s="2">
        <f ca="1"/>
        <v>89.368271682845162</v>
      </c>
      <c r="AG3772" s="2">
        <f ca="1"/>
        <v>5.442413619512676E-2</v>
      </c>
      <c r="AH3772" s="2" t="str">
        <f ca="1"/>
        <v>OK</v>
      </c>
    </row>
    <row r="3773" spans="2:34" x14ac:dyDescent="0.2">
      <c r="B3773" s="2">
        <f ca="1"/>
        <v>0.69482551099607504</v>
      </c>
      <c r="O3773" s="2">
        <f ca="1"/>
        <v>-2.5360279378891195</v>
      </c>
      <c r="X3773" s="2">
        <f ca="1"/>
        <v>53.229064477857058</v>
      </c>
      <c r="AG3773" s="2">
        <f ca="1"/>
        <v>0.7015293870517243</v>
      </c>
      <c r="AH3773" s="2" t="str">
        <f ca="1"/>
        <v>Bad</v>
      </c>
    </row>
    <row r="3774" spans="2:34" x14ac:dyDescent="0.2">
      <c r="B3774" s="2">
        <f ca="1"/>
        <v>0.73334915986768912</v>
      </c>
      <c r="O3774" s="2">
        <f ca="1"/>
        <v>0.35060207228634932</v>
      </c>
      <c r="X3774" s="2">
        <f ca="1"/>
        <v>51.522695229196849</v>
      </c>
      <c r="AG3774" s="2">
        <f ca="1"/>
        <v>0.13659877646282204</v>
      </c>
      <c r="AH3774" s="2" t="str">
        <f ca="1"/>
        <v>OK</v>
      </c>
    </row>
    <row r="3775" spans="2:34" x14ac:dyDescent="0.2">
      <c r="B3775" s="2">
        <f ca="1"/>
        <v>0.55855340019868516</v>
      </c>
      <c r="O3775" s="2">
        <f ca="1"/>
        <v>-0.45054798461526335</v>
      </c>
      <c r="X3775" s="2">
        <f ca="1"/>
        <v>45.220322294412512</v>
      </c>
      <c r="AG3775" s="2">
        <f ca="1"/>
        <v>0.95970242108457593</v>
      </c>
      <c r="AH3775" s="2" t="str">
        <f ca="1"/>
        <v>Bad</v>
      </c>
    </row>
    <row r="3776" spans="2:34" x14ac:dyDescent="0.2">
      <c r="B3776" s="2">
        <f ca="1"/>
        <v>0.72651803875637633</v>
      </c>
      <c r="O3776" s="2">
        <f ca="1"/>
        <v>1.3646732903767442</v>
      </c>
      <c r="X3776" s="2">
        <f ca="1"/>
        <v>35.36937351694894</v>
      </c>
      <c r="AG3776" s="2">
        <f ca="1"/>
        <v>0.58259026820183935</v>
      </c>
      <c r="AH3776" s="2" t="str">
        <f ca="1"/>
        <v>Bad</v>
      </c>
    </row>
    <row r="3777" spans="2:34" x14ac:dyDescent="0.2">
      <c r="B3777" s="2">
        <f ca="1"/>
        <v>0.66621327297366317</v>
      </c>
      <c r="O3777" s="2">
        <f ca="1"/>
        <v>0.56909119536608388</v>
      </c>
      <c r="X3777" s="2">
        <f ca="1"/>
        <v>57.201412947885814</v>
      </c>
      <c r="AG3777" s="2">
        <f ca="1"/>
        <v>0.78065125440091609</v>
      </c>
      <c r="AH3777" s="2" t="str">
        <f ca="1"/>
        <v>Bad</v>
      </c>
    </row>
    <row r="3778" spans="2:34" x14ac:dyDescent="0.2">
      <c r="B3778" s="2">
        <f ca="1"/>
        <v>0.71408954068624086</v>
      </c>
      <c r="O3778" s="2">
        <f ca="1"/>
        <v>0.94068489993715776</v>
      </c>
      <c r="X3778" s="2">
        <f ca="1"/>
        <v>34.904645138972683</v>
      </c>
      <c r="AG3778" s="2">
        <f ca="1"/>
        <v>0.4501379058778423</v>
      </c>
      <c r="AH3778" s="2" t="str">
        <f ca="1"/>
        <v>Bad</v>
      </c>
    </row>
    <row r="3779" spans="2:34" x14ac:dyDescent="0.2">
      <c r="B3779" s="2">
        <f ca="1"/>
        <v>0.54023141057250168</v>
      </c>
      <c r="O3779" s="2">
        <f ca="1"/>
        <v>0.49129784272142091</v>
      </c>
      <c r="X3779" s="2">
        <f ca="1"/>
        <v>51.39656559581924</v>
      </c>
      <c r="AG3779" s="2">
        <f ca="1"/>
        <v>0.42458858722808057</v>
      </c>
      <c r="AH3779" s="2" t="str">
        <f ca="1"/>
        <v>Bad</v>
      </c>
    </row>
    <row r="3780" spans="2:34" x14ac:dyDescent="0.2">
      <c r="B3780" s="2">
        <f ca="1"/>
        <v>0.97347734526860519</v>
      </c>
      <c r="O3780" s="2">
        <f ca="1"/>
        <v>0.35135379652789084</v>
      </c>
      <c r="X3780" s="2">
        <f ca="1"/>
        <v>50.88423428965762</v>
      </c>
      <c r="AG3780" s="2">
        <f ca="1"/>
        <v>0.29479733063077318</v>
      </c>
      <c r="AH3780" s="2" t="str">
        <f ca="1"/>
        <v>OK</v>
      </c>
    </row>
    <row r="3781" spans="2:34" x14ac:dyDescent="0.2">
      <c r="B3781" s="2">
        <f ca="1"/>
        <v>0.84877819623998629</v>
      </c>
      <c r="O3781" s="2">
        <f ca="1"/>
        <v>-1.7566757501475125</v>
      </c>
      <c r="X3781" s="2">
        <f ca="1"/>
        <v>63.371170064196278</v>
      </c>
      <c r="AG3781" s="2">
        <f ca="1"/>
        <v>0.93077566634945108</v>
      </c>
      <c r="AH3781" s="2" t="str">
        <f ca="1"/>
        <v>Bad</v>
      </c>
    </row>
    <row r="3782" spans="2:34" x14ac:dyDescent="0.2">
      <c r="B3782" s="2">
        <f ca="1"/>
        <v>4.0648244595457461E-2</v>
      </c>
      <c r="O3782" s="2">
        <f ca="1"/>
        <v>1.316784874391942E-2</v>
      </c>
      <c r="X3782" s="2">
        <f ca="1"/>
        <v>46.179203860446904</v>
      </c>
      <c r="AG3782" s="2">
        <f ca="1"/>
        <v>0.12853384563129899</v>
      </c>
      <c r="AH3782" s="2" t="str">
        <f ca="1"/>
        <v>OK</v>
      </c>
    </row>
    <row r="3783" spans="2:34" x14ac:dyDescent="0.2">
      <c r="B3783" s="2">
        <f ca="1"/>
        <v>0.63612410792542473</v>
      </c>
      <c r="O3783" s="2">
        <f ca="1"/>
        <v>-0.14252602403366718</v>
      </c>
      <c r="X3783" s="2">
        <f ca="1"/>
        <v>58.063858373365548</v>
      </c>
      <c r="AG3783" s="2">
        <f ca="1"/>
        <v>0.25837520091065236</v>
      </c>
      <c r="AH3783" s="2" t="str">
        <f ca="1"/>
        <v>OK</v>
      </c>
    </row>
    <row r="3784" spans="2:34" x14ac:dyDescent="0.2">
      <c r="B3784" s="2">
        <f ca="1"/>
        <v>0.82648247691113319</v>
      </c>
      <c r="O3784" s="2">
        <f ca="1"/>
        <v>1.166482103870379</v>
      </c>
      <c r="X3784" s="2">
        <f ca="1"/>
        <v>43.948338963607732</v>
      </c>
      <c r="AG3784" s="2">
        <f ca="1"/>
        <v>0.4839532929542989</v>
      </c>
      <c r="AH3784" s="2" t="str">
        <f ca="1"/>
        <v>Bad</v>
      </c>
    </row>
    <row r="3785" spans="2:34" x14ac:dyDescent="0.2">
      <c r="B3785" s="2">
        <f ca="1"/>
        <v>0.43252246877183098</v>
      </c>
      <c r="O3785" s="2">
        <f ca="1"/>
        <v>0.35942309125912331</v>
      </c>
      <c r="X3785" s="2">
        <f ca="1"/>
        <v>47.621200888477652</v>
      </c>
      <c r="AG3785" s="2">
        <f ca="1"/>
        <v>0.41060842492670124</v>
      </c>
      <c r="AH3785" s="2" t="str">
        <f ca="1"/>
        <v>Bad</v>
      </c>
    </row>
    <row r="3786" spans="2:34" x14ac:dyDescent="0.2">
      <c r="B3786" s="2">
        <f ca="1"/>
        <v>0.84677131278607809</v>
      </c>
      <c r="O3786" s="2">
        <f ca="1"/>
        <v>-0.24443673303061789</v>
      </c>
      <c r="X3786" s="2">
        <f ca="1"/>
        <v>48.359213641506301</v>
      </c>
      <c r="AG3786" s="2">
        <f ca="1"/>
        <v>0.89102291871848882</v>
      </c>
      <c r="AH3786" s="2" t="str">
        <f ca="1"/>
        <v>Bad</v>
      </c>
    </row>
    <row r="3787" spans="2:34" x14ac:dyDescent="0.2">
      <c r="B3787" s="2">
        <f ca="1"/>
        <v>0.94969789662523296</v>
      </c>
      <c r="O3787" s="2">
        <f ca="1"/>
        <v>-0.99754606249988653</v>
      </c>
      <c r="X3787" s="2">
        <f ca="1"/>
        <v>32.472942714319899</v>
      </c>
      <c r="AG3787" s="2">
        <f ca="1"/>
        <v>0.74436595532016958</v>
      </c>
      <c r="AH3787" s="2" t="str">
        <f ca="1"/>
        <v>Bad</v>
      </c>
    </row>
    <row r="3788" spans="2:34" x14ac:dyDescent="0.2">
      <c r="B3788" s="2">
        <f ca="1"/>
        <v>0.24422909211491439</v>
      </c>
      <c r="O3788" s="2">
        <f ca="1"/>
        <v>-0.86552286991022942</v>
      </c>
      <c r="X3788" s="2">
        <f ca="1"/>
        <v>42.000351058853525</v>
      </c>
      <c r="AG3788" s="2">
        <f ca="1"/>
        <v>5.2578201747545794E-2</v>
      </c>
      <c r="AH3788" s="2" t="str">
        <f ca="1"/>
        <v>OK</v>
      </c>
    </row>
    <row r="3789" spans="2:34" x14ac:dyDescent="0.2">
      <c r="B3789" s="2">
        <f ca="1"/>
        <v>0.86567333117132539</v>
      </c>
      <c r="O3789" s="2">
        <f ca="1"/>
        <v>0.49263458249945991</v>
      </c>
      <c r="X3789" s="2">
        <f ca="1"/>
        <v>58.604818957383777</v>
      </c>
      <c r="AG3789" s="2">
        <f ca="1"/>
        <v>0.51572473842727051</v>
      </c>
      <c r="AH3789" s="2" t="str">
        <f ca="1"/>
        <v>Bad</v>
      </c>
    </row>
    <row r="3790" spans="2:34" x14ac:dyDescent="0.2">
      <c r="B3790" s="2">
        <f ca="1"/>
        <v>0.81364926135514115</v>
      </c>
      <c r="O3790" s="2">
        <f ca="1"/>
        <v>-0.45563506655484604</v>
      </c>
      <c r="X3790" s="2">
        <f ca="1"/>
        <v>65.106184686456146</v>
      </c>
      <c r="AG3790" s="2">
        <f ca="1"/>
        <v>0.52033496449845051</v>
      </c>
      <c r="AH3790" s="2" t="str">
        <f ca="1"/>
        <v>Bad</v>
      </c>
    </row>
    <row r="3791" spans="2:34" x14ac:dyDescent="0.2">
      <c r="B3791" s="2">
        <f ca="1"/>
        <v>0.25204263170049224</v>
      </c>
      <c r="O3791" s="2">
        <f ca="1"/>
        <v>-0.93132133786774252</v>
      </c>
      <c r="X3791" s="2">
        <f ca="1"/>
        <v>35.89280146460397</v>
      </c>
      <c r="AG3791" s="2">
        <f ca="1"/>
        <v>0.8929065850142206</v>
      </c>
      <c r="AH3791" s="2" t="str">
        <f ca="1"/>
        <v>Bad</v>
      </c>
    </row>
    <row r="3792" spans="2:34" x14ac:dyDescent="0.2">
      <c r="B3792" s="2">
        <f ca="1"/>
        <v>0.95174554513254384</v>
      </c>
      <c r="O3792" s="2">
        <f ca="1"/>
        <v>1.2251637491122265</v>
      </c>
      <c r="X3792" s="2">
        <f ca="1"/>
        <v>34.032737651338991</v>
      </c>
      <c r="AG3792" s="2">
        <f ca="1"/>
        <v>5.647828715976666E-2</v>
      </c>
      <c r="AH3792" s="2" t="str">
        <f ca="1"/>
        <v>OK</v>
      </c>
    </row>
    <row r="3793" spans="2:34" x14ac:dyDescent="0.2">
      <c r="B3793" s="2">
        <f ca="1"/>
        <v>0.12360937216995738</v>
      </c>
      <c r="O3793" s="2">
        <f ca="1"/>
        <v>-0.65765000524842387</v>
      </c>
      <c r="X3793" s="2">
        <f ca="1"/>
        <v>44.103040784999465</v>
      </c>
      <c r="AG3793" s="2">
        <f ca="1"/>
        <v>0.43910526659252458</v>
      </c>
      <c r="AH3793" s="2" t="str">
        <f ca="1"/>
        <v>Bad</v>
      </c>
    </row>
    <row r="3794" spans="2:34" x14ac:dyDescent="0.2">
      <c r="B3794" s="2">
        <f ca="1"/>
        <v>0.62490017718570257</v>
      </c>
      <c r="O3794" s="2">
        <f ca="1"/>
        <v>-0.90743554456390929</v>
      </c>
      <c r="X3794" s="2">
        <f ca="1"/>
        <v>43.04694556796715</v>
      </c>
      <c r="AG3794" s="2">
        <f ca="1"/>
        <v>7.4948110514831745E-2</v>
      </c>
      <c r="AH3794" s="2" t="str">
        <f ca="1"/>
        <v>OK</v>
      </c>
    </row>
    <row r="3795" spans="2:34" x14ac:dyDescent="0.2">
      <c r="B3795" s="2">
        <f ca="1"/>
        <v>0.15252675014809003</v>
      </c>
      <c r="O3795" s="2">
        <f ca="1"/>
        <v>6.1923706568479182E-2</v>
      </c>
      <c r="X3795" s="2">
        <f ca="1"/>
        <v>62.397132356043983</v>
      </c>
      <c r="AG3795" s="2">
        <f ca="1"/>
        <v>6.0197634325032556E-2</v>
      </c>
      <c r="AH3795" s="2" t="str">
        <f ca="1"/>
        <v>OK</v>
      </c>
    </row>
    <row r="3796" spans="2:34" x14ac:dyDescent="0.2">
      <c r="B3796" s="2">
        <f ca="1"/>
        <v>0.33044451522661467</v>
      </c>
      <c r="O3796" s="2">
        <f ca="1"/>
        <v>2.6136962887978759</v>
      </c>
      <c r="X3796" s="2">
        <f ca="1"/>
        <v>53.738302345215487</v>
      </c>
      <c r="AG3796" s="2">
        <f ca="1"/>
        <v>0.69035799008692988</v>
      </c>
      <c r="AH3796" s="2" t="str">
        <f ca="1"/>
        <v>Bad</v>
      </c>
    </row>
    <row r="3797" spans="2:34" x14ac:dyDescent="0.2">
      <c r="B3797" s="2">
        <f ca="1"/>
        <v>0.69998038615509328</v>
      </c>
      <c r="O3797" s="2">
        <f ca="1"/>
        <v>0.50111126476936274</v>
      </c>
      <c r="X3797" s="2">
        <f ca="1"/>
        <v>79.507528654247224</v>
      </c>
      <c r="AG3797" s="2">
        <f ca="1"/>
        <v>0.750001069468194</v>
      </c>
      <c r="AH3797" s="2" t="str">
        <f ca="1"/>
        <v>Bad</v>
      </c>
    </row>
    <row r="3798" spans="2:34" x14ac:dyDescent="0.2">
      <c r="B3798" s="2">
        <f ca="1"/>
        <v>0.48314763158177843</v>
      </c>
      <c r="O3798" s="2">
        <f ca="1"/>
        <v>0.24709501154652139</v>
      </c>
      <c r="X3798" s="2">
        <f ca="1"/>
        <v>56.273302379561663</v>
      </c>
      <c r="AG3798" s="2">
        <f ca="1"/>
        <v>0.44825082913553316</v>
      </c>
      <c r="AH3798" s="2" t="str">
        <f ca="1"/>
        <v>Bad</v>
      </c>
    </row>
    <row r="3799" spans="2:34" x14ac:dyDescent="0.2">
      <c r="B3799" s="2">
        <f ca="1"/>
        <v>0.85053962038945596</v>
      </c>
      <c r="O3799" s="2">
        <f ca="1"/>
        <v>0.14490481703049499</v>
      </c>
      <c r="X3799" s="2">
        <f ca="1"/>
        <v>53.784489131421125</v>
      </c>
      <c r="AG3799" s="2">
        <f ca="1"/>
        <v>0.41114488574305819</v>
      </c>
      <c r="AH3799" s="2" t="str">
        <f ca="1"/>
        <v>Bad</v>
      </c>
    </row>
    <row r="3800" spans="2:34" x14ac:dyDescent="0.2">
      <c r="B3800" s="2">
        <f ca="1"/>
        <v>0.30665405130509615</v>
      </c>
      <c r="O3800" s="2">
        <f ca="1"/>
        <v>3.6350038807265672E-2</v>
      </c>
      <c r="X3800" s="2">
        <f ca="1"/>
        <v>85.382134580865397</v>
      </c>
      <c r="AG3800" s="2">
        <f ca="1"/>
        <v>0.21857839936177959</v>
      </c>
      <c r="AH3800" s="2" t="str">
        <f ca="1"/>
        <v>OK</v>
      </c>
    </row>
    <row r="3801" spans="2:34" x14ac:dyDescent="0.2">
      <c r="B3801" s="2">
        <f ca="1"/>
        <v>0.89571247915927055</v>
      </c>
      <c r="O3801" s="2">
        <f ca="1"/>
        <v>1.1212327877628394</v>
      </c>
      <c r="X3801" s="2">
        <f ca="1"/>
        <v>60.326669323906756</v>
      </c>
      <c r="AG3801" s="2">
        <f ca="1"/>
        <v>0.69261970754331426</v>
      </c>
      <c r="AH3801" s="2" t="str">
        <f ca="1"/>
        <v>Bad</v>
      </c>
    </row>
    <row r="3802" spans="2:34" x14ac:dyDescent="0.2">
      <c r="B3802" s="2">
        <f ca="1"/>
        <v>0.28337069255089586</v>
      </c>
      <c r="O3802" s="2">
        <f ca="1"/>
        <v>8.2997537738570305E-3</v>
      </c>
      <c r="X3802" s="2">
        <f ca="1"/>
        <v>49.653205331782061</v>
      </c>
      <c r="AG3802" s="2">
        <f ca="1"/>
        <v>0.5056405961120447</v>
      </c>
      <c r="AH3802" s="2" t="str">
        <f ca="1"/>
        <v>Bad</v>
      </c>
    </row>
    <row r="3803" spans="2:34" x14ac:dyDescent="0.2">
      <c r="B3803" s="2">
        <f ca="1"/>
        <v>0.54274063488244373</v>
      </c>
      <c r="O3803" s="2">
        <f ca="1"/>
        <v>0.49069651408389253</v>
      </c>
      <c r="X3803" s="2">
        <f ca="1"/>
        <v>37.090298692836598</v>
      </c>
      <c r="AG3803" s="2">
        <f ca="1"/>
        <v>0.77296295296881889</v>
      </c>
      <c r="AH3803" s="2" t="str">
        <f ca="1"/>
        <v>Bad</v>
      </c>
    </row>
    <row r="3804" spans="2:34" x14ac:dyDescent="0.2">
      <c r="B3804" s="2">
        <f ca="1"/>
        <v>0.55028525634351944</v>
      </c>
      <c r="O3804" s="2">
        <f ca="1"/>
        <v>-0.55067347056050253</v>
      </c>
      <c r="X3804" s="2">
        <f ca="1"/>
        <v>57.237362182190751</v>
      </c>
      <c r="AG3804" s="2">
        <f ca="1"/>
        <v>0.99387325671183735</v>
      </c>
      <c r="AH3804" s="2" t="str">
        <f ca="1"/>
        <v>Bad</v>
      </c>
    </row>
    <row r="3805" spans="2:34" x14ac:dyDescent="0.2">
      <c r="B3805" s="2">
        <f ca="1"/>
        <v>0.4814396830014458</v>
      </c>
      <c r="O3805" s="2">
        <f ca="1"/>
        <v>0.36500479709281891</v>
      </c>
      <c r="X3805" s="2">
        <f ca="1"/>
        <v>77.588457328232209</v>
      </c>
      <c r="AG3805" s="2">
        <f ca="1"/>
        <v>0.18354735796759725</v>
      </c>
      <c r="AH3805" s="2" t="str">
        <f ca="1"/>
        <v>OK</v>
      </c>
    </row>
    <row r="3806" spans="2:34" x14ac:dyDescent="0.2">
      <c r="B3806" s="2">
        <f ca="1"/>
        <v>0.47018844230827694</v>
      </c>
      <c r="O3806" s="2">
        <f ca="1"/>
        <v>-0.13963280738829861</v>
      </c>
      <c r="X3806" s="2">
        <f ca="1"/>
        <v>76.399583157223702</v>
      </c>
      <c r="AG3806" s="2">
        <f ca="1"/>
        <v>0.28013003975803086</v>
      </c>
      <c r="AH3806" s="2" t="str">
        <f ca="1"/>
        <v>OK</v>
      </c>
    </row>
    <row r="3807" spans="2:34" x14ac:dyDescent="0.2">
      <c r="B3807" s="2">
        <f ca="1"/>
        <v>0.65776760357474018</v>
      </c>
      <c r="O3807" s="2">
        <f ca="1"/>
        <v>0.78061935485922007</v>
      </c>
      <c r="X3807" s="2">
        <f ca="1"/>
        <v>64.517533623027887</v>
      </c>
      <c r="AG3807" s="2">
        <f ca="1"/>
        <v>0.56595474708343074</v>
      </c>
      <c r="AH3807" s="2" t="str">
        <f ca="1"/>
        <v>Bad</v>
      </c>
    </row>
    <row r="3808" spans="2:34" x14ac:dyDescent="0.2">
      <c r="B3808" s="2">
        <f ca="1"/>
        <v>0.43192266095769694</v>
      </c>
      <c r="O3808" s="2">
        <f ca="1"/>
        <v>0.49285073825382114</v>
      </c>
      <c r="X3808" s="2">
        <f ca="1"/>
        <v>39.360624411978755</v>
      </c>
      <c r="AG3808" s="2">
        <f ca="1"/>
        <v>0.33004472269365737</v>
      </c>
      <c r="AH3808" s="2" t="str">
        <f ca="1"/>
        <v>OK</v>
      </c>
    </row>
    <row r="3809" spans="2:34" x14ac:dyDescent="0.2">
      <c r="B3809" s="2">
        <f ca="1"/>
        <v>0.61996920511818576</v>
      </c>
      <c r="O3809" s="2">
        <f ca="1"/>
        <v>0.50291583823459252</v>
      </c>
      <c r="X3809" s="2">
        <f ca="1"/>
        <v>37.62170971199231</v>
      </c>
      <c r="AG3809" s="2">
        <f ca="1"/>
        <v>0.1062831335151988</v>
      </c>
      <c r="AH3809" s="2" t="str">
        <f ca="1"/>
        <v>OK</v>
      </c>
    </row>
    <row r="3810" spans="2:34" x14ac:dyDescent="0.2">
      <c r="B3810" s="2">
        <f ca="1"/>
        <v>0.6164474472920245</v>
      </c>
      <c r="O3810" s="2">
        <f ca="1"/>
        <v>-1.8346273132489359</v>
      </c>
      <c r="X3810" s="2">
        <f ca="1"/>
        <v>51.8439591923729</v>
      </c>
      <c r="AG3810" s="2">
        <f ca="1"/>
        <v>0.66765313726368403</v>
      </c>
      <c r="AH3810" s="2" t="str">
        <f ca="1"/>
        <v>Bad</v>
      </c>
    </row>
    <row r="3811" spans="2:34" x14ac:dyDescent="0.2">
      <c r="B3811" s="2">
        <f ca="1"/>
        <v>0.68758107001484925</v>
      </c>
      <c r="O3811" s="2">
        <f ca="1"/>
        <v>1.0802703268951155</v>
      </c>
      <c r="X3811" s="2">
        <f ca="1"/>
        <v>82.950192630924505</v>
      </c>
      <c r="AG3811" s="2">
        <f ca="1"/>
        <v>0.8509811725001093</v>
      </c>
      <c r="AH3811" s="2" t="str">
        <f ca="1"/>
        <v>Bad</v>
      </c>
    </row>
    <row r="3812" spans="2:34" x14ac:dyDescent="0.2">
      <c r="B3812" s="2">
        <f ca="1"/>
        <v>0.51081584170315364</v>
      </c>
      <c r="O3812" s="2">
        <f ca="1"/>
        <v>-0.5254102454481383</v>
      </c>
      <c r="X3812" s="2">
        <f ca="1"/>
        <v>38.626217332210977</v>
      </c>
      <c r="AG3812" s="2">
        <f ca="1"/>
        <v>0.29978864148719531</v>
      </c>
      <c r="AH3812" s="2" t="str">
        <f ca="1"/>
        <v>OK</v>
      </c>
    </row>
    <row r="3813" spans="2:34" x14ac:dyDescent="0.2">
      <c r="B3813" s="2">
        <f ca="1"/>
        <v>0.5245711654003824</v>
      </c>
      <c r="O3813" s="2">
        <f ca="1"/>
        <v>0.76115574760490856</v>
      </c>
      <c r="X3813" s="2">
        <f ca="1"/>
        <v>39.503285718045433</v>
      </c>
      <c r="AG3813" s="2">
        <f ca="1"/>
        <v>0.71167505556170085</v>
      </c>
      <c r="AH3813" s="2" t="str">
        <f ca="1"/>
        <v>Bad</v>
      </c>
    </row>
    <row r="3814" spans="2:34" x14ac:dyDescent="0.2">
      <c r="B3814" s="2">
        <f ca="1"/>
        <v>0.45645492410980326</v>
      </c>
      <c r="O3814" s="2">
        <f ca="1"/>
        <v>-1.6588395901889588</v>
      </c>
      <c r="X3814" s="2">
        <f ca="1"/>
        <v>68.760451663977165</v>
      </c>
      <c r="AG3814" s="2">
        <f ca="1"/>
        <v>0.17191725883082287</v>
      </c>
      <c r="AH3814" s="2" t="str">
        <f ca="1"/>
        <v>OK</v>
      </c>
    </row>
    <row r="3815" spans="2:34" x14ac:dyDescent="0.2">
      <c r="B3815" s="2">
        <f ca="1"/>
        <v>0.31076258673363588</v>
      </c>
      <c r="O3815" s="2">
        <f ca="1"/>
        <v>0.96336856588067377</v>
      </c>
      <c r="X3815" s="2">
        <f ca="1"/>
        <v>50.639803988929373</v>
      </c>
      <c r="AG3815" s="2">
        <f ca="1"/>
        <v>0.32726980779003068</v>
      </c>
      <c r="AH3815" s="2" t="str">
        <f ca="1"/>
        <v>OK</v>
      </c>
    </row>
    <row r="3816" spans="2:34" x14ac:dyDescent="0.2">
      <c r="B3816" s="2">
        <f ca="1"/>
        <v>0.8739648453851534</v>
      </c>
      <c r="O3816" s="2">
        <f ca="1"/>
        <v>-0.54359549675692465</v>
      </c>
      <c r="X3816" s="2">
        <f ca="1"/>
        <v>88.247893110051777</v>
      </c>
      <c r="AG3816" s="2">
        <f ca="1"/>
        <v>0.76953637916760309</v>
      </c>
      <c r="AH3816" s="2" t="str">
        <f ca="1"/>
        <v>Bad</v>
      </c>
    </row>
    <row r="3817" spans="2:34" x14ac:dyDescent="0.2">
      <c r="B3817" s="2">
        <f ca="1"/>
        <v>0.64298690941746983</v>
      </c>
      <c r="O3817" s="2">
        <f ca="1"/>
        <v>2.4472834353767707</v>
      </c>
      <c r="X3817" s="2">
        <f ca="1"/>
        <v>46.401907972791712</v>
      </c>
      <c r="AG3817" s="2">
        <f ca="1"/>
        <v>0.57011080884354626</v>
      </c>
      <c r="AH3817" s="2" t="str">
        <f ca="1"/>
        <v>Bad</v>
      </c>
    </row>
    <row r="3818" spans="2:34" x14ac:dyDescent="0.2">
      <c r="B3818" s="2">
        <f ca="1"/>
        <v>0.33404722030731615</v>
      </c>
      <c r="O3818" s="2">
        <f ca="1"/>
        <v>0.53920121678209809</v>
      </c>
      <c r="X3818" s="2">
        <f ca="1"/>
        <v>71.948384338177448</v>
      </c>
      <c r="AG3818" s="2">
        <f ca="1"/>
        <v>0.2762901264735711</v>
      </c>
      <c r="AH3818" s="2" t="str">
        <f ca="1"/>
        <v>OK</v>
      </c>
    </row>
    <row r="3819" spans="2:34" x14ac:dyDescent="0.2">
      <c r="B3819" s="2">
        <f ca="1"/>
        <v>0.41927332696454145</v>
      </c>
      <c r="O3819" s="2">
        <f ca="1"/>
        <v>1.0444361096192412</v>
      </c>
      <c r="X3819" s="2">
        <f ca="1"/>
        <v>85.783046864670766</v>
      </c>
      <c r="AG3819" s="2">
        <f ca="1"/>
        <v>0.48740489038494328</v>
      </c>
      <c r="AH3819" s="2" t="str">
        <f ca="1"/>
        <v>Bad</v>
      </c>
    </row>
    <row r="3820" spans="2:34" x14ac:dyDescent="0.2">
      <c r="B3820" s="2">
        <f ca="1"/>
        <v>6.4835615245895095E-2</v>
      </c>
      <c r="O3820" s="2">
        <f ca="1"/>
        <v>-0.31758334178376524</v>
      </c>
      <c r="X3820" s="2">
        <f ca="1"/>
        <v>50.341669335757032</v>
      </c>
      <c r="AG3820" s="2">
        <f ca="1"/>
        <v>0.79670218087186373</v>
      </c>
      <c r="AH3820" s="2" t="str">
        <f ca="1"/>
        <v>Bad</v>
      </c>
    </row>
    <row r="3821" spans="2:34" x14ac:dyDescent="0.2">
      <c r="B3821" s="2">
        <f ca="1"/>
        <v>0.84470137599191486</v>
      </c>
      <c r="O3821" s="2">
        <f ca="1"/>
        <v>-0.50529377993846725</v>
      </c>
      <c r="X3821" s="2">
        <f ca="1"/>
        <v>55.95467851186595</v>
      </c>
      <c r="AG3821" s="2">
        <f ca="1"/>
        <v>0.8316775989778602</v>
      </c>
      <c r="AH3821" s="2" t="str">
        <f ca="1"/>
        <v>Bad</v>
      </c>
    </row>
    <row r="3822" spans="2:34" x14ac:dyDescent="0.2">
      <c r="B3822" s="2">
        <f ca="1"/>
        <v>0.92452455535613365</v>
      </c>
      <c r="O3822" s="2">
        <f ca="1"/>
        <v>0.19603169333505119</v>
      </c>
      <c r="X3822" s="2">
        <f ca="1"/>
        <v>52.115669434972119</v>
      </c>
      <c r="AG3822" s="2">
        <f ca="1"/>
        <v>0.70550517044693417</v>
      </c>
      <c r="AH3822" s="2" t="str">
        <f ca="1"/>
        <v>Bad</v>
      </c>
    </row>
    <row r="3823" spans="2:34" x14ac:dyDescent="0.2">
      <c r="B3823" s="2">
        <f ca="1"/>
        <v>0.33185109906195254</v>
      </c>
      <c r="O3823" s="2">
        <f ca="1"/>
        <v>7.6591709595666302E-2</v>
      </c>
      <c r="X3823" s="2">
        <f ca="1"/>
        <v>50.970525242604758</v>
      </c>
      <c r="AG3823" s="2">
        <f ca="1"/>
        <v>3.0844883903387244E-2</v>
      </c>
      <c r="AH3823" s="2" t="str">
        <f ca="1"/>
        <v>Good</v>
      </c>
    </row>
    <row r="3824" spans="2:34" x14ac:dyDescent="0.2">
      <c r="B3824" s="2">
        <f ca="1"/>
        <v>0.61907443500599979</v>
      </c>
      <c r="O3824" s="2">
        <f ca="1"/>
        <v>0.72172074702906519</v>
      </c>
      <c r="X3824" s="2">
        <f ca="1"/>
        <v>23.946655340838792</v>
      </c>
      <c r="AG3824" s="2">
        <f ca="1"/>
        <v>0.12592910276736768</v>
      </c>
      <c r="AH3824" s="2" t="str">
        <f ca="1"/>
        <v>OK</v>
      </c>
    </row>
    <row r="3825" spans="2:34" x14ac:dyDescent="0.2">
      <c r="B3825" s="2">
        <f ca="1"/>
        <v>0.17889608333497309</v>
      </c>
      <c r="O3825" s="2">
        <f ca="1"/>
        <v>1.4325871724727735</v>
      </c>
      <c r="X3825" s="2">
        <f ca="1"/>
        <v>42.982832985127885</v>
      </c>
      <c r="AG3825" s="2">
        <f ca="1"/>
        <v>0.26513931641850164</v>
      </c>
      <c r="AH3825" s="2" t="str">
        <f ca="1"/>
        <v>OK</v>
      </c>
    </row>
    <row r="3826" spans="2:34" x14ac:dyDescent="0.2">
      <c r="B3826" s="2">
        <f ca="1"/>
        <v>0.87136994967223003</v>
      </c>
      <c r="O3826" s="2">
        <f ca="1"/>
        <v>0.84911150203465802</v>
      </c>
      <c r="X3826" s="2">
        <f ca="1"/>
        <v>81.785026233410392</v>
      </c>
      <c r="AG3826" s="2">
        <f ca="1"/>
        <v>0.64791960381555591</v>
      </c>
      <c r="AH3826" s="2" t="str">
        <f ca="1"/>
        <v>Bad</v>
      </c>
    </row>
    <row r="3827" spans="2:34" x14ac:dyDescent="0.2">
      <c r="B3827" s="2">
        <f ca="1"/>
        <v>0.90170634287423979</v>
      </c>
      <c r="O3827" s="2">
        <f ca="1"/>
        <v>4.4024474346094231E-2</v>
      </c>
      <c r="X3827" s="2">
        <f ca="1"/>
        <v>47.460144678623706</v>
      </c>
      <c r="AG3827" s="2">
        <f ca="1"/>
        <v>0.67105771862715669</v>
      </c>
      <c r="AH3827" s="2" t="str">
        <f ca="1"/>
        <v>Bad</v>
      </c>
    </row>
    <row r="3828" spans="2:34" x14ac:dyDescent="0.2">
      <c r="B3828" s="2">
        <f ca="1"/>
        <v>0.90074549249138869</v>
      </c>
      <c r="O3828" s="2">
        <f ca="1"/>
        <v>0.4954394376697181</v>
      </c>
      <c r="X3828" s="2">
        <f ca="1"/>
        <v>48.537926228297522</v>
      </c>
      <c r="AG3828" s="2">
        <f ca="1"/>
        <v>0.77749088234974129</v>
      </c>
      <c r="AH3828" s="2" t="str">
        <f ca="1"/>
        <v>Bad</v>
      </c>
    </row>
    <row r="3829" spans="2:34" x14ac:dyDescent="0.2">
      <c r="B3829" s="2">
        <f ca="1"/>
        <v>0.7658606232492704</v>
      </c>
      <c r="O3829" s="2">
        <f ca="1"/>
        <v>-0.53827044771881671</v>
      </c>
      <c r="X3829" s="2">
        <f ca="1"/>
        <v>41.394198634227671</v>
      </c>
      <c r="AG3829" s="2">
        <f ca="1"/>
        <v>0.22901223659937675</v>
      </c>
      <c r="AH3829" s="2" t="str">
        <f ca="1"/>
        <v>OK</v>
      </c>
    </row>
    <row r="3830" spans="2:34" x14ac:dyDescent="0.2">
      <c r="B3830" s="2">
        <f ca="1"/>
        <v>0.99537534030477315</v>
      </c>
      <c r="O3830" s="2">
        <f ca="1"/>
        <v>-0.14868349066508224</v>
      </c>
      <c r="X3830" s="2">
        <f ca="1"/>
        <v>44.284449989346264</v>
      </c>
      <c r="AG3830" s="2">
        <f ca="1"/>
        <v>0.6419072333922522</v>
      </c>
      <c r="AH3830" s="2" t="str">
        <f ca="1"/>
        <v>Bad</v>
      </c>
    </row>
    <row r="3831" spans="2:34" x14ac:dyDescent="0.2">
      <c r="B3831" s="2">
        <f ca="1"/>
        <v>0.9131100515473296</v>
      </c>
      <c r="O3831" s="2">
        <f ca="1"/>
        <v>0.29995526870862321</v>
      </c>
      <c r="X3831" s="2">
        <f ca="1"/>
        <v>25.274729132476921</v>
      </c>
      <c r="AG3831" s="2">
        <f ca="1"/>
        <v>0.41614375766763523</v>
      </c>
      <c r="AH3831" s="2" t="str">
        <f ca="1"/>
        <v>Bad</v>
      </c>
    </row>
    <row r="3832" spans="2:34" x14ac:dyDescent="0.2">
      <c r="B3832" s="2">
        <f ca="1"/>
        <v>4.6891901057439789E-3</v>
      </c>
      <c r="O3832" s="2">
        <f ca="1"/>
        <v>-7.9895092150738908E-2</v>
      </c>
      <c r="X3832" s="2">
        <f ca="1"/>
        <v>39.693998550113932</v>
      </c>
      <c r="AG3832" s="2">
        <f ca="1"/>
        <v>0.51841604936036756</v>
      </c>
      <c r="AH3832" s="2" t="str">
        <f ca="1"/>
        <v>Bad</v>
      </c>
    </row>
    <row r="3833" spans="2:34" x14ac:dyDescent="0.2">
      <c r="B3833" s="2">
        <f ca="1"/>
        <v>0.25168630735580577</v>
      </c>
      <c r="O3833" s="2">
        <f ca="1"/>
        <v>5.6661380950644907E-2</v>
      </c>
      <c r="X3833" s="2">
        <f ca="1"/>
        <v>48.36588108149315</v>
      </c>
      <c r="AG3833" s="2">
        <f ca="1"/>
        <v>0.2110457208869605</v>
      </c>
      <c r="AH3833" s="2" t="str">
        <f ca="1"/>
        <v>OK</v>
      </c>
    </row>
    <row r="3834" spans="2:34" x14ac:dyDescent="0.2">
      <c r="B3834" s="2">
        <f ca="1"/>
        <v>0.29563695104168541</v>
      </c>
      <c r="O3834" s="2">
        <f ca="1"/>
        <v>-0.28600953344559743</v>
      </c>
      <c r="X3834" s="2">
        <f ca="1"/>
        <v>51.113664363435312</v>
      </c>
      <c r="AG3834" s="2">
        <f ca="1"/>
        <v>0.89466994616070283</v>
      </c>
      <c r="AH3834" s="2" t="str">
        <f ca="1"/>
        <v>Bad</v>
      </c>
    </row>
    <row r="3835" spans="2:34" x14ac:dyDescent="0.2">
      <c r="B3835" s="2">
        <f ca="1"/>
        <v>0.6755017645598278</v>
      </c>
      <c r="O3835" s="2">
        <f ca="1"/>
        <v>-1.3803960125423176</v>
      </c>
      <c r="X3835" s="2">
        <f ca="1"/>
        <v>27.13693078909197</v>
      </c>
      <c r="AG3835" s="2">
        <f ca="1"/>
        <v>0.14702823363906448</v>
      </c>
      <c r="AH3835" s="2" t="str">
        <f ca="1"/>
        <v>OK</v>
      </c>
    </row>
    <row r="3836" spans="2:34" x14ac:dyDescent="0.2">
      <c r="B3836" s="2">
        <f ca="1"/>
        <v>0.36361738283997735</v>
      </c>
      <c r="O3836" s="2">
        <f ca="1"/>
        <v>-0.49261564515103679</v>
      </c>
      <c r="X3836" s="2">
        <f ca="1"/>
        <v>22.187486778088573</v>
      </c>
      <c r="AG3836" s="2">
        <f ca="1"/>
        <v>0.73836006944785448</v>
      </c>
      <c r="AH3836" s="2" t="str">
        <f ca="1"/>
        <v>Bad</v>
      </c>
    </row>
    <row r="3837" spans="2:34" x14ac:dyDescent="0.2">
      <c r="B3837" s="2">
        <f ca="1"/>
        <v>0.79838746547003936</v>
      </c>
      <c r="O3837" s="2">
        <f ca="1"/>
        <v>0.68490095648279659</v>
      </c>
      <c r="X3837" s="2">
        <f ca="1"/>
        <v>63.109200832126334</v>
      </c>
      <c r="AG3837" s="2">
        <f ca="1"/>
        <v>0.85462516268737954</v>
      </c>
      <c r="AH3837" s="2" t="str">
        <f ca="1"/>
        <v>Bad</v>
      </c>
    </row>
    <row r="3838" spans="2:34" x14ac:dyDescent="0.2">
      <c r="B3838" s="2">
        <f ca="1"/>
        <v>0.75821877255504977</v>
      </c>
      <c r="O3838" s="2">
        <f ca="1"/>
        <v>0.44347259519584276</v>
      </c>
      <c r="X3838" s="2">
        <f ca="1"/>
        <v>62.011131853626964</v>
      </c>
      <c r="AG3838" s="2">
        <f ca="1"/>
        <v>0.35202548028745784</v>
      </c>
      <c r="AH3838" s="2" t="str">
        <f ca="1"/>
        <v>OK</v>
      </c>
    </row>
    <row r="3839" spans="2:34" x14ac:dyDescent="0.2">
      <c r="B3839" s="2">
        <f ca="1"/>
        <v>0.4235278470778121</v>
      </c>
      <c r="O3839" s="2">
        <f ca="1"/>
        <v>0.97592288369195235</v>
      </c>
      <c r="X3839" s="2">
        <f ca="1"/>
        <v>84.679576811996711</v>
      </c>
      <c r="AG3839" s="2">
        <f ca="1"/>
        <v>0.18974226569473607</v>
      </c>
      <c r="AH3839" s="2" t="str">
        <f ca="1"/>
        <v>OK</v>
      </c>
    </row>
    <row r="3840" spans="2:34" x14ac:dyDescent="0.2">
      <c r="B3840" s="2">
        <f ca="1"/>
        <v>0.43142057036649928</v>
      </c>
      <c r="O3840" s="2">
        <f ca="1"/>
        <v>-0.26780425487649201</v>
      </c>
      <c r="X3840" s="2">
        <f ca="1"/>
        <v>44.046731666279967</v>
      </c>
      <c r="AG3840" s="2">
        <f ca="1"/>
        <v>0.42939383162405642</v>
      </c>
      <c r="AH3840" s="2" t="str">
        <f ca="1"/>
        <v>Bad</v>
      </c>
    </row>
    <row r="3841" spans="2:34" x14ac:dyDescent="0.2">
      <c r="B3841" s="2">
        <f ca="1"/>
        <v>0.46064967945120605</v>
      </c>
      <c r="O3841" s="2">
        <f ca="1"/>
        <v>-9.6770827167306853E-2</v>
      </c>
      <c r="X3841" s="2">
        <f ca="1"/>
        <v>86.185384966980379</v>
      </c>
      <c r="AG3841" s="2">
        <f ca="1"/>
        <v>0.74758148421380621</v>
      </c>
      <c r="AH3841" s="2" t="str">
        <f ca="1"/>
        <v>Bad</v>
      </c>
    </row>
    <row r="3842" spans="2:34" x14ac:dyDescent="0.2">
      <c r="B3842" s="2">
        <f ca="1"/>
        <v>0.54488611000680587</v>
      </c>
      <c r="O3842" s="2">
        <f ca="1"/>
        <v>-1.3079407562279413</v>
      </c>
      <c r="X3842" s="2">
        <f ca="1"/>
        <v>64.577947991363601</v>
      </c>
      <c r="AG3842" s="2">
        <f ca="1"/>
        <v>0.84052394594634405</v>
      </c>
      <c r="AH3842" s="2" t="str">
        <f ca="1"/>
        <v>Bad</v>
      </c>
    </row>
    <row r="3843" spans="2:34" x14ac:dyDescent="0.2">
      <c r="B3843" s="2">
        <f ca="1"/>
        <v>7.0281347929641136E-2</v>
      </c>
      <c r="O3843" s="2">
        <f ca="1"/>
        <v>0.88529842085754318</v>
      </c>
      <c r="X3843" s="2">
        <f ca="1"/>
        <v>31.596027895166522</v>
      </c>
      <c r="AG3843" s="2">
        <f ca="1"/>
        <v>7.0669491945898333E-2</v>
      </c>
      <c r="AH3843" s="2" t="str">
        <f ca="1"/>
        <v>OK</v>
      </c>
    </row>
    <row r="3844" spans="2:34" x14ac:dyDescent="0.2">
      <c r="B3844" s="2">
        <f ca="1"/>
        <v>0.38804638467205477</v>
      </c>
      <c r="O3844" s="2">
        <f ca="1"/>
        <v>-0.23011003366217439</v>
      </c>
      <c r="X3844" s="2">
        <f ca="1"/>
        <v>45.077949004754657</v>
      </c>
      <c r="AG3844" s="2">
        <f ca="1"/>
        <v>0.89085014710989108</v>
      </c>
      <c r="AH3844" s="2" t="str">
        <f ca="1"/>
        <v>Bad</v>
      </c>
    </row>
    <row r="3845" spans="2:34" x14ac:dyDescent="0.2">
      <c r="B3845" s="2">
        <f ca="1"/>
        <v>3.8509117268927806E-3</v>
      </c>
      <c r="O3845" s="2">
        <f ca="1"/>
        <v>1.2868703349559696</v>
      </c>
      <c r="X3845" s="2">
        <f ca="1"/>
        <v>37.04521536074607</v>
      </c>
      <c r="AG3845" s="2">
        <f ca="1"/>
        <v>0.74389022087951728</v>
      </c>
      <c r="AH3845" s="2" t="str">
        <f ca="1"/>
        <v>Bad</v>
      </c>
    </row>
    <row r="3846" spans="2:34" x14ac:dyDescent="0.2">
      <c r="B3846" s="2">
        <f ca="1"/>
        <v>0.6844937763580039</v>
      </c>
      <c r="O3846" s="2">
        <f ca="1"/>
        <v>-1.010974362624848</v>
      </c>
      <c r="X3846" s="2">
        <f ca="1"/>
        <v>46.564333930504688</v>
      </c>
      <c r="AG3846" s="2">
        <f ca="1"/>
        <v>0.29628106451142222</v>
      </c>
      <c r="AH3846" s="2" t="str">
        <f ca="1"/>
        <v>OK</v>
      </c>
    </row>
    <row r="3847" spans="2:34" x14ac:dyDescent="0.2">
      <c r="B3847" s="2">
        <f ca="1"/>
        <v>0.19533402830046764</v>
      </c>
      <c r="O3847" s="2">
        <f ca="1"/>
        <v>-0.96903236370610701</v>
      </c>
      <c r="X3847" s="2">
        <f ca="1"/>
        <v>31.341093998985489</v>
      </c>
      <c r="AG3847" s="2">
        <f ca="1"/>
        <v>0.24686018765721496</v>
      </c>
      <c r="AH3847" s="2" t="str">
        <f ca="1"/>
        <v>OK</v>
      </c>
    </row>
    <row r="3848" spans="2:34" x14ac:dyDescent="0.2">
      <c r="B3848" s="2">
        <f ca="1"/>
        <v>0.33988884387658502</v>
      </c>
      <c r="O3848" s="2">
        <f ca="1"/>
        <v>1.0854885353422119</v>
      </c>
      <c r="X3848" s="2">
        <f ca="1"/>
        <v>33.984640724954794</v>
      </c>
      <c r="AG3848" s="2">
        <f ca="1"/>
        <v>0.40567151704747051</v>
      </c>
      <c r="AH3848" s="2" t="str">
        <f ca="1"/>
        <v>Bad</v>
      </c>
    </row>
    <row r="3849" spans="2:34" x14ac:dyDescent="0.2">
      <c r="B3849" s="2">
        <f ca="1"/>
        <v>0.72122360567137211</v>
      </c>
      <c r="O3849" s="2">
        <f ca="1"/>
        <v>0.57788847739300309</v>
      </c>
      <c r="X3849" s="2">
        <f ca="1"/>
        <v>35.849032442180835</v>
      </c>
      <c r="AG3849" s="2">
        <f ca="1"/>
        <v>0.24090050246694417</v>
      </c>
      <c r="AH3849" s="2" t="str">
        <f ca="1"/>
        <v>OK</v>
      </c>
    </row>
    <row r="3850" spans="2:34" x14ac:dyDescent="0.2">
      <c r="B3850" s="2">
        <f ca="1"/>
        <v>0.43680606372985986</v>
      </c>
      <c r="O3850" s="2">
        <f ca="1"/>
        <v>0.26432193470609411</v>
      </c>
      <c r="X3850" s="2">
        <f ca="1"/>
        <v>59.130196954001555</v>
      </c>
      <c r="AG3850" s="2">
        <f ca="1"/>
        <v>0.38475981500382206</v>
      </c>
      <c r="AH3850" s="2" t="str">
        <f ca="1"/>
        <v>OK</v>
      </c>
    </row>
    <row r="3851" spans="2:34" x14ac:dyDescent="0.2">
      <c r="B3851" s="2">
        <f ca="1"/>
        <v>0.2660544113525718</v>
      </c>
      <c r="O3851" s="2">
        <f ca="1"/>
        <v>1.5580329592817121</v>
      </c>
      <c r="X3851" s="2">
        <f ca="1"/>
        <v>23.302644764899942</v>
      </c>
      <c r="AG3851" s="2">
        <f ca="1"/>
        <v>0.37729352842381036</v>
      </c>
      <c r="AH3851" s="2" t="str">
        <f ca="1"/>
        <v>OK</v>
      </c>
    </row>
    <row r="3852" spans="2:34" x14ac:dyDescent="0.2">
      <c r="B3852" s="2">
        <f ca="1"/>
        <v>0.65688904300028561</v>
      </c>
      <c r="O3852" s="2">
        <f ca="1"/>
        <v>-0.37247176395559062</v>
      </c>
      <c r="X3852" s="2">
        <f ca="1"/>
        <v>53.610781556157015</v>
      </c>
      <c r="AG3852" s="2">
        <f ca="1"/>
        <v>0.42007587027081761</v>
      </c>
      <c r="AH3852" s="2" t="str">
        <f ca="1"/>
        <v>Bad</v>
      </c>
    </row>
    <row r="3853" spans="2:34" x14ac:dyDescent="0.2">
      <c r="B3853" s="2">
        <f ca="1"/>
        <v>0.31212864251417005</v>
      </c>
      <c r="O3853" s="2">
        <f ca="1"/>
        <v>0.90742981125776645</v>
      </c>
      <c r="X3853" s="2">
        <f ca="1"/>
        <v>48.826216042495965</v>
      </c>
      <c r="AG3853" s="2">
        <f ca="1"/>
        <v>0.3432709822683131</v>
      </c>
      <c r="AH3853" s="2" t="str">
        <f ca="1"/>
        <v>OK</v>
      </c>
    </row>
    <row r="3854" spans="2:34" x14ac:dyDescent="0.2">
      <c r="B3854" s="2">
        <f ca="1"/>
        <v>0.87132401480801214</v>
      </c>
      <c r="O3854" s="2">
        <f ca="1"/>
        <v>-1.0414274549072007</v>
      </c>
      <c r="X3854" s="2">
        <f ca="1"/>
        <v>64.577120141084066</v>
      </c>
      <c r="AG3854" s="2">
        <f ca="1"/>
        <v>0.23678792599487197</v>
      </c>
      <c r="AH3854" s="2" t="str">
        <f ca="1"/>
        <v>OK</v>
      </c>
    </row>
    <row r="3855" spans="2:34" x14ac:dyDescent="0.2">
      <c r="B3855" s="2">
        <f ca="1"/>
        <v>0.30866677662925635</v>
      </c>
      <c r="O3855" s="2">
        <f ca="1"/>
        <v>-0.87612269830445555</v>
      </c>
      <c r="X3855" s="2">
        <f ca="1"/>
        <v>92.257335893475968</v>
      </c>
      <c r="AG3855" s="2">
        <f ca="1"/>
        <v>0.19833273505594518</v>
      </c>
      <c r="AH3855" s="2" t="str">
        <f ca="1"/>
        <v>OK</v>
      </c>
    </row>
    <row r="3856" spans="2:34" x14ac:dyDescent="0.2">
      <c r="B3856" s="2">
        <f ca="1"/>
        <v>0.27256442599049246</v>
      </c>
      <c r="O3856" s="2">
        <f ca="1"/>
        <v>2.9545260888513663</v>
      </c>
      <c r="X3856" s="2">
        <f ca="1"/>
        <v>39.108619382828472</v>
      </c>
      <c r="AG3856" s="2">
        <f ca="1"/>
        <v>0.91760779791654756</v>
      </c>
      <c r="AH3856" s="2" t="str">
        <f ca="1"/>
        <v>Bad</v>
      </c>
    </row>
    <row r="3857" spans="2:34" x14ac:dyDescent="0.2">
      <c r="B3857" s="2">
        <f ca="1"/>
        <v>0.1497618065498314</v>
      </c>
      <c r="O3857" s="2">
        <f ca="1"/>
        <v>1.872094552248591</v>
      </c>
      <c r="X3857" s="2">
        <f ca="1"/>
        <v>55.27878691428262</v>
      </c>
      <c r="AG3857" s="2">
        <f ca="1"/>
        <v>0.60791328387270571</v>
      </c>
      <c r="AH3857" s="2" t="str">
        <f ca="1"/>
        <v>Bad</v>
      </c>
    </row>
    <row r="3858" spans="2:34" x14ac:dyDescent="0.2">
      <c r="B3858" s="2">
        <f ca="1"/>
        <v>8.8470058257432038E-2</v>
      </c>
      <c r="O3858" s="2">
        <f ca="1"/>
        <v>-0.47057828237547961</v>
      </c>
      <c r="X3858" s="2">
        <f ca="1"/>
        <v>59.605149710992762</v>
      </c>
      <c r="AG3858" s="2">
        <f ca="1"/>
        <v>0.27482356160913657</v>
      </c>
      <c r="AH3858" s="2" t="str">
        <f ca="1"/>
        <v>OK</v>
      </c>
    </row>
    <row r="3859" spans="2:34" x14ac:dyDescent="0.2">
      <c r="B3859" s="2">
        <f ca="1"/>
        <v>9.8715682880192501E-2</v>
      </c>
      <c r="O3859" s="2">
        <f ca="1"/>
        <v>-0.56364789466376564</v>
      </c>
      <c r="X3859" s="2">
        <f ca="1"/>
        <v>53.509439317171541</v>
      </c>
      <c r="AG3859" s="2">
        <f ca="1"/>
        <v>0.97075360682869127</v>
      </c>
      <c r="AH3859" s="2" t="str">
        <f ca="1"/>
        <v>Bad</v>
      </c>
    </row>
    <row r="3860" spans="2:34" x14ac:dyDescent="0.2">
      <c r="B3860" s="2">
        <f ca="1"/>
        <v>0.6731191143191535</v>
      </c>
      <c r="O3860" s="2">
        <f ca="1"/>
        <v>1.0420041105922195</v>
      </c>
      <c r="X3860" s="2">
        <f ca="1"/>
        <v>42.830482393075641</v>
      </c>
      <c r="AG3860" s="2">
        <f ca="1"/>
        <v>0.57317046048168541</v>
      </c>
      <c r="AH3860" s="2" t="str">
        <f ca="1"/>
        <v>Bad</v>
      </c>
    </row>
    <row r="3861" spans="2:34" x14ac:dyDescent="0.2">
      <c r="B3861" s="2">
        <f ca="1"/>
        <v>0.75239040419208325</v>
      </c>
      <c r="O3861" s="2">
        <f ca="1"/>
        <v>0.25070923759504576</v>
      </c>
      <c r="X3861" s="2">
        <f ca="1"/>
        <v>67.499146473024226</v>
      </c>
      <c r="AG3861" s="2">
        <f ca="1"/>
        <v>4.4533245718061387E-2</v>
      </c>
      <c r="AH3861" s="2" t="str">
        <f ca="1"/>
        <v>Good</v>
      </c>
    </row>
    <row r="3862" spans="2:34" x14ac:dyDescent="0.2">
      <c r="B3862" s="2">
        <f ca="1"/>
        <v>0.49270681339686995</v>
      </c>
      <c r="O3862" s="2">
        <f ca="1"/>
        <v>-1.2276563373536864</v>
      </c>
      <c r="X3862" s="2">
        <f ca="1"/>
        <v>44.965461621208206</v>
      </c>
      <c r="AG3862" s="2">
        <f ca="1"/>
        <v>4.1903107884919022E-2</v>
      </c>
      <c r="AH3862" s="2" t="str">
        <f ca="1"/>
        <v>Good</v>
      </c>
    </row>
    <row r="3863" spans="2:34" x14ac:dyDescent="0.2">
      <c r="B3863" s="2">
        <f ca="1"/>
        <v>0.78937707998277107</v>
      </c>
      <c r="O3863" s="2">
        <f ca="1"/>
        <v>-0.73814264525539053</v>
      </c>
      <c r="X3863" s="2">
        <f ca="1"/>
        <v>24.841784936155477</v>
      </c>
      <c r="AG3863" s="2">
        <f ca="1"/>
        <v>0.38155803132710076</v>
      </c>
      <c r="AH3863" s="2" t="str">
        <f ca="1"/>
        <v>OK</v>
      </c>
    </row>
    <row r="3864" spans="2:34" x14ac:dyDescent="0.2">
      <c r="B3864" s="2">
        <f ca="1"/>
        <v>0.94088111334847291</v>
      </c>
      <c r="O3864" s="2">
        <f ca="1"/>
        <v>-0.58893042773514415</v>
      </c>
      <c r="X3864" s="2">
        <f ca="1"/>
        <v>44.592871559997498</v>
      </c>
      <c r="AG3864" s="2">
        <f ca="1"/>
        <v>0.76575481540463919</v>
      </c>
      <c r="AH3864" s="2" t="str">
        <f ca="1"/>
        <v>Bad</v>
      </c>
    </row>
    <row r="3865" spans="2:34" x14ac:dyDescent="0.2">
      <c r="B3865" s="2">
        <f ca="1"/>
        <v>0.22126509865699528</v>
      </c>
      <c r="O3865" s="2">
        <f ca="1"/>
        <v>-0.57767592084509312</v>
      </c>
      <c r="X3865" s="2">
        <f ca="1"/>
        <v>39.919868252823157</v>
      </c>
      <c r="AG3865" s="2">
        <f ca="1"/>
        <v>0.40278889667206208</v>
      </c>
      <c r="AH3865" s="2" t="str">
        <f ca="1"/>
        <v>Bad</v>
      </c>
    </row>
    <row r="3866" spans="2:34" x14ac:dyDescent="0.2">
      <c r="B3866" s="2">
        <f ca="1"/>
        <v>0.47035809993026723</v>
      </c>
      <c r="O3866" s="2">
        <f ca="1"/>
        <v>0.18179296153297594</v>
      </c>
      <c r="X3866" s="2">
        <f ca="1"/>
        <v>33.859253097031093</v>
      </c>
      <c r="AG3866" s="2">
        <f ca="1"/>
        <v>0.74074467048235992</v>
      </c>
      <c r="AH3866" s="2" t="str">
        <f ca="1"/>
        <v>Bad</v>
      </c>
    </row>
    <row r="3867" spans="2:34" x14ac:dyDescent="0.2">
      <c r="B3867" s="2">
        <f ca="1"/>
        <v>0.41268623342111432</v>
      </c>
      <c r="O3867" s="2">
        <f ca="1"/>
        <v>-0.22337189762408055</v>
      </c>
      <c r="X3867" s="2">
        <f ca="1"/>
        <v>61.394200382955553</v>
      </c>
      <c r="AG3867" s="2">
        <f ca="1"/>
        <v>0.56224539235298976</v>
      </c>
      <c r="AH3867" s="2" t="str">
        <f ca="1"/>
        <v>Bad</v>
      </c>
    </row>
    <row r="3868" spans="2:34" x14ac:dyDescent="0.2">
      <c r="B3868" s="2">
        <f ca="1"/>
        <v>0.93958353529979455</v>
      </c>
      <c r="O3868" s="2">
        <f ca="1"/>
        <v>-4.6433062253649508E-2</v>
      </c>
      <c r="X3868" s="2">
        <f ca="1"/>
        <v>33.883287284696493</v>
      </c>
      <c r="AG3868" s="2">
        <f ca="1"/>
        <v>8.5682432812186349E-2</v>
      </c>
      <c r="AH3868" s="2" t="str">
        <f ca="1"/>
        <v>OK</v>
      </c>
    </row>
    <row r="3869" spans="2:34" x14ac:dyDescent="0.2">
      <c r="B3869" s="2">
        <f ca="1"/>
        <v>0.36308095464485768</v>
      </c>
      <c r="O3869" s="2">
        <f ca="1"/>
        <v>1.3632298071558357</v>
      </c>
      <c r="X3869" s="2">
        <f ca="1"/>
        <v>52.765434361627925</v>
      </c>
      <c r="AG3869" s="2">
        <f ca="1"/>
        <v>0.45280591457227226</v>
      </c>
      <c r="AH3869" s="2" t="str">
        <f ca="1"/>
        <v>Bad</v>
      </c>
    </row>
    <row r="3870" spans="2:34" x14ac:dyDescent="0.2">
      <c r="B3870" s="2">
        <f ca="1"/>
        <v>0.17165726396821457</v>
      </c>
      <c r="O3870" s="2">
        <f ca="1"/>
        <v>-0.89183021635618953</v>
      </c>
      <c r="X3870" s="2">
        <f ca="1"/>
        <v>61.790128108032157</v>
      </c>
      <c r="AG3870" s="2">
        <f ca="1"/>
        <v>0.14552668002620028</v>
      </c>
      <c r="AH3870" s="2" t="str">
        <f ca="1"/>
        <v>OK</v>
      </c>
    </row>
    <row r="3871" spans="2:34" x14ac:dyDescent="0.2">
      <c r="B3871" s="2">
        <f ca="1"/>
        <v>6.332816654730089E-2</v>
      </c>
      <c r="O3871" s="2">
        <f ca="1"/>
        <v>-0.33936334044918459</v>
      </c>
      <c r="X3871" s="2">
        <f ca="1"/>
        <v>46.627760868895507</v>
      </c>
      <c r="AG3871" s="2">
        <f ca="1"/>
        <v>0.6138503457075557</v>
      </c>
      <c r="AH3871" s="2" t="str">
        <f ca="1"/>
        <v>Bad</v>
      </c>
    </row>
    <row r="3872" spans="2:34" x14ac:dyDescent="0.2">
      <c r="B3872" s="2">
        <f ca="1"/>
        <v>0.24714569588208346</v>
      </c>
      <c r="O3872" s="2">
        <f ca="1"/>
        <v>-1.4929666157228823</v>
      </c>
      <c r="X3872" s="2">
        <f ca="1"/>
        <v>76.164991874411783</v>
      </c>
      <c r="AG3872" s="2">
        <f ca="1"/>
        <v>7.8237511053006914E-2</v>
      </c>
      <c r="AH3872" s="2" t="str">
        <f ca="1"/>
        <v>OK</v>
      </c>
    </row>
    <row r="3873" spans="2:34" x14ac:dyDescent="0.2">
      <c r="B3873" s="2">
        <f ca="1"/>
        <v>7.375800742342431E-2</v>
      </c>
      <c r="O3873" s="2">
        <f ca="1"/>
        <v>8.2461273183131109E-2</v>
      </c>
      <c r="X3873" s="2">
        <f ca="1"/>
        <v>76.023197865527948</v>
      </c>
      <c r="AG3873" s="2">
        <f ca="1"/>
        <v>9.2591770538353213E-2</v>
      </c>
      <c r="AH3873" s="2" t="str">
        <f ca="1"/>
        <v>OK</v>
      </c>
    </row>
    <row r="3874" spans="2:34" x14ac:dyDescent="0.2">
      <c r="B3874" s="2">
        <f ca="1"/>
        <v>0.84641827931057079</v>
      </c>
      <c r="O3874" s="2">
        <f ca="1"/>
        <v>0.99291198759767219</v>
      </c>
      <c r="X3874" s="2">
        <f ca="1"/>
        <v>49.188394694468307</v>
      </c>
      <c r="AG3874" s="2">
        <f ca="1"/>
        <v>0.80036078823860679</v>
      </c>
      <c r="AH3874" s="2" t="str">
        <f ca="1"/>
        <v>Bad</v>
      </c>
    </row>
    <row r="3875" spans="2:34" x14ac:dyDescent="0.2">
      <c r="B3875" s="2">
        <f ca="1"/>
        <v>0.76995476828470677</v>
      </c>
      <c r="O3875" s="2">
        <f ca="1"/>
        <v>-0.69642786831979819</v>
      </c>
      <c r="X3875" s="2">
        <f ca="1"/>
        <v>48.726073659124324</v>
      </c>
      <c r="AG3875" s="2">
        <f ca="1"/>
        <v>0.57708531947330277</v>
      </c>
      <c r="AH3875" s="2" t="str">
        <f ca="1"/>
        <v>Bad</v>
      </c>
    </row>
    <row r="3876" spans="2:34" x14ac:dyDescent="0.2">
      <c r="B3876" s="2">
        <f ca="1"/>
        <v>0.19690747703873579</v>
      </c>
      <c r="O3876" s="2">
        <f ca="1"/>
        <v>0.23524925712947023</v>
      </c>
      <c r="X3876" s="2">
        <f ca="1"/>
        <v>55.729044262115764</v>
      </c>
      <c r="AG3876" s="2">
        <f ca="1"/>
        <v>0.41469335372362259</v>
      </c>
      <c r="AH3876" s="2" t="str">
        <f ca="1"/>
        <v>Bad</v>
      </c>
    </row>
    <row r="3877" spans="2:34" x14ac:dyDescent="0.2">
      <c r="B3877" s="2">
        <f ca="1"/>
        <v>0.47411308998651669</v>
      </c>
      <c r="O3877" s="2">
        <f ca="1"/>
        <v>0.81212726122509282</v>
      </c>
      <c r="X3877" s="2">
        <f ca="1"/>
        <v>43.081690475968124</v>
      </c>
      <c r="AG3877" s="2">
        <f ca="1"/>
        <v>0.12413560251329092</v>
      </c>
      <c r="AH3877" s="2" t="str">
        <f ca="1"/>
        <v>OK</v>
      </c>
    </row>
    <row r="3878" spans="2:34" x14ac:dyDescent="0.2">
      <c r="B3878" s="2">
        <f ca="1"/>
        <v>0.46337285154333907</v>
      </c>
      <c r="O3878" s="2">
        <f ca="1"/>
        <v>1.6329952485883561</v>
      </c>
      <c r="X3878" s="2">
        <f ca="1"/>
        <v>46.733525171903267</v>
      </c>
      <c r="AG3878" s="2">
        <f ca="1"/>
        <v>0.83730967931509737</v>
      </c>
      <c r="AH3878" s="2" t="str">
        <f ca="1"/>
        <v>Bad</v>
      </c>
    </row>
    <row r="3879" spans="2:34" x14ac:dyDescent="0.2">
      <c r="B3879" s="2">
        <f ca="1"/>
        <v>0.47063267470929393</v>
      </c>
      <c r="O3879" s="2">
        <f ca="1"/>
        <v>0.66075661691170728</v>
      </c>
      <c r="X3879" s="2">
        <f ca="1"/>
        <v>37.562980643328359</v>
      </c>
      <c r="AG3879" s="2">
        <f ca="1"/>
        <v>0.6010753949126999</v>
      </c>
      <c r="AH3879" s="2" t="str">
        <f ca="1"/>
        <v>Bad</v>
      </c>
    </row>
    <row r="3880" spans="2:34" x14ac:dyDescent="0.2">
      <c r="B3880" s="2">
        <f ca="1"/>
        <v>0.48724724692444821</v>
      </c>
      <c r="O3880" s="2">
        <f ca="1"/>
        <v>0.33147872096310754</v>
      </c>
      <c r="X3880" s="2">
        <f ca="1"/>
        <v>33.161791818182714</v>
      </c>
      <c r="AG3880" s="2">
        <f ca="1"/>
        <v>0.24223145695800818</v>
      </c>
      <c r="AH3880" s="2" t="str">
        <f ca="1"/>
        <v>OK</v>
      </c>
    </row>
    <row r="3881" spans="2:34" x14ac:dyDescent="0.2">
      <c r="B3881" s="2">
        <f ca="1"/>
        <v>0.71754581699834041</v>
      </c>
      <c r="O3881" s="2">
        <f ca="1"/>
        <v>1.2465724744217059</v>
      </c>
      <c r="X3881" s="2">
        <f ca="1"/>
        <v>50.196167736529915</v>
      </c>
      <c r="AG3881" s="2">
        <f ca="1"/>
        <v>0.98946802390654853</v>
      </c>
      <c r="AH3881" s="2" t="str">
        <f ca="1"/>
        <v>Bad</v>
      </c>
    </row>
    <row r="3882" spans="2:34" x14ac:dyDescent="0.2">
      <c r="B3882" s="2">
        <f ca="1"/>
        <v>0.17297487612106743</v>
      </c>
      <c r="O3882" s="2">
        <f ca="1"/>
        <v>-0.8237113062971626</v>
      </c>
      <c r="X3882" s="2">
        <f ca="1"/>
        <v>60.259762256486056</v>
      </c>
      <c r="AG3882" s="2">
        <f ca="1"/>
        <v>0.57987231771627878</v>
      </c>
      <c r="AH3882" s="2" t="str">
        <f ca="1"/>
        <v>Bad</v>
      </c>
    </row>
    <row r="3883" spans="2:34" x14ac:dyDescent="0.2">
      <c r="B3883" s="2">
        <f ca="1"/>
        <v>0.55902313419067529</v>
      </c>
      <c r="O3883" s="2">
        <f ca="1"/>
        <v>-0.56448856220540689</v>
      </c>
      <c r="X3883" s="2">
        <f ca="1"/>
        <v>31.628742817319299</v>
      </c>
      <c r="AG3883" s="2">
        <f ca="1"/>
        <v>0.97198246041086933</v>
      </c>
      <c r="AH3883" s="2" t="str">
        <f ca="1"/>
        <v>Bad</v>
      </c>
    </row>
    <row r="3884" spans="2:34" x14ac:dyDescent="0.2">
      <c r="B3884" s="2">
        <f ca="1"/>
        <v>0.11430980859223938</v>
      </c>
      <c r="O3884" s="2">
        <f ca="1"/>
        <v>-1.563567313203551</v>
      </c>
      <c r="X3884" s="2">
        <f ca="1"/>
        <v>27.177932403122718</v>
      </c>
      <c r="AG3884" s="2">
        <f ca="1"/>
        <v>0.93407575527813846</v>
      </c>
      <c r="AH3884" s="2" t="str">
        <f ca="1"/>
        <v>Bad</v>
      </c>
    </row>
    <row r="3885" spans="2:34" x14ac:dyDescent="0.2">
      <c r="B3885" s="2">
        <f ca="1"/>
        <v>0.48506653114599785</v>
      </c>
      <c r="O3885" s="2">
        <f ca="1"/>
        <v>-0.13720242879074879</v>
      </c>
      <c r="X3885" s="2">
        <f ca="1"/>
        <v>45.922208271754528</v>
      </c>
      <c r="AG3885" s="2">
        <f ca="1"/>
        <v>0.26033988170704592</v>
      </c>
      <c r="AH3885" s="2" t="str">
        <f ca="1"/>
        <v>OK</v>
      </c>
    </row>
    <row r="3886" spans="2:34" x14ac:dyDescent="0.2">
      <c r="B3886" s="2">
        <f ca="1"/>
        <v>0.35044148734235181</v>
      </c>
      <c r="O3886" s="2">
        <f ca="1"/>
        <v>-1.2672645724519129</v>
      </c>
      <c r="X3886" s="2">
        <f ca="1"/>
        <v>45.603941133102509</v>
      </c>
      <c r="AG3886" s="2">
        <f ca="1"/>
        <v>0.71656385328643912</v>
      </c>
      <c r="AH3886" s="2" t="str">
        <f ca="1"/>
        <v>Bad</v>
      </c>
    </row>
    <row r="3887" spans="2:34" x14ac:dyDescent="0.2">
      <c r="B3887" s="2">
        <f ca="1"/>
        <v>0.99966890768212924</v>
      </c>
      <c r="O3887" s="2">
        <f ca="1"/>
        <v>-0.53567213792430435</v>
      </c>
      <c r="X3887" s="2">
        <f ca="1"/>
        <v>67.774886620766338</v>
      </c>
      <c r="AG3887" s="2">
        <f ca="1"/>
        <v>0.82725786790626077</v>
      </c>
      <c r="AH3887" s="2" t="str">
        <f ca="1"/>
        <v>Bad</v>
      </c>
    </row>
    <row r="3888" spans="2:34" x14ac:dyDescent="0.2">
      <c r="B3888" s="2">
        <f ca="1"/>
        <v>0.74755979314719712</v>
      </c>
      <c r="O3888" s="2">
        <f ca="1"/>
        <v>0.30850866640924324</v>
      </c>
      <c r="X3888" s="2">
        <f ca="1"/>
        <v>74.059405941763089</v>
      </c>
      <c r="AG3888" s="2">
        <f ca="1"/>
        <v>0.36120720754481894</v>
      </c>
      <c r="AH3888" s="2" t="str">
        <f ca="1"/>
        <v>OK</v>
      </c>
    </row>
    <row r="3889" spans="2:34" x14ac:dyDescent="0.2">
      <c r="B3889" s="2">
        <f ca="1"/>
        <v>0.54078120587363343</v>
      </c>
      <c r="O3889" s="2">
        <f ca="1"/>
        <v>0.46521493431103295</v>
      </c>
      <c r="X3889" s="2">
        <f ca="1"/>
        <v>50.858352737785914</v>
      </c>
      <c r="AG3889" s="2">
        <f ca="1"/>
        <v>0.55295182046059699</v>
      </c>
      <c r="AH3889" s="2" t="str">
        <f ca="1"/>
        <v>Bad</v>
      </c>
    </row>
    <row r="3890" spans="2:34" x14ac:dyDescent="0.2">
      <c r="B3890" s="2">
        <f ca="1"/>
        <v>0.71267841973496493</v>
      </c>
      <c r="O3890" s="2">
        <f ca="1"/>
        <v>-0.66902027295518951</v>
      </c>
      <c r="X3890" s="2">
        <f ca="1"/>
        <v>45.624423811612537</v>
      </c>
      <c r="AG3890" s="2">
        <f ca="1"/>
        <v>0.70010776504555894</v>
      </c>
      <c r="AH3890" s="2" t="str">
        <f ca="1"/>
        <v>Bad</v>
      </c>
    </row>
    <row r="3891" spans="2:34" x14ac:dyDescent="0.2">
      <c r="B3891" s="2">
        <f ca="1"/>
        <v>0.13880311083121954</v>
      </c>
      <c r="O3891" s="2">
        <f ca="1"/>
        <v>-1.0958702939627267</v>
      </c>
      <c r="X3891" s="2">
        <f ca="1"/>
        <v>52.896091268400802</v>
      </c>
      <c r="AG3891" s="2">
        <f ca="1"/>
        <v>0.18435214496446251</v>
      </c>
      <c r="AH3891" s="2" t="str">
        <f ca="1"/>
        <v>OK</v>
      </c>
    </row>
    <row r="3892" spans="2:34" x14ac:dyDescent="0.2">
      <c r="B3892" s="2">
        <f ca="1"/>
        <v>0.5439468962725369</v>
      </c>
      <c r="O3892" s="2">
        <f ca="1"/>
        <v>0.93202595660661458</v>
      </c>
      <c r="X3892" s="2">
        <f ca="1"/>
        <v>60.467879174139455</v>
      </c>
      <c r="AG3892" s="2">
        <f ca="1"/>
        <v>0.32763564792182942</v>
      </c>
      <c r="AH3892" s="2" t="str">
        <f ca="1"/>
        <v>OK</v>
      </c>
    </row>
    <row r="3893" spans="2:34" x14ac:dyDescent="0.2">
      <c r="B3893" s="2">
        <f ca="1"/>
        <v>0.39141622913403751</v>
      </c>
      <c r="O3893" s="2">
        <f ca="1"/>
        <v>0.47552556050540212</v>
      </c>
      <c r="X3893" s="2">
        <f ca="1"/>
        <v>28.422790431614313</v>
      </c>
      <c r="AG3893" s="2">
        <f ca="1"/>
        <v>0.5978869451649278</v>
      </c>
      <c r="AH3893" s="2" t="str">
        <f ca="1"/>
        <v>Bad</v>
      </c>
    </row>
    <row r="3894" spans="2:34" x14ac:dyDescent="0.2">
      <c r="B3894" s="2">
        <f ca="1"/>
        <v>0.77952044979888413</v>
      </c>
      <c r="O3894" s="2">
        <f ca="1"/>
        <v>0.45426423677342104</v>
      </c>
      <c r="X3894" s="2">
        <f ca="1"/>
        <v>62.44513902855757</v>
      </c>
      <c r="AG3894" s="2">
        <f ca="1"/>
        <v>3.2138274232300201E-2</v>
      </c>
      <c r="AH3894" s="2" t="str">
        <f ca="1"/>
        <v>Good</v>
      </c>
    </row>
    <row r="3895" spans="2:34" x14ac:dyDescent="0.2">
      <c r="B3895" s="2">
        <f ca="1"/>
        <v>0.92759223845606886</v>
      </c>
      <c r="O3895" s="2">
        <f ca="1"/>
        <v>0.68251528768094483</v>
      </c>
      <c r="X3895" s="2">
        <f ca="1"/>
        <v>54.098835398656028</v>
      </c>
      <c r="AG3895" s="2">
        <f ca="1"/>
        <v>0.28990810692701485</v>
      </c>
      <c r="AH3895" s="2" t="str">
        <f ca="1"/>
        <v>OK</v>
      </c>
    </row>
    <row r="3896" spans="2:34" x14ac:dyDescent="0.2">
      <c r="B3896" s="2">
        <f ca="1"/>
        <v>0.13046606310445674</v>
      </c>
      <c r="O3896" s="2">
        <f ca="1"/>
        <v>-0.23367469848334307</v>
      </c>
      <c r="X3896" s="2">
        <f ca="1"/>
        <v>44.009663006977881</v>
      </c>
      <c r="AG3896" s="2">
        <f ca="1"/>
        <v>0.60375670674827275</v>
      </c>
      <c r="AH3896" s="2" t="str">
        <f ca="1"/>
        <v>Bad</v>
      </c>
    </row>
    <row r="3897" spans="2:34" x14ac:dyDescent="0.2">
      <c r="B3897" s="2">
        <f ca="1"/>
        <v>0.67217044528235581</v>
      </c>
      <c r="O3897" s="2">
        <f ca="1"/>
        <v>-0.69683755750130139</v>
      </c>
      <c r="X3897" s="2">
        <f ca="1"/>
        <v>47.122944891021405</v>
      </c>
      <c r="AG3897" s="2">
        <f ca="1"/>
        <v>0.12194817525962343</v>
      </c>
      <c r="AH3897" s="2" t="str">
        <f ca="1"/>
        <v>OK</v>
      </c>
    </row>
    <row r="3898" spans="2:34" x14ac:dyDescent="0.2">
      <c r="B3898" s="2">
        <f ca="1"/>
        <v>0.56185335141123205</v>
      </c>
      <c r="O3898" s="2">
        <f ca="1"/>
        <v>0.68909963630795135</v>
      </c>
      <c r="X3898" s="2">
        <f ca="1"/>
        <v>43.284154464620585</v>
      </c>
      <c r="AG3898" s="2">
        <f ca="1"/>
        <v>0.58837232364565528</v>
      </c>
      <c r="AH3898" s="2" t="str">
        <f ca="1"/>
        <v>Bad</v>
      </c>
    </row>
    <row r="3899" spans="2:34" x14ac:dyDescent="0.2">
      <c r="B3899" s="2">
        <f ca="1"/>
        <v>0.1331331204268098</v>
      </c>
      <c r="O3899" s="2">
        <f ca="1"/>
        <v>0.13741378253890479</v>
      </c>
      <c r="X3899" s="2">
        <f ca="1"/>
        <v>33.948033356829193</v>
      </c>
      <c r="AG3899" s="2">
        <f ca="1"/>
        <v>0.71623236734769646</v>
      </c>
      <c r="AH3899" s="2" t="str">
        <f ca="1"/>
        <v>Bad</v>
      </c>
    </row>
    <row r="3900" spans="2:34" x14ac:dyDescent="0.2">
      <c r="B3900" s="2">
        <f ca="1"/>
        <v>0.21217885540722037</v>
      </c>
      <c r="O3900" s="2">
        <f ca="1"/>
        <v>0.28460364965520935</v>
      </c>
      <c r="X3900" s="2">
        <f ca="1"/>
        <v>65.813096662290903</v>
      </c>
      <c r="AG3900" s="2">
        <f ca="1"/>
        <v>0.47145454296477141</v>
      </c>
      <c r="AH3900" s="2" t="str">
        <f ca="1"/>
        <v>Bad</v>
      </c>
    </row>
    <row r="3901" spans="2:34" x14ac:dyDescent="0.2">
      <c r="B3901" s="2">
        <f ca="1"/>
        <v>0.69574671877979921</v>
      </c>
      <c r="O3901" s="2">
        <f ca="1"/>
        <v>1.4110879591803283</v>
      </c>
      <c r="X3901" s="2">
        <f ca="1"/>
        <v>31.539400901885234</v>
      </c>
      <c r="AG3901" s="2">
        <f ca="1"/>
        <v>0.76621242223180164</v>
      </c>
      <c r="AH3901" s="2" t="str">
        <f ca="1"/>
        <v>Bad</v>
      </c>
    </row>
    <row r="3902" spans="2:34" x14ac:dyDescent="0.2">
      <c r="B3902" s="2">
        <f ca="1"/>
        <v>0.79188647774411147</v>
      </c>
      <c r="O3902" s="2">
        <f ca="1"/>
        <v>-0.40470252146954305</v>
      </c>
      <c r="X3902" s="2">
        <f ca="1"/>
        <v>60.883797949870733</v>
      </c>
      <c r="AG3902" s="2">
        <f ca="1"/>
        <v>0.35108334949318243</v>
      </c>
      <c r="AH3902" s="2" t="str">
        <f ca="1"/>
        <v>OK</v>
      </c>
    </row>
    <row r="3903" spans="2:34" x14ac:dyDescent="0.2">
      <c r="B3903" s="2">
        <f ca="1"/>
        <v>0.63243483560705793</v>
      </c>
      <c r="O3903" s="2">
        <f ca="1"/>
        <v>0.85429131862162955</v>
      </c>
      <c r="X3903" s="2">
        <f ca="1"/>
        <v>34.960940688910782</v>
      </c>
      <c r="AG3903" s="2">
        <f ca="1"/>
        <v>0.19837751306242679</v>
      </c>
      <c r="AH3903" s="2" t="str">
        <f ca="1"/>
        <v>OK</v>
      </c>
    </row>
    <row r="3904" spans="2:34" x14ac:dyDescent="0.2">
      <c r="B3904" s="2">
        <f ca="1"/>
        <v>0.31462981941843604</v>
      </c>
      <c r="O3904" s="2">
        <f ca="1"/>
        <v>-4.8127979096508726E-2</v>
      </c>
      <c r="X3904" s="2">
        <f ca="1"/>
        <v>50.204691743262117</v>
      </c>
      <c r="AG3904" s="2">
        <f ca="1"/>
        <v>0.49005930550521959</v>
      </c>
      <c r="AH3904" s="2" t="str">
        <f ca="1"/>
        <v>Bad</v>
      </c>
    </row>
    <row r="3905" spans="2:34" x14ac:dyDescent="0.2">
      <c r="B3905" s="2">
        <f ca="1"/>
        <v>0.29814258574713159</v>
      </c>
      <c r="O3905" s="2">
        <f ca="1"/>
        <v>5.0519422081276508E-2</v>
      </c>
      <c r="X3905" s="2">
        <f ca="1"/>
        <v>60.962270450102707</v>
      </c>
      <c r="AG3905" s="2">
        <f ca="1"/>
        <v>0.78108947075773361</v>
      </c>
      <c r="AH3905" s="2" t="str">
        <f ca="1"/>
        <v>Bad</v>
      </c>
    </row>
    <row r="3906" spans="2:34" x14ac:dyDescent="0.2">
      <c r="B3906" s="2">
        <f ca="1"/>
        <v>0.19774114979584723</v>
      </c>
      <c r="O3906" s="2">
        <f ca="1"/>
        <v>-0.26973888078312414</v>
      </c>
      <c r="X3906" s="2">
        <f ca="1"/>
        <v>36.725626506970471</v>
      </c>
      <c r="AG3906" s="2">
        <f ca="1"/>
        <v>0.84755817182908522</v>
      </c>
      <c r="AH3906" s="2" t="str">
        <f ca="1"/>
        <v>Bad</v>
      </c>
    </row>
    <row r="3907" spans="2:34" x14ac:dyDescent="0.2">
      <c r="B3907" s="2">
        <f ca="1"/>
        <v>0.57464641830217089</v>
      </c>
      <c r="O3907" s="2">
        <f ca="1"/>
        <v>-1.1431719206110358</v>
      </c>
      <c r="X3907" s="2">
        <f ca="1"/>
        <v>60.678067329040672</v>
      </c>
      <c r="AG3907" s="2">
        <f ca="1"/>
        <v>0.6185639529568665</v>
      </c>
      <c r="AH3907" s="2" t="str">
        <f ca="1"/>
        <v>Bad</v>
      </c>
    </row>
    <row r="3908" spans="2:34" x14ac:dyDescent="0.2">
      <c r="B3908" s="2">
        <f ca="1"/>
        <v>0.36938614712799023</v>
      </c>
      <c r="O3908" s="2">
        <f ca="1"/>
        <v>-0.74841049720603425</v>
      </c>
      <c r="X3908" s="2">
        <f ca="1"/>
        <v>52.347128900712406</v>
      </c>
      <c r="AG3908" s="2">
        <f ca="1"/>
        <v>0.65155427013219103</v>
      </c>
      <c r="AH3908" s="2" t="str">
        <f ca="1"/>
        <v>Bad</v>
      </c>
    </row>
    <row r="3909" spans="2:34" x14ac:dyDescent="0.2">
      <c r="B3909" s="2">
        <f ca="1"/>
        <v>3.6097806838193192E-2</v>
      </c>
      <c r="O3909" s="2">
        <f ca="1"/>
        <v>4.6735553624887773E-2</v>
      </c>
      <c r="X3909" s="2">
        <f ca="1"/>
        <v>38.774836580647573</v>
      </c>
      <c r="AG3909" s="2">
        <f ca="1"/>
        <v>0.29964399329254676</v>
      </c>
      <c r="AH3909" s="2" t="str">
        <f ca="1"/>
        <v>OK</v>
      </c>
    </row>
    <row r="3910" spans="2:34" x14ac:dyDescent="0.2">
      <c r="B3910" s="2">
        <f ca="1"/>
        <v>0.15169342684447917</v>
      </c>
      <c r="O3910" s="2">
        <f ca="1"/>
        <v>-0.22528008069094116</v>
      </c>
      <c r="X3910" s="2">
        <f ca="1"/>
        <v>71.637079898948585</v>
      </c>
      <c r="AG3910" s="2">
        <f ca="1"/>
        <v>0.7577698382254876</v>
      </c>
      <c r="AH3910" s="2" t="str">
        <f ca="1"/>
        <v>Bad</v>
      </c>
    </row>
    <row r="3911" spans="2:34" x14ac:dyDescent="0.2">
      <c r="B3911" s="2">
        <f ca="1"/>
        <v>0.16299196111679515</v>
      </c>
      <c r="O3911" s="2">
        <f ca="1"/>
        <v>-2.9055941013652518E-3</v>
      </c>
      <c r="X3911" s="2">
        <f ca="1"/>
        <v>33.685290897238822</v>
      </c>
      <c r="AG3911" s="2">
        <f ca="1"/>
        <v>0.25755917813483276</v>
      </c>
      <c r="AH3911" s="2" t="str">
        <f ca="1"/>
        <v>OK</v>
      </c>
    </row>
    <row r="3912" spans="2:34" x14ac:dyDescent="0.2">
      <c r="B3912" s="2">
        <f ca="1"/>
        <v>3.9972813932830142E-2</v>
      </c>
      <c r="O3912" s="2">
        <f ca="1"/>
        <v>-1.3379691277593948</v>
      </c>
      <c r="X3912" s="2">
        <f ca="1"/>
        <v>48.121571550070719</v>
      </c>
      <c r="AG3912" s="2">
        <f ca="1"/>
        <v>0.58184574669329248</v>
      </c>
      <c r="AH3912" s="2" t="str">
        <f ca="1"/>
        <v>Bad</v>
      </c>
    </row>
    <row r="3913" spans="2:34" x14ac:dyDescent="0.2">
      <c r="B3913" s="2">
        <f ca="1"/>
        <v>0.52389694705651357</v>
      </c>
      <c r="O3913" s="2">
        <f ca="1"/>
        <v>0.49145979437167986</v>
      </c>
      <c r="X3913" s="2">
        <f ca="1"/>
        <v>44.476153527583733</v>
      </c>
      <c r="AG3913" s="2">
        <f ca="1"/>
        <v>0.74560683531893535</v>
      </c>
      <c r="AH3913" s="2" t="str">
        <f ca="1"/>
        <v>Bad</v>
      </c>
    </row>
    <row r="3914" spans="2:34" x14ac:dyDescent="0.2">
      <c r="B3914" s="2">
        <f ca="1"/>
        <v>0.32028333091646344</v>
      </c>
      <c r="O3914" s="2">
        <f ca="1"/>
        <v>-0.69718623959796366</v>
      </c>
      <c r="X3914" s="2">
        <f ca="1"/>
        <v>41.486324891776405</v>
      </c>
      <c r="AG3914" s="2">
        <f ca="1"/>
        <v>0.7832616175288496</v>
      </c>
      <c r="AH3914" s="2" t="str">
        <f ca="1"/>
        <v>Bad</v>
      </c>
    </row>
    <row r="3915" spans="2:34" x14ac:dyDescent="0.2">
      <c r="B3915" s="2">
        <f ca="1"/>
        <v>0.6183623348798104</v>
      </c>
      <c r="O3915" s="2">
        <f ca="1"/>
        <v>0.54182495979888234</v>
      </c>
      <c r="X3915" s="2">
        <f ca="1"/>
        <v>34.995573273520591</v>
      </c>
      <c r="AG3915" s="2">
        <f ca="1"/>
        <v>0.87290768774398231</v>
      </c>
      <c r="AH3915" s="2" t="str">
        <f ca="1"/>
        <v>Bad</v>
      </c>
    </row>
    <row r="3916" spans="2:34" x14ac:dyDescent="0.2">
      <c r="B3916" s="2">
        <f ca="1"/>
        <v>0.74401495910525384</v>
      </c>
      <c r="O3916" s="2">
        <f ca="1"/>
        <v>0.25220450069246086</v>
      </c>
      <c r="X3916" s="2">
        <f ca="1"/>
        <v>58.100334394272259</v>
      </c>
      <c r="AG3916" s="2">
        <f ca="1"/>
        <v>0.91578036264507623</v>
      </c>
      <c r="AH3916" s="2" t="str">
        <f ca="1"/>
        <v>Bad</v>
      </c>
    </row>
    <row r="3917" spans="2:34" x14ac:dyDescent="0.2">
      <c r="B3917" s="2">
        <f ca="1"/>
        <v>0.46856727059291803</v>
      </c>
      <c r="O3917" s="2">
        <f ca="1"/>
        <v>0.49271138760449595</v>
      </c>
      <c r="X3917" s="2">
        <f ca="1"/>
        <v>32.432746658638344</v>
      </c>
      <c r="AG3917" s="2">
        <f ca="1"/>
        <v>0.57756169684948855</v>
      </c>
      <c r="AH3917" s="2" t="str">
        <f ca="1"/>
        <v>Bad</v>
      </c>
    </row>
    <row r="3918" spans="2:34" x14ac:dyDescent="0.2">
      <c r="B3918" s="2">
        <f ca="1"/>
        <v>0.75212367207226882</v>
      </c>
      <c r="O3918" s="2">
        <f ca="1"/>
        <v>-0.66292844960824382</v>
      </c>
      <c r="X3918" s="2">
        <f ca="1"/>
        <v>43.141468197394275</v>
      </c>
      <c r="AG3918" s="2">
        <f ca="1"/>
        <v>0.44229572546293383</v>
      </c>
      <c r="AH3918" s="2" t="str">
        <f ca="1"/>
        <v>Bad</v>
      </c>
    </row>
    <row r="3919" spans="2:34" x14ac:dyDescent="0.2">
      <c r="B3919" s="2">
        <f ca="1"/>
        <v>4.8624628142839965E-2</v>
      </c>
      <c r="O3919" s="2">
        <f ca="1"/>
        <v>1.5493424884320599</v>
      </c>
      <c r="X3919" s="2">
        <f ca="1"/>
        <v>58.093143746597626</v>
      </c>
      <c r="AG3919" s="2">
        <f ca="1"/>
        <v>0.90614183097563417</v>
      </c>
      <c r="AH3919" s="2" t="str">
        <f ca="1"/>
        <v>Bad</v>
      </c>
    </row>
    <row r="3920" spans="2:34" x14ac:dyDescent="0.2">
      <c r="B3920" s="2">
        <f ca="1"/>
        <v>0.67303072875714731</v>
      </c>
      <c r="O3920" s="2">
        <f ca="1"/>
        <v>1.5388340106781691</v>
      </c>
      <c r="X3920" s="2">
        <f ca="1"/>
        <v>38.538490756819947</v>
      </c>
      <c r="AG3920" s="2">
        <f ca="1"/>
        <v>0.22457580498104224</v>
      </c>
      <c r="AH3920" s="2" t="str">
        <f ca="1"/>
        <v>OK</v>
      </c>
    </row>
    <row r="3921" spans="2:34" x14ac:dyDescent="0.2">
      <c r="B3921" s="2">
        <f ca="1"/>
        <v>0.96917174551814878</v>
      </c>
      <c r="O3921" s="2">
        <f ca="1"/>
        <v>-0.43598068086265102</v>
      </c>
      <c r="X3921" s="2">
        <f ca="1"/>
        <v>52.728097023002562</v>
      </c>
      <c r="AG3921" s="2">
        <f ca="1"/>
        <v>0.12040908123716276</v>
      </c>
      <c r="AH3921" s="2" t="str">
        <f ca="1"/>
        <v>OK</v>
      </c>
    </row>
    <row r="3922" spans="2:34" x14ac:dyDescent="0.2">
      <c r="B3922" s="2">
        <f ca="1"/>
        <v>0.73632320478799773</v>
      </c>
      <c r="O3922" s="2">
        <f ca="1"/>
        <v>0.16501953358981963</v>
      </c>
      <c r="X3922" s="2">
        <f ca="1"/>
        <v>24.801850732540061</v>
      </c>
      <c r="AG3922" s="2">
        <f ca="1"/>
        <v>0.96451611557581285</v>
      </c>
      <c r="AH3922" s="2" t="str">
        <f ca="1"/>
        <v>Bad</v>
      </c>
    </row>
    <row r="3923" spans="2:34" x14ac:dyDescent="0.2">
      <c r="B3923" s="2">
        <f ca="1"/>
        <v>0.67292451249977181</v>
      </c>
      <c r="O3923" s="2">
        <f ca="1"/>
        <v>-0.29640702613869296</v>
      </c>
      <c r="X3923" s="2">
        <f ca="1"/>
        <v>44.252414127696234</v>
      </c>
      <c r="AG3923" s="2">
        <f ca="1"/>
        <v>0.56968441092628685</v>
      </c>
      <c r="AH3923" s="2" t="str">
        <f ca="1"/>
        <v>Bad</v>
      </c>
    </row>
    <row r="3924" spans="2:34" x14ac:dyDescent="0.2">
      <c r="B3924" s="2">
        <f ca="1"/>
        <v>0.90241745825486941</v>
      </c>
      <c r="O3924" s="2">
        <f ca="1"/>
        <v>-0.84654041620245035</v>
      </c>
      <c r="X3924" s="2">
        <f ca="1"/>
        <v>37.859059004285015</v>
      </c>
      <c r="AG3924" s="2">
        <f ca="1"/>
        <v>0.51043888645863023</v>
      </c>
      <c r="AH3924" s="2" t="str">
        <f ca="1"/>
        <v>Bad</v>
      </c>
    </row>
    <row r="3925" spans="2:34" x14ac:dyDescent="0.2">
      <c r="B3925" s="2">
        <f ca="1"/>
        <v>0.49726265582551443</v>
      </c>
      <c r="O3925" s="2">
        <f ca="1"/>
        <v>0.50568362973502046</v>
      </c>
      <c r="X3925" s="2">
        <f ca="1"/>
        <v>71.503865840376761</v>
      </c>
      <c r="AG3925" s="2">
        <f ca="1"/>
        <v>0.23069530685255679</v>
      </c>
      <c r="AH3925" s="2" t="str">
        <f ca="1"/>
        <v>OK</v>
      </c>
    </row>
    <row r="3926" spans="2:34" x14ac:dyDescent="0.2">
      <c r="B3926" s="2">
        <f ca="1"/>
        <v>0.36236081398713504</v>
      </c>
      <c r="O3926" s="2">
        <f ca="1"/>
        <v>0.92316605106006366</v>
      </c>
      <c r="X3926" s="2">
        <f ca="1"/>
        <v>66.993884686041866</v>
      </c>
      <c r="AG3926" s="2">
        <f ca="1"/>
        <v>0.80554670585936283</v>
      </c>
      <c r="AH3926" s="2" t="str">
        <f ca="1"/>
        <v>Bad</v>
      </c>
    </row>
    <row r="3927" spans="2:34" x14ac:dyDescent="0.2">
      <c r="B3927" s="2">
        <f ca="1"/>
        <v>0.9201514007992444</v>
      </c>
      <c r="O3927" s="2">
        <f ca="1"/>
        <v>1.8309365843559435</v>
      </c>
      <c r="X3927" s="2">
        <f ca="1"/>
        <v>37.701943004184315</v>
      </c>
      <c r="AG3927" s="2">
        <f ca="1"/>
        <v>0.51982310741891125</v>
      </c>
      <c r="AH3927" s="2" t="str">
        <f ca="1"/>
        <v>Bad</v>
      </c>
    </row>
    <row r="3928" spans="2:34" x14ac:dyDescent="0.2">
      <c r="B3928" s="2">
        <f ca="1"/>
        <v>0.74093941647864203</v>
      </c>
      <c r="O3928" s="2">
        <f ca="1"/>
        <v>-1.0535295896783727</v>
      </c>
      <c r="X3928" s="2">
        <f ca="1"/>
        <v>58.127350453503858</v>
      </c>
      <c r="AG3928" s="2">
        <f ca="1"/>
        <v>0.81336833019317112</v>
      </c>
      <c r="AH3928" s="2" t="str">
        <f ca="1"/>
        <v>Bad</v>
      </c>
    </row>
    <row r="3929" spans="2:34" x14ac:dyDescent="0.2">
      <c r="B3929" s="2">
        <f ca="1"/>
        <v>0.12838605177020512</v>
      </c>
      <c r="O3929" s="2">
        <f ca="1"/>
        <v>0.34741155568251103</v>
      </c>
      <c r="X3929" s="2">
        <f ca="1"/>
        <v>61.930184148100516</v>
      </c>
      <c r="AG3929" s="2">
        <f ca="1"/>
        <v>0.22283476847859229</v>
      </c>
      <c r="AH3929" s="2" t="str">
        <f ca="1"/>
        <v>OK</v>
      </c>
    </row>
    <row r="3930" spans="2:34" x14ac:dyDescent="0.2">
      <c r="B3930" s="2">
        <f ca="1"/>
        <v>0.98437722270525385</v>
      </c>
      <c r="O3930" s="2">
        <f ca="1"/>
        <v>8.5000630425082074E-2</v>
      </c>
      <c r="X3930" s="2">
        <f ca="1"/>
        <v>46.704832909357108</v>
      </c>
      <c r="AG3930" s="2">
        <f ca="1"/>
        <v>0.57705306820560809</v>
      </c>
      <c r="AH3930" s="2" t="str">
        <f ca="1"/>
        <v>Bad</v>
      </c>
    </row>
    <row r="3931" spans="2:34" x14ac:dyDescent="0.2">
      <c r="B3931" s="2">
        <f ca="1"/>
        <v>0.76997996779626154</v>
      </c>
      <c r="O3931" s="2">
        <f ca="1"/>
        <v>1.4615579626137647</v>
      </c>
      <c r="X3931" s="2">
        <f ca="1"/>
        <v>69.912119727498904</v>
      </c>
      <c r="AG3931" s="2">
        <f ca="1"/>
        <v>0.94257328534744045</v>
      </c>
      <c r="AH3931" s="2" t="str">
        <f ca="1"/>
        <v>Bad</v>
      </c>
    </row>
    <row r="3932" spans="2:34" x14ac:dyDescent="0.2">
      <c r="B3932" s="2">
        <f ca="1"/>
        <v>0.26713724989116394</v>
      </c>
      <c r="O3932" s="2">
        <f ca="1"/>
        <v>0.55665517376417162</v>
      </c>
      <c r="X3932" s="2">
        <f ca="1"/>
        <v>43.322473023866465</v>
      </c>
      <c r="AG3932" s="2">
        <f ca="1"/>
        <v>0.26326969418245905</v>
      </c>
      <c r="AH3932" s="2" t="str">
        <f ca="1"/>
        <v>OK</v>
      </c>
    </row>
    <row r="3933" spans="2:34" x14ac:dyDescent="0.2">
      <c r="B3933" s="2">
        <f ca="1"/>
        <v>0.87242339894184684</v>
      </c>
      <c r="O3933" s="2">
        <f ca="1"/>
        <v>0.15700783151499123</v>
      </c>
      <c r="X3933" s="2">
        <f ca="1"/>
        <v>46.079517881251576</v>
      </c>
      <c r="AG3933" s="2">
        <f ca="1"/>
        <v>0.10976656734769974</v>
      </c>
      <c r="AH3933" s="2" t="str">
        <f ca="1"/>
        <v>OK</v>
      </c>
    </row>
    <row r="3934" spans="2:34" x14ac:dyDescent="0.2">
      <c r="B3934" s="2">
        <f ca="1"/>
        <v>0.65013611047031028</v>
      </c>
      <c r="O3934" s="2">
        <f ca="1"/>
        <v>1.1380938687072435</v>
      </c>
      <c r="X3934" s="2">
        <f ca="1"/>
        <v>56.167540864591786</v>
      </c>
      <c r="AG3934" s="2">
        <f ca="1"/>
        <v>0.93547916194080538</v>
      </c>
      <c r="AH3934" s="2" t="str">
        <f ca="1"/>
        <v>Bad</v>
      </c>
    </row>
    <row r="3935" spans="2:34" x14ac:dyDescent="0.2">
      <c r="B3935" s="2">
        <f ca="1"/>
        <v>0.47673222179337871</v>
      </c>
      <c r="O3935" s="2">
        <f ca="1"/>
        <v>-1.1096004815434717</v>
      </c>
      <c r="X3935" s="2">
        <f ca="1"/>
        <v>20.514285064293535</v>
      </c>
      <c r="AG3935" s="2">
        <f ca="1"/>
        <v>0.58472901216970397</v>
      </c>
      <c r="AH3935" s="2" t="str">
        <f ca="1"/>
        <v>Bad</v>
      </c>
    </row>
    <row r="3936" spans="2:34" x14ac:dyDescent="0.2">
      <c r="B3936" s="2">
        <f ca="1"/>
        <v>0.88466836325658726</v>
      </c>
      <c r="O3936" s="2">
        <f ca="1"/>
        <v>-0.78296844936722476</v>
      </c>
      <c r="X3936" s="2">
        <f ca="1"/>
        <v>104.73006537871237</v>
      </c>
      <c r="AG3936" s="2">
        <f ca="1"/>
        <v>0.22241442617913454</v>
      </c>
      <c r="AH3936" s="2" t="str">
        <f ca="1"/>
        <v>OK</v>
      </c>
    </row>
    <row r="3937" spans="2:34" x14ac:dyDescent="0.2">
      <c r="B3937" s="2">
        <f ca="1"/>
        <v>0.99145755264537039</v>
      </c>
      <c r="O3937" s="2">
        <f ca="1"/>
        <v>1.591951252988856</v>
      </c>
      <c r="X3937" s="2">
        <f ca="1"/>
        <v>50.889043736749649</v>
      </c>
      <c r="AG3937" s="2">
        <f ca="1"/>
        <v>0.45915474939130174</v>
      </c>
      <c r="AH3937" s="2" t="str">
        <f ca="1"/>
        <v>Bad</v>
      </c>
    </row>
    <row r="3938" spans="2:34" x14ac:dyDescent="0.2">
      <c r="B3938" s="2">
        <f ca="1"/>
        <v>0.93527807396453677</v>
      </c>
      <c r="O3938" s="2">
        <f ca="1"/>
        <v>-0.65138507300548365</v>
      </c>
      <c r="X3938" s="2">
        <f ca="1"/>
        <v>39.355778678590738</v>
      </c>
      <c r="AG3938" s="2">
        <f ca="1"/>
        <v>0.49814913630139257</v>
      </c>
      <c r="AH3938" s="2" t="str">
        <f ca="1"/>
        <v>Bad</v>
      </c>
    </row>
    <row r="3939" spans="2:34" x14ac:dyDescent="0.2">
      <c r="B3939" s="2">
        <f ca="1"/>
        <v>0.15484061563612705</v>
      </c>
      <c r="O3939" s="2">
        <f ca="1"/>
        <v>-2.346374497797914</v>
      </c>
      <c r="X3939" s="2">
        <f ca="1"/>
        <v>75.956933755273042</v>
      </c>
      <c r="AG3939" s="2">
        <f ca="1"/>
        <v>0.83267678199177775</v>
      </c>
      <c r="AH3939" s="2" t="str">
        <f ca="1"/>
        <v>Bad</v>
      </c>
    </row>
    <row r="3940" spans="2:34" x14ac:dyDescent="0.2">
      <c r="B3940" s="2">
        <f ca="1"/>
        <v>0.73185231348311741</v>
      </c>
      <c r="O3940" s="2">
        <f ca="1"/>
        <v>-1.4032623520394287</v>
      </c>
      <c r="X3940" s="2">
        <f ca="1"/>
        <v>78.489670406194008</v>
      </c>
      <c r="AG3940" s="2">
        <f ca="1"/>
        <v>0.45007640837781127</v>
      </c>
      <c r="AH3940" s="2" t="str">
        <f ca="1"/>
        <v>Bad</v>
      </c>
    </row>
    <row r="3941" spans="2:34" x14ac:dyDescent="0.2">
      <c r="B3941" s="2">
        <f ca="1"/>
        <v>0.38964066498883643</v>
      </c>
      <c r="O3941" s="2">
        <f ca="1"/>
        <v>-0.34579379982427316</v>
      </c>
      <c r="X3941" s="2">
        <f ca="1"/>
        <v>45.662939479990847</v>
      </c>
      <c r="AG3941" s="2">
        <f ca="1"/>
        <v>0.87012942971606844</v>
      </c>
      <c r="AH3941" s="2" t="str">
        <f ca="1"/>
        <v>Bad</v>
      </c>
    </row>
    <row r="3942" spans="2:34" x14ac:dyDescent="0.2">
      <c r="B3942" s="2">
        <f ca="1"/>
        <v>0.55704598481600609</v>
      </c>
      <c r="O3942" s="2">
        <f ca="1"/>
        <v>0.92796918199030065</v>
      </c>
      <c r="X3942" s="2">
        <f ca="1"/>
        <v>37.933273838437756</v>
      </c>
      <c r="AG3942" s="2">
        <f ca="1"/>
        <v>0.32883222395707667</v>
      </c>
      <c r="AH3942" s="2" t="str">
        <f ca="1"/>
        <v>OK</v>
      </c>
    </row>
    <row r="3943" spans="2:34" x14ac:dyDescent="0.2">
      <c r="B3943" s="2">
        <f ca="1"/>
        <v>0.30891675859405265</v>
      </c>
      <c r="O3943" s="2">
        <f ca="1"/>
        <v>0.24968617860253584</v>
      </c>
      <c r="X3943" s="2">
        <f ca="1"/>
        <v>38.914997160720652</v>
      </c>
      <c r="AG3943" s="2">
        <f ca="1"/>
        <v>0.15281165333673208</v>
      </c>
      <c r="AH3943" s="2" t="str">
        <f ca="1"/>
        <v>OK</v>
      </c>
    </row>
    <row r="3944" spans="2:34" x14ac:dyDescent="0.2">
      <c r="B3944" s="2">
        <f ca="1"/>
        <v>0.66816296751951132</v>
      </c>
      <c r="O3944" s="2">
        <f ca="1"/>
        <v>1.1445761979066733</v>
      </c>
      <c r="X3944" s="2">
        <f ca="1"/>
        <v>49.908936667961669</v>
      </c>
      <c r="AG3944" s="2">
        <f ca="1"/>
        <v>6.0618606793743091E-3</v>
      </c>
      <c r="AH3944" s="2" t="str">
        <f ca="1"/>
        <v>Good</v>
      </c>
    </row>
    <row r="3945" spans="2:34" x14ac:dyDescent="0.2">
      <c r="B3945" s="2">
        <f ca="1"/>
        <v>0.57814704759261781</v>
      </c>
      <c r="O3945" s="2">
        <f ca="1"/>
        <v>1.4457594879139768</v>
      </c>
      <c r="X3945" s="2">
        <f ca="1"/>
        <v>41.562614628175389</v>
      </c>
      <c r="AG3945" s="2">
        <f ca="1"/>
        <v>0.45827384285059769</v>
      </c>
      <c r="AH3945" s="2" t="str">
        <f ca="1"/>
        <v>Bad</v>
      </c>
    </row>
    <row r="3946" spans="2:34" x14ac:dyDescent="0.2">
      <c r="B3946" s="2">
        <f ca="1"/>
        <v>0.33521382785705556</v>
      </c>
      <c r="O3946" s="2">
        <f ca="1"/>
        <v>-0.79123228351467767</v>
      </c>
      <c r="X3946" s="2">
        <f ca="1"/>
        <v>88.360600364859536</v>
      </c>
      <c r="AG3946" s="2">
        <f ca="1"/>
        <v>0.179273215396202</v>
      </c>
      <c r="AH3946" s="2" t="str">
        <f ca="1"/>
        <v>OK</v>
      </c>
    </row>
    <row r="3947" spans="2:34" x14ac:dyDescent="0.2">
      <c r="B3947" s="2">
        <f ca="1"/>
        <v>0.52778851013727168</v>
      </c>
      <c r="O3947" s="2">
        <f ca="1"/>
        <v>0.44116606968377603</v>
      </c>
      <c r="X3947" s="2">
        <f ca="1"/>
        <v>39.655214220299314</v>
      </c>
      <c r="AG3947" s="2">
        <f ca="1"/>
        <v>0.68796339169601506</v>
      </c>
      <c r="AH3947" s="2" t="str">
        <f ca="1"/>
        <v>Bad</v>
      </c>
    </row>
    <row r="3948" spans="2:34" x14ac:dyDescent="0.2">
      <c r="B3948" s="2">
        <f ca="1"/>
        <v>0.91231900112497244</v>
      </c>
      <c r="O3948" s="2">
        <f ca="1"/>
        <v>2.5035052616075575</v>
      </c>
      <c r="X3948" s="2">
        <f ca="1"/>
        <v>42.295188743382653</v>
      </c>
      <c r="AG3948" s="2">
        <f ca="1"/>
        <v>0.51570508410230964</v>
      </c>
      <c r="AH3948" s="2" t="str">
        <f ca="1"/>
        <v>Bad</v>
      </c>
    </row>
    <row r="3949" spans="2:34" x14ac:dyDescent="0.2">
      <c r="B3949" s="2">
        <f ca="1"/>
        <v>0.17642282733442305</v>
      </c>
      <c r="O3949" s="2">
        <f ca="1"/>
        <v>-2.2031375298673468</v>
      </c>
      <c r="X3949" s="2">
        <f ca="1"/>
        <v>72.09326733045873</v>
      </c>
      <c r="AG3949" s="2">
        <f ca="1"/>
        <v>0.61519530988809246</v>
      </c>
      <c r="AH3949" s="2" t="str">
        <f ca="1"/>
        <v>Bad</v>
      </c>
    </row>
    <row r="3950" spans="2:34" x14ac:dyDescent="0.2">
      <c r="B3950" s="2">
        <f ca="1"/>
        <v>0.97422761129368318</v>
      </c>
      <c r="O3950" s="2">
        <f ca="1"/>
        <v>0.6325100132152397</v>
      </c>
      <c r="X3950" s="2">
        <f ca="1"/>
        <v>51.451927529656317</v>
      </c>
      <c r="AG3950" s="2">
        <f ca="1"/>
        <v>0.35122652978903734</v>
      </c>
      <c r="AH3950" s="2" t="str">
        <f ca="1"/>
        <v>OK</v>
      </c>
    </row>
    <row r="3951" spans="2:34" x14ac:dyDescent="0.2">
      <c r="B3951" s="2">
        <f ca="1"/>
        <v>0.88911068825948258</v>
      </c>
      <c r="O3951" s="2">
        <f ca="1"/>
        <v>1.0949122920686505</v>
      </c>
      <c r="X3951" s="2">
        <f ca="1"/>
        <v>49.015161434873008</v>
      </c>
      <c r="AG3951" s="2">
        <f ca="1"/>
        <v>3.8257426082056512E-2</v>
      </c>
      <c r="AH3951" s="2" t="str">
        <f ca="1"/>
        <v>Good</v>
      </c>
    </row>
    <row r="3952" spans="2:34" x14ac:dyDescent="0.2">
      <c r="B3952" s="2">
        <f ca="1"/>
        <v>0.86969364112631231</v>
      </c>
      <c r="O3952" s="2">
        <f ca="1"/>
        <v>-1.73104852624551</v>
      </c>
      <c r="X3952" s="2">
        <f ca="1"/>
        <v>69.098430701599199</v>
      </c>
      <c r="AG3952" s="2">
        <f ca="1"/>
        <v>7.1754708525755051E-2</v>
      </c>
      <c r="AH3952" s="2" t="str">
        <f ca="1"/>
        <v>OK</v>
      </c>
    </row>
    <row r="3953" spans="2:34" x14ac:dyDescent="0.2">
      <c r="B3953" s="2">
        <f ca="1"/>
        <v>0.93837328463854708</v>
      </c>
      <c r="O3953" s="2">
        <f ca="1"/>
        <v>1.5748805212676045</v>
      </c>
      <c r="X3953" s="2">
        <f ca="1"/>
        <v>43.870182497938913</v>
      </c>
      <c r="AG3953" s="2">
        <f ca="1"/>
        <v>0.84326186534976522</v>
      </c>
      <c r="AH3953" s="2" t="str">
        <f ca="1"/>
        <v>Bad</v>
      </c>
    </row>
    <row r="3954" spans="2:34" x14ac:dyDescent="0.2">
      <c r="B3954" s="2">
        <f ca="1"/>
        <v>0.70281856865936043</v>
      </c>
      <c r="O3954" s="2">
        <f ca="1"/>
        <v>-0.46745064009570442</v>
      </c>
      <c r="X3954" s="2">
        <f ca="1"/>
        <v>29.540990464776971</v>
      </c>
      <c r="AG3954" s="2">
        <f ca="1"/>
        <v>0.12724945828892453</v>
      </c>
      <c r="AH3954" s="2" t="str">
        <f ca="1"/>
        <v>OK</v>
      </c>
    </row>
    <row r="3955" spans="2:34" x14ac:dyDescent="0.2">
      <c r="B3955" s="2">
        <f ca="1"/>
        <v>0.35060780100963962</v>
      </c>
      <c r="O3955" s="2">
        <f ca="1"/>
        <v>0.73728370563055823</v>
      </c>
      <c r="X3955" s="2">
        <f ca="1"/>
        <v>30.987620285069234</v>
      </c>
      <c r="AG3955" s="2">
        <f ca="1"/>
        <v>0.15636375078185849</v>
      </c>
      <c r="AH3955" s="2" t="str">
        <f ca="1"/>
        <v>OK</v>
      </c>
    </row>
    <row r="3956" spans="2:34" x14ac:dyDescent="0.2">
      <c r="B3956" s="2">
        <f ca="1"/>
        <v>0.8292547842856679</v>
      </c>
      <c r="O3956" s="2">
        <f ca="1"/>
        <v>-6.4519711954770284E-2</v>
      </c>
      <c r="X3956" s="2">
        <f ca="1"/>
        <v>50.435370886814077</v>
      </c>
      <c r="AG3956" s="2">
        <f ca="1"/>
        <v>8.2307098621553942E-2</v>
      </c>
      <c r="AH3956" s="2" t="str">
        <f ca="1"/>
        <v>OK</v>
      </c>
    </row>
    <row r="3957" spans="2:34" x14ac:dyDescent="0.2">
      <c r="B3957" s="2">
        <f ca="1"/>
        <v>0.9882300365103307</v>
      </c>
      <c r="O3957" s="2">
        <f ca="1"/>
        <v>-1.5194107366987426</v>
      </c>
      <c r="X3957" s="2">
        <f ca="1"/>
        <v>57.503417925426731</v>
      </c>
      <c r="AG3957" s="2">
        <f ca="1"/>
        <v>0.65758767145780106</v>
      </c>
      <c r="AH3957" s="2" t="str">
        <f ca="1"/>
        <v>Bad</v>
      </c>
    </row>
    <row r="3958" spans="2:34" x14ac:dyDescent="0.2">
      <c r="B3958" s="2">
        <f ca="1"/>
        <v>0.44943032243541969</v>
      </c>
      <c r="O3958" s="2">
        <f ca="1"/>
        <v>0.50403404100115345</v>
      </c>
      <c r="X3958" s="2">
        <f ca="1"/>
        <v>57.632594495717122</v>
      </c>
      <c r="AG3958" s="2">
        <f ca="1"/>
        <v>0.36646707331797157</v>
      </c>
      <c r="AH3958" s="2" t="str">
        <f ca="1"/>
        <v>OK</v>
      </c>
    </row>
    <row r="3959" spans="2:34" x14ac:dyDescent="0.2">
      <c r="B3959" s="2">
        <f ca="1"/>
        <v>0.59575289444496882</v>
      </c>
      <c r="O3959" s="2">
        <f ca="1"/>
        <v>1.4569099280083324</v>
      </c>
      <c r="X3959" s="2">
        <f ca="1"/>
        <v>36.38437183664675</v>
      </c>
      <c r="AG3959" s="2">
        <f ca="1"/>
        <v>0.93360063962784423</v>
      </c>
      <c r="AH3959" s="2" t="str">
        <f ca="1"/>
        <v>Bad</v>
      </c>
    </row>
    <row r="3960" spans="2:34" x14ac:dyDescent="0.2">
      <c r="B3960" s="2">
        <f ca="1"/>
        <v>0.94198543607152274</v>
      </c>
      <c r="O3960" s="2">
        <f ca="1"/>
        <v>8.9954412685017998E-2</v>
      </c>
      <c r="X3960" s="2">
        <f ca="1"/>
        <v>38.315029120200286</v>
      </c>
      <c r="AG3960" s="2">
        <f ca="1"/>
        <v>0.6133254022788277</v>
      </c>
      <c r="AH3960" s="2" t="str">
        <f ca="1"/>
        <v>Bad</v>
      </c>
    </row>
    <row r="3961" spans="2:34" x14ac:dyDescent="0.2">
      <c r="B3961" s="2">
        <f ca="1"/>
        <v>0.10687825575384879</v>
      </c>
      <c r="O3961" s="2">
        <f ca="1"/>
        <v>0.77657689959583542</v>
      </c>
      <c r="X3961" s="2">
        <f ca="1"/>
        <v>41.832851259411264</v>
      </c>
      <c r="AG3961" s="2">
        <f ca="1"/>
        <v>0.24566129067427811</v>
      </c>
      <c r="AH3961" s="2" t="str">
        <f ca="1"/>
        <v>OK</v>
      </c>
    </row>
    <row r="3962" spans="2:34" x14ac:dyDescent="0.2">
      <c r="B3962" s="2">
        <f ca="1"/>
        <v>0.85911213500593631</v>
      </c>
      <c r="O3962" s="2">
        <f ca="1"/>
        <v>0.87064265963710241</v>
      </c>
      <c r="X3962" s="2">
        <f ca="1"/>
        <v>38.705123251077531</v>
      </c>
      <c r="AG3962" s="2">
        <f ca="1"/>
        <v>0.97462469243574334</v>
      </c>
      <c r="AH3962" s="2" t="str">
        <f ca="1"/>
        <v>Bad</v>
      </c>
    </row>
    <row r="3963" spans="2:34" x14ac:dyDescent="0.2">
      <c r="B3963" s="2">
        <f ca="1"/>
        <v>0.35394144753271783</v>
      </c>
      <c r="O3963" s="2">
        <f ca="1"/>
        <v>-0.73036423002434825</v>
      </c>
      <c r="X3963" s="2">
        <f ca="1"/>
        <v>21.665027584692055</v>
      </c>
      <c r="AG3963" s="2">
        <f ca="1"/>
        <v>0.65085957375111292</v>
      </c>
      <c r="AH3963" s="2" t="str">
        <f ca="1"/>
        <v>Bad</v>
      </c>
    </row>
    <row r="3964" spans="2:34" x14ac:dyDescent="0.2">
      <c r="B3964" s="2">
        <f ca="1"/>
        <v>0.182083764517182</v>
      </c>
      <c r="O3964" s="2">
        <f ca="1"/>
        <v>1.5080585106953768</v>
      </c>
      <c r="X3964" s="2">
        <f ca="1"/>
        <v>42.033041631289464</v>
      </c>
      <c r="AG3964" s="2">
        <f ca="1"/>
        <v>0.22476977173683754</v>
      </c>
      <c r="AH3964" s="2" t="str">
        <f ca="1"/>
        <v>OK</v>
      </c>
    </row>
    <row r="3965" spans="2:34" x14ac:dyDescent="0.2">
      <c r="B3965" s="2">
        <f ca="1"/>
        <v>0.2295520274102647</v>
      </c>
      <c r="O3965" s="2">
        <f ca="1"/>
        <v>-0.12388856967159431</v>
      </c>
      <c r="X3965" s="2">
        <f ca="1"/>
        <v>40.87783252047327</v>
      </c>
      <c r="AG3965" s="2">
        <f ca="1"/>
        <v>0.12933662796355505</v>
      </c>
      <c r="AH3965" s="2" t="str">
        <f ca="1"/>
        <v>OK</v>
      </c>
    </row>
    <row r="3966" spans="2:34" x14ac:dyDescent="0.2">
      <c r="B3966" s="2">
        <f ca="1"/>
        <v>0.22602759990330812</v>
      </c>
      <c r="O3966" s="2">
        <f ca="1"/>
        <v>0.2036189810938451</v>
      </c>
      <c r="X3966" s="2">
        <f ca="1"/>
        <v>78.994822741206661</v>
      </c>
      <c r="AG3966" s="2">
        <f ca="1"/>
        <v>0.50096164234101992</v>
      </c>
      <c r="AH3966" s="2" t="str">
        <f ca="1"/>
        <v>Bad</v>
      </c>
    </row>
    <row r="3967" spans="2:34" x14ac:dyDescent="0.2">
      <c r="B3967" s="2">
        <f ca="1"/>
        <v>0.78828205558271569</v>
      </c>
      <c r="O3967" s="2">
        <f ca="1"/>
        <v>1.0762904645533768</v>
      </c>
      <c r="X3967" s="2">
        <f ca="1"/>
        <v>47.403300578845801</v>
      </c>
      <c r="AG3967" s="2">
        <f ca="1"/>
        <v>0.81638604699429651</v>
      </c>
      <c r="AH3967" s="2" t="str">
        <f ca="1"/>
        <v>Bad</v>
      </c>
    </row>
    <row r="3968" spans="2:34" x14ac:dyDescent="0.2">
      <c r="B3968" s="2">
        <f ca="1"/>
        <v>0.89313575166918047</v>
      </c>
      <c r="O3968" s="2">
        <f ca="1"/>
        <v>7.3253573401984892E-2</v>
      </c>
      <c r="X3968" s="2">
        <f ca="1"/>
        <v>23.843884510853105</v>
      </c>
      <c r="AG3968" s="2">
        <f ca="1"/>
        <v>0.88898134099654635</v>
      </c>
      <c r="AH3968" s="2" t="str">
        <f ca="1"/>
        <v>Bad</v>
      </c>
    </row>
    <row r="3969" spans="2:34" x14ac:dyDescent="0.2">
      <c r="B3969" s="2">
        <f ca="1"/>
        <v>0.66509638134362969</v>
      </c>
      <c r="O3969" s="2">
        <f ca="1"/>
        <v>1.4790220454640659</v>
      </c>
      <c r="X3969" s="2">
        <f ca="1"/>
        <v>52.191367770983099</v>
      </c>
      <c r="AG3969" s="2">
        <f ca="1"/>
        <v>6.0268254806064014E-2</v>
      </c>
      <c r="AH3969" s="2" t="str">
        <f ca="1"/>
        <v>OK</v>
      </c>
    </row>
    <row r="3970" spans="2:34" x14ac:dyDescent="0.2">
      <c r="B3970" s="2">
        <f ca="1"/>
        <v>0.95977503027908861</v>
      </c>
      <c r="O3970" s="2">
        <f ca="1"/>
        <v>0.44545032770349319</v>
      </c>
      <c r="X3970" s="2">
        <f ca="1"/>
        <v>36.082147097990863</v>
      </c>
      <c r="AG3970" s="2">
        <f ca="1"/>
        <v>0.84183929230172572</v>
      </c>
      <c r="AH3970" s="2" t="str">
        <f ca="1"/>
        <v>Bad</v>
      </c>
    </row>
    <row r="3971" spans="2:34" x14ac:dyDescent="0.2">
      <c r="B3971" s="2">
        <f ca="1"/>
        <v>0.42298215731384547</v>
      </c>
      <c r="O3971" s="2">
        <f ca="1"/>
        <v>0.51635773967157206</v>
      </c>
      <c r="X3971" s="2">
        <f ca="1"/>
        <v>58.681141680880344</v>
      </c>
      <c r="AG3971" s="2">
        <f ca="1"/>
        <v>0.36567244755921213</v>
      </c>
      <c r="AH3971" s="2" t="str">
        <f ca="1"/>
        <v>OK</v>
      </c>
    </row>
    <row r="3972" spans="2:34" x14ac:dyDescent="0.2">
      <c r="B3972" s="2">
        <f ca="1"/>
        <v>0.49848191194221703</v>
      </c>
      <c r="O3972" s="2">
        <f ca="1"/>
        <v>-0.2251982270429011</v>
      </c>
      <c r="X3972" s="2">
        <f ca="1"/>
        <v>52.136536267637297</v>
      </c>
      <c r="AG3972" s="2">
        <f ca="1"/>
        <v>0.17444724028866698</v>
      </c>
      <c r="AH3972" s="2" t="str">
        <f ca="1"/>
        <v>OK</v>
      </c>
    </row>
    <row r="3973" spans="2:34" x14ac:dyDescent="0.2">
      <c r="B3973" s="2">
        <f ca="1"/>
        <v>0.16769483187270295</v>
      </c>
      <c r="O3973" s="2">
        <f ca="1"/>
        <v>0.89331196825495496</v>
      </c>
      <c r="X3973" s="2">
        <f ca="1"/>
        <v>49.019078846256583</v>
      </c>
      <c r="AG3973" s="2">
        <f ca="1"/>
        <v>7.5140526860191459E-2</v>
      </c>
      <c r="AH3973" s="2" t="str">
        <f ca="1"/>
        <v>OK</v>
      </c>
    </row>
    <row r="3974" spans="2:34" x14ac:dyDescent="0.2">
      <c r="B3974" s="2">
        <f ca="1"/>
        <v>3.7085261139491177E-2</v>
      </c>
      <c r="O3974" s="2">
        <f ca="1"/>
        <v>1.6742825116948219</v>
      </c>
      <c r="X3974" s="2">
        <f ca="1"/>
        <v>31.308561443206912</v>
      </c>
      <c r="AG3974" s="2">
        <f ca="1"/>
        <v>0.81167147823893915</v>
      </c>
      <c r="AH3974" s="2" t="str">
        <f ca="1"/>
        <v>Bad</v>
      </c>
    </row>
    <row r="3975" spans="2:34" x14ac:dyDescent="0.2">
      <c r="B3975" s="2">
        <f ca="1"/>
        <v>0.21869403079546346</v>
      </c>
      <c r="O3975" s="2">
        <f ca="1"/>
        <v>-0.48113602880140804</v>
      </c>
      <c r="X3975" s="2">
        <f ca="1"/>
        <v>49.963906426840758</v>
      </c>
      <c r="AG3975" s="2">
        <f ca="1"/>
        <v>0.85340095593639353</v>
      </c>
      <c r="AH3975" s="2" t="str">
        <f ca="1"/>
        <v>Bad</v>
      </c>
    </row>
    <row r="3976" spans="2:34" x14ac:dyDescent="0.2">
      <c r="B3976" s="2">
        <f ca="1"/>
        <v>0.27526854251416877</v>
      </c>
      <c r="O3976" s="2">
        <f ca="1"/>
        <v>-0.82518698391388567</v>
      </c>
      <c r="X3976" s="2">
        <f ca="1"/>
        <v>38.983934838830649</v>
      </c>
      <c r="AG3976" s="2">
        <f ca="1"/>
        <v>0.92247123966179867</v>
      </c>
      <c r="AH3976" s="2" t="str">
        <f ca="1"/>
        <v>Bad</v>
      </c>
    </row>
    <row r="3977" spans="2:34" x14ac:dyDescent="0.2">
      <c r="B3977" s="2">
        <f ca="1"/>
        <v>0.11440807114177276</v>
      </c>
      <c r="O3977" s="2">
        <f ca="1"/>
        <v>0.69850057135815291</v>
      </c>
      <c r="X3977" s="2">
        <f ca="1"/>
        <v>61.412517437774198</v>
      </c>
      <c r="AG3977" s="2">
        <f ca="1"/>
        <v>0.65457950151366706</v>
      </c>
      <c r="AH3977" s="2" t="str">
        <f ca="1"/>
        <v>Bad</v>
      </c>
    </row>
    <row r="3978" spans="2:34" x14ac:dyDescent="0.2">
      <c r="B3978" s="2">
        <f ca="1"/>
        <v>0.68031793961576725</v>
      </c>
      <c r="O3978" s="2">
        <f ca="1"/>
        <v>1.2484799613868218</v>
      </c>
      <c r="X3978" s="2">
        <f ca="1"/>
        <v>58.548017519988335</v>
      </c>
      <c r="AG3978" s="2">
        <f ca="1"/>
        <v>0.94099161589726488</v>
      </c>
      <c r="AH3978" s="2" t="str">
        <f ca="1"/>
        <v>Bad</v>
      </c>
    </row>
    <row r="3979" spans="2:34" x14ac:dyDescent="0.2">
      <c r="B3979" s="2">
        <f ca="1"/>
        <v>0.5570173628648194</v>
      </c>
      <c r="O3979" s="2">
        <f ca="1"/>
        <v>-0.68632466679623605</v>
      </c>
      <c r="X3979" s="2">
        <f ca="1"/>
        <v>47.498216704029034</v>
      </c>
      <c r="AG3979" s="2">
        <f ca="1"/>
        <v>0.87310933122398771</v>
      </c>
      <c r="AH3979" s="2" t="str">
        <f ca="1"/>
        <v>Bad</v>
      </c>
    </row>
    <row r="3980" spans="2:34" x14ac:dyDescent="0.2">
      <c r="B3980" s="2">
        <f ca="1"/>
        <v>0.66982256026198783</v>
      </c>
      <c r="O3980" s="2">
        <f ca="1"/>
        <v>0.97198000551767827</v>
      </c>
      <c r="X3980" s="2">
        <f ca="1"/>
        <v>61.88222728145756</v>
      </c>
      <c r="AG3980" s="2">
        <f ca="1"/>
        <v>0.86002027464991415</v>
      </c>
      <c r="AH3980" s="2" t="str">
        <f ca="1"/>
        <v>Bad</v>
      </c>
    </row>
    <row r="3981" spans="2:34" x14ac:dyDescent="0.2">
      <c r="B3981" s="2">
        <f ca="1"/>
        <v>0.40085891653423178</v>
      </c>
      <c r="O3981" s="2">
        <f ca="1"/>
        <v>-1.2248759159131237</v>
      </c>
      <c r="X3981" s="2">
        <f ca="1"/>
        <v>37.024148744185183</v>
      </c>
      <c r="AG3981" s="2">
        <f ca="1"/>
        <v>0.89359241929141175</v>
      </c>
      <c r="AH3981" s="2" t="str">
        <f ca="1"/>
        <v>Bad</v>
      </c>
    </row>
    <row r="3982" spans="2:34" x14ac:dyDescent="0.2">
      <c r="B3982" s="2">
        <f ca="1"/>
        <v>0.97535027809017061</v>
      </c>
      <c r="O3982" s="2">
        <f ca="1"/>
        <v>0.36265863625661487</v>
      </c>
      <c r="X3982" s="2">
        <f ca="1"/>
        <v>35.318528322793263</v>
      </c>
      <c r="AG3982" s="2">
        <f ca="1"/>
        <v>0.52086314184198224</v>
      </c>
      <c r="AH3982" s="2" t="str">
        <f ca="1"/>
        <v>Bad</v>
      </c>
    </row>
    <row r="3983" spans="2:34" x14ac:dyDescent="0.2">
      <c r="B3983" s="2">
        <f ca="1"/>
        <v>0.4905050458362421</v>
      </c>
      <c r="O3983" s="2">
        <f ca="1"/>
        <v>-1.7563984853734025</v>
      </c>
      <c r="X3983" s="2">
        <f ca="1"/>
        <v>56.536112706490876</v>
      </c>
      <c r="AG3983" s="2">
        <f ca="1"/>
        <v>0.69258251063717191</v>
      </c>
      <c r="AH3983" s="2" t="str">
        <f ca="1"/>
        <v>Bad</v>
      </c>
    </row>
    <row r="3984" spans="2:34" x14ac:dyDescent="0.2">
      <c r="B3984" s="2">
        <f ca="1"/>
        <v>7.2262188960015461E-2</v>
      </c>
      <c r="O3984" s="2">
        <f ca="1"/>
        <v>-0.21842154329219352</v>
      </c>
      <c r="X3984" s="2">
        <f ca="1"/>
        <v>107.82649032391092</v>
      </c>
      <c r="AG3984" s="2">
        <f ca="1"/>
        <v>0.95140361465040901</v>
      </c>
      <c r="AH3984" s="2" t="str">
        <f ca="1"/>
        <v>Bad</v>
      </c>
    </row>
    <row r="3985" spans="2:34" x14ac:dyDescent="0.2">
      <c r="B3985" s="2">
        <f ca="1"/>
        <v>0.91679541937309827</v>
      </c>
      <c r="O3985" s="2">
        <f ca="1"/>
        <v>0.52911544558271706</v>
      </c>
      <c r="X3985" s="2">
        <f ca="1"/>
        <v>85.846103428839612</v>
      </c>
      <c r="AG3985" s="2">
        <f ca="1"/>
        <v>0.750074590838683</v>
      </c>
      <c r="AH3985" s="2" t="str">
        <f ca="1"/>
        <v>Bad</v>
      </c>
    </row>
    <row r="3986" spans="2:34" x14ac:dyDescent="0.2">
      <c r="B3986" s="2">
        <f ca="1"/>
        <v>1.0024241702732306E-2</v>
      </c>
      <c r="O3986" s="2">
        <f ca="1"/>
        <v>1.0207442455000768</v>
      </c>
      <c r="X3986" s="2">
        <f ca="1"/>
        <v>55.120668377141001</v>
      </c>
      <c r="AG3986" s="2">
        <f ca="1"/>
        <v>0.42022372176584466</v>
      </c>
      <c r="AH3986" s="2" t="str">
        <f ca="1"/>
        <v>Bad</v>
      </c>
    </row>
    <row r="3987" spans="2:34" x14ac:dyDescent="0.2">
      <c r="B3987" s="2">
        <f ca="1"/>
        <v>0.78619453697333119</v>
      </c>
      <c r="O3987" s="2">
        <f ca="1"/>
        <v>0.17925796101366523</v>
      </c>
      <c r="X3987" s="2">
        <f ca="1"/>
        <v>81.955137185541133</v>
      </c>
      <c r="AG3987" s="2">
        <f ca="1"/>
        <v>0.78240924013485325</v>
      </c>
      <c r="AH3987" s="2" t="str">
        <f ca="1"/>
        <v>Bad</v>
      </c>
    </row>
    <row r="3988" spans="2:34" x14ac:dyDescent="0.2">
      <c r="B3988" s="2">
        <f ca="1"/>
        <v>0.53776285630453424</v>
      </c>
      <c r="O3988" s="2">
        <f ca="1"/>
        <v>-0.69434122489927697</v>
      </c>
      <c r="X3988" s="2">
        <f ca="1"/>
        <v>34.262274251332762</v>
      </c>
      <c r="AG3988" s="2">
        <f ca="1"/>
        <v>0.6122991960881794</v>
      </c>
      <c r="AH3988" s="2" t="str">
        <f ca="1"/>
        <v>Bad</v>
      </c>
    </row>
    <row r="3989" spans="2:34" x14ac:dyDescent="0.2">
      <c r="B3989" s="2">
        <f ca="1"/>
        <v>0.38919478611828562</v>
      </c>
      <c r="O3989" s="2">
        <f ca="1"/>
        <v>-0.99064473540386921</v>
      </c>
      <c r="X3989" s="2">
        <f ca="1"/>
        <v>36.623182569784404</v>
      </c>
      <c r="AG3989" s="2">
        <f ca="1"/>
        <v>0.67403003918296722</v>
      </c>
      <c r="AH3989" s="2" t="str">
        <f ca="1"/>
        <v>Bad</v>
      </c>
    </row>
    <row r="3990" spans="2:34" x14ac:dyDescent="0.2">
      <c r="B3990" s="2">
        <f ca="1"/>
        <v>0.69053305645103702</v>
      </c>
      <c r="O3990" s="2">
        <f ca="1"/>
        <v>1.995393737422049</v>
      </c>
      <c r="X3990" s="2">
        <f ca="1"/>
        <v>53.577298848818941</v>
      </c>
      <c r="AG3990" s="2">
        <f ca="1"/>
        <v>0.70709684528280925</v>
      </c>
      <c r="AH3990" s="2" t="str">
        <f ca="1"/>
        <v>Bad</v>
      </c>
    </row>
    <row r="3991" spans="2:34" x14ac:dyDescent="0.2">
      <c r="B3991" s="2">
        <f ca="1"/>
        <v>9.6673725464266003E-2</v>
      </c>
      <c r="O3991" s="2">
        <f ca="1"/>
        <v>-0.17870312105358596</v>
      </c>
      <c r="X3991" s="2">
        <f ca="1"/>
        <v>58.142068102556038</v>
      </c>
      <c r="AG3991" s="2">
        <f ca="1"/>
        <v>6.7498121457029603E-2</v>
      </c>
      <c r="AH3991" s="2" t="str">
        <f ca="1"/>
        <v>OK</v>
      </c>
    </row>
    <row r="3992" spans="2:34" x14ac:dyDescent="0.2">
      <c r="B3992" s="2">
        <f ca="1"/>
        <v>0.26208516331187814</v>
      </c>
      <c r="O3992" s="2">
        <f ca="1"/>
        <v>-0.11707454235089072</v>
      </c>
      <c r="X3992" s="2">
        <f ca="1"/>
        <v>89.737233631380832</v>
      </c>
      <c r="AG3992" s="2">
        <f ca="1"/>
        <v>5.18940826854144E-2</v>
      </c>
      <c r="AH3992" s="2" t="str">
        <f ca="1"/>
        <v>OK</v>
      </c>
    </row>
    <row r="3993" spans="2:34" x14ac:dyDescent="0.2">
      <c r="B3993" s="2">
        <f ca="1"/>
        <v>0.62244592385363751</v>
      </c>
      <c r="O3993" s="2">
        <f ca="1"/>
        <v>1.0553978558360437</v>
      </c>
      <c r="X3993" s="2">
        <f ca="1"/>
        <v>29.82839192753756</v>
      </c>
      <c r="AG3993" s="2">
        <f ca="1"/>
        <v>0.71859073037774546</v>
      </c>
      <c r="AH3993" s="2" t="str">
        <f ca="1"/>
        <v>Bad</v>
      </c>
    </row>
    <row r="3994" spans="2:34" x14ac:dyDescent="0.2">
      <c r="B3994" s="2">
        <f ca="1"/>
        <v>0.38889978927665281</v>
      </c>
      <c r="O3994" s="2">
        <f ca="1"/>
        <v>-2.2949449891189961</v>
      </c>
      <c r="X3994" s="2">
        <f ca="1"/>
        <v>34.1005586595926</v>
      </c>
      <c r="AG3994" s="2">
        <f ca="1"/>
        <v>0.6648635234313407</v>
      </c>
      <c r="AH3994" s="2" t="str">
        <f ca="1"/>
        <v>Bad</v>
      </c>
    </row>
    <row r="3995" spans="2:34" x14ac:dyDescent="0.2">
      <c r="B3995" s="2">
        <f ca="1"/>
        <v>0.12352822214591463</v>
      </c>
      <c r="O3995" s="2">
        <f ca="1"/>
        <v>-0.46830631629300057</v>
      </c>
      <c r="X3995" s="2">
        <f ca="1"/>
        <v>78.780470761610047</v>
      </c>
      <c r="AG3995" s="2">
        <f ca="1"/>
        <v>0.69682472916095572</v>
      </c>
      <c r="AH3995" s="2" t="str">
        <f ca="1"/>
        <v>Bad</v>
      </c>
    </row>
    <row r="3996" spans="2:34" x14ac:dyDescent="0.2">
      <c r="B3996" s="2">
        <f ca="1"/>
        <v>0.39282807875317638</v>
      </c>
      <c r="O3996" s="2">
        <f ca="1"/>
        <v>0.17492506802175586</v>
      </c>
      <c r="X3996" s="2">
        <f ca="1"/>
        <v>39.546990250698279</v>
      </c>
      <c r="AG3996" s="2">
        <f ca="1"/>
        <v>0.12321099336252517</v>
      </c>
      <c r="AH3996" s="2" t="str">
        <f ca="1"/>
        <v>OK</v>
      </c>
    </row>
    <row r="3997" spans="2:34" x14ac:dyDescent="0.2">
      <c r="B3997" s="2">
        <f ca="1"/>
        <v>0.61623874057983175</v>
      </c>
      <c r="O3997" s="2">
        <f ca="1"/>
        <v>-0.99884744884464483</v>
      </c>
      <c r="X3997" s="2">
        <f ca="1"/>
        <v>31.029841945695793</v>
      </c>
      <c r="AG3997" s="2">
        <f ca="1"/>
        <v>0.75733744904985612</v>
      </c>
      <c r="AH3997" s="2" t="str">
        <f ca="1"/>
        <v>Bad</v>
      </c>
    </row>
    <row r="3998" spans="2:34" x14ac:dyDescent="0.2">
      <c r="B3998" s="2">
        <f ca="1"/>
        <v>0.91769249744328341</v>
      </c>
      <c r="O3998" s="2">
        <f ca="1"/>
        <v>0.37990893251807456</v>
      </c>
      <c r="X3998" s="2">
        <f ca="1"/>
        <v>30.411422493837957</v>
      </c>
      <c r="AG3998" s="2">
        <f ca="1"/>
        <v>0.11599021522028297</v>
      </c>
      <c r="AH3998" s="2" t="str">
        <f ca="1"/>
        <v>OK</v>
      </c>
    </row>
    <row r="3999" spans="2:34" x14ac:dyDescent="0.2">
      <c r="B3999" s="2">
        <f ca="1"/>
        <v>0.48510456854340811</v>
      </c>
      <c r="O3999" s="2">
        <f ca="1"/>
        <v>-0.22044923073017186</v>
      </c>
      <c r="X3999" s="2">
        <f ca="1"/>
        <v>61.583348846900883</v>
      </c>
      <c r="AG3999" s="2">
        <f ca="1"/>
        <v>0.41648495013438547</v>
      </c>
      <c r="AH3999" s="2" t="str">
        <f ca="1"/>
        <v>Bad</v>
      </c>
    </row>
    <row r="4000" spans="2:34" x14ac:dyDescent="0.2">
      <c r="B4000" s="2">
        <f ca="1"/>
        <v>0.15618503559118069</v>
      </c>
      <c r="O4000" s="2">
        <f ca="1"/>
        <v>0.88488376465405694</v>
      </c>
      <c r="X4000" s="2">
        <f ca="1"/>
        <v>53.30087504462449</v>
      </c>
      <c r="AG4000" s="2">
        <f ca="1"/>
        <v>0.40169438788609924</v>
      </c>
      <c r="AH4000" s="2" t="str">
        <f ca="1"/>
        <v>Bad</v>
      </c>
    </row>
    <row r="4001" spans="2:34" x14ac:dyDescent="0.2">
      <c r="B4001" s="2">
        <f ca="1"/>
        <v>3.2514259413884972E-3</v>
      </c>
      <c r="O4001" s="2">
        <f ca="1"/>
        <v>-2.7830939175335436E-2</v>
      </c>
      <c r="X4001" s="2">
        <f ca="1"/>
        <v>21.620784269364112</v>
      </c>
      <c r="AG4001" s="2">
        <f ca="1"/>
        <v>0.41287083033459115</v>
      </c>
      <c r="AH4001" s="2" t="str">
        <f ca="1"/>
        <v>Bad</v>
      </c>
    </row>
    <row r="4002" spans="2:34" x14ac:dyDescent="0.2">
      <c r="B4002" s="2">
        <f ca="1"/>
        <v>0.50613992355364479</v>
      </c>
      <c r="O4002" s="2">
        <f ca="1"/>
        <v>0.77656607879474704</v>
      </c>
      <c r="X4002" s="2">
        <f ca="1"/>
        <v>38.107826720102423</v>
      </c>
      <c r="AG4002" s="2">
        <f ca="1"/>
        <v>0.27804029441450728</v>
      </c>
      <c r="AH4002" s="2" t="str">
        <f ca="1"/>
        <v>OK</v>
      </c>
    </row>
    <row r="4003" spans="2:34" x14ac:dyDescent="0.2">
      <c r="B4003" s="2">
        <f ca="1"/>
        <v>0.55016212906309381</v>
      </c>
      <c r="O4003" s="2">
        <f ca="1"/>
        <v>-7.4855381886228464E-2</v>
      </c>
      <c r="X4003" s="2">
        <f ca="1"/>
        <v>43.06950575017656</v>
      </c>
      <c r="AG4003" s="2">
        <f ca="1"/>
        <v>0.25587352682103259</v>
      </c>
      <c r="AH4003" s="2" t="str">
        <f ca="1"/>
        <v>OK</v>
      </c>
    </row>
    <row r="4004" spans="2:34" x14ac:dyDescent="0.2">
      <c r="B4004" s="2">
        <f ca="1"/>
        <v>0.51816496787954436</v>
      </c>
      <c r="O4004" s="2">
        <f ca="1"/>
        <v>1.0284960742000413</v>
      </c>
      <c r="X4004" s="2">
        <f ca="1"/>
        <v>51.061380189642506</v>
      </c>
      <c r="AG4004" s="2">
        <f ca="1"/>
        <v>0.38910153210608711</v>
      </c>
      <c r="AH4004" s="2" t="str">
        <f ca="1"/>
        <v>OK</v>
      </c>
    </row>
    <row r="4005" spans="2:34" x14ac:dyDescent="0.2">
      <c r="B4005" s="2">
        <f ca="1"/>
        <v>0.51469245704609201</v>
      </c>
      <c r="O4005" s="2">
        <f ca="1"/>
        <v>-3.2939063390196463E-2</v>
      </c>
      <c r="X4005" s="2">
        <f ca="1"/>
        <v>40.656419921665204</v>
      </c>
      <c r="AG4005" s="2">
        <f ca="1"/>
        <v>0.65994893859214887</v>
      </c>
      <c r="AH4005" s="2" t="str">
        <f ca="1"/>
        <v>Bad</v>
      </c>
    </row>
    <row r="4006" spans="2:34" x14ac:dyDescent="0.2">
      <c r="B4006" s="2">
        <f ca="1"/>
        <v>0.29092214502838365</v>
      </c>
      <c r="O4006" s="2">
        <f ca="1"/>
        <v>-0.39092206090042436</v>
      </c>
      <c r="X4006" s="2">
        <f ca="1"/>
        <v>36.470449691581386</v>
      </c>
      <c r="AG4006" s="2">
        <f ca="1"/>
        <v>0.92780007447759716</v>
      </c>
      <c r="AH4006" s="2" t="str">
        <f ca="1"/>
        <v>Bad</v>
      </c>
    </row>
    <row r="4007" spans="2:34" x14ac:dyDescent="0.2">
      <c r="B4007" s="2">
        <f ca="1"/>
        <v>0.11391806169412821</v>
      </c>
      <c r="O4007" s="2">
        <f ca="1"/>
        <v>0.57867846206706863</v>
      </c>
      <c r="X4007" s="2">
        <f ca="1"/>
        <v>73.339634288895056</v>
      </c>
      <c r="AG4007" s="2">
        <f ca="1"/>
        <v>0.21737812450071048</v>
      </c>
      <c r="AH4007" s="2" t="str">
        <f ca="1"/>
        <v>OK</v>
      </c>
    </row>
    <row r="4008" spans="2:34" x14ac:dyDescent="0.2">
      <c r="B4008" s="2">
        <f ca="1"/>
        <v>9.7140844333227783E-3</v>
      </c>
      <c r="O4008" s="2">
        <f ca="1"/>
        <v>-0.45947557599715844</v>
      </c>
      <c r="X4008" s="2">
        <f ca="1"/>
        <v>57.648208835822878</v>
      </c>
      <c r="AG4008" s="2">
        <f ca="1"/>
        <v>0.41858581835743047</v>
      </c>
      <c r="AH4008" s="2" t="str">
        <f ca="1"/>
        <v>Bad</v>
      </c>
    </row>
    <row r="4009" spans="2:34" x14ac:dyDescent="0.2">
      <c r="B4009" s="2">
        <f ca="1"/>
        <v>0.79085800068038736</v>
      </c>
      <c r="O4009" s="2">
        <f ca="1"/>
        <v>-0.47086622922240018</v>
      </c>
      <c r="X4009" s="2">
        <f ca="1"/>
        <v>43.675973857008962</v>
      </c>
      <c r="AG4009" s="2">
        <f ca="1"/>
        <v>0.21952693148004032</v>
      </c>
      <c r="AH4009" s="2" t="str">
        <f ca="1"/>
        <v>OK</v>
      </c>
    </row>
    <row r="4010" spans="2:34" x14ac:dyDescent="0.2">
      <c r="B4010" s="2">
        <f ca="1"/>
        <v>0.22647316268787887</v>
      </c>
      <c r="O4010" s="2">
        <f ca="1"/>
        <v>0.73149684453328645</v>
      </c>
      <c r="X4010" s="2">
        <f ca="1"/>
        <v>39.809052554956182</v>
      </c>
      <c r="AG4010" s="2">
        <f ca="1"/>
        <v>0.10701667068735321</v>
      </c>
      <c r="AH4010" s="2" t="str">
        <f ca="1"/>
        <v>OK</v>
      </c>
    </row>
    <row r="4011" spans="2:34" x14ac:dyDescent="0.2">
      <c r="B4011" s="2">
        <f ca="1"/>
        <v>0.69792919097163431</v>
      </c>
      <c r="O4011" s="2">
        <f ca="1"/>
        <v>-0.35525757337317471</v>
      </c>
      <c r="X4011" s="2">
        <f ca="1"/>
        <v>45.181104687976905</v>
      </c>
      <c r="AG4011" s="2">
        <f ca="1"/>
        <v>0.39924985672062729</v>
      </c>
      <c r="AH4011" s="2" t="str">
        <f ca="1"/>
        <v>OK</v>
      </c>
    </row>
    <row r="4012" spans="2:34" x14ac:dyDescent="0.2">
      <c r="B4012" s="2">
        <f ca="1"/>
        <v>0.68720303514281245</v>
      </c>
      <c r="O4012" s="2">
        <f ca="1"/>
        <v>-0.85260417980261305</v>
      </c>
      <c r="X4012" s="2">
        <f ca="1"/>
        <v>60.522956493743507</v>
      </c>
      <c r="AG4012" s="2">
        <f ca="1"/>
        <v>0.49520006705288377</v>
      </c>
      <c r="AH4012" s="2" t="str">
        <f ca="1"/>
        <v>Bad</v>
      </c>
    </row>
    <row r="4013" spans="2:34" x14ac:dyDescent="0.2">
      <c r="B4013" s="2">
        <f ca="1"/>
        <v>0.13821264373562703</v>
      </c>
      <c r="O4013" s="2">
        <f ca="1"/>
        <v>-0.57067641655966395</v>
      </c>
      <c r="X4013" s="2">
        <f ca="1"/>
        <v>51.811703385306231</v>
      </c>
      <c r="AG4013" s="2">
        <f ca="1"/>
        <v>0.458767256157252</v>
      </c>
      <c r="AH4013" s="2" t="str">
        <f ca="1"/>
        <v>Bad</v>
      </c>
    </row>
    <row r="4014" spans="2:34" x14ac:dyDescent="0.2">
      <c r="B4014" s="2">
        <f ca="1"/>
        <v>0.69519880604041862</v>
      </c>
      <c r="O4014" s="2">
        <f ca="1"/>
        <v>0.14778513114968875</v>
      </c>
      <c r="X4014" s="2">
        <f ca="1"/>
        <v>57.807561829270185</v>
      </c>
      <c r="AG4014" s="2">
        <f ca="1"/>
        <v>0.88756099336802641</v>
      </c>
      <c r="AH4014" s="2" t="str">
        <f ca="1"/>
        <v>Bad</v>
      </c>
    </row>
    <row r="4015" spans="2:34" x14ac:dyDescent="0.2">
      <c r="B4015" s="2">
        <f ca="1"/>
        <v>0.85368594267330611</v>
      </c>
      <c r="O4015" s="2">
        <f ca="1"/>
        <v>0.40518671819770802</v>
      </c>
      <c r="X4015" s="2">
        <f ca="1"/>
        <v>15.768725047418169</v>
      </c>
      <c r="AG4015" s="2">
        <f ca="1"/>
        <v>0.39301767733469073</v>
      </c>
      <c r="AH4015" s="2" t="str">
        <f ca="1"/>
        <v>OK</v>
      </c>
    </row>
    <row r="4016" spans="2:34" x14ac:dyDescent="0.2">
      <c r="B4016" s="2">
        <f ca="1"/>
        <v>0.34301700395941848</v>
      </c>
      <c r="O4016" s="2">
        <f ca="1"/>
        <v>-2.940564417062938E-2</v>
      </c>
      <c r="X4016" s="2">
        <f ca="1"/>
        <v>38.387889121726651</v>
      </c>
      <c r="AG4016" s="2">
        <f ca="1"/>
        <v>0.71053982724837939</v>
      </c>
      <c r="AH4016" s="2" t="str">
        <f ca="1"/>
        <v>Bad</v>
      </c>
    </row>
    <row r="4017" spans="2:34" x14ac:dyDescent="0.2">
      <c r="B4017" s="2">
        <f ca="1"/>
        <v>0.86401577771049798</v>
      </c>
      <c r="O4017" s="2">
        <f ca="1"/>
        <v>-0.87070314076751398</v>
      </c>
      <c r="X4017" s="2">
        <f ca="1"/>
        <v>36.159505745817533</v>
      </c>
      <c r="AG4017" s="2">
        <f ca="1"/>
        <v>0.89237183897751815</v>
      </c>
      <c r="AH4017" s="2" t="str">
        <f ca="1"/>
        <v>Bad</v>
      </c>
    </row>
    <row r="4018" spans="2:34" x14ac:dyDescent="0.2">
      <c r="B4018" s="2">
        <f ca="1"/>
        <v>0.24297209399677433</v>
      </c>
      <c r="O4018" s="2">
        <f ca="1"/>
        <v>-0.58750842341643639</v>
      </c>
      <c r="X4018" s="2">
        <f ca="1"/>
        <v>53.786936611527388</v>
      </c>
      <c r="AG4018" s="2">
        <f ca="1"/>
        <v>0.90651553609967062</v>
      </c>
      <c r="AH4018" s="2" t="str">
        <f ca="1"/>
        <v>Bad</v>
      </c>
    </row>
    <row r="4019" spans="2:34" x14ac:dyDescent="0.2">
      <c r="B4019" s="2">
        <f ca="1"/>
        <v>9.9288024321637858E-2</v>
      </c>
      <c r="O4019" s="2">
        <f ca="1"/>
        <v>0.25858493518079806</v>
      </c>
      <c r="X4019" s="2">
        <f ca="1"/>
        <v>45.175508577549451</v>
      </c>
      <c r="AG4019" s="2">
        <f ca="1"/>
        <v>0.46967546847898922</v>
      </c>
      <c r="AH4019" s="2" t="str">
        <f ca="1"/>
        <v>Bad</v>
      </c>
    </row>
    <row r="4020" spans="2:34" x14ac:dyDescent="0.2">
      <c r="B4020" s="2">
        <f ca="1"/>
        <v>5.699181093065131E-2</v>
      </c>
      <c r="O4020" s="2">
        <f ca="1"/>
        <v>0.26456133068224452</v>
      </c>
      <c r="X4020" s="2">
        <f ca="1"/>
        <v>46.098486539504449</v>
      </c>
      <c r="AG4020" s="2">
        <f ca="1"/>
        <v>0.45477243290414937</v>
      </c>
      <c r="AH4020" s="2" t="str">
        <f ca="1"/>
        <v>Bad</v>
      </c>
    </row>
    <row r="4021" spans="2:34" x14ac:dyDescent="0.2">
      <c r="B4021" s="2">
        <f ca="1"/>
        <v>0.48659073819874088</v>
      </c>
      <c r="O4021" s="2">
        <f ca="1"/>
        <v>0.67288544376305059</v>
      </c>
      <c r="X4021" s="2">
        <f ca="1"/>
        <v>38.618812856530553</v>
      </c>
      <c r="AG4021" s="2">
        <f ca="1"/>
        <v>0.91482098219403563</v>
      </c>
      <c r="AH4021" s="2" t="str">
        <f ca="1"/>
        <v>Bad</v>
      </c>
    </row>
    <row r="4022" spans="2:34" x14ac:dyDescent="0.2">
      <c r="B4022" s="2">
        <f ca="1"/>
        <v>0.68248433061962754</v>
      </c>
      <c r="O4022" s="2">
        <f ca="1"/>
        <v>1.3825008545748707</v>
      </c>
      <c r="X4022" s="2">
        <f ca="1"/>
        <v>54.606637105776954</v>
      </c>
      <c r="AG4022" s="2">
        <f ca="1"/>
        <v>0.75001766530841674</v>
      </c>
      <c r="AH4022" s="2" t="str">
        <f ca="1"/>
        <v>Bad</v>
      </c>
    </row>
    <row r="4023" spans="2:34" x14ac:dyDescent="0.2">
      <c r="B4023" s="2">
        <f ca="1"/>
        <v>0.22217438820190427</v>
      </c>
      <c r="O4023" s="2">
        <f ca="1"/>
        <v>-1.1386701886858492</v>
      </c>
      <c r="X4023" s="2">
        <f ca="1"/>
        <v>33.143212069283635</v>
      </c>
      <c r="AG4023" s="2">
        <f ca="1"/>
        <v>0.23620354415092248</v>
      </c>
      <c r="AH4023" s="2" t="str">
        <f ca="1"/>
        <v>OK</v>
      </c>
    </row>
    <row r="4024" spans="2:34" x14ac:dyDescent="0.2">
      <c r="B4024" s="2">
        <f ca="1"/>
        <v>0.44580985093052106</v>
      </c>
      <c r="O4024" s="2">
        <f ca="1"/>
        <v>0.8831408264889683</v>
      </c>
      <c r="X4024" s="2">
        <f ca="1"/>
        <v>59.188701186868698</v>
      </c>
      <c r="AG4024" s="2">
        <f ca="1"/>
        <v>0.79266688982434497</v>
      </c>
      <c r="AH4024" s="2" t="str">
        <f ca="1"/>
        <v>Bad</v>
      </c>
    </row>
    <row r="4025" spans="2:34" x14ac:dyDescent="0.2">
      <c r="B4025" s="2">
        <f ca="1"/>
        <v>5.0957995409561807E-2</v>
      </c>
      <c r="O4025" s="2">
        <f ca="1"/>
        <v>1.4441385852698094</v>
      </c>
      <c r="X4025" s="2">
        <f ca="1"/>
        <v>73.132324961484841</v>
      </c>
      <c r="AG4025" s="2">
        <f ca="1"/>
        <v>0.47568135207955109</v>
      </c>
      <c r="AH4025" s="2" t="str">
        <f ca="1"/>
        <v>Bad</v>
      </c>
    </row>
    <row r="4026" spans="2:34" x14ac:dyDescent="0.2">
      <c r="B4026" s="2">
        <f ca="1"/>
        <v>0.66353702075885868</v>
      </c>
      <c r="O4026" s="2">
        <f ca="1"/>
        <v>-0.31436916261875436</v>
      </c>
      <c r="X4026" s="2">
        <f ca="1"/>
        <v>32.590396056934374</v>
      </c>
      <c r="AG4026" s="2">
        <f ca="1"/>
        <v>7.2503524189274637E-2</v>
      </c>
      <c r="AH4026" s="2" t="str">
        <f ca="1"/>
        <v>OK</v>
      </c>
    </row>
    <row r="4027" spans="2:34" x14ac:dyDescent="0.2">
      <c r="B4027" s="2">
        <f ca="1"/>
        <v>0.13244530902889129</v>
      </c>
      <c r="O4027" s="2">
        <f ca="1"/>
        <v>-1.3597454268121432</v>
      </c>
      <c r="X4027" s="2">
        <f ca="1"/>
        <v>36.318784245661739</v>
      </c>
      <c r="AG4027" s="2">
        <f ca="1"/>
        <v>0.28247287334371007</v>
      </c>
      <c r="AH4027" s="2" t="str">
        <f ca="1"/>
        <v>OK</v>
      </c>
    </row>
    <row r="4028" spans="2:34" x14ac:dyDescent="0.2">
      <c r="B4028" s="2">
        <f ca="1"/>
        <v>0.17514714987514668</v>
      </c>
      <c r="O4028" s="2">
        <f ca="1"/>
        <v>-0.25866815206591293</v>
      </c>
      <c r="X4028" s="2">
        <f ca="1"/>
        <v>56.316218323432679</v>
      </c>
      <c r="AG4028" s="2">
        <f ca="1"/>
        <v>0.22565138866118239</v>
      </c>
      <c r="AH4028" s="2" t="str">
        <f ca="1"/>
        <v>OK</v>
      </c>
    </row>
    <row r="4029" spans="2:34" x14ac:dyDescent="0.2">
      <c r="B4029" s="2">
        <f ca="1"/>
        <v>0.22117449929942556</v>
      </c>
      <c r="O4029" s="2">
        <f ca="1"/>
        <v>-0.22251097416803364</v>
      </c>
      <c r="X4029" s="2">
        <f ca="1"/>
        <v>44.201751769893527</v>
      </c>
      <c r="AG4029" s="2">
        <f ca="1"/>
        <v>5.3459851878102427E-2</v>
      </c>
      <c r="AH4029" s="2" t="str">
        <f ca="1"/>
        <v>OK</v>
      </c>
    </row>
    <row r="4030" spans="2:34" x14ac:dyDescent="0.2">
      <c r="B4030" s="2">
        <f ca="1"/>
        <v>0.79203923913335905</v>
      </c>
      <c r="O4030" s="2">
        <f ca="1"/>
        <v>-0.74013246060322224</v>
      </c>
      <c r="X4030" s="2">
        <f ca="1"/>
        <v>48.084474430183505</v>
      </c>
      <c r="AG4030" s="2">
        <f ca="1"/>
        <v>0.51865219846871602</v>
      </c>
      <c r="AH4030" s="2" t="str">
        <f ca="1"/>
        <v>Bad</v>
      </c>
    </row>
    <row r="4031" spans="2:34" x14ac:dyDescent="0.2">
      <c r="B4031" s="2">
        <f ca="1"/>
        <v>0.63562946776477958</v>
      </c>
      <c r="O4031" s="2">
        <f ca="1"/>
        <v>0.67045016357808818</v>
      </c>
      <c r="X4031" s="2">
        <f ca="1"/>
        <v>78.305594645206725</v>
      </c>
      <c r="AG4031" s="2">
        <f ca="1"/>
        <v>8.603690370862882E-2</v>
      </c>
      <c r="AH4031" s="2" t="str">
        <f ca="1"/>
        <v>OK</v>
      </c>
    </row>
    <row r="4032" spans="2:34" x14ac:dyDescent="0.2">
      <c r="B4032" s="2">
        <f ca="1"/>
        <v>0.44549185477748843</v>
      </c>
      <c r="O4032" s="2">
        <f ca="1"/>
        <v>-0.28332813364684439</v>
      </c>
      <c r="X4032" s="2">
        <f ca="1"/>
        <v>47.836503935688427</v>
      </c>
      <c r="AG4032" s="2">
        <f ca="1"/>
        <v>0.59645687434954109</v>
      </c>
      <c r="AH4032" s="2" t="str">
        <f ca="1"/>
        <v>Bad</v>
      </c>
    </row>
    <row r="4033" spans="2:34" x14ac:dyDescent="0.2">
      <c r="B4033" s="2">
        <f ca="1"/>
        <v>0.1301813149889659</v>
      </c>
      <c r="O4033" s="2">
        <f ca="1"/>
        <v>1.4525282988855821E-2</v>
      </c>
      <c r="X4033" s="2">
        <f ca="1"/>
        <v>49.907397991322817</v>
      </c>
      <c r="AG4033" s="2">
        <f ca="1"/>
        <v>0.19280064404838004</v>
      </c>
      <c r="AH4033" s="2" t="str">
        <f ca="1"/>
        <v>OK</v>
      </c>
    </row>
    <row r="4034" spans="2:34" x14ac:dyDescent="0.2">
      <c r="B4034" s="2">
        <f ca="1"/>
        <v>0.79366465303924061</v>
      </c>
      <c r="O4034" s="2">
        <f ca="1"/>
        <v>-0.98576961922231521</v>
      </c>
      <c r="X4034" s="2">
        <f ca="1"/>
        <v>61.785260708601072</v>
      </c>
      <c r="AG4034" s="2">
        <f ca="1"/>
        <v>0.87613777279149474</v>
      </c>
      <c r="AH4034" s="2" t="str">
        <f ca="1"/>
        <v>Bad</v>
      </c>
    </row>
    <row r="4035" spans="2:34" x14ac:dyDescent="0.2">
      <c r="B4035" s="2">
        <f ca="1"/>
        <v>0.48764065776479693</v>
      </c>
      <c r="O4035" s="2">
        <f ca="1"/>
        <v>-0.61249686823257221</v>
      </c>
      <c r="X4035" s="2">
        <f ca="1"/>
        <v>67.491607372000729</v>
      </c>
      <c r="AG4035" s="2">
        <f ca="1"/>
        <v>0.82354114612437312</v>
      </c>
      <c r="AH4035" s="2" t="str">
        <f ca="1"/>
        <v>Bad</v>
      </c>
    </row>
    <row r="4036" spans="2:34" x14ac:dyDescent="0.2">
      <c r="B4036" s="2">
        <f ca="1"/>
        <v>0.82199987053182522</v>
      </c>
      <c r="O4036" s="2">
        <f ca="1"/>
        <v>-2.3311394206656333</v>
      </c>
      <c r="X4036" s="2">
        <f ca="1"/>
        <v>68.138367556061482</v>
      </c>
      <c r="AG4036" s="2">
        <f ca="1"/>
        <v>0.38534060436382456</v>
      </c>
      <c r="AH4036" s="2" t="str">
        <f ca="1"/>
        <v>OK</v>
      </c>
    </row>
    <row r="4037" spans="2:34" x14ac:dyDescent="0.2">
      <c r="B4037" s="2">
        <f ca="1"/>
        <v>0.87770414713268585</v>
      </c>
      <c r="O4037" s="2">
        <f ca="1"/>
        <v>-0.86508049695073741</v>
      </c>
      <c r="X4037" s="2">
        <f ca="1"/>
        <v>57.04085860542979</v>
      </c>
      <c r="AG4037" s="2">
        <f ca="1"/>
        <v>0.7552113619853813</v>
      </c>
      <c r="AH4037" s="2" t="str">
        <f ca="1"/>
        <v>Bad</v>
      </c>
    </row>
    <row r="4038" spans="2:34" x14ac:dyDescent="0.2">
      <c r="B4038" s="2">
        <f ca="1"/>
        <v>0.30774366793237884</v>
      </c>
      <c r="O4038" s="2">
        <f ca="1"/>
        <v>-1.4201593554076943</v>
      </c>
      <c r="X4038" s="2">
        <f ca="1"/>
        <v>47.628166155591821</v>
      </c>
      <c r="AG4038" s="2">
        <f ca="1"/>
        <v>0.69014050977027219</v>
      </c>
      <c r="AH4038" s="2" t="str">
        <f ca="1"/>
        <v>Bad</v>
      </c>
    </row>
    <row r="4039" spans="2:34" x14ac:dyDescent="0.2">
      <c r="B4039" s="2">
        <f ca="1"/>
        <v>0.95113513910073455</v>
      </c>
      <c r="O4039" s="2">
        <f ca="1"/>
        <v>0.1570067660457122</v>
      </c>
      <c r="X4039" s="2">
        <f ca="1"/>
        <v>23.597395103553328</v>
      </c>
      <c r="AG4039" s="2">
        <f ca="1"/>
        <v>0.66857214691222855</v>
      </c>
      <c r="AH4039" s="2" t="str">
        <f ca="1"/>
        <v>Bad</v>
      </c>
    </row>
    <row r="4040" spans="2:34" x14ac:dyDescent="0.2">
      <c r="B4040" s="2">
        <f ca="1"/>
        <v>0.92988835893686472</v>
      </c>
      <c r="O4040" s="2">
        <f ca="1"/>
        <v>5.3549963611920479E-2</v>
      </c>
      <c r="X4040" s="2">
        <f ca="1"/>
        <v>73.305425533573811</v>
      </c>
      <c r="AG4040" s="2">
        <f ca="1"/>
        <v>0.93275580254544721</v>
      </c>
      <c r="AH4040" s="2" t="str">
        <f ca="1"/>
        <v>Bad</v>
      </c>
    </row>
    <row r="4041" spans="2:34" x14ac:dyDescent="0.2">
      <c r="B4041" s="2">
        <f ca="1"/>
        <v>0.3267634551123062</v>
      </c>
      <c r="O4041" s="2">
        <f ca="1"/>
        <v>-0.31719077542653656</v>
      </c>
      <c r="X4041" s="2">
        <f ca="1"/>
        <v>36.986631759473219</v>
      </c>
      <c r="AG4041" s="2">
        <f ca="1"/>
        <v>0.48069306879864726</v>
      </c>
      <c r="AH4041" s="2" t="str">
        <f ca="1"/>
        <v>Bad</v>
      </c>
    </row>
    <row r="4042" spans="2:34" x14ac:dyDescent="0.2">
      <c r="B4042" s="2">
        <f ca="1"/>
        <v>0.10279905900740438</v>
      </c>
      <c r="O4042" s="2">
        <f ca="1"/>
        <v>1.9020264528761905</v>
      </c>
      <c r="X4042" s="2">
        <f ca="1"/>
        <v>51.468407435789672</v>
      </c>
      <c r="AG4042" s="2">
        <f ca="1"/>
        <v>0.52562559083668758</v>
      </c>
      <c r="AH4042" s="2" t="str">
        <f ca="1"/>
        <v>Bad</v>
      </c>
    </row>
    <row r="4043" spans="2:34" x14ac:dyDescent="0.2">
      <c r="B4043" s="2">
        <f ca="1"/>
        <v>0.56969202926600904</v>
      </c>
      <c r="O4043" s="2">
        <f ca="1"/>
        <v>-0.45210230687179315</v>
      </c>
      <c r="X4043" s="2">
        <f ca="1"/>
        <v>75.744845754669996</v>
      </c>
      <c r="AG4043" s="2">
        <f ca="1"/>
        <v>0.65536020648868809</v>
      </c>
      <c r="AH4043" s="2" t="str">
        <f ca="1"/>
        <v>Bad</v>
      </c>
    </row>
    <row r="4044" spans="2:34" x14ac:dyDescent="0.2">
      <c r="B4044" s="2">
        <f ca="1"/>
        <v>0.56943261342915918</v>
      </c>
      <c r="O4044" s="2">
        <f ca="1"/>
        <v>1.4294615071569923</v>
      </c>
      <c r="X4044" s="2">
        <f ca="1"/>
        <v>53.7728510164428</v>
      </c>
      <c r="AG4044" s="2">
        <f ca="1"/>
        <v>5.2347604505988521E-2</v>
      </c>
      <c r="AH4044" s="2" t="str">
        <f ca="1"/>
        <v>OK</v>
      </c>
    </row>
    <row r="4045" spans="2:34" x14ac:dyDescent="0.2">
      <c r="B4045" s="2">
        <f ca="1"/>
        <v>0.36314440344981991</v>
      </c>
      <c r="O4045" s="2">
        <f ca="1"/>
        <v>-0.48942946865762971</v>
      </c>
      <c r="X4045" s="2">
        <f ca="1"/>
        <v>33.360187814247602</v>
      </c>
      <c r="AG4045" s="2">
        <f ca="1"/>
        <v>0.92846350160681212</v>
      </c>
      <c r="AH4045" s="2" t="str">
        <f ca="1"/>
        <v>Bad</v>
      </c>
    </row>
    <row r="4046" spans="2:34" x14ac:dyDescent="0.2">
      <c r="B4046" s="2">
        <f ca="1"/>
        <v>5.7441675388676394E-3</v>
      </c>
      <c r="O4046" s="2">
        <f ca="1"/>
        <v>8.4433959962350758E-2</v>
      </c>
      <c r="X4046" s="2">
        <f ca="1"/>
        <v>46.02414818978761</v>
      </c>
      <c r="AG4046" s="2">
        <f ca="1"/>
        <v>3.8543254392221504E-2</v>
      </c>
      <c r="AH4046" s="2" t="str">
        <f ca="1"/>
        <v>Good</v>
      </c>
    </row>
    <row r="4047" spans="2:34" x14ac:dyDescent="0.2">
      <c r="B4047" s="2">
        <f ca="1"/>
        <v>4.9596971703257386E-2</v>
      </c>
      <c r="O4047" s="2">
        <f ca="1"/>
        <v>-9.3423908245834769E-2</v>
      </c>
      <c r="X4047" s="2">
        <f ca="1"/>
        <v>42.371364983189238</v>
      </c>
      <c r="AG4047" s="2">
        <f ca="1"/>
        <v>0.66669843677959073</v>
      </c>
      <c r="AH4047" s="2" t="str">
        <f ca="1"/>
        <v>Bad</v>
      </c>
    </row>
    <row r="4048" spans="2:34" x14ac:dyDescent="0.2">
      <c r="B4048" s="2">
        <f ca="1"/>
        <v>0.99568955341878551</v>
      </c>
      <c r="O4048" s="2">
        <f ca="1"/>
        <v>-1.4051147359501366</v>
      </c>
      <c r="X4048" s="2">
        <f ca="1"/>
        <v>70.359758801774916</v>
      </c>
      <c r="AG4048" s="2">
        <f ca="1"/>
        <v>0.76908301834320514</v>
      </c>
      <c r="AH4048" s="2" t="str">
        <f ca="1"/>
        <v>Bad</v>
      </c>
    </row>
    <row r="4049" spans="2:34" x14ac:dyDescent="0.2">
      <c r="B4049" s="2">
        <f ca="1"/>
        <v>0.82860539219810225</v>
      </c>
      <c r="O4049" s="2">
        <f ca="1"/>
        <v>0.46464378495341674</v>
      </c>
      <c r="X4049" s="2">
        <f ca="1"/>
        <v>48.621859391512999</v>
      </c>
      <c r="AG4049" s="2">
        <f ca="1"/>
        <v>0.45474566314204035</v>
      </c>
      <c r="AH4049" s="2" t="str">
        <f ca="1"/>
        <v>Bad</v>
      </c>
    </row>
    <row r="4050" spans="2:34" x14ac:dyDescent="0.2">
      <c r="B4050" s="2">
        <f ca="1"/>
        <v>0.40227841194197866</v>
      </c>
      <c r="O4050" s="2">
        <f ca="1"/>
        <v>-1.1609232598776378</v>
      </c>
      <c r="X4050" s="2">
        <f ca="1"/>
        <v>44.757449064562479</v>
      </c>
      <c r="AG4050" s="2">
        <f ca="1"/>
        <v>0.72692349626378427</v>
      </c>
      <c r="AH4050" s="2" t="str">
        <f ca="1"/>
        <v>Bad</v>
      </c>
    </row>
    <row r="4051" spans="2:34" x14ac:dyDescent="0.2">
      <c r="B4051" s="2">
        <f ca="1"/>
        <v>0.66615260439758095</v>
      </c>
      <c r="O4051" s="2">
        <f ca="1"/>
        <v>-0.46826787955898747</v>
      </c>
      <c r="X4051" s="2">
        <f ca="1"/>
        <v>57.079111411840259</v>
      </c>
      <c r="AG4051" s="2">
        <f ca="1"/>
        <v>0.16318343296802795</v>
      </c>
      <c r="AH4051" s="2" t="str">
        <f ca="1"/>
        <v>OK</v>
      </c>
    </row>
    <row r="4052" spans="2:34" x14ac:dyDescent="0.2">
      <c r="B4052" s="2">
        <f ca="1"/>
        <v>0.237079631582229</v>
      </c>
      <c r="O4052" s="2">
        <f ca="1"/>
        <v>-0.38797154285746643</v>
      </c>
      <c r="X4052" s="2">
        <f ca="1"/>
        <v>35.180295889130043</v>
      </c>
      <c r="AG4052" s="2">
        <f ca="1"/>
        <v>0.6704119203407326</v>
      </c>
      <c r="AH4052" s="2" t="str">
        <f ca="1"/>
        <v>Bad</v>
      </c>
    </row>
    <row r="4053" spans="2:34" x14ac:dyDescent="0.2">
      <c r="B4053" s="2">
        <f ca="1"/>
        <v>0.31595811130748075</v>
      </c>
      <c r="O4053" s="2">
        <f ca="1"/>
        <v>4.1572107881525065E-2</v>
      </c>
      <c r="X4053" s="2">
        <f ca="1"/>
        <v>52.160095257763039</v>
      </c>
      <c r="AG4053" s="2">
        <f ca="1"/>
        <v>0.82752409989123987</v>
      </c>
      <c r="AH4053" s="2" t="str">
        <f ca="1"/>
        <v>Bad</v>
      </c>
    </row>
    <row r="4054" spans="2:34" x14ac:dyDescent="0.2">
      <c r="B4054" s="2">
        <f ca="1"/>
        <v>0.64558482590606547</v>
      </c>
      <c r="O4054" s="2">
        <f ca="1"/>
        <v>1.615487762398808</v>
      </c>
      <c r="X4054" s="2">
        <f ca="1"/>
        <v>29.454526917428481</v>
      </c>
      <c r="AG4054" s="2">
        <f ca="1"/>
        <v>0.28746945267063162</v>
      </c>
      <c r="AH4054" s="2" t="str">
        <f ca="1"/>
        <v>OK</v>
      </c>
    </row>
    <row r="4055" spans="2:34" x14ac:dyDescent="0.2">
      <c r="B4055" s="2">
        <f ca="1"/>
        <v>0.13254793659103981</v>
      </c>
      <c r="O4055" s="2">
        <f ca="1"/>
        <v>-0.25265639139519536</v>
      </c>
      <c r="X4055" s="2">
        <f ca="1"/>
        <v>49.93412604250166</v>
      </c>
      <c r="AG4055" s="2">
        <f ca="1"/>
        <v>0.16347373660199116</v>
      </c>
      <c r="AH4055" s="2" t="str">
        <f ca="1"/>
        <v>OK</v>
      </c>
    </row>
    <row r="4056" spans="2:34" x14ac:dyDescent="0.2">
      <c r="B4056" s="2">
        <f ca="1"/>
        <v>0.93304430016460049</v>
      </c>
      <c r="O4056" s="2">
        <f ca="1"/>
        <v>0.90028910154966613</v>
      </c>
      <c r="X4056" s="2">
        <f ca="1"/>
        <v>60.73862683271809</v>
      </c>
      <c r="AG4056" s="2">
        <f ca="1"/>
        <v>0.66595908759861966</v>
      </c>
      <c r="AH4056" s="2" t="str">
        <f ca="1"/>
        <v>Bad</v>
      </c>
    </row>
    <row r="4057" spans="2:34" x14ac:dyDescent="0.2">
      <c r="B4057" s="2">
        <f ca="1"/>
        <v>0.13209716218662004</v>
      </c>
      <c r="O4057" s="2">
        <f ca="1"/>
        <v>-7.817913349933403E-2</v>
      </c>
      <c r="X4057" s="2">
        <f ca="1"/>
        <v>40.275638154699891</v>
      </c>
      <c r="AG4057" s="2">
        <f ca="1"/>
        <v>0.32450306655441197</v>
      </c>
      <c r="AH4057" s="2" t="str">
        <f ca="1"/>
        <v>OK</v>
      </c>
    </row>
    <row r="4058" spans="2:34" x14ac:dyDescent="0.2">
      <c r="B4058" s="2">
        <f ca="1"/>
        <v>8.371533817449861E-2</v>
      </c>
      <c r="O4058" s="2">
        <f ca="1"/>
        <v>1.1861964190182201</v>
      </c>
      <c r="X4058" s="2">
        <f ca="1"/>
        <v>44.928644297946349</v>
      </c>
      <c r="AG4058" s="2">
        <f ca="1"/>
        <v>0.61696659935044496</v>
      </c>
      <c r="AH4058" s="2" t="str">
        <f ca="1"/>
        <v>Bad</v>
      </c>
    </row>
    <row r="4059" spans="2:34" x14ac:dyDescent="0.2">
      <c r="B4059" s="2">
        <f ca="1"/>
        <v>0.62449021540746319</v>
      </c>
      <c r="O4059" s="2">
        <f ca="1"/>
        <v>-0.59407012087631006</v>
      </c>
      <c r="X4059" s="2">
        <f ca="1"/>
        <v>51.715446626494312</v>
      </c>
      <c r="AG4059" s="2">
        <f ca="1"/>
        <v>0.61235339770992159</v>
      </c>
      <c r="AH4059" s="2" t="str">
        <f ca="1"/>
        <v>Bad</v>
      </c>
    </row>
    <row r="4060" spans="2:34" x14ac:dyDescent="0.2">
      <c r="B4060" s="2">
        <f ca="1"/>
        <v>0.76038294687281827</v>
      </c>
      <c r="O4060" s="2">
        <f ca="1"/>
        <v>0.47602344164349153</v>
      </c>
      <c r="X4060" s="2">
        <f ca="1"/>
        <v>32.013920440277147</v>
      </c>
      <c r="AG4060" s="2">
        <f ca="1"/>
        <v>0.16319963080398092</v>
      </c>
      <c r="AH4060" s="2" t="str">
        <f ca="1"/>
        <v>OK</v>
      </c>
    </row>
    <row r="4061" spans="2:34" x14ac:dyDescent="0.2">
      <c r="B4061" s="2">
        <f ca="1"/>
        <v>0.56441133897073392</v>
      </c>
      <c r="O4061" s="2">
        <f ca="1"/>
        <v>-0.42127911931463791</v>
      </c>
      <c r="X4061" s="2">
        <f ca="1"/>
        <v>55.180966249497928</v>
      </c>
      <c r="AG4061" s="2">
        <f ca="1"/>
        <v>0.22192703256133761</v>
      </c>
      <c r="AH4061" s="2" t="str">
        <f ca="1"/>
        <v>OK</v>
      </c>
    </row>
    <row r="4062" spans="2:34" x14ac:dyDescent="0.2">
      <c r="B4062" s="2">
        <f ca="1"/>
        <v>0.24519669911562647</v>
      </c>
      <c r="O4062" s="2">
        <f ca="1"/>
        <v>2.4634835921941507</v>
      </c>
      <c r="X4062" s="2">
        <f ca="1"/>
        <v>88.385393292307214</v>
      </c>
      <c r="AG4062" s="2">
        <f ca="1"/>
        <v>0.68955245148358935</v>
      </c>
      <c r="AH4062" s="2" t="str">
        <f ca="1"/>
        <v>Bad</v>
      </c>
    </row>
    <row r="4063" spans="2:34" x14ac:dyDescent="0.2">
      <c r="B4063" s="2">
        <f ca="1"/>
        <v>0.54277103816695083</v>
      </c>
      <c r="O4063" s="2">
        <f ca="1"/>
        <v>0.10476225948924019</v>
      </c>
      <c r="X4063" s="2">
        <f ca="1"/>
        <v>79.408541757387908</v>
      </c>
      <c r="AG4063" s="2">
        <f ca="1"/>
        <v>0.91432630799762404</v>
      </c>
      <c r="AH4063" s="2" t="str">
        <f ca="1"/>
        <v>Bad</v>
      </c>
    </row>
    <row r="4064" spans="2:34" x14ac:dyDescent="0.2">
      <c r="B4064" s="2">
        <f ca="1"/>
        <v>0.28314801437146975</v>
      </c>
      <c r="O4064" s="2">
        <f ca="1"/>
        <v>-1.2198396772711393</v>
      </c>
      <c r="X4064" s="2">
        <f ca="1"/>
        <v>51.804036695078899</v>
      </c>
      <c r="AG4064" s="2">
        <f ca="1"/>
        <v>0.25843690708932865</v>
      </c>
      <c r="AH4064" s="2" t="str">
        <f ca="1"/>
        <v>OK</v>
      </c>
    </row>
    <row r="4065" spans="2:34" x14ac:dyDescent="0.2">
      <c r="B4065" s="2">
        <f ca="1"/>
        <v>0.51106601301043209</v>
      </c>
      <c r="O4065" s="2">
        <f ca="1"/>
        <v>-0.85233062439218943</v>
      </c>
      <c r="X4065" s="2">
        <f ca="1"/>
        <v>39.299774990085091</v>
      </c>
      <c r="AG4065" s="2">
        <f ca="1"/>
        <v>9.1953426040499942E-2</v>
      </c>
      <c r="AH4065" s="2" t="str">
        <f ca="1"/>
        <v>OK</v>
      </c>
    </row>
    <row r="4066" spans="2:34" x14ac:dyDescent="0.2">
      <c r="B4066" s="2">
        <f ca="1"/>
        <v>0.39453462602055378</v>
      </c>
      <c r="O4066" s="2">
        <f ca="1"/>
        <v>-1.1661476082854143</v>
      </c>
      <c r="X4066" s="2">
        <f ca="1"/>
        <v>58.463556151410117</v>
      </c>
      <c r="AG4066" s="2">
        <f ca="1"/>
        <v>0.45521839399984598</v>
      </c>
      <c r="AH4066" s="2" t="str">
        <f ca="1"/>
        <v>Bad</v>
      </c>
    </row>
    <row r="4067" spans="2:34" x14ac:dyDescent="0.2">
      <c r="B4067" s="2">
        <f ca="1"/>
        <v>0.28475552195780707</v>
      </c>
      <c r="O4067" s="2">
        <f ca="1"/>
        <v>0.43356697900012531</v>
      </c>
      <c r="X4067" s="2">
        <f ca="1"/>
        <v>39.883932961265714</v>
      </c>
      <c r="AG4067" s="2">
        <f ca="1"/>
        <v>0.81865259686775049</v>
      </c>
      <c r="AH4067" s="2" t="str">
        <f ca="1"/>
        <v>Bad</v>
      </c>
    </row>
    <row r="4068" spans="2:34" x14ac:dyDescent="0.2">
      <c r="B4068" s="2">
        <f ca="1"/>
        <v>0.45793849790666141</v>
      </c>
      <c r="O4068" s="2">
        <f ca="1"/>
        <v>0.17821700800987628</v>
      </c>
      <c r="X4068" s="2">
        <f ca="1"/>
        <v>36.65868350675894</v>
      </c>
      <c r="AG4068" s="2">
        <f ca="1"/>
        <v>0.38268242390027729</v>
      </c>
      <c r="AH4068" s="2" t="str">
        <f ca="1"/>
        <v>OK</v>
      </c>
    </row>
    <row r="4069" spans="2:34" x14ac:dyDescent="0.2">
      <c r="B4069" s="2">
        <f ca="1"/>
        <v>0.87834838950867544</v>
      </c>
      <c r="O4069" s="2">
        <f ca="1"/>
        <v>-1.3791184290179317</v>
      </c>
      <c r="X4069" s="2">
        <f ca="1"/>
        <v>44.17575831452772</v>
      </c>
      <c r="AG4069" s="2">
        <f ca="1"/>
        <v>8.4648643835698145E-2</v>
      </c>
      <c r="AH4069" s="2" t="str">
        <f ca="1"/>
        <v>OK</v>
      </c>
    </row>
    <row r="4070" spans="2:34" x14ac:dyDescent="0.2">
      <c r="B4070" s="2">
        <f ca="1"/>
        <v>0.3647018711467942</v>
      </c>
      <c r="O4070" s="2">
        <f ca="1"/>
        <v>9.3011454992629625E-2</v>
      </c>
      <c r="X4070" s="2">
        <f ca="1"/>
        <v>28.700781350307857</v>
      </c>
      <c r="AG4070" s="2">
        <f ca="1"/>
        <v>0.6187168910371994</v>
      </c>
      <c r="AH4070" s="2" t="str">
        <f ca="1"/>
        <v>Bad</v>
      </c>
    </row>
    <row r="4071" spans="2:34" x14ac:dyDescent="0.2">
      <c r="B4071" s="2">
        <f ca="1"/>
        <v>0.62132845116666902</v>
      </c>
      <c r="O4071" s="2">
        <f ca="1"/>
        <v>-1.1004333923084155</v>
      </c>
      <c r="X4071" s="2">
        <f ca="1"/>
        <v>38.687391866736974</v>
      </c>
      <c r="AG4071" s="2">
        <f ca="1"/>
        <v>0.66071867461931544</v>
      </c>
      <c r="AH4071" s="2" t="str">
        <f ca="1"/>
        <v>Bad</v>
      </c>
    </row>
    <row r="4072" spans="2:34" x14ac:dyDescent="0.2">
      <c r="B4072" s="2">
        <f ca="1"/>
        <v>0.50588955064191699</v>
      </c>
      <c r="O4072" s="2">
        <f ca="1"/>
        <v>0.92869373626980878</v>
      </c>
      <c r="X4072" s="2">
        <f ca="1"/>
        <v>48.549514775747184</v>
      </c>
      <c r="AG4072" s="2">
        <f ca="1"/>
        <v>7.1222940296782111E-2</v>
      </c>
      <c r="AH4072" s="2" t="str">
        <f ca="1"/>
        <v>OK</v>
      </c>
    </row>
    <row r="4073" spans="2:34" x14ac:dyDescent="0.2">
      <c r="B4073" s="2">
        <f ca="1"/>
        <v>0.12841022265440438</v>
      </c>
      <c r="O4073" s="2">
        <f ca="1"/>
        <v>0.97390421617377232</v>
      </c>
      <c r="X4073" s="2">
        <f ca="1"/>
        <v>46.982292063093212</v>
      </c>
      <c r="AG4073" s="2">
        <f ca="1"/>
        <v>0.98741818503746326</v>
      </c>
      <c r="AH4073" s="2" t="str">
        <f ca="1"/>
        <v>Bad</v>
      </c>
    </row>
    <row r="4074" spans="2:34" x14ac:dyDescent="0.2">
      <c r="B4074" s="2">
        <f ca="1"/>
        <v>0.9458903954207396</v>
      </c>
      <c r="O4074" s="2">
        <f ca="1"/>
        <v>0.10268752822318383</v>
      </c>
      <c r="X4074" s="2">
        <f ca="1"/>
        <v>39.825162120168109</v>
      </c>
      <c r="AG4074" s="2">
        <f ca="1"/>
        <v>0.91909869555960255</v>
      </c>
      <c r="AH4074" s="2" t="str">
        <f ca="1"/>
        <v>Bad</v>
      </c>
    </row>
    <row r="4075" spans="2:34" x14ac:dyDescent="0.2">
      <c r="B4075" s="2">
        <f ca="1"/>
        <v>0.97234990643386787</v>
      </c>
      <c r="O4075" s="2">
        <f ca="1"/>
        <v>1.3183283041951617</v>
      </c>
      <c r="X4075" s="2">
        <f ca="1"/>
        <v>82.493573975898016</v>
      </c>
      <c r="AG4075" s="2">
        <f ca="1"/>
        <v>0.64928659945789957</v>
      </c>
      <c r="AH4075" s="2" t="str">
        <f ca="1"/>
        <v>Bad</v>
      </c>
    </row>
    <row r="4076" spans="2:34" x14ac:dyDescent="0.2">
      <c r="B4076" s="2">
        <f ca="1"/>
        <v>0.20988912746880084</v>
      </c>
      <c r="O4076" s="2">
        <f ca="1"/>
        <v>-1.1134926719417415</v>
      </c>
      <c r="X4076" s="2">
        <f ca="1"/>
        <v>78.54626732397665</v>
      </c>
      <c r="AG4076" s="2">
        <f ca="1"/>
        <v>0.70533843823648912</v>
      </c>
      <c r="AH4076" s="2" t="str">
        <f ca="1"/>
        <v>Bad</v>
      </c>
    </row>
    <row r="4077" spans="2:34" x14ac:dyDescent="0.2">
      <c r="B4077" s="2">
        <f ca="1"/>
        <v>0.10933174248548316</v>
      </c>
      <c r="O4077" s="2">
        <f ca="1"/>
        <v>-1.9192410406001101</v>
      </c>
      <c r="X4077" s="2">
        <f ca="1"/>
        <v>38.898546716799999</v>
      </c>
      <c r="AG4077" s="2">
        <f ca="1"/>
        <v>0.60884812666538446</v>
      </c>
      <c r="AH4077" s="2" t="str">
        <f ca="1"/>
        <v>Bad</v>
      </c>
    </row>
    <row r="4078" spans="2:34" x14ac:dyDescent="0.2">
      <c r="B4078" s="2">
        <f ca="1"/>
        <v>0.75180380081597553</v>
      </c>
      <c r="O4078" s="2">
        <f ca="1"/>
        <v>0.25196183699054536</v>
      </c>
      <c r="X4078" s="2">
        <f ca="1"/>
        <v>58.999130095842233</v>
      </c>
      <c r="AG4078" s="2">
        <f ca="1"/>
        <v>6.5398099379327945E-3</v>
      </c>
      <c r="AH4078" s="2" t="str">
        <f ca="1"/>
        <v>Good</v>
      </c>
    </row>
    <row r="4079" spans="2:34" x14ac:dyDescent="0.2">
      <c r="B4079" s="2">
        <f ca="1"/>
        <v>0.88834035627981311</v>
      </c>
      <c r="O4079" s="2">
        <f ca="1"/>
        <v>0.68731449370164499</v>
      </c>
      <c r="X4079" s="2">
        <f ca="1"/>
        <v>68.886938526853839</v>
      </c>
      <c r="AG4079" s="2">
        <f ca="1"/>
        <v>0.19855134561943477</v>
      </c>
      <c r="AH4079" s="2" t="str">
        <f ca="1"/>
        <v>OK</v>
      </c>
    </row>
    <row r="4080" spans="2:34" x14ac:dyDescent="0.2">
      <c r="B4080" s="2">
        <f ca="1"/>
        <v>6.5510250676257709E-2</v>
      </c>
      <c r="O4080" s="2">
        <f ca="1"/>
        <v>0.64384569786015278</v>
      </c>
      <c r="X4080" s="2">
        <f ca="1"/>
        <v>54.424154421170677</v>
      </c>
      <c r="AG4080" s="2">
        <f ca="1"/>
        <v>0.30507843087277675</v>
      </c>
      <c r="AH4080" s="2" t="str">
        <f ca="1"/>
        <v>OK</v>
      </c>
    </row>
    <row r="4081" spans="2:34" x14ac:dyDescent="0.2">
      <c r="B4081" s="2">
        <f ca="1"/>
        <v>0.27256354897600543</v>
      </c>
      <c r="O4081" s="2">
        <f ca="1"/>
        <v>-0.78194190858649648</v>
      </c>
      <c r="X4081" s="2">
        <f ca="1"/>
        <v>66.882885545283386</v>
      </c>
      <c r="AG4081" s="2">
        <f ca="1"/>
        <v>0.9355104502005569</v>
      </c>
      <c r="AH4081" s="2" t="str">
        <f ca="1"/>
        <v>Bad</v>
      </c>
    </row>
    <row r="4082" spans="2:34" x14ac:dyDescent="0.2">
      <c r="B4082" s="2">
        <f ca="1"/>
        <v>4.195881334035767E-2</v>
      </c>
      <c r="O4082" s="2">
        <f ca="1"/>
        <v>-0.4590410698781146</v>
      </c>
      <c r="X4082" s="2">
        <f ca="1"/>
        <v>59.096008990890724</v>
      </c>
      <c r="AG4082" s="2">
        <f ca="1"/>
        <v>0.95560336052963346</v>
      </c>
      <c r="AH4082" s="2" t="str">
        <f ca="1"/>
        <v>Bad</v>
      </c>
    </row>
    <row r="4083" spans="2:34" x14ac:dyDescent="0.2">
      <c r="B4083" s="2">
        <f ca="1"/>
        <v>0.69775136660977211</v>
      </c>
      <c r="O4083" s="2">
        <f ca="1"/>
        <v>0.45066812055772904</v>
      </c>
      <c r="X4083" s="2">
        <f ca="1"/>
        <v>70.759224706276186</v>
      </c>
      <c r="AG4083" s="2">
        <f ca="1"/>
        <v>0.15516307193456913</v>
      </c>
      <c r="AH4083" s="2" t="str">
        <f ca="1"/>
        <v>OK</v>
      </c>
    </row>
    <row r="4084" spans="2:34" x14ac:dyDescent="0.2">
      <c r="B4084" s="2">
        <f ca="1"/>
        <v>0.18130520964803787</v>
      </c>
      <c r="O4084" s="2">
        <f ca="1"/>
        <v>1.2908127372746503</v>
      </c>
      <c r="X4084" s="2">
        <f ca="1"/>
        <v>57.437213586209914</v>
      </c>
      <c r="AG4084" s="2">
        <f ca="1"/>
        <v>0.69859846073373499</v>
      </c>
      <c r="AH4084" s="2" t="str">
        <f ca="1"/>
        <v>Bad</v>
      </c>
    </row>
    <row r="4085" spans="2:34" x14ac:dyDescent="0.2">
      <c r="B4085" s="2">
        <f ca="1"/>
        <v>0.44912591298530136</v>
      </c>
      <c r="O4085" s="2">
        <f ca="1"/>
        <v>-0.20111403028455127</v>
      </c>
      <c r="X4085" s="2">
        <f ca="1"/>
        <v>82.635196058282858</v>
      </c>
      <c r="AG4085" s="2">
        <f ca="1"/>
        <v>0.39414484987304998</v>
      </c>
      <c r="AH4085" s="2" t="str">
        <f ca="1"/>
        <v>OK</v>
      </c>
    </row>
    <row r="4086" spans="2:34" x14ac:dyDescent="0.2">
      <c r="B4086" s="2">
        <f ca="1"/>
        <v>0.80675758658354169</v>
      </c>
      <c r="O4086" s="2">
        <f ca="1"/>
        <v>-1.3930308107067396E-3</v>
      </c>
      <c r="X4086" s="2">
        <f ca="1"/>
        <v>45.324212565490463</v>
      </c>
      <c r="AG4086" s="2">
        <f ca="1"/>
        <v>0.33278824236685045</v>
      </c>
      <c r="AH4086" s="2" t="str">
        <f ca="1"/>
        <v>OK</v>
      </c>
    </row>
    <row r="4087" spans="2:34" x14ac:dyDescent="0.2">
      <c r="B4087" s="2">
        <f ca="1"/>
        <v>0.53945393242234396</v>
      </c>
      <c r="O4087" s="2">
        <f ca="1"/>
        <v>1.4080882681033071</v>
      </c>
      <c r="X4087" s="2">
        <f ca="1"/>
        <v>49.041059829861879</v>
      </c>
      <c r="AG4087" s="2">
        <f ca="1"/>
        <v>3.3319681428796377E-2</v>
      </c>
      <c r="AH4087" s="2" t="str">
        <f ca="1"/>
        <v>Good</v>
      </c>
    </row>
    <row r="4088" spans="2:34" x14ac:dyDescent="0.2">
      <c r="B4088" s="2">
        <f ca="1"/>
        <v>0.80427399612393824</v>
      </c>
      <c r="O4088" s="2">
        <f ca="1"/>
        <v>-0.24144475279498295</v>
      </c>
      <c r="X4088" s="2">
        <f ca="1"/>
        <v>24.813089263390644</v>
      </c>
      <c r="AG4088" s="2">
        <f ca="1"/>
        <v>0.7198876418125606</v>
      </c>
      <c r="AH4088" s="2" t="str">
        <f ca="1"/>
        <v>Bad</v>
      </c>
    </row>
    <row r="4089" spans="2:34" x14ac:dyDescent="0.2">
      <c r="B4089" s="2">
        <f ca="1"/>
        <v>0.19968296772847793</v>
      </c>
      <c r="O4089" s="2">
        <f ca="1"/>
        <v>0.46548844769791525</v>
      </c>
      <c r="X4089" s="2">
        <f ca="1"/>
        <v>63.066352034257349</v>
      </c>
      <c r="AG4089" s="2">
        <f ca="1"/>
        <v>0.33491776896370973</v>
      </c>
      <c r="AH4089" s="2" t="str">
        <f ca="1"/>
        <v>OK</v>
      </c>
    </row>
    <row r="4090" spans="2:34" x14ac:dyDescent="0.2">
      <c r="B4090" s="2">
        <f ca="1"/>
        <v>0.34025992225764301</v>
      </c>
      <c r="O4090" s="2">
        <f ca="1"/>
        <v>-1.9792645143060354</v>
      </c>
      <c r="X4090" s="2">
        <f ca="1"/>
        <v>75.070024467045812</v>
      </c>
      <c r="AG4090" s="2">
        <f ca="1"/>
        <v>0.6491074415824305</v>
      </c>
      <c r="AH4090" s="2" t="str">
        <f ca="1"/>
        <v>Bad</v>
      </c>
    </row>
    <row r="4091" spans="2:34" x14ac:dyDescent="0.2">
      <c r="B4091" s="2">
        <f ca="1"/>
        <v>0.71937716421141085</v>
      </c>
      <c r="O4091" s="2">
        <f ca="1"/>
        <v>-0.13607645152078474</v>
      </c>
      <c r="X4091" s="2">
        <f ca="1"/>
        <v>43.248415665104105</v>
      </c>
      <c r="AG4091" s="2">
        <f ca="1"/>
        <v>0.78006649100287095</v>
      </c>
      <c r="AH4091" s="2" t="str">
        <f ca="1"/>
        <v>Bad</v>
      </c>
    </row>
    <row r="4092" spans="2:34" x14ac:dyDescent="0.2">
      <c r="B4092" s="2">
        <f ca="1"/>
        <v>7.4453336269493242E-2</v>
      </c>
      <c r="O4092" s="2">
        <f ca="1"/>
        <v>-1.2979291972225842</v>
      </c>
      <c r="X4092" s="2">
        <f ca="1"/>
        <v>47.384918703050388</v>
      </c>
      <c r="AG4092" s="2">
        <f ca="1"/>
        <v>0.4840568527036575</v>
      </c>
      <c r="AH4092" s="2" t="str">
        <f ca="1"/>
        <v>Bad</v>
      </c>
    </row>
    <row r="4093" spans="2:34" x14ac:dyDescent="0.2">
      <c r="B4093" s="2">
        <f ca="1"/>
        <v>0.63821253858504989</v>
      </c>
      <c r="O4093" s="2">
        <f ca="1"/>
        <v>-0.76355896504393672</v>
      </c>
      <c r="X4093" s="2">
        <f ca="1"/>
        <v>64.389508189163791</v>
      </c>
      <c r="AG4093" s="2">
        <f ca="1"/>
        <v>0.55507758566453691</v>
      </c>
      <c r="AH4093" s="2" t="str">
        <f ca="1"/>
        <v>Bad</v>
      </c>
    </row>
    <row r="4094" spans="2:34" x14ac:dyDescent="0.2">
      <c r="B4094" s="2">
        <f ca="1"/>
        <v>0.44884256912085285</v>
      </c>
      <c r="O4094" s="2">
        <f ca="1"/>
        <v>0.81893276305280194</v>
      </c>
      <c r="X4094" s="2">
        <f ca="1"/>
        <v>47.629122137173077</v>
      </c>
      <c r="AG4094" s="2">
        <f ca="1"/>
        <v>0.90105838677866146</v>
      </c>
      <c r="AH4094" s="2" t="str">
        <f ca="1"/>
        <v>Bad</v>
      </c>
    </row>
    <row r="4095" spans="2:34" x14ac:dyDescent="0.2">
      <c r="B4095" s="2">
        <f ca="1"/>
        <v>0.1192197150740808</v>
      </c>
      <c r="O4095" s="2">
        <f ca="1"/>
        <v>-3.843032079131406E-2</v>
      </c>
      <c r="X4095" s="2">
        <f ca="1"/>
        <v>53.629189265100692</v>
      </c>
      <c r="AG4095" s="2">
        <f ca="1"/>
        <v>0.98320818753024986</v>
      </c>
      <c r="AH4095" s="2" t="str">
        <f ca="1"/>
        <v>Bad</v>
      </c>
    </row>
    <row r="4096" spans="2:34" x14ac:dyDescent="0.2">
      <c r="B4096" s="2">
        <f ca="1"/>
        <v>0.17556767581517851</v>
      </c>
      <c r="O4096" s="2">
        <f ca="1"/>
        <v>0.40547853583064514</v>
      </c>
      <c r="X4096" s="2">
        <f ca="1"/>
        <v>43.962509976885599</v>
      </c>
      <c r="AG4096" s="2">
        <f ca="1"/>
        <v>0.38543934420051751</v>
      </c>
      <c r="AH4096" s="2" t="str">
        <f ca="1"/>
        <v>OK</v>
      </c>
    </row>
    <row r="4097" spans="2:34" x14ac:dyDescent="0.2">
      <c r="B4097" s="2">
        <f ca="1"/>
        <v>0.65575883258175716</v>
      </c>
      <c r="O4097" s="2">
        <f ca="1"/>
        <v>-0.58679226363679959</v>
      </c>
      <c r="X4097" s="2">
        <f ca="1"/>
        <v>78.042705471101215</v>
      </c>
      <c r="AG4097" s="2">
        <f ca="1"/>
        <v>0.19647300733785755</v>
      </c>
      <c r="AH4097" s="2" t="str">
        <f ca="1"/>
        <v>OK</v>
      </c>
    </row>
    <row r="4098" spans="2:34" x14ac:dyDescent="0.2">
      <c r="B4098" s="2">
        <f ca="1"/>
        <v>0.59940874101626895</v>
      </c>
      <c r="O4098" s="2">
        <f ca="1"/>
        <v>7.4729004081068251E-2</v>
      </c>
      <c r="X4098" s="2">
        <f ca="1"/>
        <v>56.590821665951466</v>
      </c>
      <c r="AG4098" s="2">
        <f ca="1"/>
        <v>0.79379882300324778</v>
      </c>
      <c r="AH4098" s="2" t="str">
        <f ca="1"/>
        <v>Bad</v>
      </c>
    </row>
    <row r="4099" spans="2:34" x14ac:dyDescent="0.2">
      <c r="B4099" s="2">
        <f ca="1"/>
        <v>0.85212018681435397</v>
      </c>
      <c r="O4099" s="2">
        <f ca="1"/>
        <v>0.14530388355016566</v>
      </c>
      <c r="X4099" s="2">
        <f ca="1"/>
        <v>41.169576574803443</v>
      </c>
      <c r="AG4099" s="2">
        <f ca="1"/>
        <v>2.3410375655734672E-3</v>
      </c>
      <c r="AH4099" s="2" t="str">
        <f ca="1"/>
        <v>Good</v>
      </c>
    </row>
    <row r="4100" spans="2:34" x14ac:dyDescent="0.2">
      <c r="B4100" s="2">
        <f ca="1"/>
        <v>0.47329281517151189</v>
      </c>
      <c r="O4100" s="2">
        <f ca="1"/>
        <v>-2.4039192913753538</v>
      </c>
      <c r="X4100" s="2">
        <f ca="1"/>
        <v>61.856538330100193</v>
      </c>
      <c r="AG4100" s="2">
        <f ca="1"/>
        <v>0.60410245596979428</v>
      </c>
      <c r="AH4100" s="2" t="str">
        <f ca="1"/>
        <v>Bad</v>
      </c>
    </row>
    <row r="4101" spans="2:34" x14ac:dyDescent="0.2">
      <c r="B4101" s="2">
        <f ca="1"/>
        <v>0.37652394043043458</v>
      </c>
      <c r="O4101" s="2">
        <f ca="1"/>
        <v>2.0878740721902464E-3</v>
      </c>
      <c r="X4101" s="2">
        <f ca="1"/>
        <v>27.817144336348814</v>
      </c>
      <c r="AG4101" s="2">
        <f ca="1"/>
        <v>0.66120390058144718</v>
      </c>
      <c r="AH4101" s="2" t="str">
        <f ca="1"/>
        <v>Bad</v>
      </c>
    </row>
    <row r="4102" spans="2:34" x14ac:dyDescent="0.2">
      <c r="B4102" s="2">
        <f ca="1"/>
        <v>0.92754047284520391</v>
      </c>
      <c r="O4102" s="2">
        <f ca="1"/>
        <v>0.91191655752388845</v>
      </c>
      <c r="X4102" s="2">
        <f ca="1"/>
        <v>109.57014278311095</v>
      </c>
      <c r="AG4102" s="2">
        <f ca="1"/>
        <v>0.86302930742235762</v>
      </c>
      <c r="AH4102" s="2" t="str">
        <f ca="1"/>
        <v>Bad</v>
      </c>
    </row>
    <row r="4103" spans="2:34" x14ac:dyDescent="0.2">
      <c r="B4103" s="2">
        <f ca="1"/>
        <v>7.5354658836227051E-2</v>
      </c>
      <c r="O4103" s="2">
        <f ca="1"/>
        <v>1.2008199635056678</v>
      </c>
      <c r="X4103" s="2">
        <f ca="1"/>
        <v>50.880038939235533</v>
      </c>
      <c r="AG4103" s="2">
        <f ca="1"/>
        <v>0.26751644637245753</v>
      </c>
      <c r="AH4103" s="2" t="str">
        <f ca="1"/>
        <v>OK</v>
      </c>
    </row>
    <row r="4104" spans="2:34" x14ac:dyDescent="0.2">
      <c r="B4104" s="2">
        <f ca="1"/>
        <v>0.87371197457138905</v>
      </c>
      <c r="O4104" s="2">
        <f ca="1"/>
        <v>0.49142017376196478</v>
      </c>
      <c r="X4104" s="2">
        <f ca="1"/>
        <v>52.790679797720017</v>
      </c>
      <c r="AG4104" s="2">
        <f ca="1"/>
        <v>0.33031818237994304</v>
      </c>
      <c r="AH4104" s="2" t="str">
        <f ca="1"/>
        <v>OK</v>
      </c>
    </row>
    <row r="4105" spans="2:34" x14ac:dyDescent="0.2">
      <c r="B4105" s="2">
        <f ca="1"/>
        <v>0.37487596997887218</v>
      </c>
      <c r="O4105" s="2">
        <f ca="1"/>
        <v>1.7046366723361264</v>
      </c>
      <c r="X4105" s="2">
        <f ca="1"/>
        <v>29.93372435731159</v>
      </c>
      <c r="AG4105" s="2">
        <f ca="1"/>
        <v>0.64364118951666716</v>
      </c>
      <c r="AH4105" s="2" t="str">
        <f ca="1"/>
        <v>Bad</v>
      </c>
    </row>
    <row r="4106" spans="2:34" x14ac:dyDescent="0.2">
      <c r="B4106" s="2">
        <f ca="1"/>
        <v>0.49544171654445801</v>
      </c>
      <c r="O4106" s="2">
        <f ca="1"/>
        <v>0.37425996782595949</v>
      </c>
      <c r="X4106" s="2">
        <f ca="1"/>
        <v>63.397872152261058</v>
      </c>
      <c r="AG4106" s="2">
        <f ca="1"/>
        <v>0.83309936792149819</v>
      </c>
      <c r="AH4106" s="2" t="str">
        <f ca="1"/>
        <v>Bad</v>
      </c>
    </row>
    <row r="4107" spans="2:34" x14ac:dyDescent="0.2">
      <c r="B4107" s="2">
        <f ca="1"/>
        <v>0.81854532797574198</v>
      </c>
      <c r="O4107" s="2">
        <f ca="1"/>
        <v>0.84218853527356607</v>
      </c>
      <c r="X4107" s="2">
        <f ca="1"/>
        <v>44.752798842309637</v>
      </c>
      <c r="AG4107" s="2">
        <f ca="1"/>
        <v>0.83873577540728483</v>
      </c>
      <c r="AH4107" s="2" t="str">
        <f ca="1"/>
        <v>Bad</v>
      </c>
    </row>
    <row r="4108" spans="2:34" x14ac:dyDescent="0.2">
      <c r="B4108" s="2">
        <f ca="1"/>
        <v>0.3798810079013113</v>
      </c>
      <c r="O4108" s="2">
        <f ca="1"/>
        <v>-1.1425005368689487</v>
      </c>
      <c r="X4108" s="2">
        <f ca="1"/>
        <v>67.261941627688955</v>
      </c>
      <c r="AG4108" s="2">
        <f ca="1"/>
        <v>0.92755933684459801</v>
      </c>
      <c r="AH4108" s="2" t="str">
        <f ca="1"/>
        <v>Bad</v>
      </c>
    </row>
    <row r="4109" spans="2:34" x14ac:dyDescent="0.2">
      <c r="B4109" s="2">
        <f ca="1"/>
        <v>0.43796227628905382</v>
      </c>
      <c r="O4109" s="2">
        <f ca="1"/>
        <v>-2.7089213153282525</v>
      </c>
      <c r="X4109" s="2">
        <f ca="1"/>
        <v>66.322334362344165</v>
      </c>
      <c r="AG4109" s="2">
        <f ca="1"/>
        <v>0.88072677821345025</v>
      </c>
      <c r="AH4109" s="2" t="str">
        <f ca="1"/>
        <v>Bad</v>
      </c>
    </row>
    <row r="4110" spans="2:34" x14ac:dyDescent="0.2">
      <c r="B4110" s="2">
        <f ca="1"/>
        <v>0.9635593319877378</v>
      </c>
      <c r="O4110" s="2">
        <f ca="1"/>
        <v>0.27783118193397149</v>
      </c>
      <c r="X4110" s="2">
        <f ca="1"/>
        <v>34.264715176401388</v>
      </c>
      <c r="AG4110" s="2">
        <f ca="1"/>
        <v>0.75293570311900893</v>
      </c>
      <c r="AH4110" s="2" t="str">
        <f ca="1"/>
        <v>Bad</v>
      </c>
    </row>
    <row r="4111" spans="2:34" x14ac:dyDescent="0.2">
      <c r="B4111" s="2">
        <f ca="1"/>
        <v>0.83553483895709202</v>
      </c>
      <c r="O4111" s="2">
        <f ca="1"/>
        <v>-3.1736831255334129E-2</v>
      </c>
      <c r="X4111" s="2">
        <f ca="1"/>
        <v>52.495978757008224</v>
      </c>
      <c r="AG4111" s="2">
        <f ca="1"/>
        <v>0.63909830068408358</v>
      </c>
      <c r="AH4111" s="2" t="str">
        <f ca="1"/>
        <v>Bad</v>
      </c>
    </row>
    <row r="4112" spans="2:34" x14ac:dyDescent="0.2">
      <c r="B4112" s="2">
        <f ca="1"/>
        <v>0.39129589887450589</v>
      </c>
      <c r="O4112" s="2">
        <f ca="1"/>
        <v>-0.47596139355250144</v>
      </c>
      <c r="X4112" s="2">
        <f ca="1"/>
        <v>80.860970934145158</v>
      </c>
      <c r="AG4112" s="2">
        <f ca="1"/>
        <v>0.54544066409876768</v>
      </c>
      <c r="AH4112" s="2" t="str">
        <f ca="1"/>
        <v>Bad</v>
      </c>
    </row>
    <row r="4113" spans="2:34" x14ac:dyDescent="0.2">
      <c r="B4113" s="2">
        <f ca="1"/>
        <v>0.1710386521435352</v>
      </c>
      <c r="O4113" s="2">
        <f ca="1"/>
        <v>1.0505695927672782</v>
      </c>
      <c r="X4113" s="2">
        <f ca="1"/>
        <v>43.23373711688663</v>
      </c>
      <c r="AG4113" s="2">
        <f ca="1"/>
        <v>0.5885459878286956</v>
      </c>
      <c r="AH4113" s="2" t="str">
        <f ca="1"/>
        <v>Bad</v>
      </c>
    </row>
    <row r="4114" spans="2:34" x14ac:dyDescent="0.2">
      <c r="B4114" s="2">
        <f ca="1"/>
        <v>0.8879983194503589</v>
      </c>
      <c r="O4114" s="2">
        <f ca="1"/>
        <v>1.721089054955943</v>
      </c>
      <c r="X4114" s="2">
        <f ca="1"/>
        <v>41.929800426042689</v>
      </c>
      <c r="AG4114" s="2">
        <f ca="1"/>
        <v>0.84619932532920683</v>
      </c>
      <c r="AH4114" s="2" t="str">
        <f ca="1"/>
        <v>Bad</v>
      </c>
    </row>
    <row r="4115" spans="2:34" x14ac:dyDescent="0.2">
      <c r="B4115" s="2">
        <f ca="1"/>
        <v>8.9228911069213934E-2</v>
      </c>
      <c r="O4115" s="2">
        <f ca="1"/>
        <v>-1.799983786764042</v>
      </c>
      <c r="X4115" s="2">
        <f ca="1"/>
        <v>47.104933797544376</v>
      </c>
      <c r="AG4115" s="2">
        <f ca="1"/>
        <v>0.10804664204896652</v>
      </c>
      <c r="AH4115" s="2" t="str">
        <f ca="1"/>
        <v>OK</v>
      </c>
    </row>
    <row r="4116" spans="2:34" x14ac:dyDescent="0.2">
      <c r="B4116" s="2">
        <f ca="1"/>
        <v>0.86403467634732189</v>
      </c>
      <c r="O4116" s="2">
        <f ca="1"/>
        <v>-1.1155162435829269</v>
      </c>
      <c r="X4116" s="2">
        <f ca="1"/>
        <v>26.519554579385879</v>
      </c>
      <c r="AG4116" s="2">
        <f ca="1"/>
        <v>0.85205580509406942</v>
      </c>
      <c r="AH4116" s="2" t="str">
        <f ca="1"/>
        <v>Bad</v>
      </c>
    </row>
    <row r="4117" spans="2:34" x14ac:dyDescent="0.2">
      <c r="B4117" s="2">
        <f ca="1"/>
        <v>9.7912634663264164E-2</v>
      </c>
      <c r="O4117" s="2">
        <f ca="1"/>
        <v>0.98313446757111089</v>
      </c>
      <c r="X4117" s="2">
        <f ca="1"/>
        <v>51.593523324854701</v>
      </c>
      <c r="AG4117" s="2">
        <f ca="1"/>
        <v>8.6665440228681945E-2</v>
      </c>
      <c r="AH4117" s="2" t="str">
        <f ca="1"/>
        <v>OK</v>
      </c>
    </row>
    <row r="4118" spans="2:34" x14ac:dyDescent="0.2">
      <c r="B4118" s="2">
        <f ca="1"/>
        <v>0.57657552554287039</v>
      </c>
      <c r="O4118" s="2">
        <f ca="1"/>
        <v>-0.74114425829228714</v>
      </c>
      <c r="X4118" s="2">
        <f ca="1"/>
        <v>74.90498811043939</v>
      </c>
      <c r="AG4118" s="2">
        <f ca="1"/>
        <v>0.33363772232384226</v>
      </c>
      <c r="AH4118" s="2" t="str">
        <f ca="1"/>
        <v>OK</v>
      </c>
    </row>
    <row r="4119" spans="2:34" x14ac:dyDescent="0.2">
      <c r="B4119" s="2">
        <f ca="1"/>
        <v>0.80902772248115906</v>
      </c>
      <c r="O4119" s="2">
        <f ca="1"/>
        <v>-0.55187987649355219</v>
      </c>
      <c r="X4119" s="2">
        <f ca="1"/>
        <v>50.314922134122639</v>
      </c>
      <c r="AG4119" s="2">
        <f ca="1"/>
        <v>0.4470719713131277</v>
      </c>
      <c r="AH4119" s="2" t="str">
        <f ca="1"/>
        <v>Bad</v>
      </c>
    </row>
    <row r="4120" spans="2:34" x14ac:dyDescent="0.2">
      <c r="B4120" s="2">
        <f ca="1"/>
        <v>0.71659257008480326</v>
      </c>
      <c r="O4120" s="2">
        <f ca="1"/>
        <v>-0.82055139866955129</v>
      </c>
      <c r="X4120" s="2">
        <f ca="1"/>
        <v>51.503789028673694</v>
      </c>
      <c r="AG4120" s="2">
        <f ca="1"/>
        <v>0.29984638888202508</v>
      </c>
      <c r="AH4120" s="2" t="str">
        <f ca="1"/>
        <v>OK</v>
      </c>
    </row>
    <row r="4121" spans="2:34" x14ac:dyDescent="0.2">
      <c r="B4121" s="2">
        <f ca="1"/>
        <v>8.9841458657009543E-3</v>
      </c>
      <c r="O4121" s="2">
        <f ca="1"/>
        <v>0.53759910595044402</v>
      </c>
      <c r="X4121" s="2">
        <f ca="1"/>
        <v>70.201273866860134</v>
      </c>
      <c r="AG4121" s="2">
        <f ca="1"/>
        <v>0.51278055099477826</v>
      </c>
      <c r="AH4121" s="2" t="str">
        <f ca="1"/>
        <v>Bad</v>
      </c>
    </row>
    <row r="4122" spans="2:34" x14ac:dyDescent="0.2">
      <c r="B4122" s="2">
        <f ca="1"/>
        <v>0.23482938803470987</v>
      </c>
      <c r="O4122" s="2">
        <f ca="1"/>
        <v>0.28681015198150778</v>
      </c>
      <c r="X4122" s="2">
        <f ca="1"/>
        <v>56.94588547734898</v>
      </c>
      <c r="AG4122" s="2">
        <f ca="1"/>
        <v>0.4375549224625177</v>
      </c>
      <c r="AH4122" s="2" t="str">
        <f ca="1"/>
        <v>Bad</v>
      </c>
    </row>
    <row r="4123" spans="2:34" x14ac:dyDescent="0.2">
      <c r="B4123" s="2">
        <f ca="1"/>
        <v>0.95821120852829189</v>
      </c>
      <c r="O4123" s="2">
        <f ca="1"/>
        <v>-0.78008136835660269</v>
      </c>
      <c r="X4123" s="2">
        <f ca="1"/>
        <v>30.052574451106903</v>
      </c>
      <c r="AG4123" s="2">
        <f ca="1"/>
        <v>0.67056880470989477</v>
      </c>
      <c r="AH4123" s="2" t="str">
        <f ca="1"/>
        <v>Bad</v>
      </c>
    </row>
    <row r="4124" spans="2:34" x14ac:dyDescent="0.2">
      <c r="B4124" s="2">
        <f ca="1"/>
        <v>0.96278704144719951</v>
      </c>
      <c r="O4124" s="2">
        <f ca="1"/>
        <v>-1.5195091980128064</v>
      </c>
      <c r="X4124" s="2">
        <f ca="1"/>
        <v>28.803141600405112</v>
      </c>
      <c r="AG4124" s="2">
        <f ca="1"/>
        <v>0.22258157124881639</v>
      </c>
      <c r="AH4124" s="2" t="str">
        <f ca="1"/>
        <v>OK</v>
      </c>
    </row>
    <row r="4125" spans="2:34" x14ac:dyDescent="0.2">
      <c r="B4125" s="2">
        <f ca="1"/>
        <v>0.72261627766291237</v>
      </c>
      <c r="O4125" s="2">
        <f ca="1"/>
        <v>0.53768902053048251</v>
      </c>
      <c r="X4125" s="2">
        <f ca="1"/>
        <v>61.114487164089013</v>
      </c>
      <c r="AG4125" s="2">
        <f ca="1"/>
        <v>0.98465908448513106</v>
      </c>
      <c r="AH4125" s="2" t="str">
        <f ca="1"/>
        <v>Bad</v>
      </c>
    </row>
    <row r="4126" spans="2:34" x14ac:dyDescent="0.2">
      <c r="B4126" s="2">
        <f ca="1"/>
        <v>0.65227426207244177</v>
      </c>
      <c r="O4126" s="2">
        <f ca="1"/>
        <v>-0.36059236989038013</v>
      </c>
      <c r="X4126" s="2">
        <f ca="1"/>
        <v>86.754465913613856</v>
      </c>
      <c r="AG4126" s="2">
        <f ca="1"/>
        <v>0.65554069912872426</v>
      </c>
      <c r="AH4126" s="2" t="str">
        <f ca="1"/>
        <v>Bad</v>
      </c>
    </row>
    <row r="4127" spans="2:34" x14ac:dyDescent="0.2">
      <c r="B4127" s="2">
        <f ca="1"/>
        <v>4.6531094188741795E-2</v>
      </c>
      <c r="O4127" s="2">
        <f ca="1"/>
        <v>2.3175143381293872</v>
      </c>
      <c r="X4127" s="2">
        <f ca="1"/>
        <v>91.300665441284707</v>
      </c>
      <c r="AG4127" s="2">
        <f ca="1"/>
        <v>0.72528897277992055</v>
      </c>
      <c r="AH4127" s="2" t="str">
        <f ca="1"/>
        <v>Bad</v>
      </c>
    </row>
    <row r="4128" spans="2:34" x14ac:dyDescent="0.2">
      <c r="B4128" s="2">
        <f ca="1"/>
        <v>2.1657347649220116E-2</v>
      </c>
      <c r="O4128" s="2">
        <f ca="1"/>
        <v>8.1063982665622203E-2</v>
      </c>
      <c r="X4128" s="2">
        <f ca="1"/>
        <v>30.758133840940275</v>
      </c>
      <c r="AG4128" s="2">
        <f ca="1"/>
        <v>0.32318221841904426</v>
      </c>
      <c r="AH4128" s="2" t="str">
        <f ca="1"/>
        <v>OK</v>
      </c>
    </row>
    <row r="4129" spans="2:34" x14ac:dyDescent="0.2">
      <c r="B4129" s="2">
        <f ca="1"/>
        <v>0.40119819689462233</v>
      </c>
      <c r="O4129" s="2">
        <f ca="1"/>
        <v>-6.835439980070683E-2</v>
      </c>
      <c r="X4129" s="2">
        <f ca="1"/>
        <v>41.093235103260675</v>
      </c>
      <c r="AG4129" s="2">
        <f ca="1"/>
        <v>0.94123252946852287</v>
      </c>
      <c r="AH4129" s="2" t="str">
        <f ca="1"/>
        <v>Bad</v>
      </c>
    </row>
    <row r="4130" spans="2:34" x14ac:dyDescent="0.2">
      <c r="B4130" s="2">
        <f ca="1"/>
        <v>0.40244252529700963</v>
      </c>
      <c r="O4130" s="2">
        <f ca="1"/>
        <v>-0.11487044679691556</v>
      </c>
      <c r="X4130" s="2">
        <f ca="1"/>
        <v>42.567700959186219</v>
      </c>
      <c r="AG4130" s="2">
        <f ca="1"/>
        <v>0.40539588541356553</v>
      </c>
      <c r="AH4130" s="2" t="str">
        <f ca="1"/>
        <v>Bad</v>
      </c>
    </row>
    <row r="4131" spans="2:34" x14ac:dyDescent="0.2">
      <c r="B4131" s="2">
        <f ca="1"/>
        <v>0.35841931315873099</v>
      </c>
      <c r="O4131" s="2">
        <f ca="1"/>
        <v>5.213431320047511E-2</v>
      </c>
      <c r="X4131" s="2">
        <f ca="1"/>
        <v>68.217817346245155</v>
      </c>
      <c r="AG4131" s="2">
        <f ca="1"/>
        <v>0.54493875392954694</v>
      </c>
      <c r="AH4131" s="2" t="str">
        <f ca="1"/>
        <v>Bad</v>
      </c>
    </row>
    <row r="4132" spans="2:34" x14ac:dyDescent="0.2">
      <c r="B4132" s="2">
        <f ca="1"/>
        <v>0.4162435512586582</v>
      </c>
      <c r="O4132" s="2">
        <f ca="1"/>
        <v>-1.9096195028769192</v>
      </c>
      <c r="X4132" s="2">
        <f ca="1"/>
        <v>37.065219995832209</v>
      </c>
      <c r="AG4132" s="2">
        <f ca="1"/>
        <v>0.83087818640841649</v>
      </c>
      <c r="AH4132" s="2" t="str">
        <f ca="1"/>
        <v>Bad</v>
      </c>
    </row>
    <row r="4133" spans="2:34" x14ac:dyDescent="0.2">
      <c r="B4133" s="2">
        <f ca="1"/>
        <v>0.27765555733126712</v>
      </c>
      <c r="O4133" s="2">
        <f ca="1"/>
        <v>-0.15495320733390966</v>
      </c>
      <c r="X4133" s="2">
        <f ca="1"/>
        <v>29.837933935529527</v>
      </c>
      <c r="AG4133" s="2">
        <f ca="1"/>
        <v>8.4927340131093709E-2</v>
      </c>
      <c r="AH4133" s="2" t="str">
        <f ca="1"/>
        <v>OK</v>
      </c>
    </row>
    <row r="4134" spans="2:34" x14ac:dyDescent="0.2">
      <c r="B4134" s="2">
        <f ca="1"/>
        <v>0.12432073958747347</v>
      </c>
      <c r="O4134" s="2">
        <f ca="1"/>
        <v>0.29415217733120341</v>
      </c>
      <c r="X4134" s="2">
        <f ca="1"/>
        <v>50.756485194660144</v>
      </c>
      <c r="AG4134" s="2">
        <f ca="1"/>
        <v>0.12076917357283956</v>
      </c>
      <c r="AH4134" s="2" t="str">
        <f ca="1"/>
        <v>OK</v>
      </c>
    </row>
    <row r="4135" spans="2:34" x14ac:dyDescent="0.2">
      <c r="B4135" s="2">
        <f ca="1"/>
        <v>0.57332997401192087</v>
      </c>
      <c r="O4135" s="2">
        <f ca="1"/>
        <v>0.64367304237336809</v>
      </c>
      <c r="X4135" s="2">
        <f ca="1"/>
        <v>19.652138084122001</v>
      </c>
      <c r="AG4135" s="2">
        <f ca="1"/>
        <v>0.30434501533043412</v>
      </c>
      <c r="AH4135" s="2" t="str">
        <f ca="1"/>
        <v>OK</v>
      </c>
    </row>
    <row r="4136" spans="2:34" x14ac:dyDescent="0.2">
      <c r="B4136" s="2">
        <f ca="1"/>
        <v>0.9877510284446569</v>
      </c>
      <c r="O4136" s="2">
        <f ca="1"/>
        <v>-1.8938827738691872</v>
      </c>
      <c r="X4136" s="2">
        <f ca="1"/>
        <v>38.020538707372246</v>
      </c>
      <c r="AG4136" s="2">
        <f ca="1"/>
        <v>0.85484240606155182</v>
      </c>
      <c r="AH4136" s="2" t="str">
        <f ca="1"/>
        <v>Bad</v>
      </c>
    </row>
    <row r="4137" spans="2:34" x14ac:dyDescent="0.2">
      <c r="B4137" s="2">
        <f ca="1"/>
        <v>0.4355464214074074</v>
      </c>
      <c r="O4137" s="2">
        <f ca="1"/>
        <v>-0.7325649811524696</v>
      </c>
      <c r="X4137" s="2">
        <f ca="1"/>
        <v>46.243228188217273</v>
      </c>
      <c r="AG4137" s="2">
        <f ca="1"/>
        <v>0.15127788981370771</v>
      </c>
      <c r="AH4137" s="2" t="str">
        <f ca="1"/>
        <v>OK</v>
      </c>
    </row>
    <row r="4138" spans="2:34" x14ac:dyDescent="0.2">
      <c r="B4138" s="2">
        <f ca="1"/>
        <v>0.65376613027094055</v>
      </c>
      <c r="O4138" s="2">
        <f ca="1"/>
        <v>-1.1134023856437425</v>
      </c>
      <c r="X4138" s="2">
        <f ca="1"/>
        <v>56.724627508767952</v>
      </c>
      <c r="AG4138" s="2">
        <f ca="1"/>
        <v>0.89875722235778133</v>
      </c>
      <c r="AH4138" s="2" t="str">
        <f ca="1"/>
        <v>Bad</v>
      </c>
    </row>
    <row r="4139" spans="2:34" x14ac:dyDescent="0.2">
      <c r="B4139" s="2">
        <f ca="1"/>
        <v>0.513276340653813</v>
      </c>
      <c r="O4139" s="2">
        <f ca="1"/>
        <v>-0.69135330621918734</v>
      </c>
      <c r="X4139" s="2">
        <f ca="1"/>
        <v>37.032986270752545</v>
      </c>
      <c r="AG4139" s="2">
        <f ca="1"/>
        <v>0.50102731114067223</v>
      </c>
      <c r="AH4139" s="2" t="str">
        <f ca="1"/>
        <v>Bad</v>
      </c>
    </row>
    <row r="4140" spans="2:34" x14ac:dyDescent="0.2">
      <c r="B4140" s="2">
        <f ca="1"/>
        <v>0.70007143301148389</v>
      </c>
      <c r="O4140" s="2">
        <f ca="1"/>
        <v>0.25508589470983312</v>
      </c>
      <c r="X4140" s="2">
        <f ca="1"/>
        <v>38.074275635663447</v>
      </c>
      <c r="AG4140" s="2">
        <f ca="1"/>
        <v>0.96981306054149607</v>
      </c>
      <c r="AH4140" s="2" t="str">
        <f ca="1"/>
        <v>Bad</v>
      </c>
    </row>
    <row r="4141" spans="2:34" x14ac:dyDescent="0.2">
      <c r="B4141" s="2">
        <f ca="1"/>
        <v>0.6489944296264063</v>
      </c>
      <c r="O4141" s="2">
        <f ca="1"/>
        <v>-0.23806271049371111</v>
      </c>
      <c r="X4141" s="2">
        <f ca="1"/>
        <v>34.659217616396717</v>
      </c>
      <c r="AG4141" s="2">
        <f ca="1"/>
        <v>0.20186327507713342</v>
      </c>
      <c r="AH4141" s="2" t="str">
        <f ca="1"/>
        <v>OK</v>
      </c>
    </row>
    <row r="4142" spans="2:34" x14ac:dyDescent="0.2">
      <c r="B4142" s="2">
        <f ca="1"/>
        <v>0.35432737161014072</v>
      </c>
      <c r="O4142" s="2">
        <f ca="1"/>
        <v>-1.7173769136775212</v>
      </c>
      <c r="X4142" s="2">
        <f ca="1"/>
        <v>28.152726453539046</v>
      </c>
      <c r="AG4142" s="2">
        <f ca="1"/>
        <v>0.69330784309083482</v>
      </c>
      <c r="AH4142" s="2" t="str">
        <f ca="1"/>
        <v>Bad</v>
      </c>
    </row>
    <row r="4143" spans="2:34" x14ac:dyDescent="0.2">
      <c r="B4143" s="2">
        <f ca="1"/>
        <v>0.20290719162228488</v>
      </c>
      <c r="O4143" s="2">
        <f ca="1"/>
        <v>-0.60831554505849827</v>
      </c>
      <c r="X4143" s="2">
        <f ca="1"/>
        <v>63.714882512087456</v>
      </c>
      <c r="AG4143" s="2">
        <f ca="1"/>
        <v>0.33360268083539935</v>
      </c>
      <c r="AH4143" s="2" t="str">
        <f ca="1"/>
        <v>OK</v>
      </c>
    </row>
    <row r="4144" spans="2:34" x14ac:dyDescent="0.2">
      <c r="B4144" s="2">
        <f ca="1"/>
        <v>0.50798206009571589</v>
      </c>
      <c r="O4144" s="2">
        <f ca="1"/>
        <v>0.82013456530901829</v>
      </c>
      <c r="X4144" s="2">
        <f ca="1"/>
        <v>34.597743359130419</v>
      </c>
      <c r="AG4144" s="2">
        <f ca="1"/>
        <v>3.0204739162984495E-3</v>
      </c>
      <c r="AH4144" s="2" t="str">
        <f ca="1"/>
        <v>Good</v>
      </c>
    </row>
    <row r="4145" spans="2:34" x14ac:dyDescent="0.2">
      <c r="B4145" s="2">
        <f ca="1"/>
        <v>0.19856357227407306</v>
      </c>
      <c r="O4145" s="2">
        <f ca="1"/>
        <v>-0.44619154630518837</v>
      </c>
      <c r="X4145" s="2">
        <f ca="1"/>
        <v>46.068740277959819</v>
      </c>
      <c r="AG4145" s="2">
        <f ca="1"/>
        <v>0.77834622396760622</v>
      </c>
      <c r="AH4145" s="2" t="str">
        <f ca="1"/>
        <v>Bad</v>
      </c>
    </row>
    <row r="4146" spans="2:34" x14ac:dyDescent="0.2">
      <c r="B4146" s="2">
        <f ca="1"/>
        <v>0.92324528188027721</v>
      </c>
      <c r="O4146" s="2">
        <f ca="1"/>
        <v>-0.21402276270036522</v>
      </c>
      <c r="X4146" s="2">
        <f ca="1"/>
        <v>58.866676620822645</v>
      </c>
      <c r="AG4146" s="2">
        <f ca="1"/>
        <v>0.16124842372115555</v>
      </c>
      <c r="AH4146" s="2" t="str">
        <f ca="1"/>
        <v>OK</v>
      </c>
    </row>
    <row r="4147" spans="2:34" x14ac:dyDescent="0.2">
      <c r="B4147" s="2">
        <f ca="1"/>
        <v>0.41983591565504708</v>
      </c>
      <c r="O4147" s="2">
        <f ca="1"/>
        <v>-2.2026372244533192</v>
      </c>
      <c r="X4147" s="2">
        <f ca="1"/>
        <v>51.512494852042835</v>
      </c>
      <c r="AG4147" s="2">
        <f ca="1"/>
        <v>0.30543127806010428</v>
      </c>
      <c r="AH4147" s="2" t="str">
        <f ca="1"/>
        <v>OK</v>
      </c>
    </row>
    <row r="4148" spans="2:34" x14ac:dyDescent="0.2">
      <c r="B4148" s="2">
        <f ca="1"/>
        <v>0.47686554195387809</v>
      </c>
      <c r="O4148" s="2">
        <f ca="1"/>
        <v>-0.4975151176193402</v>
      </c>
      <c r="X4148" s="2">
        <f ca="1"/>
        <v>46.840574634006337</v>
      </c>
      <c r="AG4148" s="2">
        <f ca="1"/>
        <v>0.15513950270433985</v>
      </c>
      <c r="AH4148" s="2" t="str">
        <f ca="1"/>
        <v>OK</v>
      </c>
    </row>
    <row r="4149" spans="2:34" x14ac:dyDescent="0.2">
      <c r="B4149" s="2">
        <f ca="1"/>
        <v>0.3254409970649248</v>
      </c>
      <c r="O4149" s="2">
        <f ca="1"/>
        <v>0.22720492328278244</v>
      </c>
      <c r="X4149" s="2">
        <f ca="1"/>
        <v>40.403205966259605</v>
      </c>
      <c r="AG4149" s="2">
        <f ca="1"/>
        <v>0.23927274497044837</v>
      </c>
      <c r="AH4149" s="2" t="str">
        <f ca="1"/>
        <v>OK</v>
      </c>
    </row>
    <row r="4150" spans="2:34" x14ac:dyDescent="0.2">
      <c r="B4150" s="2">
        <f ca="1"/>
        <v>0.48344887193413411</v>
      </c>
      <c r="O4150" s="2">
        <f ca="1"/>
        <v>-0.14303437331162386</v>
      </c>
      <c r="X4150" s="2">
        <f ca="1"/>
        <v>48.121664983921931</v>
      </c>
      <c r="AG4150" s="2">
        <f ca="1"/>
        <v>0.65094692700521772</v>
      </c>
      <c r="AH4150" s="2" t="str">
        <f ca="1"/>
        <v>Bad</v>
      </c>
    </row>
    <row r="4151" spans="2:34" x14ac:dyDescent="0.2">
      <c r="B4151" s="2">
        <f ca="1"/>
        <v>0.87179519075961021</v>
      </c>
      <c r="O4151" s="2">
        <f ca="1"/>
        <v>-0.47114511004905424</v>
      </c>
      <c r="X4151" s="2">
        <f ca="1"/>
        <v>57.913407756848009</v>
      </c>
      <c r="AG4151" s="2">
        <f ca="1"/>
        <v>0.39714892541957614</v>
      </c>
      <c r="AH4151" s="2" t="str">
        <f ca="1"/>
        <v>OK</v>
      </c>
    </row>
    <row r="4152" spans="2:34" x14ac:dyDescent="0.2">
      <c r="B4152" s="2">
        <f ca="1"/>
        <v>4.3298526657860048E-3</v>
      </c>
      <c r="O4152" s="2">
        <f ca="1"/>
        <v>0.57028942480179512</v>
      </c>
      <c r="X4152" s="2">
        <f ca="1"/>
        <v>25.957199393376516</v>
      </c>
      <c r="AG4152" s="2">
        <f ca="1"/>
        <v>0.38053245898896293</v>
      </c>
      <c r="AH4152" s="2" t="str">
        <f ca="1"/>
        <v>OK</v>
      </c>
    </row>
    <row r="4153" spans="2:34" x14ac:dyDescent="0.2">
      <c r="B4153" s="2">
        <f ca="1"/>
        <v>0.94767291743973914</v>
      </c>
      <c r="O4153" s="2">
        <f ca="1"/>
        <v>-1.8815884410722075</v>
      </c>
      <c r="X4153" s="2">
        <f ca="1"/>
        <v>53.478126212663817</v>
      </c>
      <c r="AG4153" s="2">
        <f ca="1"/>
        <v>0.63475251045558556</v>
      </c>
      <c r="AH4153" s="2" t="str">
        <f ca="1"/>
        <v>Bad</v>
      </c>
    </row>
    <row r="4154" spans="2:34" x14ac:dyDescent="0.2">
      <c r="B4154" s="2">
        <f ca="1"/>
        <v>0.59458832086858715</v>
      </c>
      <c r="O4154" s="2">
        <f ca="1"/>
        <v>-3.4568835248659904E-2</v>
      </c>
      <c r="X4154" s="2">
        <f ca="1"/>
        <v>57.29839627134745</v>
      </c>
      <c r="AG4154" s="2">
        <f ca="1"/>
        <v>0.38893872694797738</v>
      </c>
      <c r="AH4154" s="2" t="str">
        <f ca="1"/>
        <v>OK</v>
      </c>
    </row>
    <row r="4155" spans="2:34" x14ac:dyDescent="0.2">
      <c r="B4155" s="2">
        <f ca="1"/>
        <v>0.10384109586021606</v>
      </c>
      <c r="O4155" s="2">
        <f ca="1"/>
        <v>-1.1525379924913606</v>
      </c>
      <c r="X4155" s="2">
        <f ca="1"/>
        <v>54.712993906383872</v>
      </c>
      <c r="AG4155" s="2">
        <f ca="1"/>
        <v>0.24828673806980417</v>
      </c>
      <c r="AH4155" s="2" t="str">
        <f ca="1"/>
        <v>OK</v>
      </c>
    </row>
    <row r="4156" spans="2:34" x14ac:dyDescent="0.2">
      <c r="B4156" s="2">
        <f ca="1"/>
        <v>9.0889157160881195E-2</v>
      </c>
      <c r="O4156" s="2">
        <f ca="1"/>
        <v>-0.34015096888849733</v>
      </c>
      <c r="X4156" s="2">
        <f ca="1"/>
        <v>63.599309904014412</v>
      </c>
      <c r="AG4156" s="2">
        <f ca="1"/>
        <v>0.86554015452141808</v>
      </c>
      <c r="AH4156" s="2" t="str">
        <f ca="1"/>
        <v>Bad</v>
      </c>
    </row>
    <row r="4157" spans="2:34" x14ac:dyDescent="0.2">
      <c r="B4157" s="2">
        <f ca="1"/>
        <v>0.25402215106886383</v>
      </c>
      <c r="O4157" s="2">
        <f ca="1"/>
        <v>-1.6271841163388157</v>
      </c>
      <c r="X4157" s="2">
        <f ca="1"/>
        <v>26.653806913105527</v>
      </c>
      <c r="AG4157" s="2">
        <f ca="1"/>
        <v>0.58413430947775091</v>
      </c>
      <c r="AH4157" s="2" t="str">
        <f ca="1"/>
        <v>Bad</v>
      </c>
    </row>
    <row r="4158" spans="2:34" x14ac:dyDescent="0.2">
      <c r="B4158" s="2">
        <f ca="1"/>
        <v>0.26134260384521357</v>
      </c>
      <c r="O4158" s="2">
        <f ca="1"/>
        <v>-1.0622824317437614</v>
      </c>
      <c r="X4158" s="2">
        <f ca="1"/>
        <v>72.870866503838329</v>
      </c>
      <c r="AG4158" s="2">
        <f ca="1"/>
        <v>5.1969111679840863E-2</v>
      </c>
      <c r="AH4158" s="2" t="str">
        <f ca="1"/>
        <v>OK</v>
      </c>
    </row>
    <row r="4159" spans="2:34" x14ac:dyDescent="0.2">
      <c r="B4159" s="2">
        <f ca="1"/>
        <v>0.23222361082717091</v>
      </c>
      <c r="O4159" s="2">
        <f ca="1"/>
        <v>-0.72663126741987427</v>
      </c>
      <c r="X4159" s="2">
        <f ca="1"/>
        <v>50.996255487232517</v>
      </c>
      <c r="AG4159" s="2">
        <f ca="1"/>
        <v>0.75686920692697712</v>
      </c>
      <c r="AH4159" s="2" t="str">
        <f ca="1"/>
        <v>Bad</v>
      </c>
    </row>
    <row r="4160" spans="2:34" x14ac:dyDescent="0.2">
      <c r="B4160" s="2">
        <f ca="1"/>
        <v>0.55727423372524632</v>
      </c>
      <c r="O4160" s="2">
        <f ca="1"/>
        <v>-1.9290608758691836</v>
      </c>
      <c r="X4160" s="2">
        <f ca="1"/>
        <v>18.838783193244289</v>
      </c>
      <c r="AG4160" s="2">
        <f ca="1"/>
        <v>0.78589908349789672</v>
      </c>
      <c r="AH4160" s="2" t="str">
        <f ca="1"/>
        <v>Bad</v>
      </c>
    </row>
    <row r="4161" spans="2:34" x14ac:dyDescent="0.2">
      <c r="B4161" s="2">
        <f ca="1"/>
        <v>0.82608334869342559</v>
      </c>
      <c r="O4161" s="2">
        <f ca="1"/>
        <v>0.52332112647349938</v>
      </c>
      <c r="X4161" s="2">
        <f ca="1"/>
        <v>58.660778199431391</v>
      </c>
      <c r="AG4161" s="2">
        <f ca="1"/>
        <v>0.57771959969173503</v>
      </c>
      <c r="AH4161" s="2" t="str">
        <f ca="1"/>
        <v>Bad</v>
      </c>
    </row>
    <row r="4162" spans="2:34" x14ac:dyDescent="0.2">
      <c r="B4162" s="2">
        <f ca="1"/>
        <v>0.39209219182352384</v>
      </c>
      <c r="O4162" s="2">
        <f ca="1"/>
        <v>0.62334836741284261</v>
      </c>
      <c r="X4162" s="2">
        <f ca="1"/>
        <v>54.990398002147948</v>
      </c>
      <c r="AG4162" s="2">
        <f ca="1"/>
        <v>0.99033763002348807</v>
      </c>
      <c r="AH4162" s="2" t="str">
        <f ca="1"/>
        <v>Bad</v>
      </c>
    </row>
    <row r="4163" spans="2:34" x14ac:dyDescent="0.2">
      <c r="B4163" s="2">
        <f ca="1"/>
        <v>0.54233680306561172</v>
      </c>
      <c r="O4163" s="2">
        <f ca="1"/>
        <v>-1.8847648418147469</v>
      </c>
      <c r="X4163" s="2">
        <f ca="1"/>
        <v>75.470069716577626</v>
      </c>
      <c r="AG4163" s="2">
        <f ca="1"/>
        <v>0.14706743169980752</v>
      </c>
      <c r="AH4163" s="2" t="str">
        <f ca="1"/>
        <v>OK</v>
      </c>
    </row>
    <row r="4164" spans="2:34" x14ac:dyDescent="0.2">
      <c r="B4164" s="2">
        <f ca="1"/>
        <v>0.4796921851813134</v>
      </c>
      <c r="O4164" s="2">
        <f ca="1"/>
        <v>-2.2530735897764553</v>
      </c>
      <c r="X4164" s="2">
        <f ca="1"/>
        <v>57.630864850556094</v>
      </c>
      <c r="AG4164" s="2">
        <f ca="1"/>
        <v>0.90625696431367042</v>
      </c>
      <c r="AH4164" s="2" t="str">
        <f ca="1"/>
        <v>Bad</v>
      </c>
    </row>
    <row r="4165" spans="2:34" x14ac:dyDescent="0.2">
      <c r="B4165" s="2">
        <f ca="1"/>
        <v>0.28154318070800821</v>
      </c>
      <c r="O4165" s="2">
        <f ca="1"/>
        <v>1.9621379780782406</v>
      </c>
      <c r="X4165" s="2">
        <f ca="1"/>
        <v>47.610010264106478</v>
      </c>
      <c r="AG4165" s="2">
        <f ca="1"/>
        <v>0.94936751130613017</v>
      </c>
      <c r="AH4165" s="2" t="str">
        <f ca="1"/>
        <v>Bad</v>
      </c>
    </row>
    <row r="4166" spans="2:34" x14ac:dyDescent="0.2">
      <c r="B4166" s="2">
        <f ca="1"/>
        <v>0.52482024741492661</v>
      </c>
      <c r="O4166" s="2">
        <f ca="1"/>
        <v>-0.66881511851127873</v>
      </c>
      <c r="X4166" s="2">
        <f ca="1"/>
        <v>56.062726886430987</v>
      </c>
      <c r="AG4166" s="2">
        <f ca="1"/>
        <v>0.3490150211053169</v>
      </c>
      <c r="AH4166" s="2" t="str">
        <f ca="1"/>
        <v>OK</v>
      </c>
    </row>
    <row r="4167" spans="2:34" x14ac:dyDescent="0.2">
      <c r="B4167" s="2">
        <f ca="1"/>
        <v>0.91933323657793498</v>
      </c>
      <c r="O4167" s="2">
        <f ca="1"/>
        <v>0.51022326212594726</v>
      </c>
      <c r="X4167" s="2">
        <f ca="1"/>
        <v>44.974381728620685</v>
      </c>
      <c r="AG4167" s="2">
        <f ca="1"/>
        <v>0.38864858721362938</v>
      </c>
      <c r="AH4167" s="2" t="str">
        <f ca="1"/>
        <v>OK</v>
      </c>
    </row>
    <row r="4168" spans="2:34" x14ac:dyDescent="0.2">
      <c r="B4168" s="2">
        <f ca="1"/>
        <v>0.6610352251474243</v>
      </c>
      <c r="O4168" s="2">
        <f ca="1"/>
        <v>1.6294116625916715</v>
      </c>
      <c r="X4168" s="2">
        <f ca="1"/>
        <v>42.669902865150746</v>
      </c>
      <c r="AG4168" s="2">
        <f ca="1"/>
        <v>0.66294900030170156</v>
      </c>
      <c r="AH4168" s="2" t="str">
        <f ca="1"/>
        <v>Bad</v>
      </c>
    </row>
    <row r="4169" spans="2:34" x14ac:dyDescent="0.2">
      <c r="B4169" s="2">
        <f ca="1"/>
        <v>0.37738658803970981</v>
      </c>
      <c r="O4169" s="2">
        <f ca="1"/>
        <v>0.96437091709536249</v>
      </c>
      <c r="X4169" s="2">
        <f ca="1"/>
        <v>42.449431862319635</v>
      </c>
      <c r="AG4169" s="2">
        <f ca="1"/>
        <v>4.0318367481651629E-2</v>
      </c>
      <c r="AH4169" s="2" t="str">
        <f ca="1"/>
        <v>Good</v>
      </c>
    </row>
    <row r="4170" spans="2:34" x14ac:dyDescent="0.2">
      <c r="B4170" s="2">
        <f ca="1"/>
        <v>0.59874942180511259</v>
      </c>
      <c r="O4170" s="2">
        <f ca="1"/>
        <v>-1.4431323057056797</v>
      </c>
      <c r="X4170" s="2">
        <f ca="1"/>
        <v>54.618008217828702</v>
      </c>
      <c r="AG4170" s="2">
        <f ca="1"/>
        <v>0.5142954534323303</v>
      </c>
      <c r="AH4170" s="2" t="str">
        <f ca="1"/>
        <v>Bad</v>
      </c>
    </row>
    <row r="4171" spans="2:34" x14ac:dyDescent="0.2">
      <c r="B4171" s="2">
        <f ca="1"/>
        <v>0.53677972053561551</v>
      </c>
      <c r="O4171" s="2">
        <f ca="1"/>
        <v>0.7621791556958154</v>
      </c>
      <c r="X4171" s="2">
        <f ca="1"/>
        <v>38.123914394062986</v>
      </c>
      <c r="AG4171" s="2">
        <f ca="1"/>
        <v>0.87287233653282281</v>
      </c>
      <c r="AH4171" s="2" t="str">
        <f ca="1"/>
        <v>Bad</v>
      </c>
    </row>
    <row r="4172" spans="2:34" x14ac:dyDescent="0.2">
      <c r="B4172" s="2">
        <f ca="1"/>
        <v>0.40539227901542807</v>
      </c>
      <c r="O4172" s="2">
        <f ca="1"/>
        <v>-0.24185240554971066</v>
      </c>
      <c r="X4172" s="2">
        <f ca="1"/>
        <v>35.287790609492539</v>
      </c>
      <c r="AG4172" s="2">
        <f ca="1"/>
        <v>2.0393092202046104E-2</v>
      </c>
      <c r="AH4172" s="2" t="str">
        <f ca="1"/>
        <v>Good</v>
      </c>
    </row>
    <row r="4173" spans="2:34" x14ac:dyDescent="0.2">
      <c r="B4173" s="2">
        <f ca="1"/>
        <v>0.49781168552007071</v>
      </c>
      <c r="O4173" s="2">
        <f ca="1"/>
        <v>0.89305492832847155</v>
      </c>
      <c r="X4173" s="2">
        <f ca="1"/>
        <v>63.714094367368588</v>
      </c>
      <c r="AG4173" s="2">
        <f ca="1"/>
        <v>0.59013984442130196</v>
      </c>
      <c r="AH4173" s="2" t="str">
        <f ca="1"/>
        <v>Bad</v>
      </c>
    </row>
    <row r="4174" spans="2:34" x14ac:dyDescent="0.2">
      <c r="B4174" s="2">
        <f ca="1"/>
        <v>0.10820404361375013</v>
      </c>
      <c r="O4174" s="2">
        <f ca="1"/>
        <v>0.58563011384651331</v>
      </c>
      <c r="X4174" s="2">
        <f ca="1"/>
        <v>41.37938595322894</v>
      </c>
      <c r="AG4174" s="2">
        <f ca="1"/>
        <v>0.81432598389785582</v>
      </c>
      <c r="AH4174" s="2" t="str">
        <f ca="1"/>
        <v>Bad</v>
      </c>
    </row>
    <row r="4175" spans="2:34" x14ac:dyDescent="0.2">
      <c r="B4175" s="2">
        <f ca="1"/>
        <v>0.25291253569509031</v>
      </c>
      <c r="O4175" s="2">
        <f ca="1"/>
        <v>3.3098869064436737E-2</v>
      </c>
      <c r="X4175" s="2">
        <f ca="1"/>
        <v>44.415137081291235</v>
      </c>
      <c r="AG4175" s="2">
        <f ca="1"/>
        <v>0.90896619002730872</v>
      </c>
      <c r="AH4175" s="2" t="str">
        <f ca="1"/>
        <v>Bad</v>
      </c>
    </row>
    <row r="4176" spans="2:34" x14ac:dyDescent="0.2">
      <c r="B4176" s="2">
        <f ca="1"/>
        <v>4.6272081883297567E-2</v>
      </c>
      <c r="O4176" s="2">
        <f ca="1"/>
        <v>1.9019110734351941</v>
      </c>
      <c r="X4176" s="2">
        <f ca="1"/>
        <v>76.903240387071691</v>
      </c>
      <c r="AG4176" s="2">
        <f ca="1"/>
        <v>8.3079074523659369E-2</v>
      </c>
      <c r="AH4176" s="2" t="str">
        <f ca="1"/>
        <v>OK</v>
      </c>
    </row>
    <row r="4177" spans="2:34" x14ac:dyDescent="0.2">
      <c r="B4177" s="2">
        <f ca="1"/>
        <v>0.52406762301257603</v>
      </c>
      <c r="O4177" s="2">
        <f ca="1"/>
        <v>0.51986279271283553</v>
      </c>
      <c r="X4177" s="2">
        <f ca="1"/>
        <v>61.940274430063084</v>
      </c>
      <c r="AG4177" s="2">
        <f ca="1"/>
        <v>0.61213485463181216</v>
      </c>
      <c r="AH4177" s="2" t="str">
        <f ca="1"/>
        <v>Bad</v>
      </c>
    </row>
    <row r="4178" spans="2:34" x14ac:dyDescent="0.2">
      <c r="B4178" s="2">
        <f ca="1"/>
        <v>0.73155799594866955</v>
      </c>
      <c r="O4178" s="2">
        <f ca="1"/>
        <v>-0.28022450417364109</v>
      </c>
      <c r="X4178" s="2">
        <f ca="1"/>
        <v>80.501137143272544</v>
      </c>
      <c r="AG4178" s="2">
        <f ca="1"/>
        <v>0.42066757753263584</v>
      </c>
      <c r="AH4178" s="2" t="str">
        <f ca="1"/>
        <v>Bad</v>
      </c>
    </row>
    <row r="4179" spans="2:34" x14ac:dyDescent="0.2">
      <c r="B4179" s="2">
        <f ca="1"/>
        <v>7.7329342829173475E-2</v>
      </c>
      <c r="O4179" s="2">
        <f ca="1"/>
        <v>-1.3108012913352101</v>
      </c>
      <c r="X4179" s="2">
        <f ca="1"/>
        <v>32.25732300319391</v>
      </c>
      <c r="AG4179" s="2">
        <f ca="1"/>
        <v>0.10263936354654546</v>
      </c>
      <c r="AH4179" s="2" t="str">
        <f ca="1"/>
        <v>OK</v>
      </c>
    </row>
    <row r="4180" spans="2:34" x14ac:dyDescent="0.2">
      <c r="B4180" s="2">
        <f ca="1"/>
        <v>0.46249688384069931</v>
      </c>
      <c r="O4180" s="2">
        <f ca="1"/>
        <v>0.31727951773738006</v>
      </c>
      <c r="X4180" s="2">
        <f ca="1"/>
        <v>77.428194401328696</v>
      </c>
      <c r="AG4180" s="2">
        <f ca="1"/>
        <v>0.18226063505053958</v>
      </c>
      <c r="AH4180" s="2" t="str">
        <f ca="1"/>
        <v>OK</v>
      </c>
    </row>
    <row r="4181" spans="2:34" x14ac:dyDescent="0.2">
      <c r="B4181" s="2">
        <f ca="1"/>
        <v>0.61017139394272202</v>
      </c>
      <c r="O4181" s="2">
        <f ca="1"/>
        <v>-1.5826717464401712</v>
      </c>
      <c r="X4181" s="2">
        <f ca="1"/>
        <v>33.866235420283523</v>
      </c>
      <c r="AG4181" s="2">
        <f ca="1"/>
        <v>0.59200347083084104</v>
      </c>
      <c r="AH4181" s="2" t="str">
        <f ca="1"/>
        <v>Bad</v>
      </c>
    </row>
    <row r="4182" spans="2:34" x14ac:dyDescent="0.2">
      <c r="B4182" s="2">
        <f ca="1"/>
        <v>6.5337799639552552E-2</v>
      </c>
      <c r="O4182" s="2">
        <f ca="1"/>
        <v>-0.27340803441875</v>
      </c>
      <c r="X4182" s="2">
        <f ca="1"/>
        <v>50.839943703761051</v>
      </c>
      <c r="AG4182" s="2">
        <f ca="1"/>
        <v>6.3074118193420459E-2</v>
      </c>
      <c r="AH4182" s="2" t="str">
        <f ca="1"/>
        <v>OK</v>
      </c>
    </row>
    <row r="4183" spans="2:34" x14ac:dyDescent="0.2">
      <c r="B4183" s="2">
        <f ca="1"/>
        <v>0.28425020670060741</v>
      </c>
      <c r="O4183" s="2">
        <f ca="1"/>
        <v>5.4558960898913364E-2</v>
      </c>
      <c r="X4183" s="2">
        <f ca="1"/>
        <v>57.738602949172233</v>
      </c>
      <c r="AG4183" s="2">
        <f ca="1"/>
        <v>0.77361751159888836</v>
      </c>
      <c r="AH4183" s="2" t="str">
        <f ca="1"/>
        <v>Bad</v>
      </c>
    </row>
    <row r="4184" spans="2:34" x14ac:dyDescent="0.2">
      <c r="B4184" s="2">
        <f ca="1"/>
        <v>0.19381076879963244</v>
      </c>
      <c r="O4184" s="2">
        <f ca="1"/>
        <v>-0.23464219326265814</v>
      </c>
      <c r="X4184" s="2">
        <f ca="1"/>
        <v>66.799856845905381</v>
      </c>
      <c r="AG4184" s="2">
        <f ca="1"/>
        <v>0.86584654080117796</v>
      </c>
      <c r="AH4184" s="2" t="str">
        <f ca="1"/>
        <v>Bad</v>
      </c>
    </row>
    <row r="4185" spans="2:34" x14ac:dyDescent="0.2">
      <c r="B4185" s="2">
        <f ca="1"/>
        <v>0.1290738321899858</v>
      </c>
      <c r="O4185" s="2">
        <f ca="1"/>
        <v>-1.0055046546467008</v>
      </c>
      <c r="X4185" s="2">
        <f ca="1"/>
        <v>25.735942181838997</v>
      </c>
      <c r="AG4185" s="2">
        <f ca="1"/>
        <v>0.55194531446315476</v>
      </c>
      <c r="AH4185" s="2" t="str">
        <f ca="1"/>
        <v>Bad</v>
      </c>
    </row>
    <row r="4186" spans="2:34" x14ac:dyDescent="0.2">
      <c r="B4186" s="2">
        <f ca="1"/>
        <v>0.19499679271172377</v>
      </c>
      <c r="O4186" s="2">
        <f ca="1"/>
        <v>2.2942816308435084E-2</v>
      </c>
      <c r="X4186" s="2">
        <f ca="1"/>
        <v>48.713338947378801</v>
      </c>
      <c r="AG4186" s="2">
        <f ca="1"/>
        <v>0.42327157847424113</v>
      </c>
      <c r="AH4186" s="2" t="str">
        <f ca="1"/>
        <v>Bad</v>
      </c>
    </row>
    <row r="4187" spans="2:34" x14ac:dyDescent="0.2">
      <c r="B4187" s="2">
        <f ca="1"/>
        <v>0.91621254329478852</v>
      </c>
      <c r="O4187" s="2">
        <f ca="1"/>
        <v>-0.93744659857172041</v>
      </c>
      <c r="X4187" s="2">
        <f ca="1"/>
        <v>47.018873783682473</v>
      </c>
      <c r="AG4187" s="2">
        <f ca="1"/>
        <v>0.20159863278043111</v>
      </c>
      <c r="AH4187" s="2" t="str">
        <f ca="1"/>
        <v>OK</v>
      </c>
    </row>
    <row r="4188" spans="2:34" x14ac:dyDescent="0.2">
      <c r="B4188" s="2">
        <f ca="1"/>
        <v>0.61464775305029051</v>
      </c>
      <c r="O4188" s="2">
        <f ca="1"/>
        <v>0.95194635001290029</v>
      </c>
      <c r="X4188" s="2">
        <f ca="1"/>
        <v>23.758990038581906</v>
      </c>
      <c r="AG4188" s="2">
        <f ca="1"/>
        <v>0.82220714567395259</v>
      </c>
      <c r="AH4188" s="2" t="str">
        <f ca="1"/>
        <v>Bad</v>
      </c>
    </row>
    <row r="4189" spans="2:34" x14ac:dyDescent="0.2">
      <c r="B4189" s="2">
        <f ca="1"/>
        <v>4.7130640139918745E-2</v>
      </c>
      <c r="O4189" s="2">
        <f ca="1"/>
        <v>-0.18419114390849958</v>
      </c>
      <c r="X4189" s="2">
        <f ca="1"/>
        <v>47.067151087917978</v>
      </c>
      <c r="AG4189" s="2">
        <f ca="1"/>
        <v>0.81070799831723539</v>
      </c>
      <c r="AH4189" s="2" t="str">
        <f ca="1"/>
        <v>Bad</v>
      </c>
    </row>
    <row r="4190" spans="2:34" x14ac:dyDescent="0.2">
      <c r="B4190" s="2">
        <f ca="1"/>
        <v>0.94037374363571113</v>
      </c>
      <c r="O4190" s="2">
        <f ca="1"/>
        <v>-0.41192892996435759</v>
      </c>
      <c r="X4190" s="2">
        <f ca="1"/>
        <v>42.974422423699828</v>
      </c>
      <c r="AG4190" s="2">
        <f ca="1"/>
        <v>0.12225348593302598</v>
      </c>
      <c r="AH4190" s="2" t="str">
        <f ca="1"/>
        <v>OK</v>
      </c>
    </row>
    <row r="4191" spans="2:34" x14ac:dyDescent="0.2">
      <c r="B4191" s="2">
        <f ca="1"/>
        <v>9.8902975398301063E-2</v>
      </c>
      <c r="O4191" s="2">
        <f ca="1"/>
        <v>-1.7266998611555699</v>
      </c>
      <c r="X4191" s="2">
        <f ca="1"/>
        <v>39.409854486962928</v>
      </c>
      <c r="AG4191" s="2">
        <f ca="1"/>
        <v>0.72146876043842068</v>
      </c>
      <c r="AH4191" s="2" t="str">
        <f ca="1"/>
        <v>Bad</v>
      </c>
    </row>
    <row r="4192" spans="2:34" x14ac:dyDescent="0.2">
      <c r="B4192" s="2">
        <f ca="1"/>
        <v>4.0928726914081004E-2</v>
      </c>
      <c r="O4192" s="2">
        <f ca="1"/>
        <v>0.1161476588986127</v>
      </c>
      <c r="X4192" s="2">
        <f ca="1"/>
        <v>22.963570852673698</v>
      </c>
      <c r="AG4192" s="2">
        <f ca="1"/>
        <v>0.60075127634766545</v>
      </c>
      <c r="AH4192" s="2" t="str">
        <f ca="1"/>
        <v>Bad</v>
      </c>
    </row>
    <row r="4193" spans="2:34" x14ac:dyDescent="0.2">
      <c r="B4193" s="2">
        <f ca="1"/>
        <v>0.1436807518857004</v>
      </c>
      <c r="O4193" s="2">
        <f ca="1"/>
        <v>0.66186612323141214</v>
      </c>
      <c r="X4193" s="2">
        <f ca="1"/>
        <v>82.142596369658037</v>
      </c>
      <c r="AG4193" s="2">
        <f ca="1"/>
        <v>6.0338736222586897E-2</v>
      </c>
      <c r="AH4193" s="2" t="str">
        <f ca="1"/>
        <v>OK</v>
      </c>
    </row>
    <row r="4194" spans="2:34" x14ac:dyDescent="0.2">
      <c r="B4194" s="2">
        <f ca="1"/>
        <v>0.94218803455381961</v>
      </c>
      <c r="O4194" s="2">
        <f ca="1"/>
        <v>1.4119163317461436</v>
      </c>
      <c r="X4194" s="2">
        <f ca="1"/>
        <v>38.117556910452045</v>
      </c>
      <c r="AG4194" s="2">
        <f ca="1"/>
        <v>0.52477972999051148</v>
      </c>
      <c r="AH4194" s="2" t="str">
        <f ca="1"/>
        <v>Bad</v>
      </c>
    </row>
    <row r="4195" spans="2:34" x14ac:dyDescent="0.2">
      <c r="B4195" s="2">
        <f ca="1"/>
        <v>0.77376749688908752</v>
      </c>
      <c r="O4195" s="2">
        <f ca="1"/>
        <v>0.16092253310410704</v>
      </c>
      <c r="X4195" s="2">
        <f ca="1"/>
        <v>35.473549329995834</v>
      </c>
      <c r="AG4195" s="2">
        <f ca="1"/>
        <v>0.7849532769505565</v>
      </c>
      <c r="AH4195" s="2" t="str">
        <f ca="1"/>
        <v>Bad</v>
      </c>
    </row>
    <row r="4196" spans="2:34" x14ac:dyDescent="0.2">
      <c r="B4196" s="2">
        <f ca="1"/>
        <v>0.6044599040261549</v>
      </c>
      <c r="O4196" s="2">
        <f ca="1"/>
        <v>6.5427664383871459E-2</v>
      </c>
      <c r="X4196" s="2">
        <f ca="1"/>
        <v>40.912229302832316</v>
      </c>
      <c r="AG4196" s="2">
        <f ca="1"/>
        <v>0.55009081172466656</v>
      </c>
      <c r="AH4196" s="2" t="str">
        <f ca="1"/>
        <v>Bad</v>
      </c>
    </row>
    <row r="4197" spans="2:34" x14ac:dyDescent="0.2">
      <c r="B4197" s="2">
        <f ca="1"/>
        <v>1.1683987462075995E-2</v>
      </c>
      <c r="O4197" s="2">
        <f ca="1"/>
        <v>2.5737839979275461</v>
      </c>
      <c r="X4197" s="2">
        <f ca="1"/>
        <v>36.29737486818253</v>
      </c>
      <c r="AG4197" s="2">
        <f ca="1"/>
        <v>6.4614152386232471E-2</v>
      </c>
      <c r="AH4197" s="2" t="str">
        <f ca="1"/>
        <v>OK</v>
      </c>
    </row>
    <row r="4198" spans="2:34" x14ac:dyDescent="0.2">
      <c r="B4198" s="2">
        <f ca="1"/>
        <v>0.4756258418000654</v>
      </c>
      <c r="O4198" s="2">
        <f ca="1"/>
        <v>-0.61998948607326687</v>
      </c>
      <c r="X4198" s="2">
        <f ca="1"/>
        <v>51.485808150784862</v>
      </c>
      <c r="AG4198" s="2">
        <f ca="1"/>
        <v>0.46206676984578343</v>
      </c>
      <c r="AH4198" s="2" t="str">
        <f ca="1"/>
        <v>Bad</v>
      </c>
    </row>
    <row r="4199" spans="2:34" x14ac:dyDescent="0.2">
      <c r="B4199" s="2">
        <f ca="1"/>
        <v>0.68417269487261279</v>
      </c>
      <c r="O4199" s="2">
        <f ca="1"/>
        <v>1.55868082907731</v>
      </c>
      <c r="X4199" s="2">
        <f ca="1"/>
        <v>68.163895149654479</v>
      </c>
      <c r="AG4199" s="2">
        <f ca="1"/>
        <v>6.9969049806650752E-3</v>
      </c>
      <c r="AH4199" s="2" t="str">
        <f ca="1"/>
        <v>Good</v>
      </c>
    </row>
    <row r="4200" spans="2:34" x14ac:dyDescent="0.2">
      <c r="B4200" s="2">
        <f ca="1"/>
        <v>0.94243564014373105</v>
      </c>
      <c r="O4200" s="2">
        <f ca="1"/>
        <v>0.92582558569234497</v>
      </c>
      <c r="X4200" s="2">
        <f ca="1"/>
        <v>31.770853797190462</v>
      </c>
      <c r="AG4200" s="2">
        <f ca="1"/>
        <v>0.64317423644799598</v>
      </c>
      <c r="AH4200" s="2" t="str">
        <f ca="1"/>
        <v>Bad</v>
      </c>
    </row>
    <row r="4201" spans="2:34" x14ac:dyDescent="0.2">
      <c r="B4201" s="2">
        <f ca="1"/>
        <v>0.29549212353203358</v>
      </c>
      <c r="O4201" s="2">
        <f ca="1"/>
        <v>-2.7851926518714718</v>
      </c>
      <c r="X4201" s="2">
        <f ca="1"/>
        <v>43.995978393298657</v>
      </c>
      <c r="AG4201" s="2">
        <f ca="1"/>
        <v>0.63838474899493525</v>
      </c>
      <c r="AH4201" s="2" t="str">
        <f ca="1"/>
        <v>Bad</v>
      </c>
    </row>
    <row r="4202" spans="2:34" x14ac:dyDescent="0.2">
      <c r="B4202" s="2">
        <f ca="1"/>
        <v>0.93646894923569213</v>
      </c>
      <c r="O4202" s="2">
        <f ca="1"/>
        <v>-0.26915642978335003</v>
      </c>
      <c r="X4202" s="2">
        <f ca="1"/>
        <v>45.35197174220027</v>
      </c>
      <c r="AG4202" s="2">
        <f ca="1"/>
        <v>9.038244346599944E-2</v>
      </c>
      <c r="AH4202" s="2" t="str">
        <f ca="1"/>
        <v>OK</v>
      </c>
    </row>
    <row r="4203" spans="2:34" x14ac:dyDescent="0.2">
      <c r="B4203" s="2">
        <f ca="1"/>
        <v>0.58680256247132112</v>
      </c>
      <c r="O4203" s="2">
        <f ca="1"/>
        <v>-0.57630245232994248</v>
      </c>
      <c r="X4203" s="2">
        <f ca="1"/>
        <v>27.263482199561231</v>
      </c>
      <c r="AG4203" s="2">
        <f ca="1"/>
        <v>4.6448169630604053E-3</v>
      </c>
      <c r="AH4203" s="2" t="str">
        <f ca="1"/>
        <v>Good</v>
      </c>
    </row>
    <row r="4204" spans="2:34" x14ac:dyDescent="0.2">
      <c r="B4204" s="2">
        <f ca="1"/>
        <v>0.56686583143901248</v>
      </c>
      <c r="O4204" s="2">
        <f ca="1"/>
        <v>0.81550454714679921</v>
      </c>
      <c r="X4204" s="2">
        <f ca="1"/>
        <v>34.598435885576663</v>
      </c>
      <c r="AG4204" s="2">
        <f ca="1"/>
        <v>0.75133383735619819</v>
      </c>
      <c r="AH4204" s="2" t="str">
        <f ca="1"/>
        <v>Bad</v>
      </c>
    </row>
    <row r="4205" spans="2:34" x14ac:dyDescent="0.2">
      <c r="B4205" s="2">
        <f ca="1"/>
        <v>0.73358733496861972</v>
      </c>
      <c r="O4205" s="2">
        <f ca="1"/>
        <v>0.57391075258284197</v>
      </c>
      <c r="X4205" s="2">
        <f ca="1"/>
        <v>41.79050604573851</v>
      </c>
      <c r="AG4205" s="2">
        <f ca="1"/>
        <v>0.41127269812084255</v>
      </c>
      <c r="AH4205" s="2" t="str">
        <f ca="1"/>
        <v>Bad</v>
      </c>
    </row>
    <row r="4206" spans="2:34" x14ac:dyDescent="0.2">
      <c r="B4206" s="2">
        <f ca="1"/>
        <v>4.6522248190117965E-2</v>
      </c>
      <c r="O4206" s="2">
        <f ca="1"/>
        <v>-0.90849383149011975</v>
      </c>
      <c r="X4206" s="2">
        <f ca="1"/>
        <v>42.147881763861896</v>
      </c>
      <c r="AG4206" s="2">
        <f ca="1"/>
        <v>0.7917289900040736</v>
      </c>
      <c r="AH4206" s="2" t="str">
        <f ca="1"/>
        <v>Bad</v>
      </c>
    </row>
    <row r="4207" spans="2:34" x14ac:dyDescent="0.2">
      <c r="B4207" s="2">
        <f ca="1"/>
        <v>0.272895199276181</v>
      </c>
      <c r="O4207" s="2">
        <f ca="1"/>
        <v>0.49371804676821696</v>
      </c>
      <c r="X4207" s="2">
        <f ca="1"/>
        <v>29.897892859928994</v>
      </c>
      <c r="AG4207" s="2">
        <f ca="1"/>
        <v>0.22193309553478446</v>
      </c>
      <c r="AH4207" s="2" t="str">
        <f ca="1"/>
        <v>OK</v>
      </c>
    </row>
    <row r="4208" spans="2:34" x14ac:dyDescent="0.2">
      <c r="B4208" s="2">
        <f ca="1"/>
        <v>0.10895902401935276</v>
      </c>
      <c r="O4208" s="2">
        <f ca="1"/>
        <v>-0.62680987956167056</v>
      </c>
      <c r="X4208" s="2">
        <f ca="1"/>
        <v>60.872499434259232</v>
      </c>
      <c r="AG4208" s="2">
        <f ca="1"/>
        <v>0.2497063146678038</v>
      </c>
      <c r="AH4208" s="2" t="str">
        <f ca="1"/>
        <v>OK</v>
      </c>
    </row>
    <row r="4209" spans="2:34" x14ac:dyDescent="0.2">
      <c r="B4209" s="2">
        <f ca="1"/>
        <v>0.94054118235147821</v>
      </c>
      <c r="O4209" s="2">
        <f ca="1"/>
        <v>1.1391428469396088</v>
      </c>
      <c r="X4209" s="2">
        <f ca="1"/>
        <v>50.472310899163361</v>
      </c>
      <c r="AG4209" s="2">
        <f ca="1"/>
        <v>0.95628164580434594</v>
      </c>
      <c r="AH4209" s="2" t="str">
        <f ca="1"/>
        <v>Bad</v>
      </c>
    </row>
    <row r="4210" spans="2:34" x14ac:dyDescent="0.2">
      <c r="B4210" s="2">
        <f ca="1"/>
        <v>0.68077610244560316</v>
      </c>
      <c r="O4210" s="2">
        <f ca="1"/>
        <v>9.5671511871043991E-3</v>
      </c>
      <c r="X4210" s="2">
        <f ca="1"/>
        <v>72.396428089589207</v>
      </c>
      <c r="AG4210" s="2">
        <f ca="1"/>
        <v>0.27223557141919508</v>
      </c>
      <c r="AH4210" s="2" t="str">
        <f ca="1"/>
        <v>OK</v>
      </c>
    </row>
    <row r="4211" spans="2:34" x14ac:dyDescent="0.2">
      <c r="B4211" s="2">
        <f ca="1"/>
        <v>0.79008479285180577</v>
      </c>
      <c r="O4211" s="2">
        <f ca="1"/>
        <v>0.74876083167532659</v>
      </c>
      <c r="X4211" s="2">
        <f ca="1"/>
        <v>57.923698135211836</v>
      </c>
      <c r="AG4211" s="2">
        <f ca="1"/>
        <v>0.8629481805131205</v>
      </c>
      <c r="AH4211" s="2" t="str">
        <f ca="1"/>
        <v>Bad</v>
      </c>
    </row>
    <row r="4212" spans="2:34" x14ac:dyDescent="0.2">
      <c r="B4212" s="2">
        <f ca="1"/>
        <v>0.63256820531941749</v>
      </c>
      <c r="O4212" s="2">
        <f ca="1"/>
        <v>-9.0398556497162288E-2</v>
      </c>
      <c r="X4212" s="2">
        <f ca="1"/>
        <v>37.505297533369031</v>
      </c>
      <c r="AG4212" s="2">
        <f ca="1"/>
        <v>0.29947333136484011</v>
      </c>
      <c r="AH4212" s="2" t="str">
        <f ca="1"/>
        <v>OK</v>
      </c>
    </row>
    <row r="4213" spans="2:34" x14ac:dyDescent="0.2">
      <c r="B4213" s="2">
        <f ca="1"/>
        <v>0.80567857241856022</v>
      </c>
      <c r="O4213" s="2">
        <f ca="1"/>
        <v>2.109478118518513</v>
      </c>
      <c r="X4213" s="2">
        <f ca="1"/>
        <v>50.905989979793844</v>
      </c>
      <c r="AG4213" s="2">
        <f ca="1"/>
        <v>0.85525476253404031</v>
      </c>
      <c r="AH4213" s="2" t="str">
        <f ca="1"/>
        <v>Bad</v>
      </c>
    </row>
    <row r="4214" spans="2:34" x14ac:dyDescent="0.2">
      <c r="B4214" s="2">
        <f ca="1"/>
        <v>2.2268752161177074E-2</v>
      </c>
      <c r="O4214" s="2">
        <f ca="1"/>
        <v>1.1842264573962129</v>
      </c>
      <c r="X4214" s="2">
        <f ca="1"/>
        <v>76.923032871645134</v>
      </c>
      <c r="AG4214" s="2">
        <f ca="1"/>
        <v>0.9357923870746927</v>
      </c>
      <c r="AH4214" s="2" t="str">
        <f ca="1"/>
        <v>Bad</v>
      </c>
    </row>
    <row r="4215" spans="2:34" x14ac:dyDescent="0.2">
      <c r="B4215" s="2">
        <f ca="1"/>
        <v>0.57170456132973446</v>
      </c>
      <c r="O4215" s="2">
        <f ca="1"/>
        <v>-0.82306112991289815</v>
      </c>
      <c r="X4215" s="2">
        <f ca="1"/>
        <v>55.102268010365414</v>
      </c>
      <c r="AG4215" s="2">
        <f ca="1"/>
        <v>0.84466620547889892</v>
      </c>
      <c r="AH4215" s="2" t="str">
        <f ca="1"/>
        <v>Bad</v>
      </c>
    </row>
    <row r="4216" spans="2:34" x14ac:dyDescent="0.2">
      <c r="B4216" s="2">
        <f ca="1"/>
        <v>0.58297668601165586</v>
      </c>
      <c r="O4216" s="2">
        <f ca="1"/>
        <v>-0.64360211523665956</v>
      </c>
      <c r="X4216" s="2">
        <f ca="1"/>
        <v>41.015950739288066</v>
      </c>
      <c r="AG4216" s="2">
        <f ca="1"/>
        <v>0.36895446742636206</v>
      </c>
      <c r="AH4216" s="2" t="str">
        <f ca="1"/>
        <v>OK</v>
      </c>
    </row>
    <row r="4217" spans="2:34" x14ac:dyDescent="0.2">
      <c r="B4217" s="2">
        <f ca="1"/>
        <v>0.67614859873656674</v>
      </c>
      <c r="O4217" s="2">
        <f ca="1"/>
        <v>1.0022489154906826</v>
      </c>
      <c r="X4217" s="2">
        <f ca="1"/>
        <v>65.625872111199527</v>
      </c>
      <c r="AG4217" s="2">
        <f ca="1"/>
        <v>0.44647934276770496</v>
      </c>
      <c r="AH4217" s="2" t="str">
        <f ca="1"/>
        <v>Bad</v>
      </c>
    </row>
    <row r="4218" spans="2:34" x14ac:dyDescent="0.2">
      <c r="B4218" s="2">
        <f ca="1"/>
        <v>0.58402736210699335</v>
      </c>
      <c r="O4218" s="2">
        <f ca="1"/>
        <v>-0.54985795104783508</v>
      </c>
      <c r="X4218" s="2">
        <f ca="1"/>
        <v>73.440979600571495</v>
      </c>
      <c r="AG4218" s="2">
        <f ca="1"/>
        <v>0.78822204099280935</v>
      </c>
      <c r="AH4218" s="2" t="str">
        <f ca="1"/>
        <v>Bad</v>
      </c>
    </row>
    <row r="4219" spans="2:34" x14ac:dyDescent="0.2">
      <c r="B4219" s="2">
        <f ca="1"/>
        <v>0.28387639744602278</v>
      </c>
      <c r="O4219" s="2">
        <f ca="1"/>
        <v>1.1232834678054548</v>
      </c>
      <c r="X4219" s="2">
        <f ca="1"/>
        <v>39.68593123269919</v>
      </c>
      <c r="AG4219" s="2">
        <f ca="1"/>
        <v>0.23312252596877148</v>
      </c>
      <c r="AH4219" s="2" t="str">
        <f ca="1"/>
        <v>OK</v>
      </c>
    </row>
    <row r="4220" spans="2:34" x14ac:dyDescent="0.2">
      <c r="B4220" s="2">
        <f ca="1"/>
        <v>0.33962419110172593</v>
      </c>
      <c r="O4220" s="2">
        <f ca="1"/>
        <v>0.88302915967733586</v>
      </c>
      <c r="X4220" s="2">
        <f ca="1"/>
        <v>43.387437746148578</v>
      </c>
      <c r="AG4220" s="2">
        <f ca="1"/>
        <v>0.62210030217709611</v>
      </c>
      <c r="AH4220" s="2" t="str">
        <f ca="1"/>
        <v>Bad</v>
      </c>
    </row>
    <row r="4221" spans="2:34" x14ac:dyDescent="0.2">
      <c r="B4221" s="2">
        <f ca="1"/>
        <v>0.46932817607973165</v>
      </c>
      <c r="O4221" s="2">
        <f ca="1"/>
        <v>-1.3929018969400337</v>
      </c>
      <c r="X4221" s="2">
        <f ca="1"/>
        <v>29.124650780721634</v>
      </c>
      <c r="AG4221" s="2">
        <f ca="1"/>
        <v>0.52611543330710786</v>
      </c>
      <c r="AH4221" s="2" t="str">
        <f ca="1"/>
        <v>Bad</v>
      </c>
    </row>
    <row r="4222" spans="2:34" x14ac:dyDescent="0.2">
      <c r="B4222" s="2">
        <f ca="1"/>
        <v>0.94151363099017993</v>
      </c>
      <c r="O4222" s="2">
        <f ca="1"/>
        <v>3.1050503692864197E-2</v>
      </c>
      <c r="X4222" s="2">
        <f ca="1"/>
        <v>41.049352048020594</v>
      </c>
      <c r="AG4222" s="2">
        <f ca="1"/>
        <v>0.66089446138795993</v>
      </c>
      <c r="AH4222" s="2" t="str">
        <f ca="1"/>
        <v>Bad</v>
      </c>
    </row>
    <row r="4223" spans="2:34" x14ac:dyDescent="0.2">
      <c r="B4223" s="2">
        <f ca="1"/>
        <v>0.98064617136384502</v>
      </c>
      <c r="O4223" s="2">
        <f ca="1"/>
        <v>-0.25106015619629035</v>
      </c>
      <c r="X4223" s="2">
        <f ca="1"/>
        <v>42.90490246304752</v>
      </c>
      <c r="AG4223" s="2">
        <f ca="1"/>
        <v>0.66036448316810348</v>
      </c>
      <c r="AH4223" s="2" t="str">
        <f ca="1"/>
        <v>Bad</v>
      </c>
    </row>
    <row r="4224" spans="2:34" x14ac:dyDescent="0.2">
      <c r="B4224" s="2">
        <f ca="1"/>
        <v>0.73472679015045972</v>
      </c>
      <c r="O4224" s="2">
        <f ca="1"/>
        <v>-0.59977735733375737</v>
      </c>
      <c r="X4224" s="2">
        <f ca="1"/>
        <v>43.017994170034086</v>
      </c>
      <c r="AG4224" s="2">
        <f ca="1"/>
        <v>0.28059925999535018</v>
      </c>
      <c r="AH4224" s="2" t="str">
        <f ca="1"/>
        <v>OK</v>
      </c>
    </row>
    <row r="4225" spans="2:34" x14ac:dyDescent="0.2">
      <c r="B4225" s="2">
        <f ca="1"/>
        <v>0.9968453764892462</v>
      </c>
      <c r="O4225" s="2">
        <f ca="1"/>
        <v>-5.1747984091688522E-2</v>
      </c>
      <c r="X4225" s="2">
        <f ca="1"/>
        <v>71.510135675269197</v>
      </c>
      <c r="AG4225" s="2">
        <f ca="1"/>
        <v>0.49600111314220463</v>
      </c>
      <c r="AH4225" s="2" t="str">
        <f ca="1"/>
        <v>Bad</v>
      </c>
    </row>
    <row r="4226" spans="2:34" x14ac:dyDescent="0.2">
      <c r="B4226" s="2">
        <f ca="1"/>
        <v>0.29824786811868176</v>
      </c>
      <c r="O4226" s="2">
        <f ca="1"/>
        <v>7.7505564887686382E-2</v>
      </c>
      <c r="X4226" s="2">
        <f ca="1"/>
        <v>64.358207305003944</v>
      </c>
      <c r="AG4226" s="2">
        <f ca="1"/>
        <v>0.35244839404813821</v>
      </c>
      <c r="AH4226" s="2" t="str">
        <f ca="1"/>
        <v>OK</v>
      </c>
    </row>
    <row r="4227" spans="2:34" x14ac:dyDescent="0.2">
      <c r="B4227" s="2">
        <f ca="1"/>
        <v>0.42038669649273119</v>
      </c>
      <c r="O4227" s="2">
        <f ca="1"/>
        <v>0.6378643240168399</v>
      </c>
      <c r="X4227" s="2">
        <f ca="1"/>
        <v>49.54275445513975</v>
      </c>
      <c r="AG4227" s="2">
        <f ca="1"/>
        <v>1.475736827519647E-2</v>
      </c>
      <c r="AH4227" s="2" t="str">
        <f ca="1"/>
        <v>Good</v>
      </c>
    </row>
    <row r="4228" spans="2:34" x14ac:dyDescent="0.2">
      <c r="B4228" s="2">
        <f ca="1"/>
        <v>0.66696883217388248</v>
      </c>
      <c r="O4228" s="2">
        <f ca="1"/>
        <v>1.215459913801443</v>
      </c>
      <c r="X4228" s="2">
        <f ca="1"/>
        <v>53.935323086337746</v>
      </c>
      <c r="AG4228" s="2">
        <f ca="1"/>
        <v>0.37346119252591614</v>
      </c>
      <c r="AH4228" s="2" t="str">
        <f ca="1"/>
        <v>OK</v>
      </c>
    </row>
    <row r="4229" spans="2:34" x14ac:dyDescent="0.2">
      <c r="B4229" s="2">
        <f ca="1"/>
        <v>0.13408108859547108</v>
      </c>
      <c r="O4229" s="2">
        <f ca="1"/>
        <v>-0.18413497114482241</v>
      </c>
      <c r="X4229" s="2">
        <f ca="1"/>
        <v>61.799330203882477</v>
      </c>
      <c r="AG4229" s="2">
        <f ca="1"/>
        <v>0.66273037720688799</v>
      </c>
      <c r="AH4229" s="2" t="str">
        <f ca="1"/>
        <v>Bad</v>
      </c>
    </row>
    <row r="4230" spans="2:34" x14ac:dyDescent="0.2">
      <c r="B4230" s="2">
        <f ca="1"/>
        <v>0.49781161016797371</v>
      </c>
      <c r="O4230" s="2">
        <f ca="1"/>
        <v>-1.1327170800213331</v>
      </c>
      <c r="X4230" s="2">
        <f ca="1"/>
        <v>37.146074708538428</v>
      </c>
      <c r="AG4230" s="2">
        <f ca="1"/>
        <v>0.56201343636545831</v>
      </c>
      <c r="AH4230" s="2" t="str">
        <f ca="1"/>
        <v>Bad</v>
      </c>
    </row>
    <row r="4231" spans="2:34" x14ac:dyDescent="0.2">
      <c r="B4231" s="2">
        <f ca="1"/>
        <v>0.23794718117684499</v>
      </c>
      <c r="O4231" s="2">
        <f ca="1"/>
        <v>-0.1991237244292198</v>
      </c>
      <c r="X4231" s="2">
        <f ca="1"/>
        <v>38.933811888696162</v>
      </c>
      <c r="AG4231" s="2">
        <f ca="1"/>
        <v>0.57605877145509865</v>
      </c>
      <c r="AH4231" s="2" t="str">
        <f ca="1"/>
        <v>Bad</v>
      </c>
    </row>
    <row r="4232" spans="2:34" x14ac:dyDescent="0.2">
      <c r="B4232" s="2">
        <f ca="1"/>
        <v>0.89575598127203593</v>
      </c>
      <c r="O4232" s="2">
        <f ca="1"/>
        <v>0.60561790394236792</v>
      </c>
      <c r="X4232" s="2">
        <f ca="1"/>
        <v>48.074339238705292</v>
      </c>
      <c r="AG4232" s="2">
        <f ca="1"/>
        <v>0.16495327403988491</v>
      </c>
      <c r="AH4232" s="2" t="str">
        <f ca="1"/>
        <v>OK</v>
      </c>
    </row>
    <row r="4233" spans="2:34" x14ac:dyDescent="0.2">
      <c r="B4233" s="2">
        <f ca="1"/>
        <v>0.3803476038428697</v>
      </c>
      <c r="O4233" s="2">
        <f ca="1"/>
        <v>-0.48766258616808833</v>
      </c>
      <c r="X4233" s="2">
        <f ca="1"/>
        <v>45.754643982496759</v>
      </c>
      <c r="AG4233" s="2">
        <f ca="1"/>
        <v>0.3400328268877888</v>
      </c>
      <c r="AH4233" s="2" t="str">
        <f ca="1"/>
        <v>OK</v>
      </c>
    </row>
    <row r="4234" spans="2:34" x14ac:dyDescent="0.2">
      <c r="B4234" s="2">
        <f ca="1"/>
        <v>0.99513259188423464</v>
      </c>
      <c r="O4234" s="2">
        <f ca="1"/>
        <v>-0.70362205333373085</v>
      </c>
      <c r="X4234" s="2">
        <f ca="1"/>
        <v>53.407471438015712</v>
      </c>
      <c r="AG4234" s="2">
        <f ca="1"/>
        <v>0.88522737434713616</v>
      </c>
      <c r="AH4234" s="2" t="str">
        <f ca="1"/>
        <v>Bad</v>
      </c>
    </row>
    <row r="4235" spans="2:34" x14ac:dyDescent="0.2">
      <c r="B4235" s="2">
        <f ca="1"/>
        <v>0.15752427101777555</v>
      </c>
      <c r="O4235" s="2">
        <f ca="1"/>
        <v>1.2290015908325407</v>
      </c>
      <c r="X4235" s="2">
        <f ca="1"/>
        <v>50.992146243832323</v>
      </c>
      <c r="AG4235" s="2">
        <f ca="1"/>
        <v>0.44935587762378093</v>
      </c>
      <c r="AH4235" s="2" t="str">
        <f ca="1"/>
        <v>Bad</v>
      </c>
    </row>
    <row r="4236" spans="2:34" x14ac:dyDescent="0.2">
      <c r="B4236" s="2">
        <f ca="1"/>
        <v>0.40633563277971518</v>
      </c>
      <c r="O4236" s="2">
        <f ca="1"/>
        <v>-5.9906905772148647E-2</v>
      </c>
      <c r="X4236" s="2">
        <f ca="1"/>
        <v>44.094429282089891</v>
      </c>
      <c r="AG4236" s="2">
        <f ca="1"/>
        <v>0.88625681563559011</v>
      </c>
      <c r="AH4236" s="2" t="str">
        <f ca="1"/>
        <v>Bad</v>
      </c>
    </row>
    <row r="4237" spans="2:34" x14ac:dyDescent="0.2">
      <c r="B4237" s="2">
        <f ca="1"/>
        <v>0.85246961406581701</v>
      </c>
      <c r="O4237" s="2">
        <f ca="1"/>
        <v>-1.1966923263216347</v>
      </c>
      <c r="X4237" s="2">
        <f ca="1"/>
        <v>45.990525073936993</v>
      </c>
      <c r="AG4237" s="2">
        <f ca="1"/>
        <v>6.714533003767742E-2</v>
      </c>
      <c r="AH4237" s="2" t="str">
        <f ca="1"/>
        <v>OK</v>
      </c>
    </row>
    <row r="4238" spans="2:34" x14ac:dyDescent="0.2">
      <c r="B4238" s="2">
        <f ca="1"/>
        <v>0.11466484552720702</v>
      </c>
      <c r="O4238" s="2">
        <f ca="1"/>
        <v>-0.45979348194336173</v>
      </c>
      <c r="X4238" s="2">
        <f ca="1"/>
        <v>48.422390818776897</v>
      </c>
      <c r="AG4238" s="2">
        <f ca="1"/>
        <v>2.8664240907385619E-3</v>
      </c>
      <c r="AH4238" s="2" t="str">
        <f ca="1"/>
        <v>Good</v>
      </c>
    </row>
    <row r="4239" spans="2:34" x14ac:dyDescent="0.2">
      <c r="B4239" s="2">
        <f ca="1"/>
        <v>0.36518324146367975</v>
      </c>
      <c r="O4239" s="2">
        <f ca="1"/>
        <v>-0.16709239094423897</v>
      </c>
      <c r="X4239" s="2">
        <f ca="1"/>
        <v>47.710668186423476</v>
      </c>
      <c r="AG4239" s="2">
        <f ca="1"/>
        <v>0.16119754980760215</v>
      </c>
      <c r="AH4239" s="2" t="str">
        <f ca="1"/>
        <v>OK</v>
      </c>
    </row>
    <row r="4240" spans="2:34" x14ac:dyDescent="0.2">
      <c r="B4240" s="2">
        <f ca="1"/>
        <v>0.30410723272607565</v>
      </c>
      <c r="O4240" s="2">
        <f ca="1"/>
        <v>-1.9488689423275052</v>
      </c>
      <c r="X4240" s="2">
        <f ca="1"/>
        <v>32.110246617612177</v>
      </c>
      <c r="AG4240" s="2">
        <f ca="1"/>
        <v>0.57933056238430836</v>
      </c>
      <c r="AH4240" s="2" t="str">
        <f ca="1"/>
        <v>Bad</v>
      </c>
    </row>
    <row r="4241" spans="2:34" x14ac:dyDescent="0.2">
      <c r="B4241" s="2">
        <f ca="1"/>
        <v>0.12655869194892366</v>
      </c>
      <c r="O4241" s="2">
        <f ca="1"/>
        <v>0.64708449659603995</v>
      </c>
      <c r="X4241" s="2">
        <f ca="1"/>
        <v>82.913349752212682</v>
      </c>
      <c r="AG4241" s="2">
        <f ca="1"/>
        <v>0.99632495144406064</v>
      </c>
      <c r="AH4241" s="2" t="str">
        <f ca="1"/>
        <v>Bad</v>
      </c>
    </row>
    <row r="4242" spans="2:34" x14ac:dyDescent="0.2">
      <c r="B4242" s="2">
        <f ca="1"/>
        <v>0.70850575025074303</v>
      </c>
      <c r="O4242" s="2">
        <f ca="1"/>
        <v>0.1216874269442991</v>
      </c>
      <c r="X4242" s="2">
        <f ca="1"/>
        <v>57.583430652185783</v>
      </c>
      <c r="AG4242" s="2">
        <f ca="1"/>
        <v>0.818049729172033</v>
      </c>
      <c r="AH4242" s="2" t="str">
        <f ca="1"/>
        <v>Bad</v>
      </c>
    </row>
    <row r="4243" spans="2:34" x14ac:dyDescent="0.2">
      <c r="B4243" s="2">
        <f ca="1"/>
        <v>0.18781228572077557</v>
      </c>
      <c r="O4243" s="2">
        <f ca="1"/>
        <v>-1.4823436430360983</v>
      </c>
      <c r="X4243" s="2">
        <f ca="1"/>
        <v>20.078792375589597</v>
      </c>
      <c r="AG4243" s="2">
        <f ca="1"/>
        <v>0.77754198130378183</v>
      </c>
      <c r="AH4243" s="2" t="str">
        <f ca="1"/>
        <v>Bad</v>
      </c>
    </row>
    <row r="4244" spans="2:34" x14ac:dyDescent="0.2">
      <c r="B4244" s="2">
        <f ca="1"/>
        <v>0.24311738720275033</v>
      </c>
      <c r="O4244" s="2">
        <f ca="1"/>
        <v>-0.16792921049804119</v>
      </c>
      <c r="X4244" s="2">
        <f ca="1"/>
        <v>27.310033405687001</v>
      </c>
      <c r="AG4244" s="2">
        <f ca="1"/>
        <v>0.64910405484676015</v>
      </c>
      <c r="AH4244" s="2" t="str">
        <f ca="1"/>
        <v>Bad</v>
      </c>
    </row>
    <row r="4245" spans="2:34" x14ac:dyDescent="0.2">
      <c r="B4245" s="2">
        <f ca="1"/>
        <v>0.12412230948155178</v>
      </c>
      <c r="O4245" s="2">
        <f ca="1"/>
        <v>-1.7921565796085837</v>
      </c>
      <c r="X4245" s="2">
        <f ca="1"/>
        <v>48.47151983703283</v>
      </c>
      <c r="AG4245" s="2">
        <f ca="1"/>
        <v>0.44155818633653943</v>
      </c>
      <c r="AH4245" s="2" t="str">
        <f ca="1"/>
        <v>Bad</v>
      </c>
    </row>
    <row r="4246" spans="2:34" x14ac:dyDescent="0.2">
      <c r="B4246" s="2">
        <f ca="1"/>
        <v>0.52012165819412992</v>
      </c>
      <c r="O4246" s="2">
        <f ca="1"/>
        <v>-0.74478237037060602</v>
      </c>
      <c r="X4246" s="2">
        <f ca="1"/>
        <v>40.626097644470192</v>
      </c>
      <c r="AG4246" s="2">
        <f ca="1"/>
        <v>0.87429612564396852</v>
      </c>
      <c r="AH4246" s="2" t="str">
        <f ca="1"/>
        <v>Bad</v>
      </c>
    </row>
    <row r="4247" spans="2:34" x14ac:dyDescent="0.2">
      <c r="B4247" s="2">
        <f ca="1"/>
        <v>0.9276362178352473</v>
      </c>
      <c r="O4247" s="2">
        <f ca="1"/>
        <v>0.72233026055310401</v>
      </c>
      <c r="X4247" s="2">
        <f ca="1"/>
        <v>66.98148699321834</v>
      </c>
      <c r="AG4247" s="2">
        <f ca="1"/>
        <v>0.77184370594814289</v>
      </c>
      <c r="AH4247" s="2" t="str">
        <f ca="1"/>
        <v>Bad</v>
      </c>
    </row>
    <row r="4248" spans="2:34" x14ac:dyDescent="0.2">
      <c r="B4248" s="2">
        <f ca="1"/>
        <v>0.7549360407235417</v>
      </c>
      <c r="O4248" s="2">
        <f ca="1"/>
        <v>0.56170631858525544</v>
      </c>
      <c r="X4248" s="2">
        <f ca="1"/>
        <v>70.511974092404301</v>
      </c>
      <c r="AG4248" s="2">
        <f ca="1"/>
        <v>0.41734466803175208</v>
      </c>
      <c r="AH4248" s="2" t="str">
        <f ca="1"/>
        <v>Bad</v>
      </c>
    </row>
    <row r="4249" spans="2:34" x14ac:dyDescent="0.2">
      <c r="B4249" s="2">
        <f ca="1"/>
        <v>7.9840322053938095E-2</v>
      </c>
      <c r="O4249" s="2">
        <f ca="1"/>
        <v>0.17047628867719597</v>
      </c>
      <c r="X4249" s="2">
        <f ca="1"/>
        <v>80.973803273703012</v>
      </c>
      <c r="AG4249" s="2">
        <f ca="1"/>
        <v>0.37239948010239643</v>
      </c>
      <c r="AH4249" s="2" t="str">
        <f ca="1"/>
        <v>OK</v>
      </c>
    </row>
    <row r="4250" spans="2:34" x14ac:dyDescent="0.2">
      <c r="B4250" s="2">
        <f ca="1"/>
        <v>0.95212982361933074</v>
      </c>
      <c r="O4250" s="2">
        <f ca="1"/>
        <v>1.0640728077226591</v>
      </c>
      <c r="X4250" s="2">
        <f ca="1"/>
        <v>34.597941996255514</v>
      </c>
      <c r="AG4250" s="2">
        <f ca="1"/>
        <v>0.99393123643457693</v>
      </c>
      <c r="AH4250" s="2" t="str">
        <f ca="1"/>
        <v>Bad</v>
      </c>
    </row>
    <row r="4251" spans="2:34" x14ac:dyDescent="0.2">
      <c r="B4251" s="2">
        <f ca="1"/>
        <v>0.90287518715282733</v>
      </c>
      <c r="O4251" s="2">
        <f ca="1"/>
        <v>-0.93631286950967063</v>
      </c>
      <c r="X4251" s="2">
        <f ca="1"/>
        <v>64.993055394648096</v>
      </c>
      <c r="AG4251" s="2">
        <f ca="1"/>
        <v>7.7666569069029912E-2</v>
      </c>
      <c r="AH4251" s="2" t="str">
        <f ca="1"/>
        <v>OK</v>
      </c>
    </row>
    <row r="4252" spans="2:34" x14ac:dyDescent="0.2">
      <c r="B4252" s="2">
        <f ca="1"/>
        <v>0.35657112063176299</v>
      </c>
      <c r="O4252" s="2">
        <f ca="1"/>
        <v>-0.19551799097477524</v>
      </c>
      <c r="X4252" s="2">
        <f ca="1"/>
        <v>45.994698903468148</v>
      </c>
      <c r="AG4252" s="2">
        <f ca="1"/>
        <v>0.15167557173268409</v>
      </c>
      <c r="AH4252" s="2" t="str">
        <f ca="1"/>
        <v>OK</v>
      </c>
    </row>
    <row r="4253" spans="2:34" x14ac:dyDescent="0.2">
      <c r="B4253" s="2">
        <f ca="1"/>
        <v>0.81206202755530055</v>
      </c>
      <c r="O4253" s="2">
        <f ca="1"/>
        <v>-0.85564164524724828</v>
      </c>
      <c r="X4253" s="2">
        <f ca="1"/>
        <v>26.129087462441433</v>
      </c>
      <c r="AG4253" s="2">
        <f ca="1"/>
        <v>0.71355066806503276</v>
      </c>
      <c r="AH4253" s="2" t="str">
        <f ca="1"/>
        <v>Bad</v>
      </c>
    </row>
    <row r="4254" spans="2:34" x14ac:dyDescent="0.2">
      <c r="B4254" s="2">
        <f ca="1"/>
        <v>0.27048572355219558</v>
      </c>
      <c r="O4254" s="2">
        <f ca="1"/>
        <v>-1.0918803387171931</v>
      </c>
      <c r="X4254" s="2">
        <f ca="1"/>
        <v>45.728046346144566</v>
      </c>
      <c r="AG4254" s="2">
        <f ca="1"/>
        <v>0.5064640295577032</v>
      </c>
      <c r="AH4254" s="2" t="str">
        <f ca="1"/>
        <v>Bad</v>
      </c>
    </row>
    <row r="4255" spans="2:34" x14ac:dyDescent="0.2">
      <c r="B4255" s="2">
        <f ca="1"/>
        <v>0.95088521575676044</v>
      </c>
      <c r="O4255" s="2">
        <f ca="1"/>
        <v>-0.54684360425789891</v>
      </c>
      <c r="X4255" s="2">
        <f ca="1"/>
        <v>46.193615783588207</v>
      </c>
      <c r="AG4255" s="2">
        <f ca="1"/>
        <v>0.88739085585466437</v>
      </c>
      <c r="AH4255" s="2" t="str">
        <f ca="1"/>
        <v>Bad</v>
      </c>
    </row>
    <row r="4256" spans="2:34" x14ac:dyDescent="0.2">
      <c r="B4256" s="2">
        <f ca="1"/>
        <v>0.67536639271211896</v>
      </c>
      <c r="O4256" s="2">
        <f ca="1"/>
        <v>0.56800198810606584</v>
      </c>
      <c r="X4256" s="2">
        <f ca="1"/>
        <v>29.593154539735458</v>
      </c>
      <c r="AG4256" s="2">
        <f ca="1"/>
        <v>0.26330036904052689</v>
      </c>
      <c r="AH4256" s="2" t="str">
        <f ca="1"/>
        <v>OK</v>
      </c>
    </row>
    <row r="4257" spans="2:34" x14ac:dyDescent="0.2">
      <c r="B4257" s="2">
        <f ca="1"/>
        <v>0.69516325276486812</v>
      </c>
      <c r="O4257" s="2">
        <f ca="1"/>
        <v>-0.94392177889114548</v>
      </c>
      <c r="X4257" s="2">
        <f ca="1"/>
        <v>75.520207835659889</v>
      </c>
      <c r="AG4257" s="2">
        <f ca="1"/>
        <v>0.62342703924939902</v>
      </c>
      <c r="AH4257" s="2" t="str">
        <f ca="1"/>
        <v>Bad</v>
      </c>
    </row>
    <row r="4258" spans="2:34" x14ac:dyDescent="0.2">
      <c r="B4258" s="2">
        <f ca="1"/>
        <v>0.44382512442821498</v>
      </c>
      <c r="O4258" s="2">
        <f ca="1"/>
        <v>-1.5738790749720919</v>
      </c>
      <c r="X4258" s="2">
        <f ca="1"/>
        <v>51.777246514774539</v>
      </c>
      <c r="AG4258" s="2">
        <f ca="1"/>
        <v>0.10976150088787695</v>
      </c>
      <c r="AH4258" s="2" t="str">
        <f ca="1"/>
        <v>OK</v>
      </c>
    </row>
    <row r="4259" spans="2:34" x14ac:dyDescent="0.2">
      <c r="B4259" s="2">
        <f ca="1"/>
        <v>0.27203478271783821</v>
      </c>
      <c r="O4259" s="2">
        <f ca="1"/>
        <v>2.1860802127187102</v>
      </c>
      <c r="X4259" s="2">
        <f ca="1"/>
        <v>41.25058913717303</v>
      </c>
      <c r="AG4259" s="2">
        <f ca="1"/>
        <v>0.47935109864735992</v>
      </c>
      <c r="AH4259" s="2" t="str">
        <f ca="1"/>
        <v>Bad</v>
      </c>
    </row>
    <row r="4260" spans="2:34" x14ac:dyDescent="0.2">
      <c r="B4260" s="2">
        <f ca="1"/>
        <v>0.40205137165111693</v>
      </c>
      <c r="O4260" s="2">
        <f ca="1"/>
        <v>-0.50123083915177413</v>
      </c>
      <c r="X4260" s="2">
        <f ca="1"/>
        <v>30.343103627582618</v>
      </c>
      <c r="AG4260" s="2">
        <f ca="1"/>
        <v>9.3157310981285102E-2</v>
      </c>
      <c r="AH4260" s="2" t="str">
        <f ca="1"/>
        <v>OK</v>
      </c>
    </row>
    <row r="4261" spans="2:34" x14ac:dyDescent="0.2">
      <c r="B4261" s="2">
        <f ca="1"/>
        <v>0.26403122112642108</v>
      </c>
      <c r="O4261" s="2">
        <f ca="1"/>
        <v>1.7296324397636695</v>
      </c>
      <c r="X4261" s="2">
        <f ca="1"/>
        <v>30.095530235333314</v>
      </c>
      <c r="AG4261" s="2">
        <f ca="1"/>
        <v>0.97230452296313041</v>
      </c>
      <c r="AH4261" s="2" t="str">
        <f ca="1"/>
        <v>Bad</v>
      </c>
    </row>
    <row r="4262" spans="2:34" x14ac:dyDescent="0.2">
      <c r="B4262" s="2">
        <f ca="1"/>
        <v>0.48626934752391837</v>
      </c>
      <c r="O4262" s="2">
        <f ca="1"/>
        <v>-0.11550538952292207</v>
      </c>
      <c r="X4262" s="2">
        <f ca="1"/>
        <v>51.123644894180991</v>
      </c>
      <c r="AG4262" s="2">
        <f ca="1"/>
        <v>0.1413511870141535</v>
      </c>
      <c r="AH4262" s="2" t="str">
        <f ca="1"/>
        <v>OK</v>
      </c>
    </row>
    <row r="4263" spans="2:34" x14ac:dyDescent="0.2">
      <c r="B4263" s="2">
        <f ca="1"/>
        <v>0.11833835442099527</v>
      </c>
      <c r="O4263" s="2">
        <f ca="1"/>
        <v>1.6521092630659699</v>
      </c>
      <c r="X4263" s="2">
        <f ca="1"/>
        <v>70.535385744482525</v>
      </c>
      <c r="AG4263" s="2">
        <f ca="1"/>
        <v>0.78904377537255166</v>
      </c>
      <c r="AH4263" s="2" t="str">
        <f ca="1"/>
        <v>Bad</v>
      </c>
    </row>
    <row r="4264" spans="2:34" x14ac:dyDescent="0.2">
      <c r="B4264" s="2">
        <f ca="1"/>
        <v>0.66471802075567621</v>
      </c>
      <c r="O4264" s="2">
        <f ca="1"/>
        <v>-2.2255485663287269</v>
      </c>
      <c r="X4264" s="2">
        <f ca="1"/>
        <v>57.908794425307867</v>
      </c>
      <c r="AG4264" s="2">
        <f ca="1"/>
        <v>0.87104095481392241</v>
      </c>
      <c r="AH4264" s="2" t="str">
        <f ca="1"/>
        <v>Bad</v>
      </c>
    </row>
    <row r="4265" spans="2:34" x14ac:dyDescent="0.2">
      <c r="B4265" s="2">
        <f ca="1"/>
        <v>1.1595716433467462E-2</v>
      </c>
      <c r="O4265" s="2">
        <f ca="1"/>
        <v>-1.4618908154762233</v>
      </c>
      <c r="X4265" s="2">
        <f ca="1"/>
        <v>55.894929663874706</v>
      </c>
      <c r="AG4265" s="2">
        <f ca="1"/>
        <v>0.9787800203880539</v>
      </c>
      <c r="AH4265" s="2" t="str">
        <f ca="1"/>
        <v>Bad</v>
      </c>
    </row>
    <row r="4266" spans="2:34" x14ac:dyDescent="0.2">
      <c r="B4266" s="2">
        <f ca="1"/>
        <v>0.25284582189198801</v>
      </c>
      <c r="O4266" s="2">
        <f ca="1"/>
        <v>-0.61321581021784055</v>
      </c>
      <c r="X4266" s="2">
        <f ca="1"/>
        <v>60.11706415307814</v>
      </c>
      <c r="AG4266" s="2">
        <f ca="1"/>
        <v>0.2444798657516063</v>
      </c>
      <c r="AH4266" s="2" t="str">
        <f ca="1"/>
        <v>OK</v>
      </c>
    </row>
    <row r="4267" spans="2:34" x14ac:dyDescent="0.2">
      <c r="B4267" s="2">
        <f ca="1"/>
        <v>0.10858071179322959</v>
      </c>
      <c r="O4267" s="2">
        <f ca="1"/>
        <v>-0.76303216923900896</v>
      </c>
      <c r="X4267" s="2">
        <f ca="1"/>
        <v>50.101060145506324</v>
      </c>
      <c r="AG4267" s="2">
        <f ca="1"/>
        <v>0.55272917942897393</v>
      </c>
      <c r="AH4267" s="2" t="str">
        <f ca="1"/>
        <v>Bad</v>
      </c>
    </row>
    <row r="4268" spans="2:34" x14ac:dyDescent="0.2">
      <c r="B4268" s="2">
        <f ca="1"/>
        <v>0.11410608613222006</v>
      </c>
      <c r="O4268" s="2">
        <f ca="1"/>
        <v>-1.1466005436580289</v>
      </c>
      <c r="X4268" s="2">
        <f ca="1"/>
        <v>48.569321961997041</v>
      </c>
      <c r="AG4268" s="2">
        <f ca="1"/>
        <v>0.13423828700036489</v>
      </c>
      <c r="AH4268" s="2" t="str">
        <f ca="1"/>
        <v>OK</v>
      </c>
    </row>
    <row r="4269" spans="2:34" x14ac:dyDescent="0.2">
      <c r="B4269" s="2">
        <f ca="1"/>
        <v>0.99302373761073315</v>
      </c>
      <c r="O4269" s="2">
        <f ca="1"/>
        <v>-0.7579912515213052</v>
      </c>
      <c r="X4269" s="2">
        <f ca="1"/>
        <v>48.692945411081766</v>
      </c>
      <c r="AG4269" s="2">
        <f ca="1"/>
        <v>0.94251784039710174</v>
      </c>
      <c r="AH4269" s="2" t="str">
        <f ca="1"/>
        <v>Bad</v>
      </c>
    </row>
    <row r="4270" spans="2:34" x14ac:dyDescent="0.2">
      <c r="B4270" s="2">
        <f ca="1"/>
        <v>0.51164028839390019</v>
      </c>
      <c r="O4270" s="2">
        <f ca="1"/>
        <v>-0.32052210298507205</v>
      </c>
      <c r="X4270" s="2">
        <f ca="1"/>
        <v>64.618200846361148</v>
      </c>
      <c r="AG4270" s="2">
        <f ca="1"/>
        <v>0.58081817618639708</v>
      </c>
      <c r="AH4270" s="2" t="str">
        <f ca="1"/>
        <v>Bad</v>
      </c>
    </row>
    <row r="4271" spans="2:34" x14ac:dyDescent="0.2">
      <c r="B4271" s="2">
        <f ca="1"/>
        <v>0.86022577660559429</v>
      </c>
      <c r="O4271" s="2">
        <f ca="1"/>
        <v>6.8007358972485679E-2</v>
      </c>
      <c r="X4271" s="2">
        <f ca="1"/>
        <v>85.726196588829225</v>
      </c>
      <c r="AG4271" s="2">
        <f ca="1"/>
        <v>0.52246884100206059</v>
      </c>
      <c r="AH4271" s="2" t="str">
        <f ca="1"/>
        <v>Bad</v>
      </c>
    </row>
    <row r="4272" spans="2:34" x14ac:dyDescent="0.2">
      <c r="B4272" s="2">
        <f ca="1"/>
        <v>0.49289517631512125</v>
      </c>
      <c r="O4272" s="2">
        <f ca="1"/>
        <v>1.0082287713979958</v>
      </c>
      <c r="X4272" s="2">
        <f ca="1"/>
        <v>78.599485408219948</v>
      </c>
      <c r="AG4272" s="2">
        <f ca="1"/>
        <v>0.9069602820275342</v>
      </c>
      <c r="AH4272" s="2" t="str">
        <f ca="1"/>
        <v>Bad</v>
      </c>
    </row>
    <row r="4273" spans="2:34" x14ac:dyDescent="0.2">
      <c r="B4273" s="2">
        <f ca="1"/>
        <v>0.22758547514918037</v>
      </c>
      <c r="O4273" s="2">
        <f ca="1"/>
        <v>-1.1959199799711666</v>
      </c>
      <c r="X4273" s="2">
        <f ca="1"/>
        <v>50.94566446631034</v>
      </c>
      <c r="AG4273" s="2">
        <f ca="1"/>
        <v>1.5697451127372863E-2</v>
      </c>
      <c r="AH4273" s="2" t="str">
        <f ca="1"/>
        <v>Good</v>
      </c>
    </row>
    <row r="4274" spans="2:34" x14ac:dyDescent="0.2">
      <c r="B4274" s="2">
        <f ca="1"/>
        <v>0.56777470752124182</v>
      </c>
      <c r="O4274" s="2">
        <f ca="1"/>
        <v>-1.2874616947311937</v>
      </c>
      <c r="X4274" s="2">
        <f ca="1"/>
        <v>50.69112866638207</v>
      </c>
      <c r="AG4274" s="2">
        <f ca="1"/>
        <v>0.3507502239384912</v>
      </c>
      <c r="AH4274" s="2" t="str">
        <f ca="1"/>
        <v>OK</v>
      </c>
    </row>
    <row r="4275" spans="2:34" x14ac:dyDescent="0.2">
      <c r="B4275" s="2">
        <f ca="1"/>
        <v>0.51280546085040157</v>
      </c>
      <c r="O4275" s="2">
        <f ca="1"/>
        <v>-1.0138593129924578</v>
      </c>
      <c r="X4275" s="2">
        <f ca="1"/>
        <v>51.235516864725845</v>
      </c>
      <c r="AG4275" s="2">
        <f ca="1"/>
        <v>0.32965100391913604</v>
      </c>
      <c r="AH4275" s="2" t="str">
        <f ca="1"/>
        <v>OK</v>
      </c>
    </row>
    <row r="4276" spans="2:34" x14ac:dyDescent="0.2">
      <c r="B4276" s="2">
        <f ca="1"/>
        <v>0.96117686582038542</v>
      </c>
      <c r="O4276" s="2">
        <f ca="1"/>
        <v>1.7276702103469757</v>
      </c>
      <c r="X4276" s="2">
        <f ca="1"/>
        <v>52.830694678456553</v>
      </c>
      <c r="AG4276" s="2">
        <f ca="1"/>
        <v>0.83647158959977297</v>
      </c>
      <c r="AH4276" s="2" t="str">
        <f ca="1"/>
        <v>Bad</v>
      </c>
    </row>
    <row r="4277" spans="2:34" x14ac:dyDescent="0.2">
      <c r="B4277" s="2">
        <f ca="1"/>
        <v>2.6572336572791011E-2</v>
      </c>
      <c r="O4277" s="2">
        <f ca="1"/>
        <v>-0.71091226898240423</v>
      </c>
      <c r="X4277" s="2">
        <f ca="1"/>
        <v>56.958008007228173</v>
      </c>
      <c r="AG4277" s="2">
        <f ca="1"/>
        <v>0.3428053215900595</v>
      </c>
      <c r="AH4277" s="2" t="str">
        <f ca="1"/>
        <v>OK</v>
      </c>
    </row>
    <row r="4278" spans="2:34" x14ac:dyDescent="0.2">
      <c r="B4278" s="2">
        <f ca="1"/>
        <v>0.37176811914949459</v>
      </c>
      <c r="O4278" s="2">
        <f ca="1"/>
        <v>0.11501910288805679</v>
      </c>
      <c r="X4278" s="2">
        <f ca="1"/>
        <v>38.953441488159356</v>
      </c>
      <c r="AG4278" s="2">
        <f ca="1"/>
        <v>0.63993134516083416</v>
      </c>
      <c r="AH4278" s="2" t="str">
        <f ca="1"/>
        <v>Bad</v>
      </c>
    </row>
    <row r="4279" spans="2:34" x14ac:dyDescent="0.2">
      <c r="B4279" s="2">
        <f ca="1"/>
        <v>0.40184648226344755</v>
      </c>
      <c r="O4279" s="2">
        <f ca="1"/>
        <v>1.4782365113489082</v>
      </c>
      <c r="X4279" s="2">
        <f ca="1"/>
        <v>57.655105316267466</v>
      </c>
      <c r="AG4279" s="2">
        <f ca="1"/>
        <v>0.71230558722158066</v>
      </c>
      <c r="AH4279" s="2" t="str">
        <f ca="1"/>
        <v>Bad</v>
      </c>
    </row>
    <row r="4280" spans="2:34" x14ac:dyDescent="0.2">
      <c r="B4280" s="2">
        <f ca="1"/>
        <v>6.9742885915998976E-2</v>
      </c>
      <c r="O4280" s="2">
        <f ca="1"/>
        <v>1.9099004581339107</v>
      </c>
      <c r="X4280" s="2">
        <f ca="1"/>
        <v>35.052602896956778</v>
      </c>
      <c r="AG4280" s="2">
        <f ca="1"/>
        <v>0.46642796950283527</v>
      </c>
      <c r="AH4280" s="2" t="str">
        <f ca="1"/>
        <v>Bad</v>
      </c>
    </row>
    <row r="4281" spans="2:34" x14ac:dyDescent="0.2">
      <c r="B4281" s="2">
        <f ca="1"/>
        <v>0.93565890596276047</v>
      </c>
      <c r="O4281" s="2">
        <f ca="1"/>
        <v>0.43282333686989743</v>
      </c>
      <c r="X4281" s="2">
        <f ca="1"/>
        <v>47.695882719262485</v>
      </c>
      <c r="AG4281" s="2">
        <f ca="1"/>
        <v>0.95580366440259268</v>
      </c>
      <c r="AH4281" s="2" t="str">
        <f ca="1"/>
        <v>Bad</v>
      </c>
    </row>
    <row r="4282" spans="2:34" x14ac:dyDescent="0.2">
      <c r="B4282" s="2">
        <f ca="1"/>
        <v>0.45793089541895382</v>
      </c>
      <c r="O4282" s="2">
        <f ca="1"/>
        <v>-0.87603180834428174</v>
      </c>
      <c r="X4282" s="2">
        <f ca="1"/>
        <v>45.9846619766111</v>
      </c>
      <c r="AG4282" s="2">
        <f ca="1"/>
        <v>0.28283383633820502</v>
      </c>
      <c r="AH4282" s="2" t="str">
        <f ca="1"/>
        <v>OK</v>
      </c>
    </row>
    <row r="4283" spans="2:34" x14ac:dyDescent="0.2">
      <c r="B4283" s="2">
        <f ca="1"/>
        <v>0.47258822392481736</v>
      </c>
      <c r="O4283" s="2">
        <f ca="1"/>
        <v>-0.54908403669013384</v>
      </c>
      <c r="X4283" s="2">
        <f ca="1"/>
        <v>29.509809251788429</v>
      </c>
      <c r="AG4283" s="2">
        <f ca="1"/>
        <v>0.39126309605502052</v>
      </c>
      <c r="AH4283" s="2" t="str">
        <f ca="1"/>
        <v>OK</v>
      </c>
    </row>
    <row r="4284" spans="2:34" x14ac:dyDescent="0.2">
      <c r="B4284" s="2">
        <f ca="1"/>
        <v>0.1543428501608215</v>
      </c>
      <c r="O4284" s="2">
        <f ca="1"/>
        <v>1.9638698556710399</v>
      </c>
      <c r="X4284" s="2">
        <f ca="1"/>
        <v>34.938322582949681</v>
      </c>
      <c r="AG4284" s="2">
        <f ca="1"/>
        <v>0.97559033897241565</v>
      </c>
      <c r="AH4284" s="2" t="str">
        <f ca="1"/>
        <v>Bad</v>
      </c>
    </row>
    <row r="4285" spans="2:34" x14ac:dyDescent="0.2">
      <c r="B4285" s="2">
        <f ca="1"/>
        <v>0.30380827176929137</v>
      </c>
      <c r="O4285" s="2">
        <f ca="1"/>
        <v>0.58446244969826366</v>
      </c>
      <c r="X4285" s="2">
        <f ca="1"/>
        <v>37.449746268727743</v>
      </c>
      <c r="AG4285" s="2">
        <f ca="1"/>
        <v>0.74963911893461099</v>
      </c>
      <c r="AH4285" s="2" t="str">
        <f ca="1"/>
        <v>Bad</v>
      </c>
    </row>
    <row r="4286" spans="2:34" x14ac:dyDescent="0.2">
      <c r="B4286" s="2">
        <f ca="1"/>
        <v>4.916574158353515E-2</v>
      </c>
      <c r="O4286" s="2">
        <f ca="1"/>
        <v>0.80733785993534757</v>
      </c>
      <c r="X4286" s="2">
        <f ca="1"/>
        <v>64.647352376134492</v>
      </c>
      <c r="AG4286" s="2">
        <f ca="1"/>
        <v>9.1939695071800109E-2</v>
      </c>
      <c r="AH4286" s="2" t="str">
        <f ca="1"/>
        <v>OK</v>
      </c>
    </row>
    <row r="4287" spans="2:34" x14ac:dyDescent="0.2">
      <c r="B4287" s="2">
        <f ca="1"/>
        <v>0.3714646518928868</v>
      </c>
      <c r="O4287" s="2">
        <f ca="1"/>
        <v>0.70331588385428268</v>
      </c>
      <c r="X4287" s="2">
        <f ca="1"/>
        <v>58.393277206153691</v>
      </c>
      <c r="AG4287" s="2">
        <f ca="1"/>
        <v>0.24944554526918195</v>
      </c>
      <c r="AH4287" s="2" t="str">
        <f ca="1"/>
        <v>OK</v>
      </c>
    </row>
    <row r="4288" spans="2:34" x14ac:dyDescent="0.2">
      <c r="B4288" s="2">
        <f ca="1"/>
        <v>0.98882589236966534</v>
      </c>
      <c r="O4288" s="2">
        <f ca="1"/>
        <v>0.83730978802564371</v>
      </c>
      <c r="X4288" s="2">
        <f ca="1"/>
        <v>45.862992976143516</v>
      </c>
      <c r="AG4288" s="2">
        <f ca="1"/>
        <v>0.72193206179892466</v>
      </c>
      <c r="AH4288" s="2" t="str">
        <f ca="1"/>
        <v>Bad</v>
      </c>
    </row>
    <row r="4289" spans="2:34" x14ac:dyDescent="0.2">
      <c r="B4289" s="2">
        <f ca="1"/>
        <v>0.24374271809626658</v>
      </c>
      <c r="O4289" s="2">
        <f ca="1"/>
        <v>1.3246230373428591</v>
      </c>
      <c r="X4289" s="2">
        <f ca="1"/>
        <v>25.549821843650538</v>
      </c>
      <c r="AG4289" s="2">
        <f ca="1"/>
        <v>0.1146453165929624</v>
      </c>
      <c r="AH4289" s="2" t="str">
        <f ca="1"/>
        <v>OK</v>
      </c>
    </row>
    <row r="4290" spans="2:34" x14ac:dyDescent="0.2">
      <c r="B4290" s="2">
        <f ca="1"/>
        <v>0.77406942587799521</v>
      </c>
      <c r="O4290" s="2">
        <f ca="1"/>
        <v>0.29313184072185494</v>
      </c>
      <c r="X4290" s="2">
        <f ca="1"/>
        <v>41.628865082861388</v>
      </c>
      <c r="AG4290" s="2">
        <f ca="1"/>
        <v>0.94588667463742793</v>
      </c>
      <c r="AH4290" s="2" t="str">
        <f ca="1"/>
        <v>Bad</v>
      </c>
    </row>
    <row r="4291" spans="2:34" x14ac:dyDescent="0.2">
      <c r="B4291" s="2">
        <f ca="1"/>
        <v>0.13642678690386689</v>
      </c>
      <c r="O4291" s="2">
        <f ca="1"/>
        <v>-1.9021436429112435</v>
      </c>
      <c r="X4291" s="2">
        <f ca="1"/>
        <v>33.211018813828247</v>
      </c>
      <c r="AG4291" s="2">
        <f ca="1"/>
        <v>0.74225258449523457</v>
      </c>
      <c r="AH4291" s="2" t="str">
        <f ca="1"/>
        <v>Bad</v>
      </c>
    </row>
    <row r="4292" spans="2:34" x14ac:dyDescent="0.2">
      <c r="B4292" s="2">
        <f ca="1"/>
        <v>0.66754269454121751</v>
      </c>
      <c r="O4292" s="2">
        <f ca="1"/>
        <v>-0.45295383840688719</v>
      </c>
      <c r="X4292" s="2">
        <f ca="1"/>
        <v>79.812790355475414</v>
      </c>
      <c r="AG4292" s="2">
        <f ca="1"/>
        <v>1.236020069924515E-2</v>
      </c>
      <c r="AH4292" s="2" t="str">
        <f ca="1"/>
        <v>Good</v>
      </c>
    </row>
    <row r="4293" spans="2:34" x14ac:dyDescent="0.2">
      <c r="B4293" s="2">
        <f ca="1"/>
        <v>0.36050641352709456</v>
      </c>
      <c r="O4293" s="2">
        <f ca="1"/>
        <v>-5.2727011438359603E-2</v>
      </c>
      <c r="X4293" s="2">
        <f ca="1"/>
        <v>49.32730880816333</v>
      </c>
      <c r="AG4293" s="2">
        <f ca="1"/>
        <v>0.57428997344474286</v>
      </c>
      <c r="AH4293" s="2" t="str">
        <f ca="1"/>
        <v>Bad</v>
      </c>
    </row>
    <row r="4294" spans="2:34" x14ac:dyDescent="0.2">
      <c r="B4294" s="2">
        <f ca="1"/>
        <v>0.35839127482248512</v>
      </c>
      <c r="O4294" s="2">
        <f ca="1"/>
        <v>1.0330397485539877</v>
      </c>
      <c r="X4294" s="2">
        <f ca="1"/>
        <v>53.235233265652298</v>
      </c>
      <c r="AG4294" s="2">
        <f ca="1"/>
        <v>0.69967687485094499</v>
      </c>
      <c r="AH4294" s="2" t="str">
        <f ca="1"/>
        <v>Bad</v>
      </c>
    </row>
    <row r="4295" spans="2:34" x14ac:dyDescent="0.2">
      <c r="B4295" s="2">
        <f ca="1"/>
        <v>0.48863727570285653</v>
      </c>
      <c r="O4295" s="2">
        <f ca="1"/>
        <v>2.0766957796042416</v>
      </c>
      <c r="X4295" s="2">
        <f ca="1"/>
        <v>37.909551351199909</v>
      </c>
      <c r="AG4295" s="2">
        <f ca="1"/>
        <v>0.73167744791624867</v>
      </c>
      <c r="AH4295" s="2" t="str">
        <f ca="1"/>
        <v>Bad</v>
      </c>
    </row>
    <row r="4296" spans="2:34" x14ac:dyDescent="0.2">
      <c r="B4296" s="2">
        <f ca="1"/>
        <v>0.609446411814214</v>
      </c>
      <c r="O4296" s="2">
        <f ca="1"/>
        <v>-0.26289161119348642</v>
      </c>
      <c r="X4296" s="2">
        <f ca="1"/>
        <v>40.819118821185</v>
      </c>
      <c r="AG4296" s="2">
        <f ca="1"/>
        <v>0.50212631868219071</v>
      </c>
      <c r="AH4296" s="2" t="str">
        <f ca="1"/>
        <v>Bad</v>
      </c>
    </row>
    <row r="4297" spans="2:34" x14ac:dyDescent="0.2">
      <c r="B4297" s="2">
        <f ca="1"/>
        <v>0.48838907192775727</v>
      </c>
      <c r="O4297" s="2">
        <f ca="1"/>
        <v>0.57596550339644292</v>
      </c>
      <c r="X4297" s="2">
        <f ca="1"/>
        <v>42.149386289154556</v>
      </c>
      <c r="AG4297" s="2">
        <f ca="1"/>
        <v>5.8130982172737156E-3</v>
      </c>
      <c r="AH4297" s="2" t="str">
        <f ca="1"/>
        <v>Good</v>
      </c>
    </row>
    <row r="4298" spans="2:34" x14ac:dyDescent="0.2">
      <c r="B4298" s="2">
        <f ca="1"/>
        <v>0.76842753579004119</v>
      </c>
      <c r="O4298" s="2">
        <f ca="1"/>
        <v>2.0102118151892321</v>
      </c>
      <c r="X4298" s="2">
        <f ca="1"/>
        <v>34.849680752314164</v>
      </c>
      <c r="AG4298" s="2">
        <f ca="1"/>
        <v>0.41359045810289463</v>
      </c>
      <c r="AH4298" s="2" t="str">
        <f ca="1"/>
        <v>Bad</v>
      </c>
    </row>
    <row r="4299" spans="2:34" x14ac:dyDescent="0.2">
      <c r="B4299" s="2">
        <f ca="1"/>
        <v>0.91971642424965627</v>
      </c>
      <c r="O4299" s="2">
        <f ca="1"/>
        <v>-0.4837790663791845</v>
      </c>
      <c r="X4299" s="2">
        <f ca="1"/>
        <v>28.386501004698893</v>
      </c>
      <c r="AG4299" s="2">
        <f ca="1"/>
        <v>0.48337387410800625</v>
      </c>
      <c r="AH4299" s="2" t="str">
        <f ca="1"/>
        <v>Bad</v>
      </c>
    </row>
    <row r="4300" spans="2:34" x14ac:dyDescent="0.2">
      <c r="B4300" s="2">
        <f ca="1"/>
        <v>0.43571392782729768</v>
      </c>
      <c r="O4300" s="2">
        <f ca="1"/>
        <v>-1.8284994010506146</v>
      </c>
      <c r="X4300" s="2">
        <f ca="1"/>
        <v>51.65645967068167</v>
      </c>
      <c r="AG4300" s="2">
        <f ca="1"/>
        <v>0.66438797933169202</v>
      </c>
      <c r="AH4300" s="2" t="str">
        <f ca="1"/>
        <v>Bad</v>
      </c>
    </row>
    <row r="4301" spans="2:34" x14ac:dyDescent="0.2">
      <c r="B4301" s="2">
        <f ca="1"/>
        <v>0.8734314640160481</v>
      </c>
      <c r="O4301" s="2">
        <f ca="1"/>
        <v>0.43633312811185804</v>
      </c>
      <c r="X4301" s="2">
        <f ca="1"/>
        <v>68.248934378370336</v>
      </c>
      <c r="AG4301" s="2">
        <f ca="1"/>
        <v>0.21103035247480584</v>
      </c>
      <c r="AH4301" s="2" t="str">
        <f ca="1"/>
        <v>OK</v>
      </c>
    </row>
    <row r="4302" spans="2:34" x14ac:dyDescent="0.2">
      <c r="B4302" s="2">
        <f ca="1"/>
        <v>0.87518155534738851</v>
      </c>
      <c r="O4302" s="2">
        <f ca="1"/>
        <v>1.1892550121016285</v>
      </c>
      <c r="X4302" s="2">
        <f ca="1"/>
        <v>74.533937290066532</v>
      </c>
      <c r="AG4302" s="2">
        <f ca="1"/>
        <v>1.6897479466570386E-2</v>
      </c>
      <c r="AH4302" s="2" t="str">
        <f ca="1"/>
        <v>Good</v>
      </c>
    </row>
    <row r="4303" spans="2:34" x14ac:dyDescent="0.2">
      <c r="B4303" s="2">
        <f ca="1"/>
        <v>3.4031285217146268E-2</v>
      </c>
      <c r="O4303" s="2">
        <f ca="1"/>
        <v>0.92244343059738598</v>
      </c>
      <c r="X4303" s="2">
        <f ca="1"/>
        <v>41.230392007915626</v>
      </c>
      <c r="AG4303" s="2">
        <f ca="1"/>
        <v>0.59682693428204048</v>
      </c>
      <c r="AH4303" s="2" t="str">
        <f ca="1"/>
        <v>Bad</v>
      </c>
    </row>
    <row r="4304" spans="2:34" x14ac:dyDescent="0.2">
      <c r="B4304" s="2">
        <f ca="1"/>
        <v>0.15312157450267261</v>
      </c>
      <c r="O4304" s="2">
        <f ca="1"/>
        <v>1.0963370920577009</v>
      </c>
      <c r="X4304" s="2">
        <f ca="1"/>
        <v>74.30402040168471</v>
      </c>
      <c r="AG4304" s="2">
        <f ca="1"/>
        <v>0.45215986101579975</v>
      </c>
      <c r="AH4304" s="2" t="str">
        <f ca="1"/>
        <v>Bad</v>
      </c>
    </row>
    <row r="4305" spans="2:34" x14ac:dyDescent="0.2">
      <c r="B4305" s="2">
        <f ca="1"/>
        <v>0.69334232255388395</v>
      </c>
      <c r="O4305" s="2">
        <f ca="1"/>
        <v>1.383939652797965</v>
      </c>
      <c r="X4305" s="2">
        <f ca="1"/>
        <v>43.592713348687894</v>
      </c>
      <c r="AG4305" s="2">
        <f ca="1"/>
        <v>0.47673313162957531</v>
      </c>
      <c r="AH4305" s="2" t="str">
        <f ca="1"/>
        <v>Bad</v>
      </c>
    </row>
    <row r="4306" spans="2:34" x14ac:dyDescent="0.2">
      <c r="B4306" s="2">
        <f ca="1"/>
        <v>4.2455448235772408E-2</v>
      </c>
      <c r="O4306" s="2">
        <f ca="1"/>
        <v>2.2808709257331716</v>
      </c>
      <c r="X4306" s="2">
        <f ca="1"/>
        <v>43.819103950943187</v>
      </c>
      <c r="AG4306" s="2">
        <f ca="1"/>
        <v>5.1946961669409486E-2</v>
      </c>
      <c r="AH4306" s="2" t="str">
        <f ca="1"/>
        <v>OK</v>
      </c>
    </row>
    <row r="4307" spans="2:34" x14ac:dyDescent="0.2">
      <c r="B4307" s="2">
        <f ca="1"/>
        <v>0.37045823094301267</v>
      </c>
      <c r="O4307" s="2">
        <f ca="1"/>
        <v>-0.11464860056588615</v>
      </c>
      <c r="X4307" s="2">
        <f ca="1"/>
        <v>48.625993176873408</v>
      </c>
      <c r="AG4307" s="2">
        <f ca="1"/>
        <v>0.39673751359909337</v>
      </c>
      <c r="AH4307" s="2" t="str">
        <f ca="1"/>
        <v>OK</v>
      </c>
    </row>
    <row r="4308" spans="2:34" x14ac:dyDescent="0.2">
      <c r="B4308" s="2">
        <f ca="1"/>
        <v>0.37380693766959516</v>
      </c>
      <c r="O4308" s="2">
        <f ca="1"/>
        <v>0.8841026391914889</v>
      </c>
      <c r="X4308" s="2">
        <f ca="1"/>
        <v>69.240401093971656</v>
      </c>
      <c r="AG4308" s="2">
        <f ca="1"/>
        <v>0.9864759504348477</v>
      </c>
      <c r="AH4308" s="2" t="str">
        <f ca="1"/>
        <v>Bad</v>
      </c>
    </row>
    <row r="4309" spans="2:34" x14ac:dyDescent="0.2">
      <c r="B4309" s="2">
        <f ca="1"/>
        <v>0.84627820453413061</v>
      </c>
      <c r="O4309" s="2">
        <f ca="1"/>
        <v>0.16219974185141633</v>
      </c>
      <c r="X4309" s="2">
        <f ca="1"/>
        <v>58.654445273845511</v>
      </c>
      <c r="AG4309" s="2">
        <f ca="1"/>
        <v>0.72810762886010183</v>
      </c>
      <c r="AH4309" s="2" t="str">
        <f ca="1"/>
        <v>Bad</v>
      </c>
    </row>
    <row r="4310" spans="2:34" x14ac:dyDescent="0.2">
      <c r="B4310" s="2">
        <f ca="1"/>
        <v>0.277561555626753</v>
      </c>
      <c r="O4310" s="2">
        <f ca="1"/>
        <v>-0.52633454466807861</v>
      </c>
      <c r="X4310" s="2">
        <f ca="1"/>
        <v>56.631679645867372</v>
      </c>
      <c r="AG4310" s="2">
        <f ca="1"/>
        <v>0.78315052181746547</v>
      </c>
      <c r="AH4310" s="2" t="str">
        <f ca="1"/>
        <v>Bad</v>
      </c>
    </row>
    <row r="4311" spans="2:34" x14ac:dyDescent="0.2">
      <c r="B4311" s="2">
        <f ca="1"/>
        <v>0.38194068453325691</v>
      </c>
      <c r="O4311" s="2">
        <f ca="1"/>
        <v>-1.1026352367629968</v>
      </c>
      <c r="X4311" s="2">
        <f ca="1"/>
        <v>26.794325621068978</v>
      </c>
      <c r="AG4311" s="2">
        <f ca="1"/>
        <v>0.18153666728315354</v>
      </c>
      <c r="AH4311" s="2" t="str">
        <f ca="1"/>
        <v>OK</v>
      </c>
    </row>
    <row r="4312" spans="2:34" x14ac:dyDescent="0.2">
      <c r="B4312" s="2">
        <f ca="1"/>
        <v>0.83287772355594103</v>
      </c>
      <c r="O4312" s="2">
        <f ca="1"/>
        <v>0.19493101423935019</v>
      </c>
      <c r="X4312" s="2">
        <f ca="1"/>
        <v>63.252016746004941</v>
      </c>
      <c r="AG4312" s="2">
        <f ca="1"/>
        <v>0.94457686216722947</v>
      </c>
      <c r="AH4312" s="2" t="str">
        <f ca="1"/>
        <v>Bad</v>
      </c>
    </row>
    <row r="4313" spans="2:34" x14ac:dyDescent="0.2">
      <c r="B4313" s="2">
        <f ca="1"/>
        <v>0.77513375386535377</v>
      </c>
      <c r="O4313" s="2">
        <f ca="1"/>
        <v>0.23116266979408043</v>
      </c>
      <c r="X4313" s="2">
        <f ca="1"/>
        <v>56.312218411751019</v>
      </c>
      <c r="AG4313" s="2">
        <f ca="1"/>
        <v>0.79537466217124386</v>
      </c>
      <c r="AH4313" s="2" t="str">
        <f ca="1"/>
        <v>Bad</v>
      </c>
    </row>
    <row r="4314" spans="2:34" x14ac:dyDescent="0.2">
      <c r="B4314" s="2">
        <f ca="1"/>
        <v>0.50694949829648062</v>
      </c>
      <c r="O4314" s="2">
        <f ca="1"/>
        <v>0.41481362229977065</v>
      </c>
      <c r="X4314" s="2">
        <f ca="1"/>
        <v>97.665956740715885</v>
      </c>
      <c r="AG4314" s="2">
        <f ca="1"/>
        <v>0.4428371092967498</v>
      </c>
      <c r="AH4314" s="2" t="str">
        <f ca="1"/>
        <v>Bad</v>
      </c>
    </row>
    <row r="4315" spans="2:34" x14ac:dyDescent="0.2">
      <c r="B4315" s="2">
        <f ca="1"/>
        <v>0.79460407920511766</v>
      </c>
      <c r="O4315" s="2">
        <f ca="1"/>
        <v>-0.67235038988913265</v>
      </c>
      <c r="X4315" s="2">
        <f ca="1"/>
        <v>66.289516118129058</v>
      </c>
      <c r="AG4315" s="2">
        <f ca="1"/>
        <v>0.76614149204656501</v>
      </c>
      <c r="AH4315" s="2" t="str">
        <f ca="1"/>
        <v>Bad</v>
      </c>
    </row>
    <row r="4316" spans="2:34" x14ac:dyDescent="0.2">
      <c r="B4316" s="2">
        <f ca="1"/>
        <v>0.2707925469778647</v>
      </c>
      <c r="O4316" s="2">
        <f ca="1"/>
        <v>0.20035569065536568</v>
      </c>
      <c r="X4316" s="2">
        <f ca="1"/>
        <v>42.013138895036313</v>
      </c>
      <c r="AG4316" s="2">
        <f ca="1"/>
        <v>0.28559793332525318</v>
      </c>
      <c r="AH4316" s="2" t="str">
        <f ca="1"/>
        <v>OK</v>
      </c>
    </row>
    <row r="4317" spans="2:34" x14ac:dyDescent="0.2">
      <c r="B4317" s="2">
        <f ca="1"/>
        <v>0.75969181002747321</v>
      </c>
      <c r="O4317" s="2">
        <f ca="1"/>
        <v>0.15710524881101079</v>
      </c>
      <c r="X4317" s="2">
        <f ca="1"/>
        <v>55.881626745930504</v>
      </c>
      <c r="AG4317" s="2">
        <f ca="1"/>
        <v>0.96687032485132152</v>
      </c>
      <c r="AH4317" s="2" t="str">
        <f ca="1"/>
        <v>Bad</v>
      </c>
    </row>
    <row r="4318" spans="2:34" x14ac:dyDescent="0.2">
      <c r="B4318" s="2">
        <f ca="1"/>
        <v>0.59702846689940348</v>
      </c>
      <c r="O4318" s="2">
        <f ca="1"/>
        <v>1.450927423569073</v>
      </c>
      <c r="X4318" s="2">
        <f ca="1"/>
        <v>31.750120470601324</v>
      </c>
      <c r="AG4318" s="2">
        <f ca="1"/>
        <v>0.99427253608805466</v>
      </c>
      <c r="AH4318" s="2" t="str">
        <f ca="1"/>
        <v>Bad</v>
      </c>
    </row>
    <row r="4319" spans="2:34" x14ac:dyDescent="0.2">
      <c r="B4319" s="2">
        <f ca="1"/>
        <v>0.56917016687349764</v>
      </c>
      <c r="O4319" s="2">
        <f ca="1"/>
        <v>0.70241067919525457</v>
      </c>
      <c r="X4319" s="2">
        <f ca="1"/>
        <v>45.387780924471997</v>
      </c>
      <c r="AG4319" s="2">
        <f ca="1"/>
        <v>0.4532728928564882</v>
      </c>
      <c r="AH4319" s="2" t="str">
        <f ca="1"/>
        <v>Bad</v>
      </c>
    </row>
    <row r="4320" spans="2:34" x14ac:dyDescent="0.2">
      <c r="B4320" s="2">
        <f ca="1"/>
        <v>0.98318171583751024</v>
      </c>
      <c r="O4320" s="2">
        <f ca="1"/>
        <v>-8.350026205881618E-2</v>
      </c>
      <c r="X4320" s="2">
        <f ca="1"/>
        <v>51.640380307163127</v>
      </c>
      <c r="AG4320" s="2">
        <f ca="1"/>
        <v>0.51892317272607213</v>
      </c>
      <c r="AH4320" s="2" t="str">
        <f ca="1"/>
        <v>Bad</v>
      </c>
    </row>
    <row r="4321" spans="2:34" x14ac:dyDescent="0.2">
      <c r="B4321" s="2">
        <f ca="1"/>
        <v>0.80292497494368753</v>
      </c>
      <c r="O4321" s="2">
        <f ca="1"/>
        <v>-0.45505704248510481</v>
      </c>
      <c r="X4321" s="2">
        <f ca="1"/>
        <v>23.331879806318369</v>
      </c>
      <c r="AG4321" s="2">
        <f ca="1"/>
        <v>0.64309614175402574</v>
      </c>
      <c r="AH4321" s="2" t="str">
        <f ca="1"/>
        <v>Bad</v>
      </c>
    </row>
    <row r="4322" spans="2:34" x14ac:dyDescent="0.2">
      <c r="B4322" s="2">
        <f ca="1"/>
        <v>0.86328507081354267</v>
      </c>
      <c r="O4322" s="2">
        <f ca="1"/>
        <v>-0.91617155970821873</v>
      </c>
      <c r="X4322" s="2">
        <f ca="1"/>
        <v>37.035137399126008</v>
      </c>
      <c r="AG4322" s="2">
        <f ca="1"/>
        <v>0.79992446772280035</v>
      </c>
      <c r="AH4322" s="2" t="str">
        <f ca="1"/>
        <v>Bad</v>
      </c>
    </row>
    <row r="4323" spans="2:34" x14ac:dyDescent="0.2">
      <c r="B4323" s="2">
        <f ca="1"/>
        <v>4.186513446936968E-2</v>
      </c>
      <c r="O4323" s="2">
        <f ca="1"/>
        <v>1.2898830534819825</v>
      </c>
      <c r="X4323" s="2">
        <f ca="1"/>
        <v>50.748786368235024</v>
      </c>
      <c r="AG4323" s="2">
        <f ca="1"/>
        <v>7.1273680951229101E-2</v>
      </c>
      <c r="AH4323" s="2" t="str">
        <f ca="1"/>
        <v>OK</v>
      </c>
    </row>
    <row r="4324" spans="2:34" x14ac:dyDescent="0.2">
      <c r="B4324" s="2">
        <f ca="1"/>
        <v>0.67878820964271824</v>
      </c>
      <c r="O4324" s="2">
        <f ca="1"/>
        <v>-0.87465480714925381</v>
      </c>
      <c r="X4324" s="2">
        <f ca="1"/>
        <v>72.579774566022039</v>
      </c>
      <c r="AG4324" s="2">
        <f ca="1"/>
        <v>0.16321648976374514</v>
      </c>
      <c r="AH4324" s="2" t="str">
        <f ca="1"/>
        <v>OK</v>
      </c>
    </row>
    <row r="4325" spans="2:34" x14ac:dyDescent="0.2">
      <c r="B4325" s="2">
        <f ca="1"/>
        <v>0.26545506382517847</v>
      </c>
      <c r="O4325" s="2">
        <f ca="1"/>
        <v>-2.0741751054989139</v>
      </c>
      <c r="X4325" s="2">
        <f ca="1"/>
        <v>56.787959350162922</v>
      </c>
      <c r="AG4325" s="2">
        <f ca="1"/>
        <v>0.84163768822599261</v>
      </c>
      <c r="AH4325" s="2" t="str">
        <f ca="1"/>
        <v>Bad</v>
      </c>
    </row>
    <row r="4326" spans="2:34" x14ac:dyDescent="0.2">
      <c r="B4326" s="2">
        <f ca="1"/>
        <v>0.64966523992472336</v>
      </c>
      <c r="O4326" s="2">
        <f ca="1"/>
        <v>-0.67767233362006685</v>
      </c>
      <c r="X4326" s="2">
        <f ca="1"/>
        <v>56.995665417116079</v>
      </c>
      <c r="AG4326" s="2">
        <f ca="1"/>
        <v>5.3913176189108514E-2</v>
      </c>
      <c r="AH4326" s="2" t="str">
        <f ca="1"/>
        <v>OK</v>
      </c>
    </row>
    <row r="4327" spans="2:34" x14ac:dyDescent="0.2">
      <c r="B4327" s="2">
        <f ca="1"/>
        <v>0.3452019367439958</v>
      </c>
      <c r="O4327" s="2">
        <f ca="1"/>
        <v>-0.85521947596455639</v>
      </c>
      <c r="X4327" s="2">
        <f ca="1"/>
        <v>63.006165590489601</v>
      </c>
      <c r="AG4327" s="2">
        <f ca="1"/>
        <v>0.45443810362199266</v>
      </c>
      <c r="AH4327" s="2" t="str">
        <f ca="1"/>
        <v>Bad</v>
      </c>
    </row>
    <row r="4328" spans="2:34" x14ac:dyDescent="0.2">
      <c r="B4328" s="2">
        <f ca="1"/>
        <v>0.69178355444340789</v>
      </c>
      <c r="O4328" s="2">
        <f ca="1"/>
        <v>0.87569983210888924</v>
      </c>
      <c r="X4328" s="2">
        <f ca="1"/>
        <v>61.783058827099566</v>
      </c>
      <c r="AG4328" s="2">
        <f ca="1"/>
        <v>0.89102633366123518</v>
      </c>
      <c r="AH4328" s="2" t="str">
        <f ca="1"/>
        <v>Bad</v>
      </c>
    </row>
    <row r="4329" spans="2:34" x14ac:dyDescent="0.2">
      <c r="B4329" s="2">
        <f ca="1"/>
        <v>1.2557128497674208E-2</v>
      </c>
      <c r="O4329" s="2">
        <f ca="1"/>
        <v>1.2682791825101238</v>
      </c>
      <c r="X4329" s="2">
        <f ca="1"/>
        <v>53.574616939895769</v>
      </c>
      <c r="AG4329" s="2">
        <f ca="1"/>
        <v>0.54097804801492311</v>
      </c>
      <c r="AH4329" s="2" t="str">
        <f ca="1"/>
        <v>Bad</v>
      </c>
    </row>
    <row r="4330" spans="2:34" x14ac:dyDescent="0.2">
      <c r="B4330" s="2">
        <f ca="1"/>
        <v>0.67782166351472561</v>
      </c>
      <c r="O4330" s="2">
        <f ca="1"/>
        <v>1.3222674170861637</v>
      </c>
      <c r="X4330" s="2">
        <f ca="1"/>
        <v>45.218257226922546</v>
      </c>
      <c r="AG4330" s="2">
        <f ca="1"/>
        <v>4.7012744242900695E-2</v>
      </c>
      <c r="AH4330" s="2" t="str">
        <f ca="1"/>
        <v>Good</v>
      </c>
    </row>
    <row r="4331" spans="2:34" x14ac:dyDescent="0.2">
      <c r="B4331" s="2">
        <f ca="1"/>
        <v>0.60625741711015935</v>
      </c>
      <c r="O4331" s="2">
        <f ca="1"/>
        <v>-1.8968995201196917</v>
      </c>
      <c r="X4331" s="2">
        <f ca="1"/>
        <v>75.68284650044086</v>
      </c>
      <c r="AG4331" s="2">
        <f ca="1"/>
        <v>3.1487286156839378E-2</v>
      </c>
      <c r="AH4331" s="2" t="str">
        <f ca="1"/>
        <v>Good</v>
      </c>
    </row>
    <row r="4332" spans="2:34" x14ac:dyDescent="0.2">
      <c r="B4332" s="2">
        <f ca="1"/>
        <v>0.63302077974996096</v>
      </c>
      <c r="O4332" s="2">
        <f ca="1"/>
        <v>0.36515489599930029</v>
      </c>
      <c r="X4332" s="2">
        <f ca="1"/>
        <v>18.28432696419566</v>
      </c>
      <c r="AG4332" s="2">
        <f ca="1"/>
        <v>0.38294710924768238</v>
      </c>
      <c r="AH4332" s="2" t="str">
        <f ca="1"/>
        <v>OK</v>
      </c>
    </row>
    <row r="4333" spans="2:34" x14ac:dyDescent="0.2">
      <c r="B4333" s="2">
        <f ca="1"/>
        <v>0.76984807268324418</v>
      </c>
      <c r="O4333" s="2">
        <f ca="1"/>
        <v>0.32017115850839745</v>
      </c>
      <c r="X4333" s="2">
        <f ca="1"/>
        <v>60.340097702274264</v>
      </c>
      <c r="AG4333" s="2">
        <f ca="1"/>
        <v>0.40144795952685919</v>
      </c>
      <c r="AH4333" s="2" t="str">
        <f ca="1"/>
        <v>Bad</v>
      </c>
    </row>
    <row r="4334" spans="2:34" x14ac:dyDescent="0.2">
      <c r="B4334" s="2">
        <f ca="1"/>
        <v>0.43699257310278905</v>
      </c>
      <c r="O4334" s="2">
        <f ca="1"/>
        <v>-1.2487849188668684E-2</v>
      </c>
      <c r="X4334" s="2">
        <f ca="1"/>
        <v>32.954596175504982</v>
      </c>
      <c r="AG4334" s="2">
        <f ca="1"/>
        <v>0.55233985367294136</v>
      </c>
      <c r="AH4334" s="2" t="str">
        <f ca="1"/>
        <v>Bad</v>
      </c>
    </row>
    <row r="4335" spans="2:34" x14ac:dyDescent="0.2">
      <c r="B4335" s="2">
        <f ca="1"/>
        <v>0.57614244065815368</v>
      </c>
      <c r="O4335" s="2">
        <f ca="1"/>
        <v>-2.1332284638080399</v>
      </c>
      <c r="X4335" s="2">
        <f ca="1"/>
        <v>55.740654737181657</v>
      </c>
      <c r="AG4335" s="2">
        <f ca="1"/>
        <v>0.39043675828366631</v>
      </c>
      <c r="AH4335" s="2" t="str">
        <f ca="1"/>
        <v>OK</v>
      </c>
    </row>
    <row r="4336" spans="2:34" x14ac:dyDescent="0.2">
      <c r="B4336" s="2">
        <f ca="1"/>
        <v>0.34585710606459719</v>
      </c>
      <c r="O4336" s="2">
        <f ca="1"/>
        <v>0.38955720764335694</v>
      </c>
      <c r="X4336" s="2">
        <f ca="1"/>
        <v>53.884391574316631</v>
      </c>
      <c r="AG4336" s="2">
        <f ca="1"/>
        <v>0.16968337077838513</v>
      </c>
      <c r="AH4336" s="2" t="str">
        <f ca="1"/>
        <v>OK</v>
      </c>
    </row>
    <row r="4337" spans="2:34" x14ac:dyDescent="0.2">
      <c r="B4337" s="2">
        <f ca="1"/>
        <v>0.74371356466556926</v>
      </c>
      <c r="O4337" s="2">
        <f ca="1"/>
        <v>-0.1489205090814186</v>
      </c>
      <c r="X4337" s="2">
        <f ca="1"/>
        <v>40.360914890367397</v>
      </c>
      <c r="AG4337" s="2">
        <f ca="1"/>
        <v>0.33144357596462748</v>
      </c>
      <c r="AH4337" s="2" t="str">
        <f ca="1"/>
        <v>OK</v>
      </c>
    </row>
    <row r="4338" spans="2:34" x14ac:dyDescent="0.2">
      <c r="B4338" s="2">
        <f ca="1"/>
        <v>0.48381877330735734</v>
      </c>
      <c r="O4338" s="2">
        <f ca="1"/>
        <v>1.0609346756882714</v>
      </c>
      <c r="X4338" s="2">
        <f ca="1"/>
        <v>50.625364958994922</v>
      </c>
      <c r="AG4338" s="2">
        <f ca="1"/>
        <v>0.53534019799267574</v>
      </c>
      <c r="AH4338" s="2" t="str">
        <f ca="1"/>
        <v>Bad</v>
      </c>
    </row>
    <row r="4339" spans="2:34" x14ac:dyDescent="0.2">
      <c r="B4339" s="2">
        <f ca="1"/>
        <v>0.17936634061747458</v>
      </c>
      <c r="O4339" s="2">
        <f ca="1"/>
        <v>1.5584193655085781</v>
      </c>
      <c r="X4339" s="2">
        <f ca="1"/>
        <v>57.597835487435489</v>
      </c>
      <c r="AG4339" s="2">
        <f ca="1"/>
        <v>0.47683514736416055</v>
      </c>
      <c r="AH4339" s="2" t="str">
        <f ca="1"/>
        <v>Bad</v>
      </c>
    </row>
    <row r="4340" spans="2:34" x14ac:dyDescent="0.2">
      <c r="B4340" s="2">
        <f ca="1"/>
        <v>0.9887355603518182</v>
      </c>
      <c r="O4340" s="2">
        <f ca="1"/>
        <v>1.5336893956364361</v>
      </c>
      <c r="X4340" s="2">
        <f ca="1"/>
        <v>46.458583468346653</v>
      </c>
      <c r="AG4340" s="2">
        <f ca="1"/>
        <v>0.51944424743703554</v>
      </c>
      <c r="AH4340" s="2" t="str">
        <f ca="1"/>
        <v>Bad</v>
      </c>
    </row>
    <row r="4341" spans="2:34" x14ac:dyDescent="0.2">
      <c r="B4341" s="2">
        <f ca="1"/>
        <v>0.39004470624598908</v>
      </c>
      <c r="O4341" s="2">
        <f ca="1"/>
        <v>0.77012307960157422</v>
      </c>
      <c r="X4341" s="2">
        <f ca="1"/>
        <v>57.137990444589988</v>
      </c>
      <c r="AG4341" s="2">
        <f ca="1"/>
        <v>0.2960255854747682</v>
      </c>
      <c r="AH4341" s="2" t="str">
        <f ca="1"/>
        <v>OK</v>
      </c>
    </row>
    <row r="4342" spans="2:34" x14ac:dyDescent="0.2">
      <c r="B4342" s="2">
        <f ca="1"/>
        <v>0.19578231471944663</v>
      </c>
      <c r="O4342" s="2">
        <f ca="1"/>
        <v>-1.4829866430320746</v>
      </c>
      <c r="X4342" s="2">
        <f ca="1"/>
        <v>50.267932049786488</v>
      </c>
      <c r="AG4342" s="2">
        <f ca="1"/>
        <v>0.11614493412989901</v>
      </c>
      <c r="AH4342" s="2" t="str">
        <f ca="1"/>
        <v>OK</v>
      </c>
    </row>
    <row r="4343" spans="2:34" x14ac:dyDescent="0.2">
      <c r="B4343" s="2">
        <f ca="1"/>
        <v>0.2837383212888609</v>
      </c>
      <c r="O4343" s="2">
        <f ca="1"/>
        <v>1.6287345258688202</v>
      </c>
      <c r="X4343" s="2">
        <f ca="1"/>
        <v>62.26109220736123</v>
      </c>
      <c r="AG4343" s="2">
        <f ca="1"/>
        <v>0.88440913221360717</v>
      </c>
      <c r="AH4343" s="2" t="str">
        <f ca="1"/>
        <v>Bad</v>
      </c>
    </row>
    <row r="4344" spans="2:34" x14ac:dyDescent="0.2">
      <c r="B4344" s="2">
        <f ca="1"/>
        <v>0.42509154979491792</v>
      </c>
      <c r="O4344" s="2">
        <f ca="1"/>
        <v>0.53931623980918608</v>
      </c>
      <c r="X4344" s="2">
        <f ca="1"/>
        <v>57.157053907218256</v>
      </c>
      <c r="AG4344" s="2">
        <f ca="1"/>
        <v>0.55743865385864177</v>
      </c>
      <c r="AH4344" s="2" t="str">
        <f ca="1"/>
        <v>Bad</v>
      </c>
    </row>
    <row r="4345" spans="2:34" x14ac:dyDescent="0.2">
      <c r="B4345" s="2">
        <f ca="1"/>
        <v>0.27289252225998428</v>
      </c>
      <c r="O4345" s="2">
        <f ca="1"/>
        <v>0.60934513428706338</v>
      </c>
      <c r="X4345" s="2">
        <f ca="1"/>
        <v>87.831199715255138</v>
      </c>
      <c r="AG4345" s="2">
        <f ca="1"/>
        <v>0.10844831139253608</v>
      </c>
      <c r="AH4345" s="2" t="str">
        <f ca="1"/>
        <v>OK</v>
      </c>
    </row>
    <row r="4346" spans="2:34" x14ac:dyDescent="0.2">
      <c r="B4346" s="2">
        <f ca="1"/>
        <v>0.5614919593726948</v>
      </c>
      <c r="O4346" s="2">
        <f ca="1"/>
        <v>0.51401587305390384</v>
      </c>
      <c r="X4346" s="2">
        <f ca="1"/>
        <v>39.328781760359711</v>
      </c>
      <c r="AG4346" s="2">
        <f ca="1"/>
        <v>0.95877421611779101</v>
      </c>
      <c r="AH4346" s="2" t="str">
        <f ca="1"/>
        <v>Bad</v>
      </c>
    </row>
    <row r="4347" spans="2:34" x14ac:dyDescent="0.2">
      <c r="B4347" s="2">
        <f ca="1"/>
        <v>0.81217643648398452</v>
      </c>
      <c r="O4347" s="2">
        <f ca="1"/>
        <v>6.7066445519858584E-3</v>
      </c>
      <c r="X4347" s="2">
        <f ca="1"/>
        <v>31.358537801503473</v>
      </c>
      <c r="AG4347" s="2">
        <f ca="1"/>
        <v>0.66404020112300022</v>
      </c>
      <c r="AH4347" s="2" t="str">
        <f ca="1"/>
        <v>Bad</v>
      </c>
    </row>
    <row r="4348" spans="2:34" x14ac:dyDescent="0.2">
      <c r="B4348" s="2">
        <f ca="1"/>
        <v>0.98467818640504667</v>
      </c>
      <c r="O4348" s="2">
        <f ca="1"/>
        <v>6.0650976638309748E-2</v>
      </c>
      <c r="X4348" s="2">
        <f ca="1"/>
        <v>47.369552638118691</v>
      </c>
      <c r="AG4348" s="2">
        <f ca="1"/>
        <v>6.7481952708383863E-2</v>
      </c>
      <c r="AH4348" s="2" t="str">
        <f ca="1"/>
        <v>OK</v>
      </c>
    </row>
    <row r="4349" spans="2:34" x14ac:dyDescent="0.2">
      <c r="B4349" s="2">
        <f ca="1"/>
        <v>0.51676822661373856</v>
      </c>
      <c r="O4349" s="2">
        <f ca="1"/>
        <v>-3.6636942365630733E-2</v>
      </c>
      <c r="X4349" s="2">
        <f ca="1"/>
        <v>26.406884101321619</v>
      </c>
      <c r="AG4349" s="2">
        <f ca="1"/>
        <v>0.78878657823927312</v>
      </c>
      <c r="AH4349" s="2" t="str">
        <f ca="1"/>
        <v>Bad</v>
      </c>
    </row>
    <row r="4350" spans="2:34" x14ac:dyDescent="0.2">
      <c r="B4350" s="2">
        <f ca="1"/>
        <v>0.91675232777265503</v>
      </c>
      <c r="O4350" s="2">
        <f ca="1"/>
        <v>-0.30780830567730688</v>
      </c>
      <c r="X4350" s="2">
        <f ca="1"/>
        <v>113.8515063221511</v>
      </c>
      <c r="AG4350" s="2">
        <f ca="1"/>
        <v>0.31024591448287642</v>
      </c>
      <c r="AH4350" s="2" t="str">
        <f ca="1"/>
        <v>OK</v>
      </c>
    </row>
    <row r="4351" spans="2:34" x14ac:dyDescent="0.2">
      <c r="B4351" s="2">
        <f ca="1"/>
        <v>0.60820469716358105</v>
      </c>
      <c r="O4351" s="2">
        <f ca="1"/>
        <v>0.83756576316084586</v>
      </c>
      <c r="X4351" s="2">
        <f ca="1"/>
        <v>67.135528248058662</v>
      </c>
      <c r="AG4351" s="2">
        <f ca="1"/>
        <v>0.27621613834933756</v>
      </c>
      <c r="AH4351" s="2" t="str">
        <f ca="1"/>
        <v>OK</v>
      </c>
    </row>
    <row r="4352" spans="2:34" x14ac:dyDescent="0.2">
      <c r="B4352" s="2">
        <f ca="1"/>
        <v>1.684786346190692E-2</v>
      </c>
      <c r="O4352" s="2">
        <f ca="1"/>
        <v>-0.59480755515124528</v>
      </c>
      <c r="X4352" s="2">
        <f ca="1"/>
        <v>29.675325595302226</v>
      </c>
      <c r="AG4352" s="2">
        <f ca="1"/>
        <v>0.49493246943161684</v>
      </c>
      <c r="AH4352" s="2" t="str">
        <f ca="1"/>
        <v>Bad</v>
      </c>
    </row>
    <row r="4353" spans="2:34" x14ac:dyDescent="0.2">
      <c r="B4353" s="2">
        <f ca="1"/>
        <v>0.17735572754151452</v>
      </c>
      <c r="O4353" s="2">
        <f ca="1"/>
        <v>1.7320452907044266</v>
      </c>
      <c r="X4353" s="2">
        <f ca="1"/>
        <v>57.794789413946134</v>
      </c>
      <c r="AG4353" s="2">
        <f ca="1"/>
        <v>0.31289401568171082</v>
      </c>
      <c r="AH4353" s="2" t="str">
        <f ca="1"/>
        <v>OK</v>
      </c>
    </row>
    <row r="4354" spans="2:34" x14ac:dyDescent="0.2">
      <c r="B4354" s="2">
        <f ca="1"/>
        <v>0.9911010204431292</v>
      </c>
      <c r="O4354" s="2">
        <f ca="1"/>
        <v>-1.2499622384806592</v>
      </c>
      <c r="X4354" s="2">
        <f ca="1"/>
        <v>44.392986180531551</v>
      </c>
      <c r="AG4354" s="2">
        <f ca="1"/>
        <v>0.32949889302820723</v>
      </c>
      <c r="AH4354" s="2" t="str">
        <f ca="1"/>
        <v>OK</v>
      </c>
    </row>
    <row r="4355" spans="2:34" x14ac:dyDescent="0.2">
      <c r="B4355" s="2">
        <f ca="1"/>
        <v>0.18958872602034238</v>
      </c>
      <c r="O4355" s="2">
        <f ca="1"/>
        <v>2.2562440663212797</v>
      </c>
      <c r="X4355" s="2">
        <f ca="1"/>
        <v>67.136587285798072</v>
      </c>
      <c r="AG4355" s="2">
        <f ca="1"/>
        <v>0.75266403245084934</v>
      </c>
      <c r="AH4355" s="2" t="str">
        <f ca="1"/>
        <v>Bad</v>
      </c>
    </row>
    <row r="4356" spans="2:34" x14ac:dyDescent="0.2">
      <c r="B4356" s="2">
        <f ca="1"/>
        <v>0.33580782769719786</v>
      </c>
      <c r="O4356" s="2">
        <f ca="1"/>
        <v>-0.92122831223470292</v>
      </c>
      <c r="X4356" s="2">
        <f ca="1"/>
        <v>27.147087960745125</v>
      </c>
      <c r="AG4356" s="2">
        <f ca="1"/>
        <v>0.11473424579304914</v>
      </c>
      <c r="AH4356" s="2" t="str">
        <f ca="1"/>
        <v>OK</v>
      </c>
    </row>
    <row r="4357" spans="2:34" x14ac:dyDescent="0.2">
      <c r="B4357" s="2">
        <f ca="1"/>
        <v>0.74763955674852145</v>
      </c>
      <c r="O4357" s="2">
        <f ca="1"/>
        <v>2.7919614436761484</v>
      </c>
      <c r="X4357" s="2">
        <f ca="1"/>
        <v>40.661206043043137</v>
      </c>
      <c r="AG4357" s="2">
        <f ca="1"/>
        <v>2.4892567646581654E-3</v>
      </c>
      <c r="AH4357" s="2" t="str">
        <f ca="1"/>
        <v>Good</v>
      </c>
    </row>
    <row r="4358" spans="2:34" x14ac:dyDescent="0.2">
      <c r="B4358" s="2">
        <f ca="1"/>
        <v>0.30755251151753971</v>
      </c>
      <c r="O4358" s="2">
        <f ca="1"/>
        <v>0.31447213964951104</v>
      </c>
      <c r="X4358" s="2">
        <f ca="1"/>
        <v>85.099221269137814</v>
      </c>
      <c r="AG4358" s="2">
        <f ca="1"/>
        <v>0.45965408293669863</v>
      </c>
      <c r="AH4358" s="2" t="str">
        <f ca="1"/>
        <v>Bad</v>
      </c>
    </row>
    <row r="4359" spans="2:34" x14ac:dyDescent="0.2">
      <c r="B4359" s="2">
        <f ca="1"/>
        <v>5.0085377312955925E-2</v>
      </c>
      <c r="O4359" s="2">
        <f ca="1"/>
        <v>1.1164169679626594</v>
      </c>
      <c r="X4359" s="2">
        <f ca="1"/>
        <v>31.929862091190074</v>
      </c>
      <c r="AG4359" s="2">
        <f ca="1"/>
        <v>0.98921488069928332</v>
      </c>
      <c r="AH4359" s="2" t="str">
        <f ca="1"/>
        <v>Bad</v>
      </c>
    </row>
    <row r="4360" spans="2:34" x14ac:dyDescent="0.2">
      <c r="B4360" s="2">
        <f ca="1"/>
        <v>2.8972036211775576E-2</v>
      </c>
      <c r="O4360" s="2">
        <f ca="1"/>
        <v>-1.0611439107894538</v>
      </c>
      <c r="X4360" s="2">
        <f ca="1"/>
        <v>71.652655524139661</v>
      </c>
      <c r="AG4360" s="2">
        <f ca="1"/>
        <v>0.62532617152436276</v>
      </c>
      <c r="AH4360" s="2" t="str">
        <f ca="1"/>
        <v>Bad</v>
      </c>
    </row>
    <row r="4361" spans="2:34" x14ac:dyDescent="0.2">
      <c r="B4361" s="2">
        <f ca="1"/>
        <v>0.37982463267221322</v>
      </c>
      <c r="O4361" s="2">
        <f ca="1"/>
        <v>0.53881754637383916</v>
      </c>
      <c r="X4361" s="2">
        <f ca="1"/>
        <v>50.998040138955965</v>
      </c>
      <c r="AG4361" s="2">
        <f ca="1"/>
        <v>0.35379058180127076</v>
      </c>
      <c r="AH4361" s="2" t="str">
        <f ca="1"/>
        <v>OK</v>
      </c>
    </row>
    <row r="4362" spans="2:34" x14ac:dyDescent="0.2">
      <c r="B4362" s="2">
        <f ca="1"/>
        <v>9.2462710820445659E-2</v>
      </c>
      <c r="O4362" s="2">
        <f ca="1"/>
        <v>1.2596540061637858</v>
      </c>
      <c r="X4362" s="2">
        <f ca="1"/>
        <v>84.335465557960219</v>
      </c>
      <c r="AG4362" s="2">
        <f ca="1"/>
        <v>0.61289908039073815</v>
      </c>
      <c r="AH4362" s="2" t="str">
        <f ca="1"/>
        <v>Bad</v>
      </c>
    </row>
    <row r="4363" spans="2:34" x14ac:dyDescent="0.2">
      <c r="B4363" s="2">
        <f ca="1"/>
        <v>0.15767109480978569</v>
      </c>
      <c r="O4363" s="2">
        <f ca="1"/>
        <v>0.32043929209919858</v>
      </c>
      <c r="X4363" s="2">
        <f ca="1"/>
        <v>68.985965669973638</v>
      </c>
      <c r="AG4363" s="2">
        <f ca="1"/>
        <v>0.23817709762011896</v>
      </c>
      <c r="AH4363" s="2" t="str">
        <f ca="1"/>
        <v>OK</v>
      </c>
    </row>
    <row r="4364" spans="2:34" x14ac:dyDescent="0.2">
      <c r="B4364" s="2">
        <f ca="1"/>
        <v>0.9257915432554662</v>
      </c>
      <c r="O4364" s="2">
        <f ca="1"/>
        <v>-0.55714722929191729</v>
      </c>
      <c r="X4364" s="2">
        <f ca="1"/>
        <v>31.143449683088704</v>
      </c>
      <c r="AG4364" s="2">
        <f ca="1"/>
        <v>0.25689309383480108</v>
      </c>
      <c r="AH4364" s="2" t="str">
        <f ca="1"/>
        <v>OK</v>
      </c>
    </row>
    <row r="4365" spans="2:34" x14ac:dyDescent="0.2">
      <c r="B4365" s="2">
        <f ca="1"/>
        <v>0.69918962074778812</v>
      </c>
      <c r="O4365" s="2">
        <f ca="1"/>
        <v>-0.27909481261346836</v>
      </c>
      <c r="X4365" s="2">
        <f ca="1"/>
        <v>30.583819866022118</v>
      </c>
      <c r="AG4365" s="2">
        <f ca="1"/>
        <v>0.35577106817291426</v>
      </c>
      <c r="AH4365" s="2" t="str">
        <f ca="1"/>
        <v>OK</v>
      </c>
    </row>
    <row r="4366" spans="2:34" x14ac:dyDescent="0.2">
      <c r="B4366" s="2">
        <f ca="1"/>
        <v>0.72755023660131379</v>
      </c>
      <c r="O4366" s="2">
        <f ca="1"/>
        <v>0.41882928228616234</v>
      </c>
      <c r="X4366" s="2">
        <f ca="1"/>
        <v>24.238627851567976</v>
      </c>
      <c r="AG4366" s="2">
        <f ca="1"/>
        <v>0.82381802295912787</v>
      </c>
      <c r="AH4366" s="2" t="str">
        <f ca="1"/>
        <v>Bad</v>
      </c>
    </row>
    <row r="4367" spans="2:34" x14ac:dyDescent="0.2">
      <c r="B4367" s="2">
        <f ca="1"/>
        <v>8.1922728124076416E-2</v>
      </c>
      <c r="O4367" s="2">
        <f ca="1"/>
        <v>-0.6462247313530215</v>
      </c>
      <c r="X4367" s="2">
        <f ca="1"/>
        <v>67.135675051716731</v>
      </c>
      <c r="AG4367" s="2">
        <f ca="1"/>
        <v>0.58918134911304798</v>
      </c>
      <c r="AH4367" s="2" t="str">
        <f ca="1"/>
        <v>Bad</v>
      </c>
    </row>
    <row r="4368" spans="2:34" x14ac:dyDescent="0.2">
      <c r="B4368" s="2">
        <f ca="1"/>
        <v>0.36003565750068645</v>
      </c>
      <c r="O4368" s="2">
        <f ca="1"/>
        <v>-0.35861341638670285</v>
      </c>
      <c r="X4368" s="2">
        <f ca="1"/>
        <v>49.097062360866204</v>
      </c>
      <c r="AG4368" s="2">
        <f ca="1"/>
        <v>0.36096187252298373</v>
      </c>
      <c r="AH4368" s="2" t="str">
        <f ca="1"/>
        <v>OK</v>
      </c>
    </row>
    <row r="4369" spans="2:34" x14ac:dyDescent="0.2">
      <c r="B4369" s="2">
        <f ca="1"/>
        <v>0.37765721251428319</v>
      </c>
      <c r="O4369" s="2">
        <f ca="1"/>
        <v>-0.39816745883336707</v>
      </c>
      <c r="X4369" s="2">
        <f ca="1"/>
        <v>46.304131889552139</v>
      </c>
      <c r="AG4369" s="2">
        <f ca="1"/>
        <v>0.23176962491332609</v>
      </c>
      <c r="AH4369" s="2" t="str">
        <f ca="1"/>
        <v>OK</v>
      </c>
    </row>
    <row r="4370" spans="2:34" x14ac:dyDescent="0.2">
      <c r="B4370" s="2">
        <f ca="1"/>
        <v>0.59167562740271484</v>
      </c>
      <c r="O4370" s="2">
        <f ca="1"/>
        <v>-1.5011418858358418</v>
      </c>
      <c r="X4370" s="2">
        <f ca="1"/>
        <v>71.410478891163947</v>
      </c>
      <c r="AG4370" s="2">
        <f ca="1"/>
        <v>0.34188763702825242</v>
      </c>
      <c r="AH4370" s="2" t="str">
        <f ca="1"/>
        <v>OK</v>
      </c>
    </row>
    <row r="4371" spans="2:34" x14ac:dyDescent="0.2">
      <c r="B4371" s="2">
        <f ca="1"/>
        <v>0.75925063173256602</v>
      </c>
      <c r="O4371" s="2">
        <f ca="1"/>
        <v>-0.31013784704560654</v>
      </c>
      <c r="X4371" s="2">
        <f ca="1"/>
        <v>53.354004650476284</v>
      </c>
      <c r="AG4371" s="2">
        <f ca="1"/>
        <v>0.92214240623632038</v>
      </c>
      <c r="AH4371" s="2" t="str">
        <f ca="1"/>
        <v>Bad</v>
      </c>
    </row>
    <row r="4372" spans="2:34" x14ac:dyDescent="0.2">
      <c r="B4372" s="2">
        <f ca="1"/>
        <v>0.79283619218208856</v>
      </c>
      <c r="O4372" s="2">
        <f ca="1"/>
        <v>0.64621107906535524</v>
      </c>
      <c r="X4372" s="2">
        <f ca="1"/>
        <v>74.122444039628121</v>
      </c>
      <c r="AG4372" s="2">
        <f ca="1"/>
        <v>0.16124444810241756</v>
      </c>
      <c r="AH4372" s="2" t="str">
        <f ca="1"/>
        <v>OK</v>
      </c>
    </row>
    <row r="4373" spans="2:34" x14ac:dyDescent="0.2">
      <c r="B4373" s="2">
        <f ca="1"/>
        <v>0.63661639984070195</v>
      </c>
      <c r="O4373" s="2">
        <f ca="1"/>
        <v>-0.52335603428298927</v>
      </c>
      <c r="X4373" s="2">
        <f ca="1"/>
        <v>55.795082999894845</v>
      </c>
      <c r="AG4373" s="2">
        <f ca="1"/>
        <v>0.40298775959913047</v>
      </c>
      <c r="AH4373" s="2" t="str">
        <f ca="1"/>
        <v>Bad</v>
      </c>
    </row>
    <row r="4374" spans="2:34" x14ac:dyDescent="0.2">
      <c r="B4374" s="2">
        <f ca="1"/>
        <v>0.45188994428604379</v>
      </c>
      <c r="O4374" s="2">
        <f ca="1"/>
        <v>1.2463044111679571</v>
      </c>
      <c r="X4374" s="2">
        <f ca="1"/>
        <v>40.358987551149909</v>
      </c>
      <c r="AG4374" s="2">
        <f ca="1"/>
        <v>0.33470752023951422</v>
      </c>
      <c r="AH4374" s="2" t="str">
        <f ca="1"/>
        <v>OK</v>
      </c>
    </row>
    <row r="4375" spans="2:34" x14ac:dyDescent="0.2">
      <c r="B4375" s="2">
        <f ca="1"/>
        <v>0.6435356622817836</v>
      </c>
      <c r="O4375" s="2">
        <f ca="1"/>
        <v>-1.3586076428504432</v>
      </c>
      <c r="X4375" s="2">
        <f ca="1"/>
        <v>36.861295634295203</v>
      </c>
      <c r="AG4375" s="2">
        <f ca="1"/>
        <v>0.33884686209985615</v>
      </c>
      <c r="AH4375" s="2" t="str">
        <f ca="1"/>
        <v>OK</v>
      </c>
    </row>
    <row r="4376" spans="2:34" x14ac:dyDescent="0.2">
      <c r="B4376" s="2">
        <f ca="1"/>
        <v>0.29632766529678345</v>
      </c>
      <c r="O4376" s="2">
        <f ca="1"/>
        <v>-1.6145680100458193</v>
      </c>
      <c r="X4376" s="2">
        <f ca="1"/>
        <v>51.359407557054517</v>
      </c>
      <c r="AG4376" s="2">
        <f ca="1"/>
        <v>0.154077897332769</v>
      </c>
      <c r="AH4376" s="2" t="str">
        <f ca="1"/>
        <v>OK</v>
      </c>
    </row>
    <row r="4377" spans="2:34" x14ac:dyDescent="0.2">
      <c r="B4377" s="2">
        <f ca="1"/>
        <v>0.3887801039990515</v>
      </c>
      <c r="O4377" s="2">
        <f ca="1"/>
        <v>-0.23414669474712074</v>
      </c>
      <c r="X4377" s="2">
        <f ca="1"/>
        <v>31.660793403283833</v>
      </c>
      <c r="AG4377" s="2">
        <f ca="1"/>
        <v>0.93681898407636033</v>
      </c>
      <c r="AH4377" s="2" t="str">
        <f ca="1"/>
        <v>Bad</v>
      </c>
    </row>
    <row r="4378" spans="2:34" x14ac:dyDescent="0.2">
      <c r="B4378" s="2">
        <f ca="1"/>
        <v>0.10721484920464408</v>
      </c>
      <c r="O4378" s="2">
        <f ca="1"/>
        <v>0.60965281698378426</v>
      </c>
      <c r="X4378" s="2">
        <f ca="1"/>
        <v>34.859878261710342</v>
      </c>
      <c r="AG4378" s="2">
        <f ca="1"/>
        <v>0.61328846000584702</v>
      </c>
      <c r="AH4378" s="2" t="str">
        <f ca="1"/>
        <v>Bad</v>
      </c>
    </row>
    <row r="4379" spans="2:34" x14ac:dyDescent="0.2">
      <c r="B4379" s="2">
        <f ca="1"/>
        <v>0.80433908659428388</v>
      </c>
      <c r="O4379" s="2">
        <f ca="1"/>
        <v>0.36154391721462381</v>
      </c>
      <c r="X4379" s="2">
        <f ca="1"/>
        <v>33.254116307432156</v>
      </c>
      <c r="AG4379" s="2">
        <f ca="1"/>
        <v>0.82525742059472784</v>
      </c>
      <c r="AH4379" s="2" t="str">
        <f ca="1"/>
        <v>Bad</v>
      </c>
    </row>
    <row r="4380" spans="2:34" x14ac:dyDescent="0.2">
      <c r="B4380" s="2">
        <f ca="1"/>
        <v>0.26385735438186453</v>
      </c>
      <c r="O4380" s="2">
        <f ca="1"/>
        <v>-0.51075957752942625</v>
      </c>
      <c r="X4380" s="2">
        <f ca="1"/>
        <v>22.360480829019007</v>
      </c>
      <c r="AG4380" s="2">
        <f ca="1"/>
        <v>5.7401775544019928E-2</v>
      </c>
      <c r="AH4380" s="2" t="str">
        <f ca="1"/>
        <v>OK</v>
      </c>
    </row>
    <row r="4381" spans="2:34" x14ac:dyDescent="0.2">
      <c r="B4381" s="2">
        <f ca="1"/>
        <v>6.0339008037013198E-2</v>
      </c>
      <c r="O4381" s="2">
        <f ca="1"/>
        <v>1.0926837194672725</v>
      </c>
      <c r="X4381" s="2">
        <f ca="1"/>
        <v>61.001658924846325</v>
      </c>
      <c r="AG4381" s="2">
        <f ca="1"/>
        <v>0.87593165026903508</v>
      </c>
      <c r="AH4381" s="2" t="str">
        <f ca="1"/>
        <v>Bad</v>
      </c>
    </row>
    <row r="4382" spans="2:34" x14ac:dyDescent="0.2">
      <c r="B4382" s="2">
        <f ca="1"/>
        <v>0.91257741867122166</v>
      </c>
      <c r="O4382" s="2">
        <f ca="1"/>
        <v>0.54850654243608166</v>
      </c>
      <c r="X4382" s="2">
        <f ca="1"/>
        <v>36.23767934050769</v>
      </c>
      <c r="AG4382" s="2">
        <f ca="1"/>
        <v>0.33770338046735615</v>
      </c>
      <c r="AH4382" s="2" t="str">
        <f ca="1"/>
        <v>OK</v>
      </c>
    </row>
    <row r="4383" spans="2:34" x14ac:dyDescent="0.2">
      <c r="B4383" s="2">
        <f ca="1"/>
        <v>0.63165624492147732</v>
      </c>
      <c r="O4383" s="2">
        <f ca="1"/>
        <v>1.8866064136562057</v>
      </c>
      <c r="X4383" s="2">
        <f ca="1"/>
        <v>27.983826989231723</v>
      </c>
      <c r="AG4383" s="2">
        <f ca="1"/>
        <v>0.98812597875403707</v>
      </c>
      <c r="AH4383" s="2" t="str">
        <f ca="1"/>
        <v>Bad</v>
      </c>
    </row>
    <row r="4384" spans="2:34" x14ac:dyDescent="0.2">
      <c r="B4384" s="2">
        <f ca="1"/>
        <v>0.16726804084807378</v>
      </c>
      <c r="O4384" s="2">
        <f ca="1"/>
        <v>-1.3408547229787293</v>
      </c>
      <c r="X4384" s="2">
        <f ca="1"/>
        <v>41.145889399290255</v>
      </c>
      <c r="AG4384" s="2">
        <f ca="1"/>
        <v>0.44192334707987091</v>
      </c>
      <c r="AH4384" s="2" t="str">
        <f ca="1"/>
        <v>Bad</v>
      </c>
    </row>
    <row r="4385" spans="2:34" x14ac:dyDescent="0.2">
      <c r="B4385" s="2">
        <f ca="1"/>
        <v>0.41131355025349281</v>
      </c>
      <c r="O4385" s="2">
        <f ca="1"/>
        <v>-0.78788129230275428</v>
      </c>
      <c r="X4385" s="2">
        <f ca="1"/>
        <v>59.890075318898099</v>
      </c>
      <c r="AG4385" s="2">
        <f ca="1"/>
        <v>0.6961698655075077</v>
      </c>
      <c r="AH4385" s="2" t="str">
        <f ca="1"/>
        <v>Bad</v>
      </c>
    </row>
    <row r="4386" spans="2:34" x14ac:dyDescent="0.2">
      <c r="B4386" s="2">
        <f ca="1"/>
        <v>0.87695262499985649</v>
      </c>
      <c r="O4386" s="2">
        <f ca="1"/>
        <v>-1.2449217694040278</v>
      </c>
      <c r="X4386" s="2">
        <f ca="1"/>
        <v>61.898203212991476</v>
      </c>
      <c r="AG4386" s="2">
        <f ca="1"/>
        <v>0.84422501599902877</v>
      </c>
      <c r="AH4386" s="2" t="str">
        <f ca="1"/>
        <v>Bad</v>
      </c>
    </row>
    <row r="4387" spans="2:34" x14ac:dyDescent="0.2">
      <c r="B4387" s="2">
        <f ca="1"/>
        <v>0.41105314317403741</v>
      </c>
      <c r="O4387" s="2">
        <f ca="1"/>
        <v>-0.85342733885544531</v>
      </c>
      <c r="X4387" s="2">
        <f ca="1"/>
        <v>55.028092679769365</v>
      </c>
      <c r="AG4387" s="2">
        <f ca="1"/>
        <v>0.51723447030531666</v>
      </c>
      <c r="AH4387" s="2" t="str">
        <f ca="1"/>
        <v>Bad</v>
      </c>
    </row>
    <row r="4388" spans="2:34" x14ac:dyDescent="0.2">
      <c r="B4388" s="2">
        <f ca="1"/>
        <v>0.29556737910788833</v>
      </c>
      <c r="O4388" s="2">
        <f ca="1"/>
        <v>1.855201894418721</v>
      </c>
      <c r="X4388" s="2">
        <f ca="1"/>
        <v>47.993768539362414</v>
      </c>
      <c r="AG4388" s="2">
        <f ca="1"/>
        <v>0.33425252838987696</v>
      </c>
      <c r="AH4388" s="2" t="str">
        <f ca="1"/>
        <v>OK</v>
      </c>
    </row>
    <row r="4389" spans="2:34" x14ac:dyDescent="0.2">
      <c r="B4389" s="2">
        <f ca="1"/>
        <v>0.99925563157638519</v>
      </c>
      <c r="O4389" s="2">
        <f ca="1"/>
        <v>1.6882694388549717</v>
      </c>
      <c r="X4389" s="2">
        <f ca="1"/>
        <v>60.745723701210053</v>
      </c>
      <c r="AG4389" s="2">
        <f ca="1"/>
        <v>0.66363668116747476</v>
      </c>
      <c r="AH4389" s="2" t="str">
        <f ca="1"/>
        <v>Bad</v>
      </c>
    </row>
    <row r="4390" spans="2:34" x14ac:dyDescent="0.2">
      <c r="B4390" s="2">
        <f ca="1"/>
        <v>0.316093387301978</v>
      </c>
      <c r="O4390" s="2">
        <f ca="1"/>
        <v>-0.75057852219100185</v>
      </c>
      <c r="X4390" s="2">
        <f ca="1"/>
        <v>33.597520339187753</v>
      </c>
      <c r="AG4390" s="2">
        <f ca="1"/>
        <v>8.4186399255023581E-2</v>
      </c>
      <c r="AH4390" s="2" t="str">
        <f ca="1"/>
        <v>OK</v>
      </c>
    </row>
    <row r="4391" spans="2:34" x14ac:dyDescent="0.2">
      <c r="B4391" s="2">
        <f ca="1"/>
        <v>0.36077223350592336</v>
      </c>
      <c r="O4391" s="2">
        <f ca="1"/>
        <v>1.0896652568406704</v>
      </c>
      <c r="X4391" s="2">
        <f ca="1"/>
        <v>27.264611817900235</v>
      </c>
      <c r="AG4391" s="2">
        <f ca="1"/>
        <v>0.43810446012892923</v>
      </c>
      <c r="AH4391" s="2" t="str">
        <f ca="1"/>
        <v>Bad</v>
      </c>
    </row>
    <row r="4392" spans="2:34" x14ac:dyDescent="0.2">
      <c r="B4392" s="2">
        <f ca="1"/>
        <v>0.80035289336852</v>
      </c>
      <c r="O4392" s="2">
        <f ca="1"/>
        <v>0.52015559616584783</v>
      </c>
      <c r="X4392" s="2">
        <f ca="1"/>
        <v>36.959146445833547</v>
      </c>
      <c r="AG4392" s="2">
        <f ca="1"/>
        <v>0.13145081720640506</v>
      </c>
      <c r="AH4392" s="2" t="str">
        <f ca="1"/>
        <v>OK</v>
      </c>
    </row>
    <row r="4393" spans="2:34" x14ac:dyDescent="0.2">
      <c r="B4393" s="2">
        <f ca="1"/>
        <v>0.5847721551300451</v>
      </c>
      <c r="O4393" s="2">
        <f ca="1"/>
        <v>-1.6015278604393035</v>
      </c>
      <c r="X4393" s="2">
        <f ca="1"/>
        <v>45.650702555402702</v>
      </c>
      <c r="AG4393" s="2">
        <f ca="1"/>
        <v>0.246458835822986</v>
      </c>
      <c r="AH4393" s="2" t="str">
        <f ca="1"/>
        <v>OK</v>
      </c>
    </row>
    <row r="4394" spans="2:34" x14ac:dyDescent="0.2">
      <c r="B4394" s="2">
        <f ca="1"/>
        <v>0.74787659166802567</v>
      </c>
      <c r="O4394" s="2">
        <f ca="1"/>
        <v>-9.1646805324293507E-2</v>
      </c>
      <c r="X4394" s="2">
        <f ca="1"/>
        <v>47.476869962873351</v>
      </c>
      <c r="AG4394" s="2">
        <f ca="1"/>
        <v>0.64754813700552116</v>
      </c>
      <c r="AH4394" s="2" t="str">
        <f ca="1"/>
        <v>Bad</v>
      </c>
    </row>
    <row r="4395" spans="2:34" x14ac:dyDescent="0.2">
      <c r="B4395" s="2">
        <f ca="1"/>
        <v>0.1344419606564804</v>
      </c>
      <c r="O4395" s="2">
        <f ca="1"/>
        <v>-0.32929181241936756</v>
      </c>
      <c r="X4395" s="2">
        <f ca="1"/>
        <v>29.737846533429405</v>
      </c>
      <c r="AG4395" s="2">
        <f ca="1"/>
        <v>0.12264196489265577</v>
      </c>
      <c r="AH4395" s="2" t="str">
        <f ca="1"/>
        <v>OK</v>
      </c>
    </row>
    <row r="4396" spans="2:34" x14ac:dyDescent="0.2">
      <c r="B4396" s="2">
        <f ca="1"/>
        <v>0.67218058245156609</v>
      </c>
      <c r="O4396" s="2">
        <f ca="1"/>
        <v>0.45321830131034185</v>
      </c>
      <c r="X4396" s="2">
        <f ca="1"/>
        <v>62.629712735993792</v>
      </c>
      <c r="AG4396" s="2">
        <f ca="1"/>
        <v>0.69154897022295914</v>
      </c>
      <c r="AH4396" s="2" t="str">
        <f ca="1"/>
        <v>Bad</v>
      </c>
    </row>
    <row r="4397" spans="2:34" x14ac:dyDescent="0.2">
      <c r="B4397" s="2">
        <f ca="1"/>
        <v>0.34261407598296056</v>
      </c>
      <c r="O4397" s="2">
        <f ca="1"/>
        <v>-0.86958180350112857</v>
      </c>
      <c r="X4397" s="2">
        <f ca="1"/>
        <v>26.752064469794625</v>
      </c>
      <c r="AG4397" s="2">
        <f ca="1"/>
        <v>0.51139060712146756</v>
      </c>
      <c r="AH4397" s="2" t="str">
        <f ca="1"/>
        <v>Bad</v>
      </c>
    </row>
    <row r="4398" spans="2:34" x14ac:dyDescent="0.2">
      <c r="B4398" s="2">
        <f ca="1"/>
        <v>0.31592896570418305</v>
      </c>
      <c r="O4398" s="2">
        <f ca="1"/>
        <v>-6.7562027255849257E-3</v>
      </c>
      <c r="X4398" s="2">
        <f ca="1"/>
        <v>50.377402435309399</v>
      </c>
      <c r="AG4398" s="2">
        <f ca="1"/>
        <v>0.28655619015160738</v>
      </c>
      <c r="AH4398" s="2" t="str">
        <f ca="1"/>
        <v>OK</v>
      </c>
    </row>
    <row r="4399" spans="2:34" x14ac:dyDescent="0.2">
      <c r="B4399" s="2">
        <f ca="1"/>
        <v>0.82279950443859984</v>
      </c>
      <c r="O4399" s="2">
        <f ca="1"/>
        <v>0.23589231389092488</v>
      </c>
      <c r="X4399" s="2">
        <f ca="1"/>
        <v>59.583844998132463</v>
      </c>
      <c r="AG4399" s="2">
        <f ca="1"/>
        <v>0.15681397457676516</v>
      </c>
      <c r="AH4399" s="2" t="str">
        <f ca="1"/>
        <v>OK</v>
      </c>
    </row>
    <row r="4400" spans="2:34" x14ac:dyDescent="0.2">
      <c r="B4400" s="2">
        <f ca="1"/>
        <v>0.67534363227342764</v>
      </c>
      <c r="O4400" s="2">
        <f ca="1"/>
        <v>1.2517587625649569</v>
      </c>
      <c r="X4400" s="2">
        <f ca="1"/>
        <v>68.501421440476051</v>
      </c>
      <c r="AG4400" s="2">
        <f ca="1"/>
        <v>8.9601409651695052E-2</v>
      </c>
      <c r="AH4400" s="2" t="str">
        <f ca="1"/>
        <v>OK</v>
      </c>
    </row>
    <row r="4401" spans="2:34" x14ac:dyDescent="0.2">
      <c r="B4401" s="2">
        <f ca="1"/>
        <v>0.41967223238277485</v>
      </c>
      <c r="O4401" s="2">
        <f ca="1"/>
        <v>1.0720898590272896</v>
      </c>
      <c r="X4401" s="2">
        <f ca="1"/>
        <v>41.474523801800032</v>
      </c>
      <c r="AG4401" s="2">
        <f ca="1"/>
        <v>6.4563508593525443E-2</v>
      </c>
      <c r="AH4401" s="2" t="str">
        <f ca="1"/>
        <v>OK</v>
      </c>
    </row>
    <row r="4402" spans="2:34" x14ac:dyDescent="0.2">
      <c r="B4402" s="2">
        <f ca="1"/>
        <v>0.66507109270089937</v>
      </c>
      <c r="O4402" s="2">
        <f ca="1"/>
        <v>0.77675052023998425</v>
      </c>
      <c r="X4402" s="2">
        <f ca="1"/>
        <v>24.316712121798211</v>
      </c>
      <c r="AG4402" s="2">
        <f ca="1"/>
        <v>0.65637353037725599</v>
      </c>
      <c r="AH4402" s="2" t="str">
        <f ca="1"/>
        <v>Bad</v>
      </c>
    </row>
    <row r="4403" spans="2:34" x14ac:dyDescent="0.2">
      <c r="B4403" s="2">
        <f ca="1"/>
        <v>0.64441959501814439</v>
      </c>
      <c r="O4403" s="2">
        <f ca="1"/>
        <v>0.3009952358672372</v>
      </c>
      <c r="X4403" s="2">
        <f ca="1"/>
        <v>57.996667426554225</v>
      </c>
      <c r="AG4403" s="2">
        <f ca="1"/>
        <v>0.66236356216112524</v>
      </c>
      <c r="AH4403" s="2" t="str">
        <f ca="1"/>
        <v>Bad</v>
      </c>
    </row>
    <row r="4404" spans="2:34" x14ac:dyDescent="0.2">
      <c r="B4404" s="2">
        <f ca="1"/>
        <v>0.79516757316456355</v>
      </c>
      <c r="O4404" s="2">
        <f ca="1"/>
        <v>-0.60731222098993654</v>
      </c>
      <c r="X4404" s="2">
        <f ca="1"/>
        <v>68.158863106892753</v>
      </c>
      <c r="AG4404" s="2">
        <f ca="1"/>
        <v>0.93763443093713095</v>
      </c>
      <c r="AH4404" s="2" t="str">
        <f ca="1"/>
        <v>Bad</v>
      </c>
    </row>
    <row r="4405" spans="2:34" x14ac:dyDescent="0.2">
      <c r="B4405" s="2">
        <f ca="1"/>
        <v>0.36673919979867287</v>
      </c>
      <c r="O4405" s="2">
        <f ca="1"/>
        <v>-1.6624214142623026</v>
      </c>
      <c r="X4405" s="2">
        <f ca="1"/>
        <v>46.79602340183699</v>
      </c>
      <c r="AG4405" s="2">
        <f ca="1"/>
        <v>0.13983315386290474</v>
      </c>
      <c r="AH4405" s="2" t="str">
        <f ca="1"/>
        <v>OK</v>
      </c>
    </row>
    <row r="4406" spans="2:34" x14ac:dyDescent="0.2">
      <c r="B4406" s="2">
        <f ca="1"/>
        <v>0.86638929265323572</v>
      </c>
      <c r="O4406" s="2">
        <f ca="1"/>
        <v>-0.42947813231738341</v>
      </c>
      <c r="X4406" s="2">
        <f ca="1"/>
        <v>57.821460246026398</v>
      </c>
      <c r="AG4406" s="2">
        <f ca="1"/>
        <v>0.50431865988442603</v>
      </c>
      <c r="AH4406" s="2" t="str">
        <f ca="1"/>
        <v>Bad</v>
      </c>
    </row>
    <row r="4407" spans="2:34" x14ac:dyDescent="0.2">
      <c r="B4407" s="2">
        <f ca="1"/>
        <v>0.3665421663882269</v>
      </c>
      <c r="O4407" s="2">
        <f ca="1"/>
        <v>-1.0700455847442369</v>
      </c>
      <c r="X4407" s="2">
        <f ca="1"/>
        <v>57.700031278822905</v>
      </c>
      <c r="AG4407" s="2">
        <f ca="1"/>
        <v>0.26514252537221594</v>
      </c>
      <c r="AH4407" s="2" t="str">
        <f ca="1"/>
        <v>OK</v>
      </c>
    </row>
    <row r="4408" spans="2:34" x14ac:dyDescent="0.2">
      <c r="B4408" s="2">
        <f ca="1"/>
        <v>0.59570261197823493</v>
      </c>
      <c r="O4408" s="2">
        <f ca="1"/>
        <v>-1.4646526103058786</v>
      </c>
      <c r="X4408" s="2">
        <f ca="1"/>
        <v>70.121829200673744</v>
      </c>
      <c r="AG4408" s="2">
        <f ca="1"/>
        <v>0.60117410636886914</v>
      </c>
      <c r="AH4408" s="2" t="str">
        <f ca="1"/>
        <v>Bad</v>
      </c>
    </row>
    <row r="4409" spans="2:34" x14ac:dyDescent="0.2">
      <c r="B4409" s="2">
        <f ca="1"/>
        <v>0.22587286948968366</v>
      </c>
      <c r="O4409" s="2">
        <f ca="1"/>
        <v>-1.9137703850551764</v>
      </c>
      <c r="X4409" s="2">
        <f ca="1"/>
        <v>79.356765357329635</v>
      </c>
      <c r="AG4409" s="2">
        <f ca="1"/>
        <v>1.9717138734680395E-2</v>
      </c>
      <c r="AH4409" s="2" t="str">
        <f ca="1"/>
        <v>Good</v>
      </c>
    </row>
    <row r="4410" spans="2:34" x14ac:dyDescent="0.2">
      <c r="B4410" s="2">
        <f ca="1"/>
        <v>0.29982828422024332</v>
      </c>
      <c r="O4410" s="2">
        <f ca="1"/>
        <v>-0.56080488228641834</v>
      </c>
      <c r="X4410" s="2">
        <f ca="1"/>
        <v>48.894312370087874</v>
      </c>
      <c r="AG4410" s="2">
        <f ca="1"/>
        <v>0.69755410403799112</v>
      </c>
      <c r="AH4410" s="2" t="str">
        <f ca="1"/>
        <v>Bad</v>
      </c>
    </row>
    <row r="4411" spans="2:34" x14ac:dyDescent="0.2">
      <c r="B4411" s="2">
        <f ca="1"/>
        <v>0.63500897592273242</v>
      </c>
      <c r="O4411" s="2">
        <f ca="1"/>
        <v>1.2344024152343569</v>
      </c>
      <c r="X4411" s="2">
        <f ca="1"/>
        <v>26.761894887800256</v>
      </c>
      <c r="AG4411" s="2">
        <f ca="1"/>
        <v>0.81445746269920183</v>
      </c>
      <c r="AH4411" s="2" t="str">
        <f ca="1"/>
        <v>Bad</v>
      </c>
    </row>
    <row r="4412" spans="2:34" x14ac:dyDescent="0.2">
      <c r="B4412" s="2">
        <f ca="1"/>
        <v>0.99111613378991903</v>
      </c>
      <c r="O4412" s="2">
        <f ca="1"/>
        <v>-0.43651241240890898</v>
      </c>
      <c r="X4412" s="2">
        <f ca="1"/>
        <v>56.241124886453775</v>
      </c>
      <c r="AG4412" s="2">
        <f ca="1"/>
        <v>0.37140886160442621</v>
      </c>
      <c r="AH4412" s="2" t="str">
        <f ca="1"/>
        <v>OK</v>
      </c>
    </row>
    <row r="4413" spans="2:34" x14ac:dyDescent="0.2">
      <c r="B4413" s="2">
        <f ca="1"/>
        <v>0.25296200159769899</v>
      </c>
      <c r="O4413" s="2">
        <f ca="1"/>
        <v>0.32467630918070106</v>
      </c>
      <c r="X4413" s="2">
        <f ca="1"/>
        <v>51.462108820135242</v>
      </c>
      <c r="AG4413" s="2">
        <f ca="1"/>
        <v>0.72745277048251422</v>
      </c>
      <c r="AH4413" s="2" t="str">
        <f ca="1"/>
        <v>Bad</v>
      </c>
    </row>
    <row r="4414" spans="2:34" x14ac:dyDescent="0.2">
      <c r="B4414" s="2">
        <f ca="1"/>
        <v>0.24953093537658377</v>
      </c>
      <c r="O4414" s="2">
        <f ca="1"/>
        <v>0.99960381779139418</v>
      </c>
      <c r="X4414" s="2">
        <f ca="1"/>
        <v>41.374104903017567</v>
      </c>
      <c r="AG4414" s="2">
        <f ca="1"/>
        <v>0.14744640287209787</v>
      </c>
      <c r="AH4414" s="2" t="str">
        <f ca="1"/>
        <v>OK</v>
      </c>
    </row>
    <row r="4415" spans="2:34" x14ac:dyDescent="0.2">
      <c r="B4415" s="2">
        <f ca="1"/>
        <v>0.59181685371831838</v>
      </c>
      <c r="O4415" s="2">
        <f ca="1"/>
        <v>0.12401245229074571</v>
      </c>
      <c r="X4415" s="2">
        <f ca="1"/>
        <v>65.437119074492301</v>
      </c>
      <c r="AG4415" s="2">
        <f ca="1"/>
        <v>0.26129627978860448</v>
      </c>
      <c r="AH4415" s="2" t="str">
        <f ca="1"/>
        <v>OK</v>
      </c>
    </row>
    <row r="4416" spans="2:34" x14ac:dyDescent="0.2">
      <c r="B4416" s="2">
        <f ca="1"/>
        <v>0.90831195437844414</v>
      </c>
      <c r="O4416" s="2">
        <f ca="1"/>
        <v>-0.1614372088277746</v>
      </c>
      <c r="X4416" s="2">
        <f ca="1"/>
        <v>43.341517551160813</v>
      </c>
      <c r="AG4416" s="2">
        <f ca="1"/>
        <v>0.23284303511837035</v>
      </c>
      <c r="AH4416" s="2" t="str">
        <f ca="1"/>
        <v>OK</v>
      </c>
    </row>
    <row r="4417" spans="2:34" x14ac:dyDescent="0.2">
      <c r="B4417" s="2">
        <f ca="1"/>
        <v>0.25702536853817759</v>
      </c>
      <c r="O4417" s="2">
        <f ca="1"/>
        <v>-0.13295845956157376</v>
      </c>
      <c r="X4417" s="2">
        <f ca="1"/>
        <v>44.252020915566881</v>
      </c>
      <c r="AG4417" s="2">
        <f ca="1"/>
        <v>0.27719410962486335</v>
      </c>
      <c r="AH4417" s="2" t="str">
        <f ca="1"/>
        <v>OK</v>
      </c>
    </row>
    <row r="4418" spans="2:34" x14ac:dyDescent="0.2">
      <c r="B4418" s="2">
        <f ca="1"/>
        <v>0.81785737945949988</v>
      </c>
      <c r="O4418" s="2">
        <f ca="1"/>
        <v>1.2095736729058268</v>
      </c>
      <c r="X4418" s="2">
        <f ca="1"/>
        <v>80.395072692948872</v>
      </c>
      <c r="AG4418" s="2">
        <f ca="1"/>
        <v>0.27553851051283473</v>
      </c>
      <c r="AH4418" s="2" t="str">
        <f ca="1"/>
        <v>OK</v>
      </c>
    </row>
    <row r="4419" spans="2:34" x14ac:dyDescent="0.2">
      <c r="B4419" s="2">
        <f ca="1"/>
        <v>0.86130063785831523</v>
      </c>
      <c r="O4419" s="2">
        <f ca="1"/>
        <v>-1.1015534294680982</v>
      </c>
      <c r="X4419" s="2">
        <f ca="1"/>
        <v>48.897672886789977</v>
      </c>
      <c r="AG4419" s="2">
        <f ca="1"/>
        <v>0.89647630397263689</v>
      </c>
      <c r="AH4419" s="2" t="str">
        <f ca="1"/>
        <v>Bad</v>
      </c>
    </row>
    <row r="4420" spans="2:34" x14ac:dyDescent="0.2">
      <c r="B4420" s="2">
        <f ca="1"/>
        <v>0.46783195919259724</v>
      </c>
      <c r="O4420" s="2">
        <f ca="1"/>
        <v>-3.0471871409158538E-2</v>
      </c>
      <c r="X4420" s="2">
        <f ca="1"/>
        <v>50.301366967720121</v>
      </c>
      <c r="AG4420" s="2">
        <f ca="1"/>
        <v>0.84379060056132893</v>
      </c>
      <c r="AH4420" s="2" t="str">
        <f ca="1"/>
        <v>Bad</v>
      </c>
    </row>
    <row r="4421" spans="2:34" x14ac:dyDescent="0.2">
      <c r="B4421" s="2">
        <f ca="1"/>
        <v>0.29294240561533935</v>
      </c>
      <c r="O4421" s="2">
        <f ca="1"/>
        <v>1.3834580193230099</v>
      </c>
      <c r="X4421" s="2">
        <f ca="1"/>
        <v>75.609829171641451</v>
      </c>
      <c r="AG4421" s="2">
        <f ca="1"/>
        <v>0.78932706141341025</v>
      </c>
      <c r="AH4421" s="2" t="str">
        <f ca="1"/>
        <v>Bad</v>
      </c>
    </row>
    <row r="4422" spans="2:34" x14ac:dyDescent="0.2">
      <c r="B4422" s="2">
        <f ca="1"/>
        <v>0.64045000360621751</v>
      </c>
      <c r="O4422" s="2">
        <f ca="1"/>
        <v>-0.90684117779053008</v>
      </c>
      <c r="X4422" s="2">
        <f ca="1"/>
        <v>96.847592744945558</v>
      </c>
      <c r="AG4422" s="2">
        <f ca="1"/>
        <v>0.77419832486085038</v>
      </c>
      <c r="AH4422" s="2" t="str">
        <f ca="1"/>
        <v>Bad</v>
      </c>
    </row>
    <row r="4423" spans="2:34" x14ac:dyDescent="0.2">
      <c r="B4423" s="2">
        <f ca="1"/>
        <v>0.27307408125166766</v>
      </c>
      <c r="O4423" s="2">
        <f ca="1"/>
        <v>-0.66036485495204011</v>
      </c>
      <c r="X4423" s="2">
        <f ca="1"/>
        <v>19.665959082831129</v>
      </c>
      <c r="AG4423" s="2">
        <f ca="1"/>
        <v>0.42210443627020178</v>
      </c>
      <c r="AH4423" s="2" t="str">
        <f ca="1"/>
        <v>Bad</v>
      </c>
    </row>
    <row r="4424" spans="2:34" x14ac:dyDescent="0.2">
      <c r="B4424" s="2">
        <f ca="1"/>
        <v>0.2580480680454047</v>
      </c>
      <c r="O4424" s="2">
        <f ca="1"/>
        <v>-0.64480704608952799</v>
      </c>
      <c r="X4424" s="2">
        <f ca="1"/>
        <v>49.156502130908201</v>
      </c>
      <c r="AG4424" s="2">
        <f ca="1"/>
        <v>0.63476616637671346</v>
      </c>
      <c r="AH4424" s="2" t="str">
        <f ca="1"/>
        <v>Bad</v>
      </c>
    </row>
    <row r="4425" spans="2:34" x14ac:dyDescent="0.2">
      <c r="B4425" s="2">
        <f ca="1"/>
        <v>0.94612375316977682</v>
      </c>
      <c r="O4425" s="2">
        <f ca="1"/>
        <v>-1.3163031133611438</v>
      </c>
      <c r="X4425" s="2">
        <f ca="1"/>
        <v>35.416861655766439</v>
      </c>
      <c r="AG4425" s="2">
        <f ca="1"/>
        <v>0.59918390251574216</v>
      </c>
      <c r="AH4425" s="2" t="str">
        <f ca="1"/>
        <v>Bad</v>
      </c>
    </row>
    <row r="4426" spans="2:34" x14ac:dyDescent="0.2">
      <c r="B4426" s="2">
        <f ca="1"/>
        <v>0.32625511943766594</v>
      </c>
      <c r="O4426" s="2">
        <f ca="1"/>
        <v>1.0674243622060406</v>
      </c>
      <c r="X4426" s="2">
        <f ca="1"/>
        <v>37.414933697116751</v>
      </c>
      <c r="AG4426" s="2">
        <f ca="1"/>
        <v>0.84291772707830392</v>
      </c>
      <c r="AH4426" s="2" t="str">
        <f ca="1"/>
        <v>Bad</v>
      </c>
    </row>
    <row r="4427" spans="2:34" x14ac:dyDescent="0.2">
      <c r="B4427" s="2">
        <f ca="1"/>
        <v>0.11825876531768764</v>
      </c>
      <c r="O4427" s="2">
        <f ca="1"/>
        <v>-0.49357918494496456</v>
      </c>
      <c r="X4427" s="2">
        <f ca="1"/>
        <v>48.999933523076578</v>
      </c>
      <c r="AG4427" s="2">
        <f ca="1"/>
        <v>8.5470704544469811E-2</v>
      </c>
      <c r="AH4427" s="2" t="str">
        <f ca="1"/>
        <v>OK</v>
      </c>
    </row>
    <row r="4428" spans="2:34" x14ac:dyDescent="0.2">
      <c r="B4428" s="2">
        <f ca="1"/>
        <v>0.59005307586148903</v>
      </c>
      <c r="O4428" s="2">
        <f ca="1"/>
        <v>-2.595543288293257</v>
      </c>
      <c r="X4428" s="2">
        <f ca="1"/>
        <v>35.95747191569879</v>
      </c>
      <c r="AG4428" s="2">
        <f ca="1"/>
        <v>0.45455662344787529</v>
      </c>
      <c r="AH4428" s="2" t="str">
        <f ca="1"/>
        <v>Bad</v>
      </c>
    </row>
    <row r="4429" spans="2:34" x14ac:dyDescent="0.2">
      <c r="B4429" s="2">
        <f ca="1"/>
        <v>0.61220484943480313</v>
      </c>
      <c r="O4429" s="2">
        <f ca="1"/>
        <v>-1.4150248669629912</v>
      </c>
      <c r="X4429" s="2">
        <f ca="1"/>
        <v>63.806346713421974</v>
      </c>
      <c r="AG4429" s="2">
        <f ca="1"/>
        <v>0.62923412346898822</v>
      </c>
      <c r="AH4429" s="2" t="str">
        <f ca="1"/>
        <v>Bad</v>
      </c>
    </row>
    <row r="4430" spans="2:34" x14ac:dyDescent="0.2">
      <c r="B4430" s="2">
        <f ca="1"/>
        <v>0.56677052581002041</v>
      </c>
      <c r="O4430" s="2">
        <f ca="1"/>
        <v>1.3157396342303731</v>
      </c>
      <c r="X4430" s="2">
        <f ca="1"/>
        <v>44.379092467930761</v>
      </c>
      <c r="AG4430" s="2">
        <f ca="1"/>
        <v>5.9042283937554174E-2</v>
      </c>
      <c r="AH4430" s="2" t="str">
        <f ca="1"/>
        <v>OK</v>
      </c>
    </row>
    <row r="4431" spans="2:34" x14ac:dyDescent="0.2">
      <c r="B4431" s="2">
        <f ca="1"/>
        <v>0.98588731523856787</v>
      </c>
      <c r="O4431" s="2">
        <f ca="1"/>
        <v>2.0881674850084071</v>
      </c>
      <c r="X4431" s="2">
        <f ca="1"/>
        <v>39.703873457866585</v>
      </c>
      <c r="AG4431" s="2">
        <f ca="1"/>
        <v>0.66982797112549464</v>
      </c>
      <c r="AH4431" s="2" t="str">
        <f ca="1"/>
        <v>Bad</v>
      </c>
    </row>
    <row r="4432" spans="2:34" x14ac:dyDescent="0.2">
      <c r="B4432" s="2">
        <f ca="1"/>
        <v>5.6094659660837154E-2</v>
      </c>
      <c r="O4432" s="2">
        <f ca="1"/>
        <v>0.77611864828395905</v>
      </c>
      <c r="X4432" s="2">
        <f ca="1"/>
        <v>67.267366518297962</v>
      </c>
      <c r="AG4432" s="2">
        <f ca="1"/>
        <v>0.58836308663910297</v>
      </c>
      <c r="AH4432" s="2" t="str">
        <f ca="1"/>
        <v>Bad</v>
      </c>
    </row>
    <row r="4433" spans="2:34" x14ac:dyDescent="0.2">
      <c r="B4433" s="2">
        <f ca="1"/>
        <v>0.22851990147536427</v>
      </c>
      <c r="O4433" s="2">
        <f ca="1"/>
        <v>-0.24222550623843869</v>
      </c>
      <c r="X4433" s="2">
        <f ca="1"/>
        <v>36.837664453687623</v>
      </c>
      <c r="AG4433" s="2">
        <f ca="1"/>
        <v>0.84369009674389273</v>
      </c>
      <c r="AH4433" s="2" t="str">
        <f ca="1"/>
        <v>Bad</v>
      </c>
    </row>
    <row r="4434" spans="2:34" x14ac:dyDescent="0.2">
      <c r="B4434" s="2">
        <f ca="1"/>
        <v>0.21700762871529999</v>
      </c>
      <c r="O4434" s="2">
        <f ca="1"/>
        <v>0.30467640452562117</v>
      </c>
      <c r="X4434" s="2">
        <f ca="1"/>
        <v>70.492438867391797</v>
      </c>
      <c r="AG4434" s="2">
        <f ca="1"/>
        <v>0.35304585791000287</v>
      </c>
      <c r="AH4434" s="2" t="str">
        <f ca="1"/>
        <v>OK</v>
      </c>
    </row>
    <row r="4435" spans="2:34" x14ac:dyDescent="0.2">
      <c r="B4435" s="2">
        <f ca="1"/>
        <v>0.79801516392121119</v>
      </c>
      <c r="O4435" s="2">
        <f ca="1"/>
        <v>-0.39500759781046835</v>
      </c>
      <c r="X4435" s="2">
        <f ca="1"/>
        <v>27.432373422074772</v>
      </c>
      <c r="AG4435" s="2">
        <f ca="1"/>
        <v>0.26733017758221078</v>
      </c>
      <c r="AH4435" s="2" t="str">
        <f ca="1"/>
        <v>OK</v>
      </c>
    </row>
    <row r="4436" spans="2:34" x14ac:dyDescent="0.2">
      <c r="B4436" s="2">
        <f ca="1"/>
        <v>0.95262880311641318</v>
      </c>
      <c r="O4436" s="2">
        <f ca="1"/>
        <v>2.1448852899639315</v>
      </c>
      <c r="X4436" s="2">
        <f ca="1"/>
        <v>90.393000746468829</v>
      </c>
      <c r="AG4436" s="2">
        <f ca="1"/>
        <v>0.65150296058691559</v>
      </c>
      <c r="AH4436" s="2" t="str">
        <f ca="1"/>
        <v>Bad</v>
      </c>
    </row>
    <row r="4437" spans="2:34" x14ac:dyDescent="0.2">
      <c r="B4437" s="2">
        <f ca="1"/>
        <v>0.62875947694059997</v>
      </c>
      <c r="O4437" s="2">
        <f ca="1"/>
        <v>1.6773415030101908</v>
      </c>
      <c r="X4437" s="2">
        <f ca="1"/>
        <v>75.577377699995054</v>
      </c>
      <c r="AG4437" s="2">
        <f ca="1"/>
        <v>1.8984341418009087E-2</v>
      </c>
      <c r="AH4437" s="2" t="str">
        <f ca="1"/>
        <v>Good</v>
      </c>
    </row>
    <row r="4438" spans="2:34" x14ac:dyDescent="0.2">
      <c r="B4438" s="2">
        <f ca="1"/>
        <v>0.2143427765659518</v>
      </c>
      <c r="O4438" s="2">
        <f ca="1"/>
        <v>0.50648858733260915</v>
      </c>
      <c r="X4438" s="2">
        <f ca="1"/>
        <v>50.794977298575944</v>
      </c>
      <c r="AG4438" s="2">
        <f ca="1"/>
        <v>0.60284936227904984</v>
      </c>
      <c r="AH4438" s="2" t="str">
        <f ca="1"/>
        <v>Bad</v>
      </c>
    </row>
    <row r="4439" spans="2:34" x14ac:dyDescent="0.2">
      <c r="B4439" s="2">
        <f ca="1"/>
        <v>9.28037049677366E-3</v>
      </c>
      <c r="O4439" s="2">
        <f ca="1"/>
        <v>-0.93659405796618289</v>
      </c>
      <c r="X4439" s="2">
        <f ca="1"/>
        <v>63.137115216573164</v>
      </c>
      <c r="AG4439" s="2">
        <f ca="1"/>
        <v>0.65942110204156146</v>
      </c>
      <c r="AH4439" s="2" t="str">
        <f ca="1"/>
        <v>Bad</v>
      </c>
    </row>
    <row r="4440" spans="2:34" x14ac:dyDescent="0.2">
      <c r="B4440" s="2">
        <f ca="1"/>
        <v>0.13350657216140771</v>
      </c>
      <c r="O4440" s="2">
        <f ca="1"/>
        <v>0.46012249031552188</v>
      </c>
      <c r="X4440" s="2">
        <f ca="1"/>
        <v>29.165321721169772</v>
      </c>
      <c r="AG4440" s="2">
        <f ca="1"/>
        <v>0.43265363309261606</v>
      </c>
      <c r="AH4440" s="2" t="str">
        <f ca="1"/>
        <v>Bad</v>
      </c>
    </row>
    <row r="4441" spans="2:34" x14ac:dyDescent="0.2">
      <c r="B4441" s="2">
        <f ca="1"/>
        <v>0.86790525916208705</v>
      </c>
      <c r="O4441" s="2">
        <f ca="1"/>
        <v>-1.2202572959156759</v>
      </c>
      <c r="X4441" s="2">
        <f ca="1"/>
        <v>52.31066190730138</v>
      </c>
      <c r="AG4441" s="2">
        <f ca="1"/>
        <v>9.2870387235294061E-2</v>
      </c>
      <c r="AH4441" s="2" t="str">
        <f ca="1"/>
        <v>OK</v>
      </c>
    </row>
    <row r="4442" spans="2:34" x14ac:dyDescent="0.2">
      <c r="B4442" s="2">
        <f ca="1"/>
        <v>0.39692688897907002</v>
      </c>
      <c r="O4442" s="2">
        <f ca="1"/>
        <v>1.0136631307598307</v>
      </c>
      <c r="X4442" s="2">
        <f ca="1"/>
        <v>59.795594163674501</v>
      </c>
      <c r="AG4442" s="2">
        <f ca="1"/>
        <v>8.2707722381212045E-2</v>
      </c>
      <c r="AH4442" s="2" t="str">
        <f ca="1"/>
        <v>OK</v>
      </c>
    </row>
    <row r="4443" spans="2:34" x14ac:dyDescent="0.2">
      <c r="B4443" s="2">
        <f ca="1"/>
        <v>0.8163990361494704</v>
      </c>
      <c r="O4443" s="2">
        <f ca="1"/>
        <v>-0.30812078048993741</v>
      </c>
      <c r="X4443" s="2">
        <f ca="1"/>
        <v>51.90928534825921</v>
      </c>
      <c r="AG4443" s="2">
        <f ca="1"/>
        <v>0.21796886916895453</v>
      </c>
      <c r="AH4443" s="2" t="str">
        <f ca="1"/>
        <v>OK</v>
      </c>
    </row>
    <row r="4444" spans="2:34" x14ac:dyDescent="0.2">
      <c r="B4444" s="2">
        <f ca="1"/>
        <v>3.6346612479554397E-2</v>
      </c>
      <c r="O4444" s="2">
        <f ca="1"/>
        <v>-0.45820274272369205</v>
      </c>
      <c r="X4444" s="2">
        <f ca="1"/>
        <v>40.547261930356491</v>
      </c>
      <c r="AG4444" s="2">
        <f ca="1"/>
        <v>1.863567448812109E-4</v>
      </c>
      <c r="AH4444" s="2" t="str">
        <f ca="1"/>
        <v>Good</v>
      </c>
    </row>
    <row r="4445" spans="2:34" x14ac:dyDescent="0.2">
      <c r="B4445" s="2">
        <f ca="1"/>
        <v>0.69532105202081018</v>
      </c>
      <c r="O4445" s="2">
        <f ca="1"/>
        <v>9.438820870321997E-2</v>
      </c>
      <c r="X4445" s="2">
        <f ca="1"/>
        <v>59.097098478083041</v>
      </c>
      <c r="AG4445" s="2">
        <f ca="1"/>
        <v>0.87648764107475818</v>
      </c>
      <c r="AH4445" s="2" t="str">
        <f ca="1"/>
        <v>Bad</v>
      </c>
    </row>
    <row r="4446" spans="2:34" x14ac:dyDescent="0.2">
      <c r="B4446" s="2">
        <f ca="1"/>
        <v>0.27432104670853441</v>
      </c>
      <c r="O4446" s="2">
        <f ca="1"/>
        <v>0.35246694714642035</v>
      </c>
      <c r="X4446" s="2">
        <f ca="1"/>
        <v>42.022679669852685</v>
      </c>
      <c r="AG4446" s="2">
        <f ca="1"/>
        <v>0.42944768287592661</v>
      </c>
      <c r="AH4446" s="2" t="str">
        <f ca="1"/>
        <v>Bad</v>
      </c>
    </row>
    <row r="4447" spans="2:34" x14ac:dyDescent="0.2">
      <c r="B4447" s="2">
        <f ca="1"/>
        <v>0.8139317290960022</v>
      </c>
      <c r="O4447" s="2">
        <f ca="1"/>
        <v>0.46396760611750881</v>
      </c>
      <c r="X4447" s="2">
        <f ca="1"/>
        <v>86.752311484782169</v>
      </c>
      <c r="AG4447" s="2">
        <f ca="1"/>
        <v>6.2522959330424843E-2</v>
      </c>
      <c r="AH4447" s="2" t="str">
        <f ca="1"/>
        <v>OK</v>
      </c>
    </row>
    <row r="4448" spans="2:34" x14ac:dyDescent="0.2">
      <c r="B4448" s="2">
        <f ca="1"/>
        <v>0.59228537508535206</v>
      </c>
      <c r="O4448" s="2">
        <f ca="1"/>
        <v>0.6751842849070655</v>
      </c>
      <c r="X4448" s="2">
        <f ca="1"/>
        <v>47.943428113206153</v>
      </c>
      <c r="AG4448" s="2">
        <f ca="1"/>
        <v>0.7163659359441561</v>
      </c>
      <c r="AH4448" s="2" t="str">
        <f ca="1"/>
        <v>Bad</v>
      </c>
    </row>
    <row r="4449" spans="2:34" x14ac:dyDescent="0.2">
      <c r="B4449" s="2">
        <f ca="1"/>
        <v>0.37770490514797528</v>
      </c>
      <c r="O4449" s="2">
        <f ca="1"/>
        <v>-0.29589897087468514</v>
      </c>
      <c r="X4449" s="2">
        <f ca="1"/>
        <v>45.766527566760274</v>
      </c>
      <c r="AG4449" s="2">
        <f ca="1"/>
        <v>0.95082330673443249</v>
      </c>
      <c r="AH4449" s="2" t="str">
        <f ca="1"/>
        <v>Bad</v>
      </c>
    </row>
    <row r="4450" spans="2:34" x14ac:dyDescent="0.2">
      <c r="B4450" s="2">
        <f ca="1"/>
        <v>0.19250979201957996</v>
      </c>
      <c r="O4450" s="2">
        <f ca="1"/>
        <v>-1.2585332762145574</v>
      </c>
      <c r="X4450" s="2">
        <f ca="1"/>
        <v>31.096738893853129</v>
      </c>
      <c r="AG4450" s="2">
        <f ca="1"/>
        <v>0.50324629853514757</v>
      </c>
      <c r="AH4450" s="2" t="str">
        <f ca="1"/>
        <v>Bad</v>
      </c>
    </row>
    <row r="4451" spans="2:34" x14ac:dyDescent="0.2">
      <c r="B4451" s="2">
        <f ca="1"/>
        <v>0.9199596343949934</v>
      </c>
      <c r="O4451" s="2">
        <f ca="1"/>
        <v>-0.54226708806471635</v>
      </c>
      <c r="X4451" s="2">
        <f ca="1"/>
        <v>71.40099490956375</v>
      </c>
      <c r="AG4451" s="2">
        <f ca="1"/>
        <v>0.20801817254179022</v>
      </c>
      <c r="AH4451" s="2" t="str">
        <f ca="1"/>
        <v>OK</v>
      </c>
    </row>
    <row r="4452" spans="2:34" x14ac:dyDescent="0.2">
      <c r="B4452" s="2">
        <f ca="1"/>
        <v>0.41715616012752732</v>
      </c>
      <c r="O4452" s="2">
        <f ca="1"/>
        <v>-0.21903701724187982</v>
      </c>
      <c r="X4452" s="2">
        <f ca="1"/>
        <v>33.045042518889062</v>
      </c>
      <c r="AG4452" s="2">
        <f ca="1"/>
        <v>0.77782816928065412</v>
      </c>
      <c r="AH4452" s="2" t="str">
        <f ca="1"/>
        <v>Bad</v>
      </c>
    </row>
    <row r="4453" spans="2:34" x14ac:dyDescent="0.2">
      <c r="B4453" s="2">
        <f ca="1"/>
        <v>5.4866484428945261E-2</v>
      </c>
      <c r="O4453" s="2">
        <f ca="1"/>
        <v>-1.4031689383877162</v>
      </c>
      <c r="X4453" s="2">
        <f ca="1"/>
        <v>64.841954892017299</v>
      </c>
      <c r="AG4453" s="2">
        <f ca="1"/>
        <v>0.63069116217012589</v>
      </c>
      <c r="AH4453" s="2" t="str">
        <f ca="1"/>
        <v>Bad</v>
      </c>
    </row>
    <row r="4454" spans="2:34" x14ac:dyDescent="0.2">
      <c r="B4454" s="2">
        <f ca="1"/>
        <v>0.54986076018531094</v>
      </c>
      <c r="O4454" s="2">
        <f ca="1"/>
        <v>1.1883309172149457</v>
      </c>
      <c r="X4454" s="2">
        <f ca="1"/>
        <v>45.153878524730267</v>
      </c>
      <c r="AG4454" s="2">
        <f ca="1"/>
        <v>4.4632917803512751E-2</v>
      </c>
      <c r="AH4454" s="2" t="str">
        <f ca="1"/>
        <v>Good</v>
      </c>
    </row>
    <row r="4455" spans="2:34" x14ac:dyDescent="0.2">
      <c r="B4455" s="2">
        <f ca="1"/>
        <v>0.34859242358150189</v>
      </c>
      <c r="O4455" s="2">
        <f ca="1"/>
        <v>1.0529455489665929</v>
      </c>
      <c r="X4455" s="2">
        <f ca="1"/>
        <v>52.65674762954157</v>
      </c>
      <c r="AG4455" s="2">
        <f ca="1"/>
        <v>0.89027920749341805</v>
      </c>
      <c r="AH4455" s="2" t="str">
        <f ca="1"/>
        <v>Bad</v>
      </c>
    </row>
    <row r="4456" spans="2:34" x14ac:dyDescent="0.2">
      <c r="B4456" s="2">
        <f ca="1"/>
        <v>0.87733507941478006</v>
      </c>
      <c r="O4456" s="2">
        <f ca="1"/>
        <v>0.26978759663369423</v>
      </c>
      <c r="X4456" s="2">
        <f ca="1"/>
        <v>51.21567828196541</v>
      </c>
      <c r="AG4456" s="2">
        <f ca="1"/>
        <v>3.0177653380480507E-2</v>
      </c>
      <c r="AH4456" s="2" t="str">
        <f ca="1"/>
        <v>Good</v>
      </c>
    </row>
    <row r="4457" spans="2:34" x14ac:dyDescent="0.2">
      <c r="B4457" s="2">
        <f ca="1"/>
        <v>3.6241258174376734E-2</v>
      </c>
      <c r="O4457" s="2">
        <f ca="1"/>
        <v>-0.97292759053154954</v>
      </c>
      <c r="X4457" s="2">
        <f ca="1"/>
        <v>50.220655544243968</v>
      </c>
      <c r="AG4457" s="2">
        <f ca="1"/>
        <v>0.46231306134522598</v>
      </c>
      <c r="AH4457" s="2" t="str">
        <f ca="1"/>
        <v>Bad</v>
      </c>
    </row>
    <row r="4458" spans="2:34" x14ac:dyDescent="0.2">
      <c r="B4458" s="2">
        <f ca="1"/>
        <v>0.97896028361397014</v>
      </c>
      <c r="O4458" s="2">
        <f ca="1"/>
        <v>-2.0006696146184111</v>
      </c>
      <c r="X4458" s="2">
        <f ca="1"/>
        <v>40.4855185246739</v>
      </c>
      <c r="AG4458" s="2">
        <f ca="1"/>
        <v>0.75499635981800495</v>
      </c>
      <c r="AH4458" s="2" t="str">
        <f ca="1"/>
        <v>Bad</v>
      </c>
    </row>
    <row r="4459" spans="2:34" x14ac:dyDescent="0.2">
      <c r="B4459" s="2">
        <f ca="1"/>
        <v>7.0393596249065382E-2</v>
      </c>
      <c r="O4459" s="2">
        <f ca="1"/>
        <v>1.6446239893871428</v>
      </c>
      <c r="X4459" s="2">
        <f ca="1"/>
        <v>51.236606700840028</v>
      </c>
      <c r="AG4459" s="2">
        <f ca="1"/>
        <v>0.23211898681136178</v>
      </c>
      <c r="AH4459" s="2" t="str">
        <f ca="1"/>
        <v>OK</v>
      </c>
    </row>
    <row r="4460" spans="2:34" x14ac:dyDescent="0.2">
      <c r="B4460" s="2">
        <f ca="1"/>
        <v>0.79296154103569561</v>
      </c>
      <c r="O4460" s="2">
        <f ca="1"/>
        <v>-0.14077869093514858</v>
      </c>
      <c r="X4460" s="2">
        <f ca="1"/>
        <v>45.529094038238128</v>
      </c>
      <c r="AG4460" s="2">
        <f ca="1"/>
        <v>9.3318873854676632E-2</v>
      </c>
      <c r="AH4460" s="2" t="str">
        <f ca="1"/>
        <v>OK</v>
      </c>
    </row>
    <row r="4461" spans="2:34" x14ac:dyDescent="0.2">
      <c r="B4461" s="2">
        <f ca="1"/>
        <v>0.2504508163843655</v>
      </c>
      <c r="O4461" s="2">
        <f ca="1"/>
        <v>1.1758880204629711</v>
      </c>
      <c r="X4461" s="2">
        <f ca="1"/>
        <v>52.170225411009746</v>
      </c>
      <c r="AG4461" s="2">
        <f ca="1"/>
        <v>8.7584616729807996E-2</v>
      </c>
      <c r="AH4461" s="2" t="str">
        <f ca="1"/>
        <v>OK</v>
      </c>
    </row>
    <row r="4462" spans="2:34" x14ac:dyDescent="0.2">
      <c r="B4462" s="2">
        <f ca="1"/>
        <v>0.21560459996768544</v>
      </c>
      <c r="O4462" s="2">
        <f ca="1"/>
        <v>0.47263092616364111</v>
      </c>
      <c r="X4462" s="2">
        <f ca="1"/>
        <v>66.132286692792007</v>
      </c>
      <c r="AG4462" s="2">
        <f ca="1"/>
        <v>0.49036662855264845</v>
      </c>
      <c r="AH4462" s="2" t="str">
        <f ca="1"/>
        <v>Bad</v>
      </c>
    </row>
    <row r="4463" spans="2:34" x14ac:dyDescent="0.2">
      <c r="B4463" s="2">
        <f ca="1"/>
        <v>0.80420385932944405</v>
      </c>
      <c r="O4463" s="2">
        <f ca="1"/>
        <v>0.79163113258840911</v>
      </c>
      <c r="X4463" s="2">
        <f ca="1"/>
        <v>50.620352739040229</v>
      </c>
      <c r="AG4463" s="2">
        <f ca="1"/>
        <v>0.16003511438674645</v>
      </c>
      <c r="AH4463" s="2" t="str">
        <f ca="1"/>
        <v>OK</v>
      </c>
    </row>
    <row r="4464" spans="2:34" x14ac:dyDescent="0.2">
      <c r="B4464" s="2">
        <f ca="1"/>
        <v>0.63386480373681131</v>
      </c>
      <c r="O4464" s="2">
        <f ca="1"/>
        <v>-0.60627988157738189</v>
      </c>
      <c r="X4464" s="2">
        <f ca="1"/>
        <v>22.87347295604723</v>
      </c>
      <c r="AG4464" s="2">
        <f ca="1"/>
        <v>0.75459974475565827</v>
      </c>
      <c r="AH4464" s="2" t="str">
        <f ca="1"/>
        <v>Bad</v>
      </c>
    </row>
    <row r="4465" spans="2:34" x14ac:dyDescent="0.2">
      <c r="B4465" s="2">
        <f ca="1"/>
        <v>0.67661848428748805</v>
      </c>
      <c r="O4465" s="2">
        <f ca="1"/>
        <v>0.5552111610054008</v>
      </c>
      <c r="X4465" s="2">
        <f ca="1"/>
        <v>44.463257239499193</v>
      </c>
      <c r="AG4465" s="2">
        <f ca="1"/>
        <v>0.74682591015760891</v>
      </c>
      <c r="AH4465" s="2" t="str">
        <f ca="1"/>
        <v>Bad</v>
      </c>
    </row>
    <row r="4466" spans="2:34" x14ac:dyDescent="0.2">
      <c r="B4466" s="2">
        <f ca="1"/>
        <v>0.26082697402767718</v>
      </c>
      <c r="O4466" s="2">
        <f ca="1"/>
        <v>0.37008777457876874</v>
      </c>
      <c r="X4466" s="2">
        <f ca="1"/>
        <v>43.516651169455244</v>
      </c>
      <c r="AG4466" s="2">
        <f ca="1"/>
        <v>0.58440459542651091</v>
      </c>
      <c r="AH4466" s="2" t="str">
        <f ca="1"/>
        <v>Bad</v>
      </c>
    </row>
    <row r="4467" spans="2:34" x14ac:dyDescent="0.2">
      <c r="B4467" s="2">
        <f ca="1"/>
        <v>0.5680631697439924</v>
      </c>
      <c r="O4467" s="2">
        <f ca="1"/>
        <v>-0.15364797223242085</v>
      </c>
      <c r="X4467" s="2">
        <f ca="1"/>
        <v>31.034569033099565</v>
      </c>
      <c r="AG4467" s="2">
        <f ca="1"/>
        <v>0.60141613554120843</v>
      </c>
      <c r="AH4467" s="2" t="str">
        <f ca="1"/>
        <v>Bad</v>
      </c>
    </row>
    <row r="4468" spans="2:34" x14ac:dyDescent="0.2">
      <c r="B4468" s="2">
        <f ca="1"/>
        <v>0.12317703052649209</v>
      </c>
      <c r="O4468" s="2">
        <f ca="1"/>
        <v>-0.33866768369493422</v>
      </c>
      <c r="X4468" s="2">
        <f ca="1"/>
        <v>79.351884328622063</v>
      </c>
      <c r="AG4468" s="2">
        <f ca="1"/>
        <v>0.3504748268180613</v>
      </c>
      <c r="AH4468" s="2" t="str">
        <f ca="1"/>
        <v>OK</v>
      </c>
    </row>
    <row r="4469" spans="2:34" x14ac:dyDescent="0.2">
      <c r="B4469" s="2">
        <f ca="1"/>
        <v>0.76651797776463981</v>
      </c>
      <c r="O4469" s="2">
        <f ca="1"/>
        <v>1.7869748276695554</v>
      </c>
      <c r="X4469" s="2">
        <f ca="1"/>
        <v>68.49097459042315</v>
      </c>
      <c r="AG4469" s="2">
        <f ca="1"/>
        <v>0.79133443900099421</v>
      </c>
      <c r="AH4469" s="2" t="str">
        <f ca="1"/>
        <v>Bad</v>
      </c>
    </row>
    <row r="4470" spans="2:34" x14ac:dyDescent="0.2">
      <c r="B4470" s="2">
        <f ca="1"/>
        <v>0.599306679106415</v>
      </c>
      <c r="O4470" s="2">
        <f ca="1"/>
        <v>0.59855307865756968</v>
      </c>
      <c r="X4470" s="2">
        <f ca="1"/>
        <v>108.7731484983567</v>
      </c>
      <c r="AG4470" s="2">
        <f ca="1"/>
        <v>0.21828088247639466</v>
      </c>
      <c r="AH4470" s="2" t="str">
        <f ca="1"/>
        <v>OK</v>
      </c>
    </row>
    <row r="4471" spans="2:34" x14ac:dyDescent="0.2">
      <c r="B4471" s="2">
        <f ca="1"/>
        <v>0.81236202098904431</v>
      </c>
      <c r="O4471" s="2">
        <f ca="1"/>
        <v>-1.4704218695411087</v>
      </c>
      <c r="X4471" s="2">
        <f ca="1"/>
        <v>46.804068777979914</v>
      </c>
      <c r="AG4471" s="2">
        <f ca="1"/>
        <v>0.52212365097620239</v>
      </c>
      <c r="AH4471" s="2" t="str">
        <f ca="1"/>
        <v>Bad</v>
      </c>
    </row>
    <row r="4472" spans="2:34" x14ac:dyDescent="0.2">
      <c r="B4472" s="2">
        <f ca="1"/>
        <v>0.87543825518929785</v>
      </c>
      <c r="O4472" s="2">
        <f ca="1"/>
        <v>-1.3330241223096098</v>
      </c>
      <c r="X4472" s="2">
        <f ca="1"/>
        <v>30.158112664667026</v>
      </c>
      <c r="AG4472" s="2">
        <f ca="1"/>
        <v>0.5323457610572977</v>
      </c>
      <c r="AH4472" s="2" t="str">
        <f ca="1"/>
        <v>Bad</v>
      </c>
    </row>
    <row r="4473" spans="2:34" x14ac:dyDescent="0.2">
      <c r="B4473" s="2">
        <f ca="1"/>
        <v>0.98473545201941981</v>
      </c>
      <c r="O4473" s="2">
        <f ca="1"/>
        <v>-0.80430311152142575</v>
      </c>
      <c r="X4473" s="2">
        <f ca="1"/>
        <v>50.088667774340401</v>
      </c>
      <c r="AG4473" s="2">
        <f ca="1"/>
        <v>0.64685845272042641</v>
      </c>
      <c r="AH4473" s="2" t="str">
        <f ca="1"/>
        <v>Bad</v>
      </c>
    </row>
    <row r="4474" spans="2:34" x14ac:dyDescent="0.2">
      <c r="B4474" s="2">
        <f ca="1"/>
        <v>0.6234573769521663</v>
      </c>
      <c r="O4474" s="2">
        <f ca="1"/>
        <v>-0.52245397549104888</v>
      </c>
      <c r="X4474" s="2">
        <f ca="1"/>
        <v>20.851971099417291</v>
      </c>
      <c r="AG4474" s="2">
        <f ca="1"/>
        <v>0.28646508921229685</v>
      </c>
      <c r="AH4474" s="2" t="str">
        <f ca="1"/>
        <v>OK</v>
      </c>
    </row>
    <row r="4475" spans="2:34" x14ac:dyDescent="0.2">
      <c r="B4475" s="2">
        <f ca="1"/>
        <v>4.6261438023359913E-2</v>
      </c>
      <c r="O4475" s="2">
        <f ca="1"/>
        <v>-0.35231815236966568</v>
      </c>
      <c r="X4475" s="2">
        <f ca="1"/>
        <v>35.744859960843641</v>
      </c>
      <c r="AG4475" s="2">
        <f ca="1"/>
        <v>0.17331590566645128</v>
      </c>
      <c r="AH4475" s="2" t="str">
        <f ca="1"/>
        <v>OK</v>
      </c>
    </row>
    <row r="4476" spans="2:34" x14ac:dyDescent="0.2">
      <c r="B4476" s="2">
        <f ca="1"/>
        <v>0.80675333595567422</v>
      </c>
      <c r="O4476" s="2">
        <f ca="1"/>
        <v>1.6678314491064625</v>
      </c>
      <c r="X4476" s="2">
        <f ca="1"/>
        <v>73.102382773318709</v>
      </c>
      <c r="AG4476" s="2">
        <f ca="1"/>
        <v>0.12606627415537797</v>
      </c>
      <c r="AH4476" s="2" t="str">
        <f ca="1"/>
        <v>OK</v>
      </c>
    </row>
    <row r="4477" spans="2:34" x14ac:dyDescent="0.2">
      <c r="B4477" s="2">
        <f ca="1"/>
        <v>0.73535330389697529</v>
      </c>
      <c r="O4477" s="2">
        <f ca="1"/>
        <v>1.7658510952002684</v>
      </c>
      <c r="X4477" s="2">
        <f ca="1"/>
        <v>72.513344043060187</v>
      </c>
      <c r="AG4477" s="2">
        <f ca="1"/>
        <v>0.59408406501687838</v>
      </c>
      <c r="AH4477" s="2" t="str">
        <f ca="1"/>
        <v>Bad</v>
      </c>
    </row>
    <row r="4478" spans="2:34" x14ac:dyDescent="0.2">
      <c r="B4478" s="2">
        <f ca="1"/>
        <v>0.28820361511306536</v>
      </c>
      <c r="O4478" s="2">
        <f ca="1"/>
        <v>1.8457463473600291</v>
      </c>
      <c r="X4478" s="2">
        <f ca="1"/>
        <v>48.406326166033516</v>
      </c>
      <c r="AG4478" s="2">
        <f ca="1"/>
        <v>0.47858984529746129</v>
      </c>
      <c r="AH4478" s="2" t="str">
        <f ca="1"/>
        <v>Bad</v>
      </c>
    </row>
    <row r="4479" spans="2:34" x14ac:dyDescent="0.2">
      <c r="B4479" s="2">
        <f ca="1"/>
        <v>0.58687730013088091</v>
      </c>
      <c r="O4479" s="2">
        <f ca="1"/>
        <v>1.2119588530044048</v>
      </c>
      <c r="X4479" s="2">
        <f ca="1"/>
        <v>36.202284559027063</v>
      </c>
      <c r="AG4479" s="2">
        <f ca="1"/>
        <v>1.5565855130929451E-2</v>
      </c>
      <c r="AH4479" s="2" t="str">
        <f ca="1"/>
        <v>Good</v>
      </c>
    </row>
    <row r="4480" spans="2:34" x14ac:dyDescent="0.2">
      <c r="B4480" s="2">
        <f ca="1"/>
        <v>0.36285148201527173</v>
      </c>
      <c r="O4480" s="2">
        <f ca="1"/>
        <v>3.3471053147098882E-2</v>
      </c>
      <c r="X4480" s="2">
        <f ca="1"/>
        <v>35.751487404672218</v>
      </c>
      <c r="AG4480" s="2">
        <f ca="1"/>
        <v>0.45050219131412517</v>
      </c>
      <c r="AH4480" s="2" t="str">
        <f ca="1"/>
        <v>Bad</v>
      </c>
    </row>
    <row r="4481" spans="2:34" x14ac:dyDescent="0.2">
      <c r="B4481" s="2">
        <f ca="1"/>
        <v>0.568772668807489</v>
      </c>
      <c r="O4481" s="2">
        <f ca="1"/>
        <v>0.39779219593733189</v>
      </c>
      <c r="X4481" s="2">
        <f ca="1"/>
        <v>59.039605466998339</v>
      </c>
      <c r="AG4481" s="2">
        <f ca="1"/>
        <v>0.42357378265891144</v>
      </c>
      <c r="AH4481" s="2" t="str">
        <f ca="1"/>
        <v>Bad</v>
      </c>
    </row>
    <row r="4482" spans="2:34" x14ac:dyDescent="0.2">
      <c r="B4482" s="2">
        <f ca="1"/>
        <v>0.63802772637042504</v>
      </c>
      <c r="O4482" s="2">
        <f ca="1"/>
        <v>-0.33310410402718815</v>
      </c>
      <c r="X4482" s="2">
        <f ca="1"/>
        <v>71.288230868918589</v>
      </c>
      <c r="AG4482" s="2">
        <f ca="1"/>
        <v>0.87133901778939848</v>
      </c>
      <c r="AH4482" s="2" t="str">
        <f ca="1"/>
        <v>Bad</v>
      </c>
    </row>
    <row r="4483" spans="2:34" x14ac:dyDescent="0.2">
      <c r="B4483" s="2">
        <f ca="1"/>
        <v>0.18548445670976377</v>
      </c>
      <c r="O4483" s="2">
        <f ca="1"/>
        <v>-1.8281820307746763</v>
      </c>
      <c r="X4483" s="2">
        <f ca="1"/>
        <v>48.617935134977451</v>
      </c>
      <c r="AG4483" s="2">
        <f ca="1"/>
        <v>0.81262808908344786</v>
      </c>
      <c r="AH4483" s="2" t="str">
        <f ca="1"/>
        <v>Bad</v>
      </c>
    </row>
    <row r="4484" spans="2:34" x14ac:dyDescent="0.2">
      <c r="B4484" s="2">
        <f ca="1"/>
        <v>0.72431726293230247</v>
      </c>
      <c r="O4484" s="2">
        <f ca="1"/>
        <v>0.40370106099976688</v>
      </c>
      <c r="X4484" s="2">
        <f ca="1"/>
        <v>41.142760890555479</v>
      </c>
      <c r="AG4484" s="2">
        <f ca="1"/>
        <v>0.5844286048030829</v>
      </c>
      <c r="AH4484" s="2" t="str">
        <f ca="1"/>
        <v>Bad</v>
      </c>
    </row>
    <row r="4485" spans="2:34" x14ac:dyDescent="0.2">
      <c r="B4485" s="2">
        <f ca="1"/>
        <v>0.20357031365333911</v>
      </c>
      <c r="O4485" s="2">
        <f ca="1"/>
        <v>-1.8425773797543372</v>
      </c>
      <c r="X4485" s="2">
        <f ca="1"/>
        <v>52.299178866111689</v>
      </c>
      <c r="AG4485" s="2">
        <f ca="1"/>
        <v>0.20333915275472969</v>
      </c>
      <c r="AH4485" s="2" t="str">
        <f ca="1"/>
        <v>OK</v>
      </c>
    </row>
    <row r="4486" spans="2:34" x14ac:dyDescent="0.2">
      <c r="B4486" s="2">
        <f ca="1"/>
        <v>0.96939221509079454</v>
      </c>
      <c r="O4486" s="2">
        <f ca="1"/>
        <v>-0.74659067814422186</v>
      </c>
      <c r="X4486" s="2">
        <f ca="1"/>
        <v>39.073974141670305</v>
      </c>
      <c r="AG4486" s="2">
        <f ca="1"/>
        <v>0.76561620135642805</v>
      </c>
      <c r="AH4486" s="2" t="str">
        <f ca="1"/>
        <v>Bad</v>
      </c>
    </row>
    <row r="4487" spans="2:34" x14ac:dyDescent="0.2">
      <c r="B4487" s="2">
        <f ca="1"/>
        <v>0.5205428429576151</v>
      </c>
      <c r="O4487" s="2">
        <f ca="1"/>
        <v>-9.4866432527600769E-2</v>
      </c>
      <c r="X4487" s="2">
        <f ca="1"/>
        <v>64.881650952696845</v>
      </c>
      <c r="AG4487" s="2">
        <f ca="1"/>
        <v>0.23042105399652901</v>
      </c>
      <c r="AH4487" s="2" t="str">
        <f ca="1"/>
        <v>OK</v>
      </c>
    </row>
    <row r="4488" spans="2:34" x14ac:dyDescent="0.2">
      <c r="B4488" s="2">
        <f ca="1"/>
        <v>0.63207169038406663</v>
      </c>
      <c r="O4488" s="2">
        <f ca="1"/>
        <v>0.16915867613160263</v>
      </c>
      <c r="X4488" s="2">
        <f ca="1"/>
        <v>54.755402905494101</v>
      </c>
      <c r="AG4488" s="2">
        <f ca="1"/>
        <v>0.5530370804107414</v>
      </c>
      <c r="AH4488" s="2" t="str">
        <f ca="1"/>
        <v>Bad</v>
      </c>
    </row>
    <row r="4489" spans="2:34" x14ac:dyDescent="0.2">
      <c r="B4489" s="2">
        <f ca="1"/>
        <v>0.88081459075299717</v>
      </c>
      <c r="O4489" s="2">
        <f ca="1"/>
        <v>-0.63827083724674305</v>
      </c>
      <c r="X4489" s="2">
        <f ca="1"/>
        <v>56.118657638669028</v>
      </c>
      <c r="AG4489" s="2">
        <f ca="1"/>
        <v>0.54889155208603535</v>
      </c>
      <c r="AH4489" s="2" t="str">
        <f ca="1"/>
        <v>Bad</v>
      </c>
    </row>
    <row r="4490" spans="2:34" x14ac:dyDescent="0.2">
      <c r="B4490" s="2">
        <f ca="1"/>
        <v>0.32976986976358447</v>
      </c>
      <c r="O4490" s="2">
        <f ca="1"/>
        <v>-0.19594163585468677</v>
      </c>
      <c r="X4490" s="2">
        <f ca="1"/>
        <v>49.433489782470055</v>
      </c>
      <c r="AG4490" s="2">
        <f ca="1"/>
        <v>0.56766431001592155</v>
      </c>
      <c r="AH4490" s="2" t="str">
        <f ca="1"/>
        <v>Bad</v>
      </c>
    </row>
    <row r="4491" spans="2:34" x14ac:dyDescent="0.2">
      <c r="B4491" s="2">
        <f ca="1"/>
        <v>0.47081700084775413</v>
      </c>
      <c r="O4491" s="2">
        <f ca="1"/>
        <v>9.9931069178656427E-3</v>
      </c>
      <c r="X4491" s="2">
        <f ca="1"/>
        <v>53.844651390381898</v>
      </c>
      <c r="AG4491" s="2">
        <f ca="1"/>
        <v>0.71103920679844679</v>
      </c>
      <c r="AH4491" s="2" t="str">
        <f ca="1"/>
        <v>Bad</v>
      </c>
    </row>
    <row r="4492" spans="2:34" x14ac:dyDescent="0.2">
      <c r="B4492" s="2">
        <f ca="1"/>
        <v>3.0100459034849036E-2</v>
      </c>
      <c r="O4492" s="2">
        <f ca="1"/>
        <v>0.36797484486776499</v>
      </c>
      <c r="X4492" s="2">
        <f ca="1"/>
        <v>55.567163783230541</v>
      </c>
      <c r="AG4492" s="2">
        <f ca="1"/>
        <v>0.31843243672033994</v>
      </c>
      <c r="AH4492" s="2" t="str">
        <f ca="1"/>
        <v>OK</v>
      </c>
    </row>
    <row r="4493" spans="2:34" x14ac:dyDescent="0.2">
      <c r="B4493" s="2">
        <f ca="1"/>
        <v>0.8029957454195058</v>
      </c>
      <c r="O4493" s="2">
        <f ca="1"/>
        <v>-1.0982077895953803</v>
      </c>
      <c r="X4493" s="2">
        <f ca="1"/>
        <v>49.399019244664188</v>
      </c>
      <c r="AG4493" s="2">
        <f ca="1"/>
        <v>0.49415019405363503</v>
      </c>
      <c r="AH4493" s="2" t="str">
        <f ca="1"/>
        <v>Bad</v>
      </c>
    </row>
    <row r="4494" spans="2:34" x14ac:dyDescent="0.2">
      <c r="B4494" s="2">
        <f ca="1"/>
        <v>0.92176333357259055</v>
      </c>
      <c r="O4494" s="2">
        <f ca="1"/>
        <v>-1.0521988352261391</v>
      </c>
      <c r="X4494" s="2">
        <f ca="1"/>
        <v>54.926618312605868</v>
      </c>
      <c r="AG4494" s="2">
        <f ca="1"/>
        <v>0.84598225097883195</v>
      </c>
      <c r="AH4494" s="2" t="str">
        <f ca="1"/>
        <v>Bad</v>
      </c>
    </row>
    <row r="4495" spans="2:34" x14ac:dyDescent="0.2">
      <c r="B4495" s="2">
        <f ca="1"/>
        <v>0.44179386413014154</v>
      </c>
      <c r="O4495" s="2">
        <f ca="1"/>
        <v>9.1535755579358571E-2</v>
      </c>
      <c r="X4495" s="2">
        <f ca="1"/>
        <v>34.246079020966008</v>
      </c>
      <c r="AG4495" s="2">
        <f ca="1"/>
        <v>0.11497277708879117</v>
      </c>
      <c r="AH4495" s="2" t="str">
        <f ca="1"/>
        <v>OK</v>
      </c>
    </row>
    <row r="4496" spans="2:34" x14ac:dyDescent="0.2">
      <c r="B4496" s="2">
        <f ca="1"/>
        <v>0.71141438857226147</v>
      </c>
      <c r="O4496" s="2">
        <f ca="1"/>
        <v>0.5490245562355518</v>
      </c>
      <c r="X4496" s="2">
        <f ca="1"/>
        <v>52.391892901946939</v>
      </c>
      <c r="AG4496" s="2">
        <f ca="1"/>
        <v>0.74465073647074731</v>
      </c>
      <c r="AH4496" s="2" t="str">
        <f ca="1"/>
        <v>Bad</v>
      </c>
    </row>
    <row r="4497" spans="2:34" x14ac:dyDescent="0.2">
      <c r="B4497" s="2">
        <f ca="1"/>
        <v>0.79573291770924515</v>
      </c>
      <c r="O4497" s="2">
        <f ca="1"/>
        <v>-0.56706100701828865</v>
      </c>
      <c r="X4497" s="2">
        <f ca="1"/>
        <v>53.098274377376036</v>
      </c>
      <c r="AG4497" s="2">
        <f ca="1"/>
        <v>0.27328735601803245</v>
      </c>
      <c r="AH4497" s="2" t="str">
        <f ca="1"/>
        <v>OK</v>
      </c>
    </row>
    <row r="4498" spans="2:34" x14ac:dyDescent="0.2">
      <c r="B4498" s="2">
        <f ca="1"/>
        <v>0.47386393910503455</v>
      </c>
      <c r="O4498" s="2">
        <f ca="1"/>
        <v>-0.42085828909625128</v>
      </c>
      <c r="X4498" s="2">
        <f ca="1"/>
        <v>38.304937351045368</v>
      </c>
      <c r="AG4498" s="2">
        <f ca="1"/>
        <v>0.92705574238389676</v>
      </c>
      <c r="AH4498" s="2" t="str">
        <f ca="1"/>
        <v>Bad</v>
      </c>
    </row>
    <row r="4499" spans="2:34" x14ac:dyDescent="0.2">
      <c r="B4499" s="2">
        <f ca="1"/>
        <v>0.73451444624706741</v>
      </c>
      <c r="O4499" s="2">
        <f ca="1"/>
        <v>-0.47730340790398557</v>
      </c>
      <c r="X4499" s="2">
        <f ca="1"/>
        <v>40.034368832264647</v>
      </c>
      <c r="AG4499" s="2">
        <f ca="1"/>
        <v>0.88735096872349106</v>
      </c>
      <c r="AH4499" s="2" t="str">
        <f ca="1"/>
        <v>Bad</v>
      </c>
    </row>
    <row r="4500" spans="2:34" x14ac:dyDescent="0.2">
      <c r="B4500" s="2">
        <f ca="1"/>
        <v>0.79786827970385588</v>
      </c>
      <c r="O4500" s="2">
        <f ca="1"/>
        <v>-0.57870700733951896</v>
      </c>
      <c r="X4500" s="2">
        <f ca="1"/>
        <v>100.99823948110046</v>
      </c>
      <c r="AG4500" s="2">
        <f ca="1"/>
        <v>0.18269675772352634</v>
      </c>
      <c r="AH4500" s="2" t="str">
        <f ca="1"/>
        <v>OK</v>
      </c>
    </row>
    <row r="4501" spans="2:34" x14ac:dyDescent="0.2">
      <c r="B4501" s="2">
        <f ca="1"/>
        <v>0.37175893252588033</v>
      </c>
      <c r="O4501" s="2">
        <f ca="1"/>
        <v>0.99382530324928131</v>
      </c>
      <c r="X4501" s="2">
        <f ca="1"/>
        <v>55.674721398982577</v>
      </c>
      <c r="AG4501" s="2">
        <f ca="1"/>
        <v>0.37929560609015112</v>
      </c>
      <c r="AH4501" s="2" t="str">
        <f ca="1"/>
        <v>OK</v>
      </c>
    </row>
    <row r="4502" spans="2:34" x14ac:dyDescent="0.2">
      <c r="B4502" s="2">
        <f ca="1"/>
        <v>4.5215002805375493E-2</v>
      </c>
      <c r="O4502" s="2">
        <f ca="1"/>
        <v>1.2911495382442135</v>
      </c>
      <c r="X4502" s="2">
        <f ca="1"/>
        <v>70.690608088238662</v>
      </c>
      <c r="AG4502" s="2">
        <f ca="1"/>
        <v>0.40694546030177348</v>
      </c>
      <c r="AH4502" s="2" t="str">
        <f ca="1"/>
        <v>Bad</v>
      </c>
    </row>
    <row r="4503" spans="2:34" x14ac:dyDescent="0.2">
      <c r="B4503" s="2">
        <f ca="1"/>
        <v>0.88109472463237659</v>
      </c>
      <c r="O4503" s="2">
        <f ca="1"/>
        <v>-0.10639886507104429</v>
      </c>
      <c r="X4503" s="2">
        <f ca="1"/>
        <v>89.597762962054745</v>
      </c>
      <c r="AG4503" s="2">
        <f ca="1"/>
        <v>0.30223762161262013</v>
      </c>
      <c r="AH4503" s="2" t="str">
        <f ca="1"/>
        <v>OK</v>
      </c>
    </row>
    <row r="4504" spans="2:34" x14ac:dyDescent="0.2">
      <c r="B4504" s="2">
        <f ca="1"/>
        <v>0.73463536310695332</v>
      </c>
      <c r="O4504" s="2">
        <f ca="1"/>
        <v>1.7777036344832682</v>
      </c>
      <c r="X4504" s="2">
        <f ca="1"/>
        <v>39.915907821807089</v>
      </c>
      <c r="AG4504" s="2">
        <f ca="1"/>
        <v>0.65476514811930508</v>
      </c>
      <c r="AH4504" s="2" t="str">
        <f ca="1"/>
        <v>Bad</v>
      </c>
    </row>
    <row r="4505" spans="2:34" x14ac:dyDescent="0.2">
      <c r="B4505" s="2">
        <f ca="1"/>
        <v>0.90299353254825809</v>
      </c>
      <c r="O4505" s="2">
        <f ca="1"/>
        <v>-0.72040130336026198</v>
      </c>
      <c r="X4505" s="2">
        <f ca="1"/>
        <v>60.836519129174548</v>
      </c>
      <c r="AG4505" s="2">
        <f ca="1"/>
        <v>0.43089020913631693</v>
      </c>
      <c r="AH4505" s="2" t="str">
        <f ca="1"/>
        <v>Bad</v>
      </c>
    </row>
    <row r="4506" spans="2:34" x14ac:dyDescent="0.2">
      <c r="B4506" s="2">
        <f ca="1"/>
        <v>1.4310629803471198E-3</v>
      </c>
      <c r="O4506" s="2">
        <f ca="1"/>
        <v>0.3127646713296518</v>
      </c>
      <c r="X4506" s="2">
        <f ca="1"/>
        <v>34.243120305170251</v>
      </c>
      <c r="AG4506" s="2">
        <f ca="1"/>
        <v>0.60001375151521241</v>
      </c>
      <c r="AH4506" s="2" t="str">
        <f ca="1"/>
        <v>Bad</v>
      </c>
    </row>
    <row r="4507" spans="2:34" x14ac:dyDescent="0.2">
      <c r="B4507" s="2">
        <f ca="1"/>
        <v>0.30458061020447391</v>
      </c>
      <c r="O4507" s="2">
        <f ca="1"/>
        <v>-0.32136534280258272</v>
      </c>
      <c r="X4507" s="2">
        <f ca="1"/>
        <v>66.79516507376286</v>
      </c>
      <c r="AG4507" s="2">
        <f ca="1"/>
        <v>0.8993156130841955</v>
      </c>
      <c r="AH4507" s="2" t="str">
        <f ca="1"/>
        <v>Bad</v>
      </c>
    </row>
    <row r="4508" spans="2:34" x14ac:dyDescent="0.2">
      <c r="B4508" s="2">
        <f ca="1"/>
        <v>7.2348514365658367E-2</v>
      </c>
      <c r="O4508" s="2">
        <f ca="1"/>
        <v>0.72580887240771219</v>
      </c>
      <c r="X4508" s="2">
        <f ca="1"/>
        <v>42.356367006761324</v>
      </c>
      <c r="AG4508" s="2">
        <f ca="1"/>
        <v>0.71670600540816309</v>
      </c>
      <c r="AH4508" s="2" t="str">
        <f ca="1"/>
        <v>Bad</v>
      </c>
    </row>
    <row r="4509" spans="2:34" x14ac:dyDescent="0.2">
      <c r="B4509" s="2">
        <f ca="1"/>
        <v>0.51397697842164347</v>
      </c>
      <c r="O4509" s="2">
        <f ca="1"/>
        <v>0.34190679097683374</v>
      </c>
      <c r="X4509" s="2">
        <f ca="1"/>
        <v>78.657625796860614</v>
      </c>
      <c r="AG4509" s="2">
        <f ca="1"/>
        <v>0.46473700183362743</v>
      </c>
      <c r="AH4509" s="2" t="str">
        <f ca="1"/>
        <v>Bad</v>
      </c>
    </row>
    <row r="4510" spans="2:34" x14ac:dyDescent="0.2">
      <c r="B4510" s="2">
        <f ca="1"/>
        <v>0.64499228790810004</v>
      </c>
      <c r="O4510" s="2">
        <f ca="1"/>
        <v>-0.19106682941807465</v>
      </c>
      <c r="X4510" s="2">
        <f ca="1"/>
        <v>47.182723687502161</v>
      </c>
      <c r="AG4510" s="2">
        <f ca="1"/>
        <v>0.20786122687291075</v>
      </c>
      <c r="AH4510" s="2" t="str">
        <f ca="1"/>
        <v>OK</v>
      </c>
    </row>
    <row r="4511" spans="2:34" x14ac:dyDescent="0.2">
      <c r="B4511" s="2">
        <f ca="1"/>
        <v>0.28828751165295952</v>
      </c>
      <c r="O4511" s="2">
        <f ca="1"/>
        <v>-1.1924675780606004</v>
      </c>
      <c r="X4511" s="2">
        <f ca="1"/>
        <v>77.546885500615375</v>
      </c>
      <c r="AG4511" s="2">
        <f ca="1"/>
        <v>0.5434368588055567</v>
      </c>
      <c r="AH4511" s="2" t="str">
        <f ca="1"/>
        <v>Bad</v>
      </c>
    </row>
    <row r="4512" spans="2:34" x14ac:dyDescent="0.2">
      <c r="B4512" s="2">
        <f ca="1"/>
        <v>0.79410955510787296</v>
      </c>
      <c r="O4512" s="2">
        <f ca="1"/>
        <v>-2.5194080080166329E-2</v>
      </c>
      <c r="X4512" s="2">
        <f ca="1"/>
        <v>43.216208294375932</v>
      </c>
      <c r="AG4512" s="2">
        <f ca="1"/>
        <v>0.25773284908903049</v>
      </c>
      <c r="AH4512" s="2" t="str">
        <f ca="1"/>
        <v>OK</v>
      </c>
    </row>
    <row r="4513" spans="2:34" x14ac:dyDescent="0.2">
      <c r="B4513" s="2">
        <f ca="1"/>
        <v>0.96180536347656775</v>
      </c>
      <c r="O4513" s="2">
        <f ca="1"/>
        <v>0.96780960142622774</v>
      </c>
      <c r="X4513" s="2">
        <f ca="1"/>
        <v>57.537943110309904</v>
      </c>
      <c r="AG4513" s="2">
        <f ca="1"/>
        <v>0.855006201636894</v>
      </c>
      <c r="AH4513" s="2" t="str">
        <f ca="1"/>
        <v>Bad</v>
      </c>
    </row>
    <row r="4514" spans="2:34" x14ac:dyDescent="0.2">
      <c r="B4514" s="2">
        <f ca="1"/>
        <v>0.50356968458387974</v>
      </c>
      <c r="O4514" s="2">
        <f ca="1"/>
        <v>-0.52431833981688958</v>
      </c>
      <c r="X4514" s="2">
        <f ca="1"/>
        <v>34.180753137234056</v>
      </c>
      <c r="AG4514" s="2">
        <f ca="1"/>
        <v>0.32685978548957118</v>
      </c>
      <c r="AH4514" s="2" t="str">
        <f ca="1"/>
        <v>OK</v>
      </c>
    </row>
    <row r="4515" spans="2:34" x14ac:dyDescent="0.2">
      <c r="B4515" s="2">
        <f ca="1"/>
        <v>0.98145100859032586</v>
      </c>
      <c r="O4515" s="2">
        <f ca="1"/>
        <v>-0.17582620457536866</v>
      </c>
      <c r="X4515" s="2">
        <f ca="1"/>
        <v>38.647519770202294</v>
      </c>
      <c r="AG4515" s="2">
        <f ca="1"/>
        <v>0.18679244230554559</v>
      </c>
      <c r="AH4515" s="2" t="str">
        <f ca="1"/>
        <v>OK</v>
      </c>
    </row>
    <row r="4516" spans="2:34" x14ac:dyDescent="0.2">
      <c r="B4516" s="2">
        <f ca="1"/>
        <v>0.43352275391723216</v>
      </c>
      <c r="O4516" s="2">
        <f ca="1"/>
        <v>-0.54464685046466121</v>
      </c>
      <c r="X4516" s="2">
        <f ca="1"/>
        <v>67.887914741438465</v>
      </c>
      <c r="AG4516" s="2">
        <f ca="1"/>
        <v>0.62479470653393898</v>
      </c>
      <c r="AH4516" s="2" t="str">
        <f ca="1"/>
        <v>Bad</v>
      </c>
    </row>
    <row r="4517" spans="2:34" x14ac:dyDescent="0.2">
      <c r="B4517" s="2">
        <f ca="1"/>
        <v>2.2849908937715657E-2</v>
      </c>
      <c r="O4517" s="2">
        <f ca="1"/>
        <v>-0.99686924049661685</v>
      </c>
      <c r="X4517" s="2">
        <f ca="1"/>
        <v>37.414043813351569</v>
      </c>
      <c r="AG4517" s="2">
        <f ca="1"/>
        <v>0.4663563433514053</v>
      </c>
      <c r="AH4517" s="2" t="str">
        <f ca="1"/>
        <v>Bad</v>
      </c>
    </row>
    <row r="4518" spans="2:34" x14ac:dyDescent="0.2">
      <c r="B4518" s="2">
        <f ca="1"/>
        <v>0.96236569946720962</v>
      </c>
      <c r="O4518" s="2">
        <f ca="1"/>
        <v>1.8059471968805834</v>
      </c>
      <c r="X4518" s="2">
        <f ca="1"/>
        <v>25.965056821636892</v>
      </c>
      <c r="AG4518" s="2">
        <f ca="1"/>
        <v>0.6153966850450503</v>
      </c>
      <c r="AH4518" s="2" t="str">
        <f ca="1"/>
        <v>Bad</v>
      </c>
    </row>
    <row r="4519" spans="2:34" x14ac:dyDescent="0.2">
      <c r="B4519" s="2">
        <f ca="1"/>
        <v>0.42311006156547371</v>
      </c>
      <c r="O4519" s="2">
        <f ca="1"/>
        <v>0.5239156837608977</v>
      </c>
      <c r="X4519" s="2">
        <f ca="1"/>
        <v>49.106855829923191</v>
      </c>
      <c r="AG4519" s="2">
        <f ca="1"/>
        <v>0.48317273237614122</v>
      </c>
      <c r="AH4519" s="2" t="str">
        <f ca="1"/>
        <v>Bad</v>
      </c>
    </row>
    <row r="4520" spans="2:34" x14ac:dyDescent="0.2">
      <c r="B4520" s="2">
        <f ca="1"/>
        <v>0.37100774652044355</v>
      </c>
      <c r="O4520" s="2">
        <f ca="1"/>
        <v>0.88814695543681565</v>
      </c>
      <c r="X4520" s="2">
        <f ca="1"/>
        <v>50.060375887835221</v>
      </c>
      <c r="AG4520" s="2">
        <f ca="1"/>
        <v>5.16927509370535E-3</v>
      </c>
      <c r="AH4520" s="2" t="str">
        <f ca="1"/>
        <v>Good</v>
      </c>
    </row>
    <row r="4521" spans="2:34" x14ac:dyDescent="0.2">
      <c r="B4521" s="2">
        <f ca="1"/>
        <v>0.8889561648443649</v>
      </c>
      <c r="O4521" s="2">
        <f ca="1"/>
        <v>-2.2144933457654807</v>
      </c>
      <c r="X4521" s="2">
        <f ca="1"/>
        <v>71.351153751100156</v>
      </c>
      <c r="AG4521" s="2">
        <f ca="1"/>
        <v>0.18999414817111804</v>
      </c>
      <c r="AH4521" s="2" t="str">
        <f ca="1"/>
        <v>OK</v>
      </c>
    </row>
    <row r="4522" spans="2:34" x14ac:dyDescent="0.2">
      <c r="B4522" s="2">
        <f ca="1"/>
        <v>0.56935636576449067</v>
      </c>
      <c r="O4522" s="2">
        <f ca="1"/>
        <v>-0.50127114955854857</v>
      </c>
      <c r="X4522" s="2">
        <f ca="1"/>
        <v>54.823071972473315</v>
      </c>
      <c r="AG4522" s="2">
        <f ca="1"/>
        <v>0.34785215786657386</v>
      </c>
      <c r="AH4522" s="2" t="str">
        <f ca="1"/>
        <v>OK</v>
      </c>
    </row>
    <row r="4523" spans="2:34" x14ac:dyDescent="0.2">
      <c r="B4523" s="2">
        <f ca="1"/>
        <v>0.45011045896754065</v>
      </c>
      <c r="O4523" s="2">
        <f ca="1"/>
        <v>-2.2074686993560237</v>
      </c>
      <c r="X4523" s="2">
        <f ca="1"/>
        <v>43.567208145053094</v>
      </c>
      <c r="AG4523" s="2">
        <f ca="1"/>
        <v>0.78048448278908245</v>
      </c>
      <c r="AH4523" s="2" t="str">
        <f ca="1"/>
        <v>Bad</v>
      </c>
    </row>
    <row r="4524" spans="2:34" x14ac:dyDescent="0.2">
      <c r="B4524" s="2">
        <f ca="1"/>
        <v>4.5768530877058122E-2</v>
      </c>
      <c r="O4524" s="2">
        <f ca="1"/>
        <v>1.6591055283607805</v>
      </c>
      <c r="X4524" s="2">
        <f ca="1"/>
        <v>82.101807655646851</v>
      </c>
      <c r="AG4524" s="2">
        <f ca="1"/>
        <v>5.1460352050262115E-2</v>
      </c>
      <c r="AH4524" s="2" t="str">
        <f ca="1"/>
        <v>OK</v>
      </c>
    </row>
    <row r="4525" spans="2:34" x14ac:dyDescent="0.2">
      <c r="B4525" s="2">
        <f ca="1"/>
        <v>0.67068964796074004</v>
      </c>
      <c r="O4525" s="2">
        <f ca="1"/>
        <v>1.4536719300010128</v>
      </c>
      <c r="X4525" s="2">
        <f ca="1"/>
        <v>50.793926100512685</v>
      </c>
      <c r="AG4525" s="2">
        <f ca="1"/>
        <v>0.19403515615807976</v>
      </c>
      <c r="AH4525" s="2" t="str">
        <f ca="1"/>
        <v>OK</v>
      </c>
    </row>
    <row r="4526" spans="2:34" x14ac:dyDescent="0.2">
      <c r="B4526" s="2">
        <f ca="1"/>
        <v>5.574305650712974E-2</v>
      </c>
      <c r="O4526" s="2">
        <f ca="1"/>
        <v>-1.1034995656942048</v>
      </c>
      <c r="X4526" s="2">
        <f ca="1"/>
        <v>22.904058562929983</v>
      </c>
      <c r="AG4526" s="2">
        <f ca="1"/>
        <v>0.36568754650548141</v>
      </c>
      <c r="AH4526" s="2" t="str">
        <f ca="1"/>
        <v>OK</v>
      </c>
    </row>
    <row r="4527" spans="2:34" x14ac:dyDescent="0.2">
      <c r="B4527" s="2">
        <f ca="1"/>
        <v>0.25132265697384693</v>
      </c>
      <c r="O4527" s="2">
        <f ca="1"/>
        <v>-0.29420494271673814</v>
      </c>
      <c r="X4527" s="2">
        <f ca="1"/>
        <v>44.708110668033932</v>
      </c>
      <c r="AG4527" s="2">
        <f ca="1"/>
        <v>0.36307261046873296</v>
      </c>
      <c r="AH4527" s="2" t="str">
        <f ca="1"/>
        <v>OK</v>
      </c>
    </row>
    <row r="4528" spans="2:34" x14ac:dyDescent="0.2">
      <c r="B4528" s="2">
        <f ca="1"/>
        <v>0.34534348007016069</v>
      </c>
      <c r="O4528" s="2">
        <f ca="1"/>
        <v>-1.527936726987196E-2</v>
      </c>
      <c r="X4528" s="2">
        <f ca="1"/>
        <v>44.364159393610407</v>
      </c>
      <c r="AG4528" s="2">
        <f ca="1"/>
        <v>0.4032531901325902</v>
      </c>
      <c r="AH4528" s="2" t="str">
        <f ca="1"/>
        <v>Bad</v>
      </c>
    </row>
    <row r="4529" spans="2:34" x14ac:dyDescent="0.2">
      <c r="B4529" s="2">
        <f ca="1"/>
        <v>0.31002857933833217</v>
      </c>
      <c r="O4529" s="2">
        <f ca="1"/>
        <v>0.89641088217559295</v>
      </c>
      <c r="X4529" s="2">
        <f ca="1"/>
        <v>66.620799265164379</v>
      </c>
      <c r="AG4529" s="2">
        <f ca="1"/>
        <v>0.99168979638791499</v>
      </c>
      <c r="AH4529" s="2" t="str">
        <f ca="1"/>
        <v>Bad</v>
      </c>
    </row>
    <row r="4530" spans="2:34" x14ac:dyDescent="0.2">
      <c r="B4530" s="2">
        <f ca="1"/>
        <v>0.78067106667147934</v>
      </c>
      <c r="O4530" s="2">
        <f ca="1"/>
        <v>-0.47285062197061528</v>
      </c>
      <c r="X4530" s="2">
        <f ca="1"/>
        <v>39.004015008056825</v>
      </c>
      <c r="AG4530" s="2">
        <f ca="1"/>
        <v>0.93756726580753447</v>
      </c>
      <c r="AH4530" s="2" t="str">
        <f ca="1"/>
        <v>Bad</v>
      </c>
    </row>
    <row r="4531" spans="2:34" x14ac:dyDescent="0.2">
      <c r="B4531" s="2">
        <f ca="1"/>
        <v>0.89481815343988114</v>
      </c>
      <c r="O4531" s="2">
        <f ca="1"/>
        <v>9.2173671068041502E-2</v>
      </c>
      <c r="X4531" s="2">
        <f ca="1"/>
        <v>67.23118062599751</v>
      </c>
      <c r="AG4531" s="2">
        <f ca="1"/>
        <v>0.90015616913286189</v>
      </c>
      <c r="AH4531" s="2" t="str">
        <f ca="1"/>
        <v>Bad</v>
      </c>
    </row>
    <row r="4532" spans="2:34" x14ac:dyDescent="0.2">
      <c r="B4532" s="2">
        <f ca="1"/>
        <v>0.22430281082998049</v>
      </c>
      <c r="O4532" s="2">
        <f ca="1"/>
        <v>0.45631614185650216</v>
      </c>
      <c r="X4532" s="2">
        <f ca="1"/>
        <v>72.231533534382365</v>
      </c>
      <c r="AG4532" s="2">
        <f ca="1"/>
        <v>0.93272810840631237</v>
      </c>
      <c r="AH4532" s="2" t="str">
        <f ca="1"/>
        <v>Bad</v>
      </c>
    </row>
    <row r="4533" spans="2:34" x14ac:dyDescent="0.2">
      <c r="B4533" s="2">
        <f ca="1"/>
        <v>0.48410788288733597</v>
      </c>
      <c r="O4533" s="2">
        <f ca="1"/>
        <v>0.26123117904217985</v>
      </c>
      <c r="X4533" s="2">
        <f ca="1"/>
        <v>27.365395105700614</v>
      </c>
      <c r="AG4533" s="2">
        <f ca="1"/>
        <v>0.5037208301541547</v>
      </c>
      <c r="AH4533" s="2" t="str">
        <f ca="1"/>
        <v>Bad</v>
      </c>
    </row>
    <row r="4534" spans="2:34" x14ac:dyDescent="0.2">
      <c r="B4534" s="2">
        <f ca="1"/>
        <v>0.53820938305675892</v>
      </c>
      <c r="O4534" s="2">
        <f ca="1"/>
        <v>0.48581529169998267</v>
      </c>
      <c r="X4534" s="2">
        <f ca="1"/>
        <v>55.259095524281577</v>
      </c>
      <c r="AG4534" s="2">
        <f ca="1"/>
        <v>2.0266702237125678E-2</v>
      </c>
      <c r="AH4534" s="2" t="str">
        <f ca="1"/>
        <v>Good</v>
      </c>
    </row>
    <row r="4535" spans="2:34" x14ac:dyDescent="0.2">
      <c r="B4535" s="2">
        <f ca="1"/>
        <v>0.73259296897978565</v>
      </c>
      <c r="O4535" s="2">
        <f ca="1"/>
        <v>2.2130443271912648</v>
      </c>
      <c r="X4535" s="2">
        <f ca="1"/>
        <v>60.279322055048368</v>
      </c>
      <c r="AG4535" s="2">
        <f ca="1"/>
        <v>0.50909913254750161</v>
      </c>
      <c r="AH4535" s="2" t="str">
        <f ca="1"/>
        <v>Bad</v>
      </c>
    </row>
    <row r="4536" spans="2:34" x14ac:dyDescent="0.2">
      <c r="B4536" s="2">
        <f ca="1"/>
        <v>0.41578078437364763</v>
      </c>
      <c r="O4536" s="2">
        <f ca="1"/>
        <v>0.52201097913914729</v>
      </c>
      <c r="X4536" s="2">
        <f ca="1"/>
        <v>48.397485972469845</v>
      </c>
      <c r="AG4536" s="2">
        <f ca="1"/>
        <v>0.15961917973681183</v>
      </c>
      <c r="AH4536" s="2" t="str">
        <f ca="1"/>
        <v>OK</v>
      </c>
    </row>
    <row r="4537" spans="2:34" x14ac:dyDescent="0.2">
      <c r="B4537" s="2">
        <f ca="1"/>
        <v>0.76058836510083383</v>
      </c>
      <c r="O4537" s="2">
        <f ca="1"/>
        <v>-0.7317941377007966</v>
      </c>
      <c r="X4537" s="2">
        <f ca="1"/>
        <v>56.022017963133841</v>
      </c>
      <c r="AG4537" s="2">
        <f ca="1"/>
        <v>0.68828883384830641</v>
      </c>
      <c r="AH4537" s="2" t="str">
        <f ca="1"/>
        <v>Bad</v>
      </c>
    </row>
    <row r="4538" spans="2:34" x14ac:dyDescent="0.2">
      <c r="B4538" s="2">
        <f ca="1"/>
        <v>0.32853537262721022</v>
      </c>
      <c r="O4538" s="2">
        <f ca="1"/>
        <v>-0.49746558249058614</v>
      </c>
      <c r="X4538" s="2">
        <f ca="1"/>
        <v>47.909804511549261</v>
      </c>
      <c r="AG4538" s="2">
        <f ca="1"/>
        <v>0.92427526306081309</v>
      </c>
      <c r="AH4538" s="2" t="str">
        <f ca="1"/>
        <v>Bad</v>
      </c>
    </row>
    <row r="4539" spans="2:34" x14ac:dyDescent="0.2">
      <c r="B4539" s="2">
        <f ca="1"/>
        <v>0.65595642962076384</v>
      </c>
      <c r="O4539" s="2">
        <f ca="1"/>
        <v>1.0557783068381097</v>
      </c>
      <c r="X4539" s="2">
        <f ca="1"/>
        <v>29.401921607242663</v>
      </c>
      <c r="AG4539" s="2">
        <f ca="1"/>
        <v>0.23909709563293746</v>
      </c>
      <c r="AH4539" s="2" t="str">
        <f ca="1"/>
        <v>OK</v>
      </c>
    </row>
    <row r="4540" spans="2:34" x14ac:dyDescent="0.2">
      <c r="B4540" s="2">
        <f ca="1"/>
        <v>0.99230345383316765</v>
      </c>
      <c r="O4540" s="2">
        <f ca="1"/>
        <v>0.45140530934659462</v>
      </c>
      <c r="X4540" s="2">
        <f ca="1"/>
        <v>65.64597486180142</v>
      </c>
      <c r="AG4540" s="2">
        <f ca="1"/>
        <v>0.22541022321074999</v>
      </c>
      <c r="AH4540" s="2" t="str">
        <f ca="1"/>
        <v>OK</v>
      </c>
    </row>
    <row r="4541" spans="2:34" x14ac:dyDescent="0.2">
      <c r="B4541" s="2">
        <f ca="1"/>
        <v>0.40810152230072783</v>
      </c>
      <c r="O4541" s="2">
        <f ca="1"/>
        <v>-0.81183183022112582</v>
      </c>
      <c r="X4541" s="2">
        <f ca="1"/>
        <v>42.520542735681168</v>
      </c>
      <c r="AG4541" s="2">
        <f ca="1"/>
        <v>0.76567158018010106</v>
      </c>
      <c r="AH4541" s="2" t="str">
        <f ca="1"/>
        <v>Bad</v>
      </c>
    </row>
    <row r="4542" spans="2:34" x14ac:dyDescent="0.2">
      <c r="B4542" s="2">
        <f ca="1"/>
        <v>0.6298077452876536</v>
      </c>
      <c r="O4542" s="2">
        <f ca="1"/>
        <v>-0.10964936250728965</v>
      </c>
      <c r="X4542" s="2">
        <f ca="1"/>
        <v>106.29950549291179</v>
      </c>
      <c r="AG4542" s="2">
        <f ca="1"/>
        <v>0.87640629794392533</v>
      </c>
      <c r="AH4542" s="2" t="str">
        <f ca="1"/>
        <v>Bad</v>
      </c>
    </row>
    <row r="4543" spans="2:34" x14ac:dyDescent="0.2">
      <c r="B4543" s="2">
        <f ca="1"/>
        <v>0.81953525819546136</v>
      </c>
      <c r="O4543" s="2">
        <f ca="1"/>
        <v>0.20879429357800505</v>
      </c>
      <c r="X4543" s="2">
        <f ca="1"/>
        <v>49.969576874951819</v>
      </c>
      <c r="AG4543" s="2">
        <f ca="1"/>
        <v>0.44318094055756241</v>
      </c>
      <c r="AH4543" s="2" t="str">
        <f ca="1"/>
        <v>Bad</v>
      </c>
    </row>
    <row r="4544" spans="2:34" x14ac:dyDescent="0.2">
      <c r="B4544" s="2">
        <f ca="1"/>
        <v>0.99573706390913252</v>
      </c>
      <c r="O4544" s="2">
        <f ca="1"/>
        <v>-0.32560258288717869</v>
      </c>
      <c r="X4544" s="2">
        <f ca="1"/>
        <v>26.808139367052917</v>
      </c>
      <c r="AG4544" s="2">
        <f ca="1"/>
        <v>4.3185685043737987E-2</v>
      </c>
      <c r="AH4544" s="2" t="str">
        <f ca="1"/>
        <v>Good</v>
      </c>
    </row>
    <row r="4545" spans="2:34" x14ac:dyDescent="0.2">
      <c r="B4545" s="2">
        <f ca="1"/>
        <v>0.24010583506988725</v>
      </c>
      <c r="O4545" s="2">
        <f ca="1"/>
        <v>-9.3673172279455638E-2</v>
      </c>
      <c r="X4545" s="2">
        <f ca="1"/>
        <v>26.1899211896949</v>
      </c>
      <c r="AG4545" s="2">
        <f ca="1"/>
        <v>0.17920112037241931</v>
      </c>
      <c r="AH4545" s="2" t="str">
        <f ca="1"/>
        <v>OK</v>
      </c>
    </row>
    <row r="4546" spans="2:34" x14ac:dyDescent="0.2">
      <c r="B4546" s="2">
        <f ca="1"/>
        <v>0.16375307957857332</v>
      </c>
      <c r="O4546" s="2">
        <f ca="1"/>
        <v>0.28571485292489085</v>
      </c>
      <c r="X4546" s="2">
        <f ca="1"/>
        <v>49.814022193850576</v>
      </c>
      <c r="AG4546" s="2">
        <f ca="1"/>
        <v>0.78369115622770624</v>
      </c>
      <c r="AH4546" s="2" t="str">
        <f ca="1"/>
        <v>Bad</v>
      </c>
    </row>
    <row r="4547" spans="2:34" x14ac:dyDescent="0.2">
      <c r="B4547" s="2">
        <f ca="1"/>
        <v>8.7656494619556824E-3</v>
      </c>
      <c r="O4547" s="2">
        <f ca="1"/>
        <v>-0.86166829512149135</v>
      </c>
      <c r="X4547" s="2">
        <f ca="1"/>
        <v>43.368133472124825</v>
      </c>
      <c r="AG4547" s="2">
        <f ca="1"/>
        <v>0.41661575286938035</v>
      </c>
      <c r="AH4547" s="2" t="str">
        <f ca="1"/>
        <v>Bad</v>
      </c>
    </row>
    <row r="4548" spans="2:34" x14ac:dyDescent="0.2">
      <c r="B4548" s="2">
        <f ca="1"/>
        <v>0.75951555601579002</v>
      </c>
      <c r="O4548" s="2">
        <f ca="1"/>
        <v>1.6733200382597755</v>
      </c>
      <c r="X4548" s="2">
        <f ca="1"/>
        <v>49.386550345918323</v>
      </c>
      <c r="AG4548" s="2">
        <f ca="1"/>
        <v>0.65417159931349222</v>
      </c>
      <c r="AH4548" s="2" t="str">
        <f ca="1"/>
        <v>Bad</v>
      </c>
    </row>
    <row r="4549" spans="2:34" x14ac:dyDescent="0.2">
      <c r="B4549" s="2">
        <f ca="1"/>
        <v>0.44795796631043094</v>
      </c>
      <c r="O4549" s="2">
        <f ca="1"/>
        <v>0.26368698859664119</v>
      </c>
      <c r="X4549" s="2">
        <f ca="1"/>
        <v>45.756800358303316</v>
      </c>
      <c r="AG4549" s="2">
        <f ca="1"/>
        <v>0.77708626287984428</v>
      </c>
      <c r="AH4549" s="2" t="str">
        <f ca="1"/>
        <v>Bad</v>
      </c>
    </row>
    <row r="4550" spans="2:34" x14ac:dyDescent="0.2">
      <c r="B4550" s="2">
        <f ca="1"/>
        <v>0.35390000215450046</v>
      </c>
      <c r="O4550" s="2">
        <f ca="1"/>
        <v>0.58960994326791838</v>
      </c>
      <c r="X4550" s="2">
        <f ca="1"/>
        <v>45.302808247492862</v>
      </c>
      <c r="AG4550" s="2">
        <f ca="1"/>
        <v>0.93712419053858786</v>
      </c>
      <c r="AH4550" s="2" t="str">
        <f ca="1"/>
        <v>Bad</v>
      </c>
    </row>
    <row r="4551" spans="2:34" x14ac:dyDescent="0.2">
      <c r="B4551" s="2">
        <f ca="1"/>
        <v>0.56904201819663847</v>
      </c>
      <c r="O4551" s="2">
        <f ca="1"/>
        <v>0.94494824529986443</v>
      </c>
      <c r="X4551" s="2">
        <f ca="1"/>
        <v>54.106483419437751</v>
      </c>
      <c r="AG4551" s="2">
        <f ca="1"/>
        <v>0.25114788867047344</v>
      </c>
      <c r="AH4551" s="2" t="str">
        <f ca="1"/>
        <v>OK</v>
      </c>
    </row>
    <row r="4552" spans="2:34" x14ac:dyDescent="0.2">
      <c r="B4552" s="2">
        <f ca="1"/>
        <v>0.82895063137859681</v>
      </c>
      <c r="O4552" s="2">
        <f ca="1"/>
        <v>0.75687228133551487</v>
      </c>
      <c r="X4552" s="2">
        <f ca="1"/>
        <v>51.080360849081067</v>
      </c>
      <c r="AG4552" s="2">
        <f ca="1"/>
        <v>0.92511913032626003</v>
      </c>
      <c r="AH4552" s="2" t="str">
        <f ca="1"/>
        <v>Bad</v>
      </c>
    </row>
    <row r="4553" spans="2:34" x14ac:dyDescent="0.2">
      <c r="B4553" s="2">
        <f ca="1"/>
        <v>0.25877697973843539</v>
      </c>
      <c r="O4553" s="2">
        <f ca="1"/>
        <v>2.0800794414238579</v>
      </c>
      <c r="X4553" s="2">
        <f ca="1"/>
        <v>44.97591911563029</v>
      </c>
      <c r="AG4553" s="2">
        <f ca="1"/>
        <v>0.64211284148226677</v>
      </c>
      <c r="AH4553" s="2" t="str">
        <f ca="1"/>
        <v>Bad</v>
      </c>
    </row>
    <row r="4554" spans="2:34" x14ac:dyDescent="0.2">
      <c r="B4554" s="2">
        <f ca="1"/>
        <v>7.10355892313832E-2</v>
      </c>
      <c r="O4554" s="2">
        <f ca="1"/>
        <v>2.368242923504464</v>
      </c>
      <c r="X4554" s="2">
        <f ca="1"/>
        <v>25.302143050127455</v>
      </c>
      <c r="AG4554" s="2">
        <f ca="1"/>
        <v>9.3811560107708525E-2</v>
      </c>
      <c r="AH4554" s="2" t="str">
        <f ca="1"/>
        <v>OK</v>
      </c>
    </row>
    <row r="4555" spans="2:34" x14ac:dyDescent="0.2">
      <c r="B4555" s="2">
        <f ca="1"/>
        <v>0.57360306143709239</v>
      </c>
      <c r="O4555" s="2">
        <f ca="1"/>
        <v>0.22940569096532093</v>
      </c>
      <c r="X4555" s="2">
        <f ca="1"/>
        <v>65.178431798248113</v>
      </c>
      <c r="AG4555" s="2">
        <f ca="1"/>
        <v>0.19132411060088961</v>
      </c>
      <c r="AH4555" s="2" t="str">
        <f ca="1"/>
        <v>OK</v>
      </c>
    </row>
    <row r="4556" spans="2:34" x14ac:dyDescent="0.2">
      <c r="B4556" s="2">
        <f ca="1"/>
        <v>0.48719609482612491</v>
      </c>
      <c r="O4556" s="2">
        <f ca="1"/>
        <v>-0.28508728056282201</v>
      </c>
      <c r="X4556" s="2">
        <f ca="1"/>
        <v>27.840989917400535</v>
      </c>
      <c r="AG4556" s="2">
        <f ca="1"/>
        <v>0.28389286104444666</v>
      </c>
      <c r="AH4556" s="2" t="str">
        <f ca="1"/>
        <v>OK</v>
      </c>
    </row>
    <row r="4557" spans="2:34" x14ac:dyDescent="0.2">
      <c r="B4557" s="2">
        <f ca="1"/>
        <v>0.41619900263382847</v>
      </c>
      <c r="O4557" s="2">
        <f ca="1"/>
        <v>-2.0598894638961376</v>
      </c>
      <c r="X4557" s="2">
        <f ca="1"/>
        <v>30.847437727698903</v>
      </c>
      <c r="AG4557" s="2">
        <f ca="1"/>
        <v>0.49531471166324503</v>
      </c>
      <c r="AH4557" s="2" t="str">
        <f ca="1"/>
        <v>Bad</v>
      </c>
    </row>
    <row r="4558" spans="2:34" x14ac:dyDescent="0.2">
      <c r="B4558" s="2">
        <f ca="1"/>
        <v>0.57328515474361286</v>
      </c>
      <c r="O4558" s="2">
        <f ca="1"/>
        <v>-0.36873970558734603</v>
      </c>
      <c r="X4558" s="2">
        <f ca="1"/>
        <v>47.543070601181228</v>
      </c>
      <c r="AG4558" s="2">
        <f ca="1"/>
        <v>0.37897385277006279</v>
      </c>
      <c r="AH4558" s="2" t="str">
        <f ca="1"/>
        <v>OK</v>
      </c>
    </row>
    <row r="4559" spans="2:34" x14ac:dyDescent="0.2">
      <c r="B4559" s="2">
        <f ca="1"/>
        <v>0.82680321358587494</v>
      </c>
      <c r="O4559" s="2">
        <f ca="1"/>
        <v>-0.38460921556720157</v>
      </c>
      <c r="X4559" s="2">
        <f ca="1"/>
        <v>36.941081292649379</v>
      </c>
      <c r="AG4559" s="2">
        <f ca="1"/>
        <v>0.45220356362022907</v>
      </c>
      <c r="AH4559" s="2" t="str">
        <f ca="1"/>
        <v>Bad</v>
      </c>
    </row>
    <row r="4560" spans="2:34" x14ac:dyDescent="0.2">
      <c r="B4560" s="2">
        <f ca="1"/>
        <v>0.67729099184188835</v>
      </c>
      <c r="O4560" s="2">
        <f ca="1"/>
        <v>-0.70126156498146852</v>
      </c>
      <c r="X4560" s="2">
        <f ca="1"/>
        <v>49.926704422128559</v>
      </c>
      <c r="AG4560" s="2">
        <f ca="1"/>
        <v>6.7053019049059692E-2</v>
      </c>
      <c r="AH4560" s="2" t="str">
        <f ca="1"/>
        <v>OK</v>
      </c>
    </row>
    <row r="4561" spans="2:34" x14ac:dyDescent="0.2">
      <c r="B4561" s="2">
        <f ca="1"/>
        <v>0.71601882745119627</v>
      </c>
      <c r="O4561" s="2">
        <f ca="1"/>
        <v>-1.8527840819951287</v>
      </c>
      <c r="X4561" s="2">
        <f ca="1"/>
        <v>26.515838281945641</v>
      </c>
      <c r="AG4561" s="2">
        <f ca="1"/>
        <v>0.85262938965907664</v>
      </c>
      <c r="AH4561" s="2" t="str">
        <f ca="1"/>
        <v>Bad</v>
      </c>
    </row>
    <row r="4562" spans="2:34" x14ac:dyDescent="0.2">
      <c r="B4562" s="2">
        <f ca="1"/>
        <v>0.64467766583239738</v>
      </c>
      <c r="O4562" s="2">
        <f ca="1"/>
        <v>0.20314920362864866</v>
      </c>
      <c r="X4562" s="2">
        <f ca="1"/>
        <v>59.905902856681891</v>
      </c>
      <c r="AG4562" s="2">
        <f ca="1"/>
        <v>0.43691808474178151</v>
      </c>
      <c r="AH4562" s="2" t="str">
        <f ca="1"/>
        <v>Bad</v>
      </c>
    </row>
    <row r="4563" spans="2:34" x14ac:dyDescent="0.2">
      <c r="B4563" s="2">
        <f ca="1"/>
        <v>0.32754624027256551</v>
      </c>
      <c r="O4563" s="2">
        <f ca="1"/>
        <v>0.70689004969574143</v>
      </c>
      <c r="X4563" s="2">
        <f ca="1"/>
        <v>50.31590038493956</v>
      </c>
      <c r="AG4563" s="2">
        <f ca="1"/>
        <v>0.96294258116466325</v>
      </c>
      <c r="AH4563" s="2" t="str">
        <f ca="1"/>
        <v>Bad</v>
      </c>
    </row>
    <row r="4564" spans="2:34" x14ac:dyDescent="0.2">
      <c r="B4564" s="2">
        <f ca="1"/>
        <v>0.5949275840378967</v>
      </c>
      <c r="O4564" s="2">
        <f ca="1"/>
        <v>0.55554739101482653</v>
      </c>
      <c r="X4564" s="2">
        <f ca="1"/>
        <v>70.572296304780323</v>
      </c>
      <c r="AG4564" s="2">
        <f ca="1"/>
        <v>0.80055430953002626</v>
      </c>
      <c r="AH4564" s="2" t="str">
        <f ca="1"/>
        <v>Bad</v>
      </c>
    </row>
    <row r="4565" spans="2:34" x14ac:dyDescent="0.2">
      <c r="B4565" s="2">
        <f ca="1"/>
        <v>0.94273885770657362</v>
      </c>
      <c r="O4565" s="2">
        <f ca="1"/>
        <v>-1.2569083961094567</v>
      </c>
      <c r="X4565" s="2">
        <f ca="1"/>
        <v>73.331975791594729</v>
      </c>
      <c r="AG4565" s="2">
        <f ca="1"/>
        <v>0.23832002274899455</v>
      </c>
      <c r="AH4565" s="2" t="str">
        <f ca="1"/>
        <v>OK</v>
      </c>
    </row>
    <row r="4566" spans="2:34" x14ac:dyDescent="0.2">
      <c r="B4566" s="2">
        <f ca="1"/>
        <v>0.21539283130269737</v>
      </c>
      <c r="O4566" s="2">
        <f ca="1"/>
        <v>-1.3152139422787683</v>
      </c>
      <c r="X4566" s="2">
        <f ca="1"/>
        <v>39.81681401204591</v>
      </c>
      <c r="AG4566" s="2">
        <f ca="1"/>
        <v>0.37224058110308755</v>
      </c>
      <c r="AH4566" s="2" t="str">
        <f ca="1"/>
        <v>OK</v>
      </c>
    </row>
    <row r="4567" spans="2:34" x14ac:dyDescent="0.2">
      <c r="B4567" s="2">
        <f ca="1"/>
        <v>0.52923031286589528</v>
      </c>
      <c r="O4567" s="2">
        <f ca="1"/>
        <v>1.1908000494839912</v>
      </c>
      <c r="X4567" s="2">
        <f ca="1"/>
        <v>35.833937435028616</v>
      </c>
      <c r="AG4567" s="2">
        <f ca="1"/>
        <v>0.61553454041790179</v>
      </c>
      <c r="AH4567" s="2" t="str">
        <f ca="1"/>
        <v>Bad</v>
      </c>
    </row>
    <row r="4568" spans="2:34" x14ac:dyDescent="0.2">
      <c r="B4568" s="2">
        <f ca="1"/>
        <v>0.711043455291406</v>
      </c>
      <c r="O4568" s="2">
        <f ca="1"/>
        <v>-4.5590382999905567E-2</v>
      </c>
      <c r="X4568" s="2">
        <f ca="1"/>
        <v>40.740286372976804</v>
      </c>
      <c r="AG4568" s="2">
        <f ca="1"/>
        <v>0.23659124644904295</v>
      </c>
      <c r="AH4568" s="2" t="str">
        <f ca="1"/>
        <v>OK</v>
      </c>
    </row>
    <row r="4569" spans="2:34" x14ac:dyDescent="0.2">
      <c r="B4569" s="2">
        <f ca="1"/>
        <v>0.43888276222636624</v>
      </c>
      <c r="O4569" s="2">
        <f ca="1"/>
        <v>0.78893677650995542</v>
      </c>
      <c r="X4569" s="2">
        <f ca="1"/>
        <v>38.517985303737731</v>
      </c>
      <c r="AG4569" s="2">
        <f ca="1"/>
        <v>0.67551540781908836</v>
      </c>
      <c r="AH4569" s="2" t="str">
        <f ca="1"/>
        <v>Bad</v>
      </c>
    </row>
    <row r="4570" spans="2:34" x14ac:dyDescent="0.2">
      <c r="B4570" s="2">
        <f ca="1"/>
        <v>0.96111722999668125</v>
      </c>
      <c r="O4570" s="2">
        <f ca="1"/>
        <v>1.8555437850606431</v>
      </c>
      <c r="X4570" s="2">
        <f ca="1"/>
        <v>37.383641703170539</v>
      </c>
      <c r="AG4570" s="2">
        <f ca="1"/>
        <v>0.44428323439602369</v>
      </c>
      <c r="AH4570" s="2" t="str">
        <f ca="1"/>
        <v>Bad</v>
      </c>
    </row>
    <row r="4571" spans="2:34" x14ac:dyDescent="0.2">
      <c r="B4571" s="2">
        <f ca="1"/>
        <v>0.59731179290534997</v>
      </c>
      <c r="O4571" s="2">
        <f ca="1"/>
        <v>0.47617074372516588</v>
      </c>
      <c r="X4571" s="2">
        <f ca="1"/>
        <v>44.599584364172316</v>
      </c>
      <c r="AG4571" s="2">
        <f ca="1"/>
        <v>0.27602923767917353</v>
      </c>
      <c r="AH4571" s="2" t="str">
        <f ca="1"/>
        <v>OK</v>
      </c>
    </row>
    <row r="4572" spans="2:34" x14ac:dyDescent="0.2">
      <c r="B4572" s="2">
        <f ca="1"/>
        <v>7.95200113555663E-2</v>
      </c>
      <c r="O4572" s="2">
        <f ca="1"/>
        <v>-0.32466014015992839</v>
      </c>
      <c r="X4572" s="2">
        <f ca="1"/>
        <v>37.500996887269601</v>
      </c>
      <c r="AG4572" s="2">
        <f ca="1"/>
        <v>0.35012520265151381</v>
      </c>
      <c r="AH4572" s="2" t="str">
        <f ca="1"/>
        <v>OK</v>
      </c>
    </row>
    <row r="4573" spans="2:34" x14ac:dyDescent="0.2">
      <c r="B4573" s="2">
        <f ca="1"/>
        <v>0.86022897161587064</v>
      </c>
      <c r="O4573" s="2">
        <f ca="1"/>
        <v>-1.2737745681557162</v>
      </c>
      <c r="X4573" s="2">
        <f ca="1"/>
        <v>42.214082242730946</v>
      </c>
      <c r="AG4573" s="2">
        <f ca="1"/>
        <v>0.40784077383191475</v>
      </c>
      <c r="AH4573" s="2" t="str">
        <f ca="1"/>
        <v>Bad</v>
      </c>
    </row>
    <row r="4574" spans="2:34" x14ac:dyDescent="0.2">
      <c r="B4574" s="2">
        <f ca="1"/>
        <v>0.81194771167070456</v>
      </c>
      <c r="O4574" s="2">
        <f ca="1"/>
        <v>-0.25269137318404122</v>
      </c>
      <c r="X4574" s="2">
        <f ca="1"/>
        <v>66.971173002947424</v>
      </c>
      <c r="AG4574" s="2">
        <f ca="1"/>
        <v>7.666970717721866E-2</v>
      </c>
      <c r="AH4574" s="2" t="str">
        <f ca="1"/>
        <v>OK</v>
      </c>
    </row>
    <row r="4575" spans="2:34" x14ac:dyDescent="0.2">
      <c r="B4575" s="2">
        <f ca="1"/>
        <v>0.45200756045042967</v>
      </c>
      <c r="O4575" s="2">
        <f ca="1"/>
        <v>-1.3755312429676825</v>
      </c>
      <c r="X4575" s="2">
        <f ca="1"/>
        <v>60.382194991150101</v>
      </c>
      <c r="AG4575" s="2">
        <f ca="1"/>
        <v>0.93338401856238362</v>
      </c>
      <c r="AH4575" s="2" t="str">
        <f ca="1"/>
        <v>Bad</v>
      </c>
    </row>
    <row r="4576" spans="2:34" x14ac:dyDescent="0.2">
      <c r="B4576" s="2">
        <f ca="1"/>
        <v>0.69065546588499549</v>
      </c>
      <c r="O4576" s="2">
        <f ca="1"/>
        <v>-0.39046045070241681</v>
      </c>
      <c r="X4576" s="2">
        <f ca="1"/>
        <v>52.70814695299957</v>
      </c>
      <c r="AG4576" s="2">
        <f ca="1"/>
        <v>0.9022175433684203</v>
      </c>
      <c r="AH4576" s="2" t="str">
        <f ca="1"/>
        <v>Bad</v>
      </c>
    </row>
    <row r="4577" spans="2:34" x14ac:dyDescent="0.2">
      <c r="B4577" s="2">
        <f ca="1"/>
        <v>0.66151917873486488</v>
      </c>
      <c r="O4577" s="2">
        <f ca="1"/>
        <v>0.24225627455539944</v>
      </c>
      <c r="X4577" s="2">
        <f ca="1"/>
        <v>58.646619909684141</v>
      </c>
      <c r="AG4577" s="2">
        <f ca="1"/>
        <v>0.69362128181995031</v>
      </c>
      <c r="AH4577" s="2" t="str">
        <f ca="1"/>
        <v>Bad</v>
      </c>
    </row>
    <row r="4578" spans="2:34" x14ac:dyDescent="0.2">
      <c r="B4578" s="2">
        <f ca="1"/>
        <v>0.40310805033237451</v>
      </c>
      <c r="O4578" s="2">
        <f ca="1"/>
        <v>0.64244615791966986</v>
      </c>
      <c r="X4578" s="2">
        <f ca="1"/>
        <v>57.433652200010776</v>
      </c>
      <c r="AG4578" s="2">
        <f ca="1"/>
        <v>0.79066757378881602</v>
      </c>
      <c r="AH4578" s="2" t="str">
        <f ca="1"/>
        <v>Bad</v>
      </c>
    </row>
    <row r="4579" spans="2:34" x14ac:dyDescent="0.2">
      <c r="B4579" s="2">
        <f ca="1"/>
        <v>0.80728583197024384</v>
      </c>
      <c r="O4579" s="2">
        <f ca="1"/>
        <v>-3.0993376707741667</v>
      </c>
      <c r="X4579" s="2">
        <f ca="1"/>
        <v>54.674241960449336</v>
      </c>
      <c r="AG4579" s="2">
        <f ca="1"/>
        <v>0.85787318669913804</v>
      </c>
      <c r="AH4579" s="2" t="str">
        <f ca="1"/>
        <v>Bad</v>
      </c>
    </row>
    <row r="4580" spans="2:34" x14ac:dyDescent="0.2">
      <c r="B4580" s="2">
        <f ca="1"/>
        <v>0.19010623251532799</v>
      </c>
      <c r="O4580" s="2">
        <f ca="1"/>
        <v>-3.8829848394614418E-2</v>
      </c>
      <c r="X4580" s="2">
        <f ca="1"/>
        <v>46.213885512577953</v>
      </c>
      <c r="AG4580" s="2">
        <f ca="1"/>
        <v>0.23774296998493005</v>
      </c>
      <c r="AH4580" s="2" t="str">
        <f ca="1"/>
        <v>OK</v>
      </c>
    </row>
    <row r="4581" spans="2:34" x14ac:dyDescent="0.2">
      <c r="B4581" s="2">
        <f ca="1"/>
        <v>0.75256265761290719</v>
      </c>
      <c r="O4581" s="2">
        <f ca="1"/>
        <v>0.24516624071812235</v>
      </c>
      <c r="X4581" s="2">
        <f ca="1"/>
        <v>63.028493329010175</v>
      </c>
      <c r="AG4581" s="2">
        <f ca="1"/>
        <v>0.43249177630331226</v>
      </c>
      <c r="AH4581" s="2" t="str">
        <f ca="1"/>
        <v>Bad</v>
      </c>
    </row>
    <row r="4582" spans="2:34" x14ac:dyDescent="0.2">
      <c r="B4582" s="2">
        <f ca="1"/>
        <v>0.27297599911798986</v>
      </c>
      <c r="O4582" s="2">
        <f ca="1"/>
        <v>-0.62950892675390535</v>
      </c>
      <c r="X4582" s="2">
        <f ca="1"/>
        <v>32.181049282389502</v>
      </c>
      <c r="AG4582" s="2">
        <f ca="1"/>
        <v>0.43674191950095476</v>
      </c>
      <c r="AH4582" s="2" t="str">
        <f ca="1"/>
        <v>Bad</v>
      </c>
    </row>
    <row r="4583" spans="2:34" x14ac:dyDescent="0.2">
      <c r="B4583" s="2">
        <f ca="1"/>
        <v>0.19909975824477377</v>
      </c>
      <c r="O4583" s="2">
        <f ca="1"/>
        <v>-8.16182618413233E-2</v>
      </c>
      <c r="X4583" s="2">
        <f ca="1"/>
        <v>62.791507801315333</v>
      </c>
      <c r="AG4583" s="2">
        <f ca="1"/>
        <v>0.36881324643422531</v>
      </c>
      <c r="AH4583" s="2" t="str">
        <f ca="1"/>
        <v>OK</v>
      </c>
    </row>
    <row r="4584" spans="2:34" x14ac:dyDescent="0.2">
      <c r="B4584" s="2">
        <f ca="1"/>
        <v>0.91573190355069456</v>
      </c>
      <c r="O4584" s="2">
        <f ca="1"/>
        <v>-0.85791471176821732</v>
      </c>
      <c r="X4584" s="2">
        <f ca="1"/>
        <v>56.092668871196707</v>
      </c>
      <c r="AG4584" s="2">
        <f ca="1"/>
        <v>5.2343173962715372E-2</v>
      </c>
      <c r="AH4584" s="2" t="str">
        <f ca="1"/>
        <v>OK</v>
      </c>
    </row>
    <row r="4585" spans="2:34" x14ac:dyDescent="0.2">
      <c r="B4585" s="2">
        <f ca="1"/>
        <v>0.81788064073174294</v>
      </c>
      <c r="O4585" s="2">
        <f ca="1"/>
        <v>-1.8465948271061405E-2</v>
      </c>
      <c r="X4585" s="2">
        <f ca="1"/>
        <v>65.76015918302565</v>
      </c>
      <c r="AG4585" s="2">
        <f ca="1"/>
        <v>0.31496771980021698</v>
      </c>
      <c r="AH4585" s="2" t="str">
        <f ca="1"/>
        <v>OK</v>
      </c>
    </row>
    <row r="4586" spans="2:34" x14ac:dyDescent="0.2">
      <c r="B4586" s="2">
        <f ca="1"/>
        <v>0.13748627027351445</v>
      </c>
      <c r="O4586" s="2">
        <f ca="1"/>
        <v>0.62484437033255436</v>
      </c>
      <c r="X4586" s="2">
        <f ca="1"/>
        <v>50.903291027275408</v>
      </c>
      <c r="AG4586" s="2">
        <f ca="1"/>
        <v>0.50403597970596259</v>
      </c>
      <c r="AH4586" s="2" t="str">
        <f ca="1"/>
        <v>Bad</v>
      </c>
    </row>
    <row r="4587" spans="2:34" x14ac:dyDescent="0.2">
      <c r="B4587" s="2">
        <f ca="1"/>
        <v>0.44147493689292583</v>
      </c>
      <c r="O4587" s="2">
        <f ca="1"/>
        <v>0.9329368928540307</v>
      </c>
      <c r="X4587" s="2">
        <f ca="1"/>
        <v>75.431050911809962</v>
      </c>
      <c r="AG4587" s="2">
        <f ca="1"/>
        <v>0.89086840374469833</v>
      </c>
      <c r="AH4587" s="2" t="str">
        <f ca="1"/>
        <v>Bad</v>
      </c>
    </row>
    <row r="4588" spans="2:34" x14ac:dyDescent="0.2">
      <c r="B4588" s="2">
        <f ca="1"/>
        <v>0.23203864892801485</v>
      </c>
      <c r="O4588" s="2">
        <f ca="1"/>
        <v>-0.55950863920810889</v>
      </c>
      <c r="X4588" s="2">
        <f ca="1"/>
        <v>87.757495810202371</v>
      </c>
      <c r="AG4588" s="2">
        <f ca="1"/>
        <v>0.50836834528984354</v>
      </c>
      <c r="AH4588" s="2" t="str">
        <f ca="1"/>
        <v>Bad</v>
      </c>
    </row>
    <row r="4589" spans="2:34" x14ac:dyDescent="0.2">
      <c r="B4589" s="2">
        <f ca="1"/>
        <v>0.72098061851361583</v>
      </c>
      <c r="O4589" s="2">
        <f ca="1"/>
        <v>-2.1089938953710843</v>
      </c>
      <c r="X4589" s="2">
        <f ca="1"/>
        <v>63.939172910933323</v>
      </c>
      <c r="AG4589" s="2">
        <f ca="1"/>
        <v>0.90045594123406758</v>
      </c>
      <c r="AH4589" s="2" t="str">
        <f ca="1"/>
        <v>Bad</v>
      </c>
    </row>
    <row r="4590" spans="2:34" x14ac:dyDescent="0.2">
      <c r="B4590" s="2">
        <f ca="1"/>
        <v>0.28936423984690562</v>
      </c>
      <c r="O4590" s="2">
        <f ca="1"/>
        <v>-1.1992408268540276</v>
      </c>
      <c r="X4590" s="2">
        <f ca="1"/>
        <v>73.748805105350272</v>
      </c>
      <c r="AG4590" s="2">
        <f ca="1"/>
        <v>3.5779705266981265E-2</v>
      </c>
      <c r="AH4590" s="2" t="str">
        <f ca="1"/>
        <v>Good</v>
      </c>
    </row>
    <row r="4591" spans="2:34" x14ac:dyDescent="0.2">
      <c r="B4591" s="2">
        <f ca="1"/>
        <v>0.84849925385536795</v>
      </c>
      <c r="O4591" s="2">
        <f ca="1"/>
        <v>-1.3634443813167494</v>
      </c>
      <c r="X4591" s="2">
        <f ca="1"/>
        <v>59.149756596961353</v>
      </c>
      <c r="AG4591" s="2">
        <f ca="1"/>
        <v>0.84622002007136166</v>
      </c>
      <c r="AH4591" s="2" t="str">
        <f ca="1"/>
        <v>Bad</v>
      </c>
    </row>
    <row r="4592" spans="2:34" x14ac:dyDescent="0.2">
      <c r="B4592" s="2">
        <f ca="1"/>
        <v>0.38909560279253408</v>
      </c>
      <c r="O4592" s="2">
        <f ca="1"/>
        <v>0.87866095484635887</v>
      </c>
      <c r="X4592" s="2">
        <f ca="1"/>
        <v>45.470598222425323</v>
      </c>
      <c r="AG4592" s="2">
        <f ca="1"/>
        <v>0.70634818396078991</v>
      </c>
      <c r="AH4592" s="2" t="str">
        <f ca="1"/>
        <v>Bad</v>
      </c>
    </row>
    <row r="4593" spans="2:34" x14ac:dyDescent="0.2">
      <c r="B4593" s="2">
        <f ca="1"/>
        <v>0.11413654855628086</v>
      </c>
      <c r="O4593" s="2">
        <f ca="1"/>
        <v>-1.4305788323971895</v>
      </c>
      <c r="X4593" s="2">
        <f ca="1"/>
        <v>59.850842062808773</v>
      </c>
      <c r="AG4593" s="2">
        <f ca="1"/>
        <v>0.14874480263898726</v>
      </c>
      <c r="AH4593" s="2" t="str">
        <f ca="1"/>
        <v>OK</v>
      </c>
    </row>
    <row r="4594" spans="2:34" x14ac:dyDescent="0.2">
      <c r="B4594" s="2">
        <f ca="1"/>
        <v>0.53923343781565736</v>
      </c>
      <c r="O4594" s="2">
        <f ca="1"/>
        <v>-0.12929041877348213</v>
      </c>
      <c r="X4594" s="2">
        <f ca="1"/>
        <v>58.705085578965011</v>
      </c>
      <c r="AG4594" s="2">
        <f ca="1"/>
        <v>0.72850353250172595</v>
      </c>
      <c r="AH4594" s="2" t="str">
        <f ca="1"/>
        <v>Bad</v>
      </c>
    </row>
    <row r="4595" spans="2:34" x14ac:dyDescent="0.2">
      <c r="B4595" s="2">
        <f ca="1"/>
        <v>0.2395544460788801</v>
      </c>
      <c r="O4595" s="2">
        <f ca="1"/>
        <v>0.29316569521382435</v>
      </c>
      <c r="X4595" s="2">
        <f ca="1"/>
        <v>35.379972026430643</v>
      </c>
      <c r="AG4595" s="2">
        <f ca="1"/>
        <v>0.95598559568528363</v>
      </c>
      <c r="AH4595" s="2" t="str">
        <f ca="1"/>
        <v>Bad</v>
      </c>
    </row>
    <row r="4596" spans="2:34" x14ac:dyDescent="0.2">
      <c r="B4596" s="2">
        <f ca="1"/>
        <v>0.37928964891232209</v>
      </c>
      <c r="O4596" s="2">
        <f ca="1"/>
        <v>2.9343243295614179</v>
      </c>
      <c r="X4596" s="2">
        <f ca="1"/>
        <v>75.495584680426347</v>
      </c>
      <c r="AG4596" s="2">
        <f ca="1"/>
        <v>0.75658882838914021</v>
      </c>
      <c r="AH4596" s="2" t="str">
        <f ca="1"/>
        <v>Bad</v>
      </c>
    </row>
    <row r="4597" spans="2:34" x14ac:dyDescent="0.2">
      <c r="B4597" s="2">
        <f ca="1"/>
        <v>0.67531649180251008</v>
      </c>
      <c r="O4597" s="2">
        <f ca="1"/>
        <v>-0.49126157597478592</v>
      </c>
      <c r="X4597" s="2">
        <f ca="1"/>
        <v>51.917821197306182</v>
      </c>
      <c r="AG4597" s="2">
        <f ca="1"/>
        <v>0.89527229309110323</v>
      </c>
      <c r="AH4597" s="2" t="str">
        <f ca="1"/>
        <v>Bad</v>
      </c>
    </row>
    <row r="4598" spans="2:34" x14ac:dyDescent="0.2">
      <c r="B4598" s="2">
        <f ca="1"/>
        <v>0.3392027238274653</v>
      </c>
      <c r="O4598" s="2">
        <f ca="1"/>
        <v>1.3826845608161253</v>
      </c>
      <c r="X4598" s="2">
        <f ca="1"/>
        <v>57.632162803206874</v>
      </c>
      <c r="AG4598" s="2">
        <f ca="1"/>
        <v>0.37162540183279247</v>
      </c>
      <c r="AH4598" s="2" t="str">
        <f ca="1"/>
        <v>OK</v>
      </c>
    </row>
    <row r="4599" spans="2:34" x14ac:dyDescent="0.2">
      <c r="B4599" s="2">
        <f ca="1"/>
        <v>0.70892062727643168</v>
      </c>
      <c r="O4599" s="2">
        <f ca="1"/>
        <v>1.0942440768920609</v>
      </c>
      <c r="X4599" s="2">
        <f ca="1"/>
        <v>53.166061777963492</v>
      </c>
      <c r="AG4599" s="2">
        <f ca="1"/>
        <v>0.96988841254397595</v>
      </c>
      <c r="AH4599" s="2" t="str">
        <f ca="1"/>
        <v>Bad</v>
      </c>
    </row>
    <row r="4600" spans="2:34" x14ac:dyDescent="0.2">
      <c r="B4600" s="2">
        <f ca="1"/>
        <v>0.11368732470672382</v>
      </c>
      <c r="O4600" s="2">
        <f ca="1"/>
        <v>-0.50665873341221601</v>
      </c>
      <c r="X4600" s="2">
        <f ca="1"/>
        <v>46.806153476721597</v>
      </c>
      <c r="AG4600" s="2">
        <f ca="1"/>
        <v>0.94395274530988149</v>
      </c>
      <c r="AH4600" s="2" t="str">
        <f ca="1"/>
        <v>Bad</v>
      </c>
    </row>
    <row r="4601" spans="2:34" x14ac:dyDescent="0.2">
      <c r="B4601" s="2">
        <f ca="1"/>
        <v>0.20215268069007442</v>
      </c>
      <c r="O4601" s="2">
        <f ca="1"/>
        <v>-1.1134239267466786</v>
      </c>
      <c r="X4601" s="2">
        <f ca="1"/>
        <v>53.825259511346601</v>
      </c>
      <c r="AG4601" s="2">
        <f ca="1"/>
        <v>0.54055392691245685</v>
      </c>
      <c r="AH4601" s="2" t="str">
        <f ca="1"/>
        <v>Bad</v>
      </c>
    </row>
    <row r="4602" spans="2:34" x14ac:dyDescent="0.2">
      <c r="B4602" s="2">
        <f ca="1"/>
        <v>0.77872166909785934</v>
      </c>
      <c r="O4602" s="2">
        <f ca="1"/>
        <v>-1.6356841391971073</v>
      </c>
      <c r="X4602" s="2">
        <f ca="1"/>
        <v>64.687379605176957</v>
      </c>
      <c r="AG4602" s="2">
        <f ca="1"/>
        <v>0.72980148878360529</v>
      </c>
      <c r="AH4602" s="2" t="str">
        <f ca="1"/>
        <v>Bad</v>
      </c>
    </row>
    <row r="4603" spans="2:34" x14ac:dyDescent="0.2">
      <c r="B4603" s="2">
        <f ca="1"/>
        <v>0.28839457064819762</v>
      </c>
      <c r="O4603" s="2">
        <f ca="1"/>
        <v>-1.2011515298412636</v>
      </c>
      <c r="X4603" s="2">
        <f ca="1"/>
        <v>66.330930486092285</v>
      </c>
      <c r="AG4603" s="2">
        <f ca="1"/>
        <v>0.68549850449816274</v>
      </c>
      <c r="AH4603" s="2" t="str">
        <f ca="1"/>
        <v>Bad</v>
      </c>
    </row>
    <row r="4604" spans="2:34" x14ac:dyDescent="0.2">
      <c r="B4604" s="2">
        <f ca="1"/>
        <v>0.39863313157798097</v>
      </c>
      <c r="O4604" s="2">
        <f ca="1"/>
        <v>-0.69107968621320237</v>
      </c>
      <c r="X4604" s="2">
        <f ca="1"/>
        <v>48.752967845279855</v>
      </c>
      <c r="AG4604" s="2">
        <f ca="1"/>
        <v>0.15511492869510435</v>
      </c>
      <c r="AH4604" s="2" t="str">
        <f ca="1"/>
        <v>OK</v>
      </c>
    </row>
    <row r="4605" spans="2:34" x14ac:dyDescent="0.2">
      <c r="B4605" s="2">
        <f ca="1"/>
        <v>4.0059297520191439E-2</v>
      </c>
      <c r="O4605" s="2">
        <f ca="1"/>
        <v>1.5283916049050534</v>
      </c>
      <c r="X4605" s="2">
        <f ca="1"/>
        <v>59.332219950751096</v>
      </c>
      <c r="AG4605" s="2">
        <f ca="1"/>
        <v>0.1573923099104706</v>
      </c>
      <c r="AH4605" s="2" t="str">
        <f ca="1"/>
        <v>OK</v>
      </c>
    </row>
    <row r="4606" spans="2:34" x14ac:dyDescent="0.2">
      <c r="B4606" s="2">
        <f ca="1"/>
        <v>0.42267541249229379</v>
      </c>
      <c r="O4606" s="2">
        <f ca="1"/>
        <v>1.4881509176197583</v>
      </c>
      <c r="X4606" s="2">
        <f ca="1"/>
        <v>66.896757399787688</v>
      </c>
      <c r="AG4606" s="2">
        <f ca="1"/>
        <v>0.29429298809652238</v>
      </c>
      <c r="AH4606" s="2" t="str">
        <f ca="1"/>
        <v>OK</v>
      </c>
    </row>
    <row r="4607" spans="2:34" x14ac:dyDescent="0.2">
      <c r="B4607" s="2">
        <f ca="1"/>
        <v>0.46183449666791332</v>
      </c>
      <c r="O4607" s="2">
        <f ca="1"/>
        <v>-3.5378271110249921E-3</v>
      </c>
      <c r="X4607" s="2">
        <f ca="1"/>
        <v>48.889483131912819</v>
      </c>
      <c r="AG4607" s="2">
        <f ca="1"/>
        <v>0.97924769541657208</v>
      </c>
      <c r="AH4607" s="2" t="str">
        <f ca="1"/>
        <v>Bad</v>
      </c>
    </row>
    <row r="4608" spans="2:34" x14ac:dyDescent="0.2">
      <c r="B4608" s="2">
        <f ca="1"/>
        <v>0.34152279228333549</v>
      </c>
      <c r="O4608" s="2">
        <f ca="1"/>
        <v>-0.19768171795119305</v>
      </c>
      <c r="X4608" s="2">
        <f ca="1"/>
        <v>39.54044463346591</v>
      </c>
      <c r="AG4608" s="2">
        <f ca="1"/>
        <v>0.15773769729761389</v>
      </c>
      <c r="AH4608" s="2" t="str">
        <f ca="1"/>
        <v>OK</v>
      </c>
    </row>
    <row r="4609" spans="2:34" x14ac:dyDescent="0.2">
      <c r="B4609" s="2">
        <f ca="1"/>
        <v>0.91361315301961143</v>
      </c>
      <c r="O4609" s="2">
        <f ca="1"/>
        <v>0.19301251414689879</v>
      </c>
      <c r="X4609" s="2">
        <f ca="1"/>
        <v>66.338127153855652</v>
      </c>
      <c r="AG4609" s="2">
        <f ca="1"/>
        <v>0.58517907058746155</v>
      </c>
      <c r="AH4609" s="2" t="str">
        <f ca="1"/>
        <v>Bad</v>
      </c>
    </row>
    <row r="4610" spans="2:34" x14ac:dyDescent="0.2">
      <c r="B4610" s="2">
        <f ca="1"/>
        <v>0.46363204889123644</v>
      </c>
      <c r="O4610" s="2">
        <f ca="1"/>
        <v>0.29821248040461618</v>
      </c>
      <c r="X4610" s="2">
        <f ca="1"/>
        <v>41.307786349199532</v>
      </c>
      <c r="AG4610" s="2">
        <f ca="1"/>
        <v>0.82739788127029135</v>
      </c>
      <c r="AH4610" s="2" t="str">
        <f ca="1"/>
        <v>Bad</v>
      </c>
    </row>
    <row r="4611" spans="2:34" x14ac:dyDescent="0.2">
      <c r="B4611" s="2">
        <f ca="1"/>
        <v>0.85304606769325408</v>
      </c>
      <c r="O4611" s="2">
        <f ca="1"/>
        <v>-0.39102769861417658</v>
      </c>
      <c r="X4611" s="2">
        <f ca="1"/>
        <v>36.097368134977501</v>
      </c>
      <c r="AG4611" s="2">
        <f ca="1"/>
        <v>0.45310347183449151</v>
      </c>
      <c r="AH4611" s="2" t="str">
        <f ca="1"/>
        <v>Bad</v>
      </c>
    </row>
    <row r="4612" spans="2:34" x14ac:dyDescent="0.2">
      <c r="B4612" s="2">
        <f ca="1"/>
        <v>0.45823258230329333</v>
      </c>
      <c r="O4612" s="2">
        <f ca="1"/>
        <v>-1.2172290554523693</v>
      </c>
      <c r="X4612" s="2">
        <f ca="1"/>
        <v>36.950742508111297</v>
      </c>
      <c r="AG4612" s="2">
        <f ca="1"/>
        <v>0.78380899963220951</v>
      </c>
      <c r="AH4612" s="2" t="str">
        <f ca="1"/>
        <v>Bad</v>
      </c>
    </row>
    <row r="4613" spans="2:34" x14ac:dyDescent="0.2">
      <c r="B4613" s="2">
        <f ca="1"/>
        <v>0.19301016536291149</v>
      </c>
      <c r="O4613" s="2">
        <f ca="1"/>
        <v>-1.5831517745669714</v>
      </c>
      <c r="X4613" s="2">
        <f ca="1"/>
        <v>59.785786730947521</v>
      </c>
      <c r="AG4613" s="2">
        <f ca="1"/>
        <v>0.1738203695547067</v>
      </c>
      <c r="AH4613" s="2" t="str">
        <f ca="1"/>
        <v>OK</v>
      </c>
    </row>
    <row r="4614" spans="2:34" x14ac:dyDescent="0.2">
      <c r="B4614" s="2">
        <f ca="1"/>
        <v>0.33346207852822296</v>
      </c>
      <c r="O4614" s="2">
        <f ca="1"/>
        <v>-1.2702693152352731</v>
      </c>
      <c r="X4614" s="2">
        <f ca="1"/>
        <v>58.20490834382143</v>
      </c>
      <c r="AG4614" s="2">
        <f ca="1"/>
        <v>0.51641779410374911</v>
      </c>
      <c r="AH4614" s="2" t="str">
        <f ca="1"/>
        <v>Bad</v>
      </c>
    </row>
    <row r="4615" spans="2:34" x14ac:dyDescent="0.2">
      <c r="B4615" s="2">
        <f ca="1"/>
        <v>0.36791205683121175</v>
      </c>
      <c r="O4615" s="2">
        <f ca="1"/>
        <v>-9.2957541601628363E-2</v>
      </c>
      <c r="X4615" s="2">
        <f ca="1"/>
        <v>35.042846459549992</v>
      </c>
      <c r="AG4615" s="2">
        <f ca="1"/>
        <v>0.65417020060348041</v>
      </c>
      <c r="AH4615" s="2" t="str">
        <f ca="1"/>
        <v>Bad</v>
      </c>
    </row>
    <row r="4616" spans="2:34" x14ac:dyDescent="0.2">
      <c r="B4616" s="2">
        <f ca="1"/>
        <v>0.37417830031460131</v>
      </c>
      <c r="O4616" s="2">
        <f ca="1"/>
        <v>3.5692994795805552E-2</v>
      </c>
      <c r="X4616" s="2">
        <f ca="1"/>
        <v>59.778757226845315</v>
      </c>
      <c r="AG4616" s="2">
        <f ca="1"/>
        <v>0.81574203354984598</v>
      </c>
      <c r="AH4616" s="2" t="str">
        <f ca="1"/>
        <v>Bad</v>
      </c>
    </row>
    <row r="4617" spans="2:34" x14ac:dyDescent="0.2">
      <c r="B4617" s="2">
        <f ca="1"/>
        <v>6.6801755098399473E-2</v>
      </c>
      <c r="O4617" s="2">
        <f ca="1"/>
        <v>-0.87105154425325526</v>
      </c>
      <c r="X4617" s="2">
        <f ca="1"/>
        <v>58.412791829175994</v>
      </c>
      <c r="AG4617" s="2">
        <f ca="1"/>
        <v>0.23657228954919374</v>
      </c>
      <c r="AH4617" s="2" t="str">
        <f ca="1"/>
        <v>OK</v>
      </c>
    </row>
    <row r="4618" spans="2:34" x14ac:dyDescent="0.2">
      <c r="B4618" s="2">
        <f ca="1"/>
        <v>0.83649461793267932</v>
      </c>
      <c r="O4618" s="2">
        <f ca="1"/>
        <v>0.24974271243525381</v>
      </c>
      <c r="X4618" s="2">
        <f ca="1"/>
        <v>36.843533864745417</v>
      </c>
      <c r="AG4618" s="2">
        <f ca="1"/>
        <v>0.88201150255667726</v>
      </c>
      <c r="AH4618" s="2" t="str">
        <f ca="1"/>
        <v>Bad</v>
      </c>
    </row>
    <row r="4619" spans="2:34" x14ac:dyDescent="0.2">
      <c r="B4619" s="2">
        <f ca="1"/>
        <v>0.40323163124819517</v>
      </c>
      <c r="O4619" s="2">
        <f ca="1"/>
        <v>0.75453240212303241</v>
      </c>
      <c r="X4619" s="2">
        <f ca="1"/>
        <v>71.430837123052726</v>
      </c>
      <c r="AG4619" s="2">
        <f ca="1"/>
        <v>4.2424948577578725E-2</v>
      </c>
      <c r="AH4619" s="2" t="str">
        <f ca="1"/>
        <v>Good</v>
      </c>
    </row>
    <row r="4620" spans="2:34" x14ac:dyDescent="0.2">
      <c r="B4620" s="2">
        <f ca="1"/>
        <v>0.47512685425659185</v>
      </c>
      <c r="O4620" s="2">
        <f ca="1"/>
        <v>-1.10873535520541</v>
      </c>
      <c r="X4620" s="2">
        <f ca="1"/>
        <v>63.342059625296478</v>
      </c>
      <c r="AG4620" s="2">
        <f ca="1"/>
        <v>0.50914282300765956</v>
      </c>
      <c r="AH4620" s="2" t="str">
        <f ca="1"/>
        <v>Bad</v>
      </c>
    </row>
    <row r="4621" spans="2:34" x14ac:dyDescent="0.2">
      <c r="B4621" s="2">
        <f ca="1"/>
        <v>0.31421167975045949</v>
      </c>
      <c r="O4621" s="2">
        <f ca="1"/>
        <v>0.84814950792531263</v>
      </c>
      <c r="X4621" s="2">
        <f ca="1"/>
        <v>32.093315292908031</v>
      </c>
      <c r="AG4621" s="2">
        <f ca="1"/>
        <v>0.48802518509219972</v>
      </c>
      <c r="AH4621" s="2" t="str">
        <f ca="1"/>
        <v>Bad</v>
      </c>
    </row>
    <row r="4622" spans="2:34" x14ac:dyDescent="0.2">
      <c r="B4622" s="2">
        <f ca="1"/>
        <v>0.41742730174837006</v>
      </c>
      <c r="O4622" s="2">
        <f ca="1"/>
        <v>-1.265580822861371</v>
      </c>
      <c r="X4622" s="2">
        <f ca="1"/>
        <v>29.217305510713754</v>
      </c>
      <c r="AG4622" s="2">
        <f ca="1"/>
        <v>0.6435178195803799</v>
      </c>
      <c r="AH4622" s="2" t="str">
        <f ca="1"/>
        <v>Bad</v>
      </c>
    </row>
    <row r="4623" spans="2:34" x14ac:dyDescent="0.2">
      <c r="B4623" s="2">
        <f ca="1"/>
        <v>0.8716757278310272</v>
      </c>
      <c r="O4623" s="2">
        <f ca="1"/>
        <v>0.69327952554620531</v>
      </c>
      <c r="X4623" s="2">
        <f ca="1"/>
        <v>27.742358877315972</v>
      </c>
      <c r="AG4623" s="2">
        <f ca="1"/>
        <v>0.3164384540981493</v>
      </c>
      <c r="AH4623" s="2" t="str">
        <f ca="1"/>
        <v>OK</v>
      </c>
    </row>
    <row r="4624" spans="2:34" x14ac:dyDescent="0.2">
      <c r="B4624" s="2">
        <f ca="1"/>
        <v>0.77539204208810419</v>
      </c>
      <c r="O4624" s="2">
        <f ca="1"/>
        <v>1.3141277232363044</v>
      </c>
      <c r="X4624" s="2">
        <f ca="1"/>
        <v>35.338319636462707</v>
      </c>
      <c r="AG4624" s="2">
        <f ca="1"/>
        <v>0.25153734338194789</v>
      </c>
      <c r="AH4624" s="2" t="str">
        <f ca="1"/>
        <v>OK</v>
      </c>
    </row>
    <row r="4625" spans="2:34" x14ac:dyDescent="0.2">
      <c r="B4625" s="2">
        <f ca="1"/>
        <v>0.75505848994716152</v>
      </c>
      <c r="O4625" s="2">
        <f ca="1"/>
        <v>-1.5576396228491765</v>
      </c>
      <c r="X4625" s="2">
        <f ca="1"/>
        <v>50.257301573549512</v>
      </c>
      <c r="AG4625" s="2">
        <f ca="1"/>
        <v>0.24157419946085801</v>
      </c>
      <c r="AH4625" s="2" t="str">
        <f ca="1"/>
        <v>OK</v>
      </c>
    </row>
    <row r="4626" spans="2:34" x14ac:dyDescent="0.2">
      <c r="B4626" s="2">
        <f ca="1"/>
        <v>0.26236991394377118</v>
      </c>
      <c r="O4626" s="2">
        <f ca="1"/>
        <v>0.72153460216081444</v>
      </c>
      <c r="X4626" s="2">
        <f ca="1"/>
        <v>43.534860775514261</v>
      </c>
      <c r="AG4626" s="2">
        <f ca="1"/>
        <v>0.20070818453103256</v>
      </c>
      <c r="AH4626" s="2" t="str">
        <f ca="1"/>
        <v>OK</v>
      </c>
    </row>
    <row r="4627" spans="2:34" x14ac:dyDescent="0.2">
      <c r="B4627" s="2">
        <f ca="1"/>
        <v>0.24878902579735618</v>
      </c>
      <c r="O4627" s="2">
        <f ca="1"/>
        <v>4.5300555786854874E-3</v>
      </c>
      <c r="X4627" s="2">
        <f ca="1"/>
        <v>63.416872955593803</v>
      </c>
      <c r="AG4627" s="2">
        <f ca="1"/>
        <v>0.67120435092003139</v>
      </c>
      <c r="AH4627" s="2" t="str">
        <f ca="1"/>
        <v>Bad</v>
      </c>
    </row>
    <row r="4628" spans="2:34" x14ac:dyDescent="0.2">
      <c r="B4628" s="2">
        <f ca="1"/>
        <v>0.39201436012133462</v>
      </c>
      <c r="O4628" s="2">
        <f ca="1"/>
        <v>1.6915784316710114</v>
      </c>
      <c r="X4628" s="2">
        <f ca="1"/>
        <v>37.686286791829978</v>
      </c>
      <c r="AG4628" s="2">
        <f ca="1"/>
        <v>0.31524184726396953</v>
      </c>
      <c r="AH4628" s="2" t="str">
        <f ca="1"/>
        <v>OK</v>
      </c>
    </row>
    <row r="4629" spans="2:34" x14ac:dyDescent="0.2">
      <c r="B4629" s="2">
        <f ca="1"/>
        <v>0.15180388671786216</v>
      </c>
      <c r="O4629" s="2">
        <f ca="1"/>
        <v>1.4692785383863336</v>
      </c>
      <c r="X4629" s="2">
        <f ca="1"/>
        <v>74.670905507900216</v>
      </c>
      <c r="AG4629" s="2">
        <f ca="1"/>
        <v>0.18779378346062914</v>
      </c>
      <c r="AH4629" s="2" t="str">
        <f ca="1"/>
        <v>OK</v>
      </c>
    </row>
    <row r="4630" spans="2:34" x14ac:dyDescent="0.2">
      <c r="B4630" s="2">
        <f ca="1"/>
        <v>0.2345725426008507</v>
      </c>
      <c r="O4630" s="2">
        <f ca="1"/>
        <v>-0.12339749560974946</v>
      </c>
      <c r="X4630" s="2">
        <f ca="1"/>
        <v>73.386092339527366</v>
      </c>
      <c r="AG4630" s="2">
        <f ca="1"/>
        <v>0.25279085460271644</v>
      </c>
      <c r="AH4630" s="2" t="str">
        <f ca="1"/>
        <v>OK</v>
      </c>
    </row>
    <row r="4631" spans="2:34" x14ac:dyDescent="0.2">
      <c r="B4631" s="2">
        <f ca="1"/>
        <v>0.67354965312433213</v>
      </c>
      <c r="O4631" s="2">
        <f ca="1"/>
        <v>1.4845446588544087</v>
      </c>
      <c r="X4631" s="2">
        <f ca="1"/>
        <v>44.013532157759428</v>
      </c>
      <c r="AG4631" s="2">
        <f ca="1"/>
        <v>0.92934587691437742</v>
      </c>
      <c r="AH4631" s="2" t="str">
        <f ca="1"/>
        <v>Bad</v>
      </c>
    </row>
    <row r="4632" spans="2:34" x14ac:dyDescent="0.2">
      <c r="B4632" s="2">
        <f ca="1"/>
        <v>6.2242992922707074E-2</v>
      </c>
      <c r="O4632" s="2">
        <f ca="1"/>
        <v>-1.1410026196261271</v>
      </c>
      <c r="X4632" s="2">
        <f ca="1"/>
        <v>47.426562039028994</v>
      </c>
      <c r="AG4632" s="2">
        <f ca="1"/>
        <v>0.82999125193818957</v>
      </c>
      <c r="AH4632" s="2" t="str">
        <f ca="1"/>
        <v>Bad</v>
      </c>
    </row>
    <row r="4633" spans="2:34" x14ac:dyDescent="0.2">
      <c r="B4633" s="2">
        <f ca="1"/>
        <v>0.31027245830404393</v>
      </c>
      <c r="O4633" s="2">
        <f ca="1"/>
        <v>8.4950710554691805E-2</v>
      </c>
      <c r="X4633" s="2">
        <f ca="1"/>
        <v>34.130716731336726</v>
      </c>
      <c r="AG4633" s="2">
        <f ca="1"/>
        <v>0.1947812902710846</v>
      </c>
      <c r="AH4633" s="2" t="str">
        <f ca="1"/>
        <v>OK</v>
      </c>
    </row>
    <row r="4634" spans="2:34" x14ac:dyDescent="0.2">
      <c r="B4634" s="2">
        <f ca="1"/>
        <v>0.59802818762871324</v>
      </c>
      <c r="O4634" s="2">
        <f ca="1"/>
        <v>-1.3810316164144705</v>
      </c>
      <c r="X4634" s="2">
        <f ca="1"/>
        <v>64.053198635721827</v>
      </c>
      <c r="AG4634" s="2">
        <f ca="1"/>
        <v>0.60813173877939453</v>
      </c>
      <c r="AH4634" s="2" t="str">
        <f ca="1"/>
        <v>Bad</v>
      </c>
    </row>
    <row r="4635" spans="2:34" x14ac:dyDescent="0.2">
      <c r="B4635" s="2">
        <f ca="1"/>
        <v>0.96996188687045759</v>
      </c>
      <c r="O4635" s="2">
        <f ca="1"/>
        <v>-1.5324104512071171</v>
      </c>
      <c r="X4635" s="2">
        <f ca="1"/>
        <v>83.009796768277624</v>
      </c>
      <c r="AG4635" s="2">
        <f ca="1"/>
        <v>0.4529268288782593</v>
      </c>
      <c r="AH4635" s="2" t="str">
        <f ca="1"/>
        <v>Bad</v>
      </c>
    </row>
    <row r="4636" spans="2:34" x14ac:dyDescent="0.2">
      <c r="B4636" s="2">
        <f ca="1"/>
        <v>0.40646824035318585</v>
      </c>
      <c r="O4636" s="2">
        <f ca="1"/>
        <v>-0.16267402318936844</v>
      </c>
      <c r="X4636" s="2">
        <f ca="1"/>
        <v>60.526354712039314</v>
      </c>
      <c r="AG4636" s="2">
        <f ca="1"/>
        <v>0.99863325272562586</v>
      </c>
      <c r="AH4636" s="2" t="str">
        <f ca="1"/>
        <v>Bad</v>
      </c>
    </row>
    <row r="4637" spans="2:34" x14ac:dyDescent="0.2">
      <c r="B4637" s="2">
        <f ca="1"/>
        <v>0.8236458330040437</v>
      </c>
      <c r="O4637" s="2">
        <f ca="1"/>
        <v>-0.12984125832233251</v>
      </c>
      <c r="X4637" s="2">
        <f ca="1"/>
        <v>47.987200609964873</v>
      </c>
      <c r="AG4637" s="2">
        <f ca="1"/>
        <v>0.69073085986703275</v>
      </c>
      <c r="AH4637" s="2" t="str">
        <f ca="1"/>
        <v>Bad</v>
      </c>
    </row>
    <row r="4638" spans="2:34" x14ac:dyDescent="0.2">
      <c r="B4638" s="2">
        <f ca="1"/>
        <v>0.16702277535678967</v>
      </c>
      <c r="O4638" s="2">
        <f ca="1"/>
        <v>8.2579148007720343E-2</v>
      </c>
      <c r="X4638" s="2">
        <f ca="1"/>
        <v>41.596539192255896</v>
      </c>
      <c r="AG4638" s="2">
        <f ca="1"/>
        <v>0.36480481443909696</v>
      </c>
      <c r="AH4638" s="2" t="str">
        <f ca="1"/>
        <v>OK</v>
      </c>
    </row>
    <row r="4639" spans="2:34" x14ac:dyDescent="0.2">
      <c r="B4639" s="2">
        <f ca="1"/>
        <v>0.79674023368810576</v>
      </c>
      <c r="O4639" s="2">
        <f ca="1"/>
        <v>0.68618330899421975</v>
      </c>
      <c r="X4639" s="2">
        <f ca="1"/>
        <v>67.139672901962342</v>
      </c>
      <c r="AG4639" s="2">
        <f ca="1"/>
        <v>0.59542065061718308</v>
      </c>
      <c r="AH4639" s="2" t="str">
        <f ca="1"/>
        <v>Bad</v>
      </c>
    </row>
    <row r="4640" spans="2:34" x14ac:dyDescent="0.2">
      <c r="B4640" s="2">
        <f ca="1"/>
        <v>0.55650271725179556</v>
      </c>
      <c r="O4640" s="2">
        <f ca="1"/>
        <v>0.29800795978266204</v>
      </c>
      <c r="X4640" s="2">
        <f ca="1"/>
        <v>23.52891446422759</v>
      </c>
      <c r="AG4640" s="2">
        <f ca="1"/>
        <v>0.14950780947007813</v>
      </c>
      <c r="AH4640" s="2" t="str">
        <f ca="1"/>
        <v>OK</v>
      </c>
    </row>
    <row r="4641" spans="2:34" x14ac:dyDescent="0.2">
      <c r="B4641" s="2">
        <f ca="1"/>
        <v>0.67112770669986466</v>
      </c>
      <c r="O4641" s="2">
        <f ca="1"/>
        <v>0.51123453516896389</v>
      </c>
      <c r="X4641" s="2">
        <f ca="1"/>
        <v>36.344246935653132</v>
      </c>
      <c r="AG4641" s="2">
        <f ca="1"/>
        <v>5.3089758302580004E-2</v>
      </c>
      <c r="AH4641" s="2" t="str">
        <f ca="1"/>
        <v>OK</v>
      </c>
    </row>
    <row r="4642" spans="2:34" x14ac:dyDescent="0.2">
      <c r="B4642" s="2">
        <f ca="1"/>
        <v>0.60761020105009611</v>
      </c>
      <c r="O4642" s="2">
        <f ca="1"/>
        <v>6.8392392835851051E-2</v>
      </c>
      <c r="X4642" s="2">
        <f ca="1"/>
        <v>34.501299748326247</v>
      </c>
      <c r="AG4642" s="2">
        <f ca="1"/>
        <v>0.72813994990666209</v>
      </c>
      <c r="AH4642" s="2" t="str">
        <f ca="1"/>
        <v>Bad</v>
      </c>
    </row>
    <row r="4643" spans="2:34" x14ac:dyDescent="0.2">
      <c r="B4643" s="2">
        <f ca="1"/>
        <v>0.34250965940205202</v>
      </c>
      <c r="O4643" s="2">
        <f ca="1"/>
        <v>8.552770300117464E-2</v>
      </c>
      <c r="X4643" s="2">
        <f ca="1"/>
        <v>53.480327694335131</v>
      </c>
      <c r="AG4643" s="2">
        <f ca="1"/>
        <v>0.32333492734500502</v>
      </c>
      <c r="AH4643" s="2" t="str">
        <f ca="1"/>
        <v>OK</v>
      </c>
    </row>
    <row r="4644" spans="2:34" x14ac:dyDescent="0.2">
      <c r="B4644" s="2">
        <f ca="1"/>
        <v>0.15139075807633495</v>
      </c>
      <c r="O4644" s="2">
        <f ca="1"/>
        <v>0.19947396642884266</v>
      </c>
      <c r="X4644" s="2">
        <f ca="1"/>
        <v>36.430420403432542</v>
      </c>
      <c r="AG4644" s="2">
        <f ca="1"/>
        <v>0.51569886350756655</v>
      </c>
      <c r="AH4644" s="2" t="str">
        <f ca="1"/>
        <v>Bad</v>
      </c>
    </row>
    <row r="4645" spans="2:34" x14ac:dyDescent="0.2">
      <c r="B4645" s="2">
        <f ca="1"/>
        <v>2.3934950343706296E-2</v>
      </c>
      <c r="O4645" s="2">
        <f ca="1"/>
        <v>-0.25098300126825762</v>
      </c>
      <c r="X4645" s="2">
        <f ca="1"/>
        <v>77.075833258511793</v>
      </c>
      <c r="AG4645" s="2">
        <f ca="1"/>
        <v>0.54637248663962223</v>
      </c>
      <c r="AH4645" s="2" t="str">
        <f ca="1"/>
        <v>Bad</v>
      </c>
    </row>
    <row r="4646" spans="2:34" x14ac:dyDescent="0.2">
      <c r="B4646" s="2">
        <f ca="1"/>
        <v>0.83585099090959014</v>
      </c>
      <c r="O4646" s="2">
        <f ca="1"/>
        <v>1.9258191016228794</v>
      </c>
      <c r="X4646" s="2">
        <f ca="1"/>
        <v>53.29185937138628</v>
      </c>
      <c r="AG4646" s="2">
        <f ca="1"/>
        <v>0.98086494478759301</v>
      </c>
      <c r="AH4646" s="2" t="str">
        <f ca="1"/>
        <v>Bad</v>
      </c>
    </row>
    <row r="4647" spans="2:34" x14ac:dyDescent="0.2">
      <c r="B4647" s="2">
        <f ca="1"/>
        <v>0.93930921630724717</v>
      </c>
      <c r="O4647" s="2">
        <f ca="1"/>
        <v>-0.87695095489623398</v>
      </c>
      <c r="X4647" s="2">
        <f ca="1"/>
        <v>62.326431463345777</v>
      </c>
      <c r="AG4647" s="2">
        <f ca="1"/>
        <v>0.27679165881681778</v>
      </c>
      <c r="AH4647" s="2" t="str">
        <f ca="1"/>
        <v>OK</v>
      </c>
    </row>
    <row r="4648" spans="2:34" x14ac:dyDescent="0.2">
      <c r="B4648" s="2">
        <f ca="1"/>
        <v>0.71029821846629027</v>
      </c>
      <c r="O4648" s="2">
        <f ca="1"/>
        <v>-0.51081405338465913</v>
      </c>
      <c r="X4648" s="2">
        <f ca="1"/>
        <v>46.156784823001445</v>
      </c>
      <c r="AG4648" s="2">
        <f ca="1"/>
        <v>0.36089219396171091</v>
      </c>
      <c r="AH4648" s="2" t="str">
        <f ca="1"/>
        <v>OK</v>
      </c>
    </row>
    <row r="4649" spans="2:34" x14ac:dyDescent="0.2">
      <c r="B4649" s="2">
        <f ca="1"/>
        <v>0.83170159282209299</v>
      </c>
      <c r="O4649" s="2">
        <f ca="1"/>
        <v>0.63889166367996819</v>
      </c>
      <c r="X4649" s="2">
        <f ca="1"/>
        <v>45.047986204482172</v>
      </c>
      <c r="AG4649" s="2">
        <f ca="1"/>
        <v>0.56495430841591876</v>
      </c>
      <c r="AH4649" s="2" t="str">
        <f ca="1"/>
        <v>Bad</v>
      </c>
    </row>
    <row r="4650" spans="2:34" x14ac:dyDescent="0.2">
      <c r="B4650" s="2">
        <f ca="1"/>
        <v>0.25423670386186092</v>
      </c>
      <c r="O4650" s="2">
        <f ca="1"/>
        <v>0.91666593787700279</v>
      </c>
      <c r="X4650" s="2">
        <f ca="1"/>
        <v>80.991162308864872</v>
      </c>
      <c r="AG4650" s="2">
        <f ca="1"/>
        <v>0.80513729628826392</v>
      </c>
      <c r="AH4650" s="2" t="str">
        <f ca="1"/>
        <v>Bad</v>
      </c>
    </row>
    <row r="4651" spans="2:34" x14ac:dyDescent="0.2">
      <c r="B4651" s="2">
        <f ca="1"/>
        <v>0.47521715448006674</v>
      </c>
      <c r="O4651" s="2">
        <f ca="1"/>
        <v>-0.46868400719160219</v>
      </c>
      <c r="X4651" s="2">
        <f ca="1"/>
        <v>71.468912874522871</v>
      </c>
      <c r="AG4651" s="2">
        <f ca="1"/>
        <v>0.12890171344605417</v>
      </c>
      <c r="AH4651" s="2" t="str">
        <f ca="1"/>
        <v>OK</v>
      </c>
    </row>
    <row r="4652" spans="2:34" x14ac:dyDescent="0.2">
      <c r="B4652" s="2">
        <f ca="1"/>
        <v>0.15934240580900472</v>
      </c>
      <c r="O4652" s="2">
        <f ca="1"/>
        <v>-0.86498443775915113</v>
      </c>
      <c r="X4652" s="2">
        <f ca="1"/>
        <v>47.31085103266426</v>
      </c>
      <c r="AG4652" s="2">
        <f ca="1"/>
        <v>0.84837983981906673</v>
      </c>
      <c r="AH4652" s="2" t="str">
        <f ca="1"/>
        <v>Bad</v>
      </c>
    </row>
    <row r="4653" spans="2:34" x14ac:dyDescent="0.2">
      <c r="B4653" s="2">
        <f ca="1"/>
        <v>0.22360788956550359</v>
      </c>
      <c r="O4653" s="2">
        <f ca="1"/>
        <v>-0.59252000632672874</v>
      </c>
      <c r="X4653" s="2">
        <f ca="1"/>
        <v>33.657116628143271</v>
      </c>
      <c r="AG4653" s="2">
        <f ca="1"/>
        <v>0.62789264436285164</v>
      </c>
      <c r="AH4653" s="2" t="str">
        <f ca="1"/>
        <v>Bad</v>
      </c>
    </row>
    <row r="4654" spans="2:34" x14ac:dyDescent="0.2">
      <c r="B4654" s="2">
        <f ca="1"/>
        <v>0.58563233274238091</v>
      </c>
      <c r="O4654" s="2">
        <f ca="1"/>
        <v>1.2286906189416338</v>
      </c>
      <c r="X4654" s="2">
        <f ca="1"/>
        <v>34.538410190101281</v>
      </c>
      <c r="AG4654" s="2">
        <f ca="1"/>
        <v>0.98189398471156952</v>
      </c>
      <c r="AH4654" s="2" t="str">
        <f ca="1"/>
        <v>Bad</v>
      </c>
    </row>
    <row r="4655" spans="2:34" x14ac:dyDescent="0.2">
      <c r="B4655" s="2">
        <f ca="1"/>
        <v>0.70056270385899411</v>
      </c>
      <c r="O4655" s="2">
        <f ca="1"/>
        <v>0.87398815981682321</v>
      </c>
      <c r="X4655" s="2">
        <f ca="1"/>
        <v>42.635392916989083</v>
      </c>
      <c r="AG4655" s="2">
        <f ca="1"/>
        <v>0.82273612238266458</v>
      </c>
      <c r="AH4655" s="2" t="str">
        <f ca="1"/>
        <v>Bad</v>
      </c>
    </row>
    <row r="4656" spans="2:34" x14ac:dyDescent="0.2">
      <c r="B4656" s="2">
        <f ca="1"/>
        <v>0.39417876014359665</v>
      </c>
      <c r="O4656" s="2">
        <f ca="1"/>
        <v>-0.97543305662250712</v>
      </c>
      <c r="X4656" s="2">
        <f ca="1"/>
        <v>29.175086848705352</v>
      </c>
      <c r="AG4656" s="2">
        <f ca="1"/>
        <v>0.85259792475026752</v>
      </c>
      <c r="AH4656" s="2" t="str">
        <f ca="1"/>
        <v>Bad</v>
      </c>
    </row>
    <row r="4657" spans="2:34" x14ac:dyDescent="0.2">
      <c r="B4657" s="2">
        <f ca="1"/>
        <v>0.81703497765232314</v>
      </c>
      <c r="O4657" s="2">
        <f ca="1"/>
        <v>-0.26560999467678631</v>
      </c>
      <c r="X4657" s="2">
        <f ca="1"/>
        <v>29.064015921287858</v>
      </c>
      <c r="AG4657" s="2">
        <f ca="1"/>
        <v>0.20150828579091229</v>
      </c>
      <c r="AH4657" s="2" t="str">
        <f ca="1"/>
        <v>OK</v>
      </c>
    </row>
    <row r="4658" spans="2:34" x14ac:dyDescent="0.2">
      <c r="B4658" s="2">
        <f ca="1"/>
        <v>0.23819397382634278</v>
      </c>
      <c r="O4658" s="2">
        <f ca="1"/>
        <v>0.31898225559796756</v>
      </c>
      <c r="X4658" s="2">
        <f ca="1"/>
        <v>40.033172101877327</v>
      </c>
      <c r="AG4658" s="2">
        <f ca="1"/>
        <v>0.13946005171994891</v>
      </c>
      <c r="AH4658" s="2" t="str">
        <f ca="1"/>
        <v>OK</v>
      </c>
    </row>
    <row r="4659" spans="2:34" x14ac:dyDescent="0.2">
      <c r="B4659" s="2">
        <f ca="1"/>
        <v>0.65471118301328901</v>
      </c>
      <c r="O4659" s="2">
        <f ca="1"/>
        <v>0.15762952183831871</v>
      </c>
      <c r="X4659" s="2">
        <f ca="1"/>
        <v>37.713803276478203</v>
      </c>
      <c r="AG4659" s="2">
        <f ca="1"/>
        <v>0.59021493828885507</v>
      </c>
      <c r="AH4659" s="2" t="str">
        <f ca="1"/>
        <v>Bad</v>
      </c>
    </row>
    <row r="4660" spans="2:34" x14ac:dyDescent="0.2">
      <c r="B4660" s="2">
        <f ca="1"/>
        <v>0.16342458102047663</v>
      </c>
      <c r="O4660" s="2">
        <f ca="1"/>
        <v>1.4884376375668276</v>
      </c>
      <c r="X4660" s="2">
        <f ca="1"/>
        <v>58.84474300917843</v>
      </c>
      <c r="AG4660" s="2">
        <f ca="1"/>
        <v>0.91489187854331311</v>
      </c>
      <c r="AH4660" s="2" t="str">
        <f ca="1"/>
        <v>Bad</v>
      </c>
    </row>
    <row r="4661" spans="2:34" x14ac:dyDescent="0.2">
      <c r="B4661" s="2">
        <f ca="1"/>
        <v>0.61245778678628526</v>
      </c>
      <c r="O4661" s="2">
        <f ca="1"/>
        <v>-1.406899614891975E-2</v>
      </c>
      <c r="X4661" s="2">
        <f ca="1"/>
        <v>33.913181526103422</v>
      </c>
      <c r="AG4661" s="2">
        <f ca="1"/>
        <v>0.38572123484805321</v>
      </c>
      <c r="AH4661" s="2" t="str">
        <f ca="1"/>
        <v>OK</v>
      </c>
    </row>
    <row r="4662" spans="2:34" x14ac:dyDescent="0.2">
      <c r="B4662" s="2">
        <f ca="1"/>
        <v>0.40792474973764059</v>
      </c>
      <c r="O4662" s="2">
        <f ca="1"/>
        <v>0.22195200775184099</v>
      </c>
      <c r="X4662" s="2">
        <f ca="1"/>
        <v>53.941955882918336</v>
      </c>
      <c r="AG4662" s="2">
        <f ca="1"/>
        <v>0.59264460644050643</v>
      </c>
      <c r="AH4662" s="2" t="str">
        <f ca="1"/>
        <v>Bad</v>
      </c>
    </row>
    <row r="4663" spans="2:34" x14ac:dyDescent="0.2">
      <c r="B4663" s="2">
        <f ca="1"/>
        <v>0.59391528796035442</v>
      </c>
      <c r="O4663" s="2">
        <f ca="1"/>
        <v>0.32129013297756032</v>
      </c>
      <c r="X4663" s="2">
        <f ca="1"/>
        <v>30.578230041968627</v>
      </c>
      <c r="AG4663" s="2">
        <f ca="1"/>
        <v>0.69323278936147581</v>
      </c>
      <c r="AH4663" s="2" t="str">
        <f ca="1"/>
        <v>Bad</v>
      </c>
    </row>
    <row r="4664" spans="2:34" x14ac:dyDescent="0.2">
      <c r="B4664" s="2">
        <f ca="1"/>
        <v>0.69364918236136353</v>
      </c>
      <c r="O4664" s="2">
        <f ca="1"/>
        <v>-0.97740890631299804</v>
      </c>
      <c r="X4664" s="2">
        <f ca="1"/>
        <v>46.023681066691644</v>
      </c>
      <c r="AG4664" s="2">
        <f ca="1"/>
        <v>0.95515065719199921</v>
      </c>
      <c r="AH4664" s="2" t="str">
        <f ca="1"/>
        <v>Bad</v>
      </c>
    </row>
    <row r="4665" spans="2:34" x14ac:dyDescent="0.2">
      <c r="B4665" s="2">
        <f ca="1"/>
        <v>0.71878190634916073</v>
      </c>
      <c r="O4665" s="2">
        <f ca="1"/>
        <v>1.6513641819164637</v>
      </c>
      <c r="X4665" s="2">
        <f ca="1"/>
        <v>26.084790300145034</v>
      </c>
      <c r="AG4665" s="2">
        <f ca="1"/>
        <v>0.75738257907806106</v>
      </c>
      <c r="AH4665" s="2" t="str">
        <f ca="1"/>
        <v>Bad</v>
      </c>
    </row>
    <row r="4666" spans="2:34" x14ac:dyDescent="0.2">
      <c r="B4666" s="2">
        <f ca="1"/>
        <v>0.43216581717390712</v>
      </c>
      <c r="O4666" s="2">
        <f ca="1"/>
        <v>-0.34312919858916252</v>
      </c>
      <c r="X4666" s="2">
        <f ca="1"/>
        <v>58.854358051006443</v>
      </c>
      <c r="AG4666" s="2">
        <f ca="1"/>
        <v>8.488777727603547E-2</v>
      </c>
      <c r="AH4666" s="2" t="str">
        <f ca="1"/>
        <v>OK</v>
      </c>
    </row>
    <row r="4667" spans="2:34" x14ac:dyDescent="0.2">
      <c r="B4667" s="2">
        <f ca="1"/>
        <v>2.1589966297527186E-2</v>
      </c>
      <c r="O4667" s="2">
        <f ca="1"/>
        <v>-0.40077584466025412</v>
      </c>
      <c r="X4667" s="2">
        <f ca="1"/>
        <v>29.919493690897735</v>
      </c>
      <c r="AG4667" s="2">
        <f ca="1"/>
        <v>0.8942943464441877</v>
      </c>
      <c r="AH4667" s="2" t="str">
        <f ca="1"/>
        <v>Bad</v>
      </c>
    </row>
    <row r="4668" spans="2:34" x14ac:dyDescent="0.2">
      <c r="B4668" s="2">
        <f ca="1"/>
        <v>0.82320152733999796</v>
      </c>
      <c r="O4668" s="2">
        <f ca="1"/>
        <v>0.7435421611179589</v>
      </c>
      <c r="X4668" s="2">
        <f ca="1"/>
        <v>32.927540256016329</v>
      </c>
      <c r="AG4668" s="2">
        <f ca="1"/>
        <v>0.61360415493106801</v>
      </c>
      <c r="AH4668" s="2" t="str">
        <f ca="1"/>
        <v>Bad</v>
      </c>
    </row>
    <row r="4669" spans="2:34" x14ac:dyDescent="0.2">
      <c r="B4669" s="2">
        <f ca="1"/>
        <v>8.1248089609879282E-2</v>
      </c>
      <c r="O4669" s="2">
        <f ca="1"/>
        <v>-0.91820211694551912</v>
      </c>
      <c r="X4669" s="2">
        <f ca="1"/>
        <v>28.386119625616569</v>
      </c>
      <c r="AG4669" s="2">
        <f ca="1"/>
        <v>0.48024309506750051</v>
      </c>
      <c r="AH4669" s="2" t="str">
        <f ca="1"/>
        <v>Bad</v>
      </c>
    </row>
    <row r="4670" spans="2:34" x14ac:dyDescent="0.2">
      <c r="B4670" s="2">
        <f ca="1"/>
        <v>0.16946410897186337</v>
      </c>
      <c r="O4670" s="2">
        <f ca="1"/>
        <v>-0.2538601130821157</v>
      </c>
      <c r="X4670" s="2">
        <f ca="1"/>
        <v>42.619219796409212</v>
      </c>
      <c r="AG4670" s="2">
        <f ca="1"/>
        <v>0.3389011078553601</v>
      </c>
      <c r="AH4670" s="2" t="str">
        <f ca="1"/>
        <v>OK</v>
      </c>
    </row>
    <row r="4671" spans="2:34" x14ac:dyDescent="0.2">
      <c r="B4671" s="2">
        <f ca="1"/>
        <v>0.18281977256891979</v>
      </c>
      <c r="O4671" s="2">
        <f ca="1"/>
        <v>0.24680841560554503</v>
      </c>
      <c r="X4671" s="2">
        <f ca="1"/>
        <v>43.355463691971835</v>
      </c>
      <c r="AG4671" s="2">
        <f ca="1"/>
        <v>0.71871621829774357</v>
      </c>
      <c r="AH4671" s="2" t="str">
        <f ca="1"/>
        <v>Bad</v>
      </c>
    </row>
    <row r="4672" spans="2:34" x14ac:dyDescent="0.2">
      <c r="B4672" s="2">
        <f ca="1"/>
        <v>0.5092021910145037</v>
      </c>
      <c r="O4672" s="2">
        <f ca="1"/>
        <v>-2.0199811574279094</v>
      </c>
      <c r="X4672" s="2">
        <f ca="1"/>
        <v>41.742137613665633</v>
      </c>
      <c r="AG4672" s="2">
        <f ca="1"/>
        <v>0.63305236795990139</v>
      </c>
      <c r="AH4672" s="2" t="str">
        <f ca="1"/>
        <v>Bad</v>
      </c>
    </row>
    <row r="4673" spans="2:34" x14ac:dyDescent="0.2">
      <c r="B4673" s="2">
        <f ca="1"/>
        <v>0.28519289947274062</v>
      </c>
      <c r="O4673" s="2">
        <f ca="1"/>
        <v>-0.47375397154884014</v>
      </c>
      <c r="X4673" s="2">
        <f ca="1"/>
        <v>56.398297554421305</v>
      </c>
      <c r="AG4673" s="2">
        <f ca="1"/>
        <v>0.46553336754593944</v>
      </c>
      <c r="AH4673" s="2" t="str">
        <f ca="1"/>
        <v>Bad</v>
      </c>
    </row>
    <row r="4674" spans="2:34" x14ac:dyDescent="0.2">
      <c r="B4674" s="2">
        <f ca="1"/>
        <v>0.4555603729615163</v>
      </c>
      <c r="O4674" s="2">
        <f ca="1"/>
        <v>-0.31008894732151182</v>
      </c>
      <c r="X4674" s="2">
        <f ca="1"/>
        <v>59.219566547737671</v>
      </c>
      <c r="AG4674" s="2">
        <f ca="1"/>
        <v>0.521035843638052</v>
      </c>
      <c r="AH4674" s="2" t="str">
        <f ca="1"/>
        <v>Bad</v>
      </c>
    </row>
    <row r="4675" spans="2:34" x14ac:dyDescent="0.2">
      <c r="B4675" s="2">
        <f ca="1"/>
        <v>0.76950827872839844</v>
      </c>
      <c r="O4675" s="2">
        <f ca="1"/>
        <v>0.15089863733882702</v>
      </c>
      <c r="X4675" s="2">
        <f ca="1"/>
        <v>57.855256872925544</v>
      </c>
      <c r="AG4675" s="2">
        <f ca="1"/>
        <v>0.20347976818359981</v>
      </c>
      <c r="AH4675" s="2" t="str">
        <f ca="1"/>
        <v>OK</v>
      </c>
    </row>
    <row r="4676" spans="2:34" x14ac:dyDescent="0.2">
      <c r="B4676" s="2">
        <f ca="1"/>
        <v>0.1802473809222942</v>
      </c>
      <c r="O4676" s="2">
        <f ca="1"/>
        <v>-0.44589496820814084</v>
      </c>
      <c r="X4676" s="2">
        <f ca="1"/>
        <v>47.604951550876621</v>
      </c>
      <c r="AG4676" s="2">
        <f ca="1"/>
        <v>1.1442590653856222E-2</v>
      </c>
      <c r="AH4676" s="2" t="str">
        <f ca="1"/>
        <v>Good</v>
      </c>
    </row>
    <row r="4677" spans="2:34" x14ac:dyDescent="0.2">
      <c r="B4677" s="2">
        <f ca="1"/>
        <v>0.24625986924787324</v>
      </c>
      <c r="O4677" s="2">
        <f ca="1"/>
        <v>1.544273864498501</v>
      </c>
      <c r="X4677" s="2">
        <f ca="1"/>
        <v>68.672266749066452</v>
      </c>
      <c r="AG4677" s="2">
        <f ca="1"/>
        <v>0.24044011664079146</v>
      </c>
      <c r="AH4677" s="2" t="str">
        <f ca="1"/>
        <v>OK</v>
      </c>
    </row>
    <row r="4678" spans="2:34" x14ac:dyDescent="0.2">
      <c r="B4678" s="2">
        <f ca="1"/>
        <v>0.3966149142779809</v>
      </c>
      <c r="O4678" s="2">
        <f ca="1"/>
        <v>1.2330206539889177</v>
      </c>
      <c r="X4678" s="2">
        <f ca="1"/>
        <v>64.600998195105973</v>
      </c>
      <c r="AG4678" s="2">
        <f ca="1"/>
        <v>0.21670153412689763</v>
      </c>
      <c r="AH4678" s="2" t="str">
        <f ca="1"/>
        <v>OK</v>
      </c>
    </row>
    <row r="4679" spans="2:34" x14ac:dyDescent="0.2">
      <c r="B4679" s="2">
        <f ca="1"/>
        <v>0.99944806126463903</v>
      </c>
      <c r="O4679" s="2">
        <f ca="1"/>
        <v>1.4918141981035757</v>
      </c>
      <c r="X4679" s="2">
        <f ca="1"/>
        <v>56.374063635020484</v>
      </c>
      <c r="AG4679" s="2">
        <f ca="1"/>
        <v>0.69816545039224498</v>
      </c>
      <c r="AH4679" s="2" t="str">
        <f ca="1"/>
        <v>Bad</v>
      </c>
    </row>
    <row r="4680" spans="2:34" x14ac:dyDescent="0.2">
      <c r="B4680" s="2">
        <f ca="1"/>
        <v>0.75218700413545814</v>
      </c>
      <c r="O4680" s="2">
        <f ca="1"/>
        <v>-2.1060087722978377E-2</v>
      </c>
      <c r="X4680" s="2">
        <f ca="1"/>
        <v>38.514982957736358</v>
      </c>
      <c r="AG4680" s="2">
        <f ca="1"/>
        <v>0.76943378315086575</v>
      </c>
      <c r="AH4680" s="2" t="str">
        <f ca="1"/>
        <v>Bad</v>
      </c>
    </row>
    <row r="4681" spans="2:34" x14ac:dyDescent="0.2">
      <c r="B4681" s="2">
        <f ca="1"/>
        <v>0.60458747470713003</v>
      </c>
      <c r="O4681" s="2">
        <f ca="1"/>
        <v>-0.91554575385527226</v>
      </c>
      <c r="X4681" s="2">
        <f ca="1"/>
        <v>45.483701167697674</v>
      </c>
      <c r="AG4681" s="2">
        <f ca="1"/>
        <v>0.19614977638109665</v>
      </c>
      <c r="AH4681" s="2" t="str">
        <f ca="1"/>
        <v>OK</v>
      </c>
    </row>
    <row r="4682" spans="2:34" x14ac:dyDescent="0.2">
      <c r="B4682" s="2">
        <f ca="1"/>
        <v>0.14657264085433575</v>
      </c>
      <c r="O4682" s="2">
        <f ca="1"/>
        <v>-0.22676771048758154</v>
      </c>
      <c r="X4682" s="2">
        <f ca="1"/>
        <v>49.499899463887274</v>
      </c>
      <c r="AG4682" s="2">
        <f ca="1"/>
        <v>0.95332725740073077</v>
      </c>
      <c r="AH4682" s="2" t="str">
        <f ca="1"/>
        <v>Bad</v>
      </c>
    </row>
    <row r="4683" spans="2:34" x14ac:dyDescent="0.2">
      <c r="B4683" s="2">
        <f ca="1"/>
        <v>0.82053979845544056</v>
      </c>
      <c r="O4683" s="2">
        <f ca="1"/>
        <v>-0.96779609151116941</v>
      </c>
      <c r="X4683" s="2">
        <f ca="1"/>
        <v>34.067521106233059</v>
      </c>
      <c r="AG4683" s="2">
        <f ca="1"/>
        <v>0.70197684890244427</v>
      </c>
      <c r="AH4683" s="2" t="str">
        <f ca="1"/>
        <v>Bad</v>
      </c>
    </row>
    <row r="4684" spans="2:34" x14ac:dyDescent="0.2">
      <c r="B4684" s="2">
        <f ca="1"/>
        <v>0.4915165913777142</v>
      </c>
      <c r="O4684" s="2">
        <f ca="1"/>
        <v>-0.19084503356690188</v>
      </c>
      <c r="X4684" s="2">
        <f ca="1"/>
        <v>65.793583018696097</v>
      </c>
      <c r="AG4684" s="2">
        <f ca="1"/>
        <v>0.35153558905259907</v>
      </c>
      <c r="AH4684" s="2" t="str">
        <f ca="1"/>
        <v>OK</v>
      </c>
    </row>
    <row r="4685" spans="2:34" x14ac:dyDescent="0.2">
      <c r="B4685" s="2">
        <f ca="1"/>
        <v>0.2342078920354711</v>
      </c>
      <c r="O4685" s="2">
        <f ca="1"/>
        <v>-0.29212497852285713</v>
      </c>
      <c r="X4685" s="2">
        <f ca="1"/>
        <v>77.536262147873998</v>
      </c>
      <c r="AG4685" s="2">
        <f ca="1"/>
        <v>0.86836210620227439</v>
      </c>
      <c r="AH4685" s="2" t="str">
        <f ca="1"/>
        <v>Bad</v>
      </c>
    </row>
    <row r="4686" spans="2:34" x14ac:dyDescent="0.2">
      <c r="B4686" s="2">
        <f ca="1"/>
        <v>0.37737593194909036</v>
      </c>
      <c r="O4686" s="2">
        <f ca="1"/>
        <v>-1.1143393253510649</v>
      </c>
      <c r="X4686" s="2">
        <f ca="1"/>
        <v>40.984536656027686</v>
      </c>
      <c r="AG4686" s="2">
        <f ca="1"/>
        <v>0.26075547638241248</v>
      </c>
      <c r="AH4686" s="2" t="str">
        <f ca="1"/>
        <v>OK</v>
      </c>
    </row>
    <row r="4687" spans="2:34" x14ac:dyDescent="0.2">
      <c r="B4687" s="2">
        <f ca="1"/>
        <v>0.8257785677053413</v>
      </c>
      <c r="O4687" s="2">
        <f ca="1"/>
        <v>1.3557098508655857E-2</v>
      </c>
      <c r="X4687" s="2">
        <f ca="1"/>
        <v>47.366749289996591</v>
      </c>
      <c r="AG4687" s="2">
        <f ca="1"/>
        <v>0.88293775440966016</v>
      </c>
      <c r="AH4687" s="2" t="str">
        <f ca="1"/>
        <v>Bad</v>
      </c>
    </row>
    <row r="4688" spans="2:34" x14ac:dyDescent="0.2">
      <c r="B4688" s="2">
        <f ca="1"/>
        <v>0.48097496770688797</v>
      </c>
      <c r="O4688" s="2">
        <f ca="1"/>
        <v>-0.76345200138093439</v>
      </c>
      <c r="X4688" s="2">
        <f ca="1"/>
        <v>68.508925610824974</v>
      </c>
      <c r="AG4688" s="2">
        <f ca="1"/>
        <v>0.82646898023369575</v>
      </c>
      <c r="AH4688" s="2" t="str">
        <f ca="1"/>
        <v>Bad</v>
      </c>
    </row>
    <row r="4689" spans="2:34" x14ac:dyDescent="0.2">
      <c r="B4689" s="2">
        <f ca="1"/>
        <v>0.23225200172582383</v>
      </c>
      <c r="O4689" s="2">
        <f ca="1"/>
        <v>-1.5458047329220641</v>
      </c>
      <c r="X4689" s="2">
        <f ca="1"/>
        <v>56.822186679497896</v>
      </c>
      <c r="AG4689" s="2">
        <f ca="1"/>
        <v>0.42567043915100178</v>
      </c>
      <c r="AH4689" s="2" t="str">
        <f ca="1"/>
        <v>Bad</v>
      </c>
    </row>
    <row r="4690" spans="2:34" x14ac:dyDescent="0.2">
      <c r="B4690" s="2">
        <f ca="1"/>
        <v>0.13581714442735904</v>
      </c>
      <c r="O4690" s="2">
        <f ca="1"/>
        <v>-6.8009152755129434E-2</v>
      </c>
      <c r="X4690" s="2">
        <f ca="1"/>
        <v>41.2473615973894</v>
      </c>
      <c r="AG4690" s="2">
        <f ca="1"/>
        <v>0.75192052956617728</v>
      </c>
      <c r="AH4690" s="2" t="str">
        <f ca="1"/>
        <v>Bad</v>
      </c>
    </row>
    <row r="4691" spans="2:34" x14ac:dyDescent="0.2">
      <c r="B4691" s="2">
        <f ca="1"/>
        <v>0.68237559360242117</v>
      </c>
      <c r="O4691" s="2">
        <f ca="1"/>
        <v>1.9433286768469715</v>
      </c>
      <c r="X4691" s="2">
        <f ca="1"/>
        <v>24.264110812147361</v>
      </c>
      <c r="AG4691" s="2">
        <f ca="1"/>
        <v>0.51281606807443603</v>
      </c>
      <c r="AH4691" s="2" t="str">
        <f ca="1"/>
        <v>Bad</v>
      </c>
    </row>
    <row r="4692" spans="2:34" x14ac:dyDescent="0.2">
      <c r="B4692" s="2">
        <f ca="1"/>
        <v>0.63596767363072804</v>
      </c>
      <c r="O4692" s="2">
        <f ca="1"/>
        <v>-0.97943703116260372</v>
      </c>
      <c r="X4692" s="2">
        <f ca="1"/>
        <v>56.887884071917448</v>
      </c>
      <c r="AG4692" s="2">
        <f ca="1"/>
        <v>0.14764753331122948</v>
      </c>
      <c r="AH4692" s="2" t="str">
        <f ca="1"/>
        <v>OK</v>
      </c>
    </row>
    <row r="4693" spans="2:34" x14ac:dyDescent="0.2">
      <c r="B4693" s="2">
        <f ca="1"/>
        <v>0.40965407061315862</v>
      </c>
      <c r="O4693" s="2">
        <f ca="1"/>
        <v>-1.5139968557962709</v>
      </c>
      <c r="X4693" s="2">
        <f ca="1"/>
        <v>23.657523473901364</v>
      </c>
      <c r="AG4693" s="2">
        <f ca="1"/>
        <v>0.41816937244627317</v>
      </c>
      <c r="AH4693" s="2" t="str">
        <f ca="1"/>
        <v>Bad</v>
      </c>
    </row>
    <row r="4694" spans="2:34" x14ac:dyDescent="0.2">
      <c r="B4694" s="2">
        <f ca="1"/>
        <v>0.81769197019522588</v>
      </c>
      <c r="O4694" s="2">
        <f ca="1"/>
        <v>-0.993108464602378</v>
      </c>
      <c r="X4694" s="2">
        <f ca="1"/>
        <v>62.700982430338328</v>
      </c>
      <c r="AG4694" s="2">
        <f ca="1"/>
        <v>3.210991233992222E-2</v>
      </c>
      <c r="AH4694" s="2" t="str">
        <f ca="1"/>
        <v>Good</v>
      </c>
    </row>
    <row r="4695" spans="2:34" x14ac:dyDescent="0.2">
      <c r="B4695" s="2">
        <f ca="1"/>
        <v>0.70086161843606298</v>
      </c>
      <c r="O4695" s="2">
        <f ca="1"/>
        <v>0.1205287463967369</v>
      </c>
      <c r="X4695" s="2">
        <f ca="1"/>
        <v>31.261155305536057</v>
      </c>
      <c r="AG4695" s="2">
        <f ca="1"/>
        <v>6.9643393836429812E-2</v>
      </c>
      <c r="AH4695" s="2" t="str">
        <f ca="1"/>
        <v>OK</v>
      </c>
    </row>
    <row r="4696" spans="2:34" x14ac:dyDescent="0.2">
      <c r="B4696" s="2">
        <f ca="1"/>
        <v>0.28719531593367331</v>
      </c>
      <c r="O4696" s="2">
        <f ca="1"/>
        <v>-0.83475195617146369</v>
      </c>
      <c r="X4696" s="2">
        <f ca="1"/>
        <v>57.047491504830255</v>
      </c>
      <c r="AG4696" s="2">
        <f ca="1"/>
        <v>0.87395787034834838</v>
      </c>
      <c r="AH4696" s="2" t="str">
        <f ca="1"/>
        <v>Bad</v>
      </c>
    </row>
    <row r="4697" spans="2:34" x14ac:dyDescent="0.2">
      <c r="B4697" s="2">
        <f ca="1"/>
        <v>0.33396449108605486</v>
      </c>
      <c r="O4697" s="2">
        <f ca="1"/>
        <v>0.14952764559855061</v>
      </c>
      <c r="X4697" s="2">
        <f ca="1"/>
        <v>62.845104590790307</v>
      </c>
      <c r="AG4697" s="2">
        <f ca="1"/>
        <v>0.91447044912971931</v>
      </c>
      <c r="AH4697" s="2" t="str">
        <f ca="1"/>
        <v>Bad</v>
      </c>
    </row>
    <row r="4698" spans="2:34" x14ac:dyDescent="0.2">
      <c r="B4698" s="2">
        <f ca="1"/>
        <v>0.16174539968579982</v>
      </c>
      <c r="O4698" s="2">
        <f ca="1"/>
        <v>-1.2831820309059554</v>
      </c>
      <c r="X4698" s="2">
        <f ca="1"/>
        <v>53.725266445783639</v>
      </c>
      <c r="AG4698" s="2">
        <f ca="1"/>
        <v>0.85880714355508947</v>
      </c>
      <c r="AH4698" s="2" t="str">
        <f ca="1"/>
        <v>Bad</v>
      </c>
    </row>
    <row r="4699" spans="2:34" x14ac:dyDescent="0.2">
      <c r="B4699" s="2">
        <f ca="1"/>
        <v>0.91570635689766489</v>
      </c>
      <c r="O4699" s="2">
        <f ca="1"/>
        <v>-1.0522776500457668E-2</v>
      </c>
      <c r="X4699" s="2">
        <f ca="1"/>
        <v>27.142649577353559</v>
      </c>
      <c r="AG4699" s="2">
        <f ca="1"/>
        <v>0.73500544767401887</v>
      </c>
      <c r="AH4699" s="2" t="str">
        <f ca="1"/>
        <v>Bad</v>
      </c>
    </row>
    <row r="4700" spans="2:34" x14ac:dyDescent="0.2">
      <c r="B4700" s="2">
        <f ca="1"/>
        <v>0.94316431997873229</v>
      </c>
      <c r="O4700" s="2">
        <f ca="1"/>
        <v>-1.5288641955427651</v>
      </c>
      <c r="X4700" s="2">
        <f ca="1"/>
        <v>36.959972770875787</v>
      </c>
      <c r="AG4700" s="2">
        <f ca="1"/>
        <v>0.23037724161423534</v>
      </c>
      <c r="AH4700" s="2" t="str">
        <f ca="1"/>
        <v>OK</v>
      </c>
    </row>
    <row r="4701" spans="2:34" x14ac:dyDescent="0.2">
      <c r="B4701" s="2">
        <f ca="1"/>
        <v>3.5185336306617687E-2</v>
      </c>
      <c r="O4701" s="2">
        <f ca="1"/>
        <v>-9.4009889599040483E-2</v>
      </c>
      <c r="X4701" s="2">
        <f ca="1"/>
        <v>27.375190102975125</v>
      </c>
      <c r="AG4701" s="2">
        <f ca="1"/>
        <v>0.8834893066217433</v>
      </c>
      <c r="AH4701" s="2" t="str">
        <f ca="1"/>
        <v>Bad</v>
      </c>
    </row>
    <row r="4702" spans="2:34" x14ac:dyDescent="0.2">
      <c r="B4702" s="2">
        <f ca="1"/>
        <v>0.30854048864001427</v>
      </c>
      <c r="O4702" s="2">
        <f ca="1"/>
        <v>0.84118671313152105</v>
      </c>
      <c r="X4702" s="2">
        <f ca="1"/>
        <v>71.510065545434031</v>
      </c>
      <c r="AG4702" s="2">
        <f ca="1"/>
        <v>0.77615466143936995</v>
      </c>
      <c r="AH4702" s="2" t="str">
        <f ca="1"/>
        <v>Bad</v>
      </c>
    </row>
    <row r="4703" spans="2:34" x14ac:dyDescent="0.2">
      <c r="B4703" s="2">
        <f ca="1"/>
        <v>0.42131284457889606</v>
      </c>
      <c r="O4703" s="2">
        <f ca="1"/>
        <v>1.6194881584045062</v>
      </c>
      <c r="X4703" s="2">
        <f ca="1"/>
        <v>43.92371231814181</v>
      </c>
      <c r="AG4703" s="2">
        <f ca="1"/>
        <v>0.42422940033946888</v>
      </c>
      <c r="AH4703" s="2" t="str">
        <f ca="1"/>
        <v>Bad</v>
      </c>
    </row>
    <row r="4704" spans="2:34" x14ac:dyDescent="0.2">
      <c r="B4704" s="2">
        <f ca="1"/>
        <v>0.63475112110057341</v>
      </c>
      <c r="O4704" s="2">
        <f ca="1"/>
        <v>-0.54993180186890656</v>
      </c>
      <c r="X4704" s="2">
        <f ca="1"/>
        <v>92.125616488260519</v>
      </c>
      <c r="AG4704" s="2">
        <f ca="1"/>
        <v>0.85032352355309127</v>
      </c>
      <c r="AH4704" s="2" t="str">
        <f ca="1"/>
        <v>Bad</v>
      </c>
    </row>
    <row r="4705" spans="2:34" x14ac:dyDescent="0.2">
      <c r="B4705" s="2">
        <f ca="1"/>
        <v>0.63374579835150624</v>
      </c>
      <c r="O4705" s="2">
        <f ca="1"/>
        <v>-0.10780701834331551</v>
      </c>
      <c r="X4705" s="2">
        <f ca="1"/>
        <v>48.889113696917626</v>
      </c>
      <c r="AG4705" s="2">
        <f ca="1"/>
        <v>0.91056910396340052</v>
      </c>
      <c r="AH4705" s="2" t="str">
        <f ca="1"/>
        <v>Bad</v>
      </c>
    </row>
    <row r="4706" spans="2:34" x14ac:dyDescent="0.2">
      <c r="B4706" s="2">
        <f ca="1"/>
        <v>0.21932115268445074</v>
      </c>
      <c r="O4706" s="2">
        <f ca="1"/>
        <v>-1.6150987041381277</v>
      </c>
      <c r="X4706" s="2">
        <f ca="1"/>
        <v>66.982025757902292</v>
      </c>
      <c r="AG4706" s="2">
        <f ca="1"/>
        <v>5.7701994847423999E-2</v>
      </c>
      <c r="AH4706" s="2" t="str">
        <f ca="1"/>
        <v>OK</v>
      </c>
    </row>
    <row r="4707" spans="2:34" x14ac:dyDescent="0.2">
      <c r="B4707" s="2">
        <f ca="1"/>
        <v>0.18021883535784622</v>
      </c>
      <c r="O4707" s="2">
        <f ca="1"/>
        <v>4.278685045354904E-2</v>
      </c>
      <c r="X4707" s="2">
        <f ca="1"/>
        <v>58.777019937852664</v>
      </c>
      <c r="AG4707" s="2">
        <f ca="1"/>
        <v>0.48700944302962457</v>
      </c>
      <c r="AH4707" s="2" t="str">
        <f ca="1"/>
        <v>Bad</v>
      </c>
    </row>
    <row r="4708" spans="2:34" x14ac:dyDescent="0.2">
      <c r="B4708" s="2">
        <f ca="1"/>
        <v>0.72778147324948872</v>
      </c>
      <c r="O4708" s="2">
        <f ca="1"/>
        <v>0.68523993683615536</v>
      </c>
      <c r="X4708" s="2">
        <f ca="1"/>
        <v>44.852983412906099</v>
      </c>
      <c r="AG4708" s="2">
        <f ca="1"/>
        <v>0.72910810132088555</v>
      </c>
      <c r="AH4708" s="2" t="str">
        <f ca="1"/>
        <v>Bad</v>
      </c>
    </row>
    <row r="4709" spans="2:34" x14ac:dyDescent="0.2">
      <c r="B4709" s="2">
        <f ca="1"/>
        <v>1.032787184317141E-2</v>
      </c>
      <c r="O4709" s="2">
        <f ca="1"/>
        <v>-5.8172401808058846E-3</v>
      </c>
      <c r="X4709" s="2">
        <f ca="1"/>
        <v>46.297975817364105</v>
      </c>
      <c r="AG4709" s="2">
        <f ca="1"/>
        <v>0.96503070518620859</v>
      </c>
      <c r="AH4709" s="2" t="str">
        <f ca="1"/>
        <v>Bad</v>
      </c>
    </row>
    <row r="4710" spans="2:34" x14ac:dyDescent="0.2">
      <c r="B4710" s="2">
        <f ca="1"/>
        <v>0.7796430190878727</v>
      </c>
      <c r="O4710" s="2">
        <f ca="1"/>
        <v>-1.6311597275634113</v>
      </c>
      <c r="X4710" s="2">
        <f ca="1"/>
        <v>110.19385405607719</v>
      </c>
      <c r="AG4710" s="2">
        <f ca="1"/>
        <v>0.44123326789825246</v>
      </c>
      <c r="AH4710" s="2" t="str">
        <f ca="1"/>
        <v>Bad</v>
      </c>
    </row>
    <row r="4711" spans="2:34" x14ac:dyDescent="0.2">
      <c r="B4711" s="2">
        <f ca="1"/>
        <v>0.70882469243280632</v>
      </c>
      <c r="O4711" s="2">
        <f ca="1"/>
        <v>-0.19524216511465611</v>
      </c>
      <c r="X4711" s="2">
        <f ca="1"/>
        <v>48.726326043507662</v>
      </c>
      <c r="AG4711" s="2">
        <f ca="1"/>
        <v>0.13332426982729473</v>
      </c>
      <c r="AH4711" s="2" t="str">
        <f ca="1"/>
        <v>OK</v>
      </c>
    </row>
    <row r="4712" spans="2:34" x14ac:dyDescent="0.2">
      <c r="B4712" s="2">
        <f ca="1"/>
        <v>1.7216394024320403E-2</v>
      </c>
      <c r="O4712" s="2">
        <f ca="1"/>
        <v>1.4502236788212286</v>
      </c>
      <c r="X4712" s="2">
        <f ca="1"/>
        <v>49.195184020606746</v>
      </c>
      <c r="AG4712" s="2">
        <f ca="1"/>
        <v>0.43090402216819568</v>
      </c>
      <c r="AH4712" s="2" t="str">
        <f ca="1"/>
        <v>Bad</v>
      </c>
    </row>
    <row r="4713" spans="2:34" x14ac:dyDescent="0.2">
      <c r="B4713" s="2">
        <f ca="1"/>
        <v>0.75216643551367635</v>
      </c>
      <c r="O4713" s="2">
        <f ca="1"/>
        <v>2.3713697182785052</v>
      </c>
      <c r="X4713" s="2">
        <f ca="1"/>
        <v>43.200207454986398</v>
      </c>
      <c r="AG4713" s="2">
        <f ca="1"/>
        <v>0.1245145375521961</v>
      </c>
      <c r="AH4713" s="2" t="str">
        <f ca="1"/>
        <v>OK</v>
      </c>
    </row>
    <row r="4714" spans="2:34" x14ac:dyDescent="0.2">
      <c r="B4714" s="2">
        <f ca="1"/>
        <v>0.42281527549312314</v>
      </c>
      <c r="O4714" s="2">
        <f ca="1"/>
        <v>-0.35190652784764048</v>
      </c>
      <c r="X4714" s="2">
        <f ca="1"/>
        <v>63.427292429214802</v>
      </c>
      <c r="AG4714" s="2">
        <f ca="1"/>
        <v>7.8152057928019047E-2</v>
      </c>
      <c r="AH4714" s="2" t="str">
        <f ca="1"/>
        <v>OK</v>
      </c>
    </row>
    <row r="4715" spans="2:34" x14ac:dyDescent="0.2">
      <c r="B4715" s="2">
        <f ca="1"/>
        <v>0.2250590524316487</v>
      </c>
      <c r="O4715" s="2">
        <f ca="1"/>
        <v>0.24328948323731581</v>
      </c>
      <c r="X4715" s="2">
        <f ca="1"/>
        <v>47.215702250687627</v>
      </c>
      <c r="AG4715" s="2">
        <f ca="1"/>
        <v>0.87435081509265333</v>
      </c>
      <c r="AH4715" s="2" t="str">
        <f ca="1"/>
        <v>Bad</v>
      </c>
    </row>
    <row r="4716" spans="2:34" x14ac:dyDescent="0.2">
      <c r="B4716" s="2">
        <f ca="1"/>
        <v>0.70705106500719905</v>
      </c>
      <c r="O4716" s="2">
        <f ca="1"/>
        <v>0.47858640869202224</v>
      </c>
      <c r="X4716" s="2">
        <f ca="1"/>
        <v>18.406760455632213</v>
      </c>
      <c r="AG4716" s="2">
        <f ca="1"/>
        <v>0.62970006031227221</v>
      </c>
      <c r="AH4716" s="2" t="str">
        <f ca="1"/>
        <v>Bad</v>
      </c>
    </row>
    <row r="4717" spans="2:34" x14ac:dyDescent="0.2">
      <c r="B4717" s="2">
        <f ca="1"/>
        <v>0.13803664802720883</v>
      </c>
      <c r="O4717" s="2">
        <f ca="1"/>
        <v>1.1774812729428557</v>
      </c>
      <c r="X4717" s="2">
        <f ca="1"/>
        <v>35.05020090999065</v>
      </c>
      <c r="AG4717" s="2">
        <f ca="1"/>
        <v>0.25082289343381592</v>
      </c>
      <c r="AH4717" s="2" t="str">
        <f ca="1"/>
        <v>OK</v>
      </c>
    </row>
    <row r="4718" spans="2:34" x14ac:dyDescent="0.2">
      <c r="B4718" s="2">
        <f ca="1"/>
        <v>0.44764306760367778</v>
      </c>
      <c r="O4718" s="2">
        <f ca="1"/>
        <v>0.72407416452994355</v>
      </c>
      <c r="X4718" s="2">
        <f ca="1"/>
        <v>74.584322593196788</v>
      </c>
      <c r="AG4718" s="2">
        <f ca="1"/>
        <v>0.11246891295339556</v>
      </c>
      <c r="AH4718" s="2" t="str">
        <f ca="1"/>
        <v>OK</v>
      </c>
    </row>
    <row r="4719" spans="2:34" x14ac:dyDescent="0.2">
      <c r="B4719" s="2">
        <f ca="1"/>
        <v>5.5856450875781505E-2</v>
      </c>
      <c r="O4719" s="2">
        <f ca="1"/>
        <v>-0.59543846419897994</v>
      </c>
      <c r="X4719" s="2">
        <f ca="1"/>
        <v>43.974181376183495</v>
      </c>
      <c r="AG4719" s="2">
        <f ca="1"/>
        <v>0.3657936311619332</v>
      </c>
      <c r="AH4719" s="2" t="str">
        <f ca="1"/>
        <v>OK</v>
      </c>
    </row>
    <row r="4720" spans="2:34" x14ac:dyDescent="0.2">
      <c r="B4720" s="2">
        <f ca="1"/>
        <v>0.37389639056357149</v>
      </c>
      <c r="O4720" s="2">
        <f ca="1"/>
        <v>-0.25143868541921277</v>
      </c>
      <c r="X4720" s="2">
        <f ca="1"/>
        <v>55.616337598527046</v>
      </c>
      <c r="AG4720" s="2">
        <f ca="1"/>
        <v>0.21131168717397064</v>
      </c>
      <c r="AH4720" s="2" t="str">
        <f ca="1"/>
        <v>OK</v>
      </c>
    </row>
    <row r="4721" spans="2:34" x14ac:dyDescent="0.2">
      <c r="B4721" s="2">
        <f ca="1"/>
        <v>3.0538818614771479E-2</v>
      </c>
      <c r="O4721" s="2">
        <f ca="1"/>
        <v>1.091273569059984</v>
      </c>
      <c r="X4721" s="2">
        <f ca="1"/>
        <v>37.961098788747059</v>
      </c>
      <c r="AG4721" s="2">
        <f ca="1"/>
        <v>0.74206963281420846</v>
      </c>
      <c r="AH4721" s="2" t="str">
        <f ca="1"/>
        <v>Bad</v>
      </c>
    </row>
    <row r="4722" spans="2:34" x14ac:dyDescent="0.2">
      <c r="B4722" s="2">
        <f ca="1"/>
        <v>7.0087024153438371E-2</v>
      </c>
      <c r="O4722" s="2">
        <f ca="1"/>
        <v>-1.0746877711558667</v>
      </c>
      <c r="X4722" s="2">
        <f ca="1"/>
        <v>34.728355366849037</v>
      </c>
      <c r="AG4722" s="2">
        <f ca="1"/>
        <v>0.91570418857865432</v>
      </c>
      <c r="AH4722" s="2" t="str">
        <f ca="1"/>
        <v>Bad</v>
      </c>
    </row>
    <row r="4723" spans="2:34" x14ac:dyDescent="0.2">
      <c r="B4723" s="2">
        <f ca="1"/>
        <v>0.45183611291669878</v>
      </c>
      <c r="O4723" s="2">
        <f ca="1"/>
        <v>0.33488954731011433</v>
      </c>
      <c r="X4723" s="2">
        <f ca="1"/>
        <v>36.400955471397531</v>
      </c>
      <c r="AG4723" s="2">
        <f ca="1"/>
        <v>0.28162414412667802</v>
      </c>
      <c r="AH4723" s="2" t="str">
        <f ca="1"/>
        <v>OK</v>
      </c>
    </row>
    <row r="4724" spans="2:34" x14ac:dyDescent="0.2">
      <c r="B4724" s="2">
        <f ca="1"/>
        <v>0.14166785130962434</v>
      </c>
      <c r="O4724" s="2">
        <f ca="1"/>
        <v>1.5438055350292295</v>
      </c>
      <c r="X4724" s="2">
        <f ca="1"/>
        <v>46.989798018044155</v>
      </c>
      <c r="AG4724" s="2">
        <f ca="1"/>
        <v>0.1338430717757193</v>
      </c>
      <c r="AH4724" s="2" t="str">
        <f ca="1"/>
        <v>OK</v>
      </c>
    </row>
    <row r="4725" spans="2:34" x14ac:dyDescent="0.2">
      <c r="B4725" s="2">
        <f ca="1"/>
        <v>0.45574078108134208</v>
      </c>
      <c r="O4725" s="2">
        <f ca="1"/>
        <v>0.26189803669849088</v>
      </c>
      <c r="X4725" s="2">
        <f ca="1"/>
        <v>48.792526780860435</v>
      </c>
      <c r="AG4725" s="2">
        <f ca="1"/>
        <v>7.2246956319640177E-2</v>
      </c>
      <c r="AH4725" s="2" t="str">
        <f ca="1"/>
        <v>OK</v>
      </c>
    </row>
    <row r="4726" spans="2:34" x14ac:dyDescent="0.2">
      <c r="B4726" s="2">
        <f ca="1"/>
        <v>0.14131888532189008</v>
      </c>
      <c r="O4726" s="2">
        <f ca="1"/>
        <v>-0.33097076492360389</v>
      </c>
      <c r="X4726" s="2">
        <f ca="1"/>
        <v>76.931695459652985</v>
      </c>
      <c r="AG4726" s="2">
        <f ca="1"/>
        <v>0.76387737065471928</v>
      </c>
      <c r="AH4726" s="2" t="str">
        <f ca="1"/>
        <v>Bad</v>
      </c>
    </row>
    <row r="4727" spans="2:34" x14ac:dyDescent="0.2">
      <c r="B4727" s="2">
        <f ca="1"/>
        <v>0.28437792183019184</v>
      </c>
      <c r="O4727" s="2">
        <f ca="1"/>
        <v>0.5695262032521462</v>
      </c>
      <c r="X4727" s="2">
        <f ca="1"/>
        <v>65.550336371430433</v>
      </c>
      <c r="AG4727" s="2">
        <f ca="1"/>
        <v>0.36536306741967084</v>
      </c>
      <c r="AH4727" s="2" t="str">
        <f ca="1"/>
        <v>OK</v>
      </c>
    </row>
    <row r="4728" spans="2:34" x14ac:dyDescent="0.2">
      <c r="B4728" s="2">
        <f ca="1"/>
        <v>0.89504801220161534</v>
      </c>
      <c r="O4728" s="2">
        <f ca="1"/>
        <v>1.0999170516319681</v>
      </c>
      <c r="X4728" s="2">
        <f ca="1"/>
        <v>42.734124830168042</v>
      </c>
      <c r="AG4728" s="2">
        <f ca="1"/>
        <v>0.7248850161849707</v>
      </c>
      <c r="AH4728" s="2" t="str">
        <f ca="1"/>
        <v>Bad</v>
      </c>
    </row>
    <row r="4729" spans="2:34" x14ac:dyDescent="0.2">
      <c r="B4729" s="2">
        <f ca="1"/>
        <v>0.53770634010297447</v>
      </c>
      <c r="O4729" s="2">
        <f ca="1"/>
        <v>-0.56203944371702141</v>
      </c>
      <c r="X4729" s="2">
        <f ca="1"/>
        <v>59.812310569331402</v>
      </c>
      <c r="AG4729" s="2">
        <f ca="1"/>
        <v>0.37391472834802353</v>
      </c>
      <c r="AH4729" s="2" t="str">
        <f ca="1"/>
        <v>OK</v>
      </c>
    </row>
    <row r="4730" spans="2:34" x14ac:dyDescent="0.2">
      <c r="B4730" s="2">
        <f ca="1"/>
        <v>0.27117085601216351</v>
      </c>
      <c r="O4730" s="2">
        <f ca="1"/>
        <v>-3.8720287588493524E-2</v>
      </c>
      <c r="X4730" s="2">
        <f ca="1"/>
        <v>45.871691869716415</v>
      </c>
      <c r="AG4730" s="2">
        <f ca="1"/>
        <v>0.7585469307057473</v>
      </c>
      <c r="AH4730" s="2" t="str">
        <f ca="1"/>
        <v>Bad</v>
      </c>
    </row>
    <row r="4731" spans="2:34" x14ac:dyDescent="0.2">
      <c r="B4731" s="2">
        <f ca="1"/>
        <v>0.50125176268428695</v>
      </c>
      <c r="O4731" s="2">
        <f ca="1"/>
        <v>-0.39080673354059203</v>
      </c>
      <c r="X4731" s="2">
        <f ca="1"/>
        <v>27.158513097426841</v>
      </c>
      <c r="AG4731" s="2">
        <f ca="1"/>
        <v>0.844640198264208</v>
      </c>
      <c r="AH4731" s="2" t="str">
        <f ca="1"/>
        <v>Bad</v>
      </c>
    </row>
    <row r="4732" spans="2:34" x14ac:dyDescent="0.2">
      <c r="B4732" s="2">
        <f ca="1"/>
        <v>0.89741841541060463</v>
      </c>
      <c r="O4732" s="2">
        <f ca="1"/>
        <v>-0.30480115753469256</v>
      </c>
      <c r="X4732" s="2">
        <f ca="1"/>
        <v>73.294705602776162</v>
      </c>
      <c r="AG4732" s="2">
        <f ca="1"/>
        <v>0.2478862805035964</v>
      </c>
      <c r="AH4732" s="2" t="str">
        <f ca="1"/>
        <v>OK</v>
      </c>
    </row>
    <row r="4733" spans="2:34" x14ac:dyDescent="0.2">
      <c r="B4733" s="2">
        <f ca="1"/>
        <v>0.10100032244625057</v>
      </c>
      <c r="O4733" s="2">
        <f ca="1"/>
        <v>-0.40952947393500033</v>
      </c>
      <c r="X4733" s="2">
        <f ca="1"/>
        <v>71.465039212946266</v>
      </c>
      <c r="AG4733" s="2">
        <f ca="1"/>
        <v>0.47210416969708802</v>
      </c>
      <c r="AH4733" s="2" t="str">
        <f ca="1"/>
        <v>Bad</v>
      </c>
    </row>
    <row r="4734" spans="2:34" x14ac:dyDescent="0.2">
      <c r="B4734" s="2">
        <f ca="1"/>
        <v>0.92873777124541013</v>
      </c>
      <c r="O4734" s="2">
        <f ca="1"/>
        <v>1.381733581997771</v>
      </c>
      <c r="X4734" s="2">
        <f ca="1"/>
        <v>38.706293519911071</v>
      </c>
      <c r="AG4734" s="2">
        <f ca="1"/>
        <v>0.55012055995045972</v>
      </c>
      <c r="AH4734" s="2" t="str">
        <f ca="1"/>
        <v>Bad</v>
      </c>
    </row>
    <row r="4735" spans="2:34" x14ac:dyDescent="0.2">
      <c r="B4735" s="2">
        <f ca="1"/>
        <v>0.13522040490973475</v>
      </c>
      <c r="O4735" s="2">
        <f ca="1"/>
        <v>0.70063363590655592</v>
      </c>
      <c r="X4735" s="2">
        <f ca="1"/>
        <v>53.219625163443347</v>
      </c>
      <c r="AG4735" s="2">
        <f ca="1"/>
        <v>0.76538061879617958</v>
      </c>
      <c r="AH4735" s="2" t="str">
        <f ca="1"/>
        <v>Bad</v>
      </c>
    </row>
    <row r="4736" spans="2:34" x14ac:dyDescent="0.2">
      <c r="B4736" s="2">
        <f ca="1"/>
        <v>0.1899133641134374</v>
      </c>
      <c r="O4736" s="2">
        <f ca="1"/>
        <v>-0.93612562732649818</v>
      </c>
      <c r="X4736" s="2">
        <f ca="1"/>
        <v>59.7391425990972</v>
      </c>
      <c r="AG4736" s="2">
        <f ca="1"/>
        <v>0.83747061441720083</v>
      </c>
      <c r="AH4736" s="2" t="str">
        <f ca="1"/>
        <v>Bad</v>
      </c>
    </row>
    <row r="4737" spans="2:34" x14ac:dyDescent="0.2">
      <c r="B4737" s="2">
        <f ca="1"/>
        <v>0.15035647910564687</v>
      </c>
      <c r="O4737" s="2">
        <f ca="1"/>
        <v>-2.0494190407206041</v>
      </c>
      <c r="X4737" s="2">
        <f ca="1"/>
        <v>23.767491285185631</v>
      </c>
      <c r="AG4737" s="2">
        <f ca="1"/>
        <v>0.63408567172933439</v>
      </c>
      <c r="AH4737" s="2" t="str">
        <f ca="1"/>
        <v>Bad</v>
      </c>
    </row>
    <row r="4738" spans="2:34" x14ac:dyDescent="0.2">
      <c r="B4738" s="2">
        <f ca="1"/>
        <v>0.94269366654325393</v>
      </c>
      <c r="O4738" s="2">
        <f ca="1"/>
        <v>0.86114232705032012</v>
      </c>
      <c r="X4738" s="2">
        <f ca="1"/>
        <v>45.386482519807473</v>
      </c>
      <c r="AG4738" s="2">
        <f ca="1"/>
        <v>0.98261307619334826</v>
      </c>
      <c r="AH4738" s="2" t="str">
        <f ca="1"/>
        <v>Bad</v>
      </c>
    </row>
    <row r="4739" spans="2:34" x14ac:dyDescent="0.2">
      <c r="B4739" s="2">
        <f ca="1"/>
        <v>0.39654269801045383</v>
      </c>
      <c r="O4739" s="2">
        <f ca="1"/>
        <v>-0.58919907825880979</v>
      </c>
      <c r="X4739" s="2">
        <f ca="1"/>
        <v>31.665760782064968</v>
      </c>
      <c r="AG4739" s="2">
        <f ca="1"/>
        <v>0.9730917517741986</v>
      </c>
      <c r="AH4739" s="2" t="str">
        <f ca="1"/>
        <v>Bad</v>
      </c>
    </row>
    <row r="4740" spans="2:34" x14ac:dyDescent="0.2">
      <c r="B4740" s="2">
        <f ca="1"/>
        <v>0.5698927808296419</v>
      </c>
      <c r="O4740" s="2">
        <f ca="1"/>
        <v>-0.66164768939207419</v>
      </c>
      <c r="X4740" s="2">
        <f ca="1"/>
        <v>58.114204793211343</v>
      </c>
      <c r="AG4740" s="2">
        <f ca="1"/>
        <v>0.51755705891058024</v>
      </c>
      <c r="AH4740" s="2" t="str">
        <f ca="1"/>
        <v>Bad</v>
      </c>
    </row>
    <row r="4741" spans="2:34" x14ac:dyDescent="0.2">
      <c r="B4741" s="2">
        <f ca="1"/>
        <v>0.27207326608491855</v>
      </c>
      <c r="O4741" s="2">
        <f ca="1"/>
        <v>-0.17728391977112873</v>
      </c>
      <c r="X4741" s="2">
        <f ca="1"/>
        <v>58.779735080577005</v>
      </c>
      <c r="AG4741" s="2">
        <f ca="1"/>
        <v>0.23484475035933206</v>
      </c>
      <c r="AH4741" s="2" t="str">
        <f ca="1"/>
        <v>OK</v>
      </c>
    </row>
    <row r="4742" spans="2:34" x14ac:dyDescent="0.2">
      <c r="B4742" s="2">
        <f ca="1"/>
        <v>0.99451830037389533</v>
      </c>
      <c r="O4742" s="2">
        <f ca="1"/>
        <v>-0.30200513543081131</v>
      </c>
      <c r="X4742" s="2">
        <f ca="1"/>
        <v>60.439479336904718</v>
      </c>
      <c r="AG4742" s="2">
        <f ca="1"/>
        <v>0.52485335827806812</v>
      </c>
      <c r="AH4742" s="2" t="str">
        <f ca="1"/>
        <v>Bad</v>
      </c>
    </row>
    <row r="4743" spans="2:34" x14ac:dyDescent="0.2">
      <c r="B4743" s="2">
        <f ca="1"/>
        <v>0.70779157009713156</v>
      </c>
      <c r="O4743" s="2">
        <f ca="1"/>
        <v>0.91715006409638644</v>
      </c>
      <c r="X4743" s="2">
        <f ca="1"/>
        <v>37.342049752869016</v>
      </c>
      <c r="AG4743" s="2">
        <f ca="1"/>
        <v>0.55054697109356932</v>
      </c>
      <c r="AH4743" s="2" t="str">
        <f ca="1"/>
        <v>Bad</v>
      </c>
    </row>
    <row r="4744" spans="2:34" x14ac:dyDescent="0.2">
      <c r="B4744" s="2">
        <f ca="1"/>
        <v>8.6397212783762001E-3</v>
      </c>
      <c r="O4744" s="2">
        <f ca="1"/>
        <v>-1.0992807978283246</v>
      </c>
      <c r="X4744" s="2">
        <f ca="1"/>
        <v>69.669907748359591</v>
      </c>
      <c r="AG4744" s="2">
        <f ca="1"/>
        <v>0.85411338490795985</v>
      </c>
      <c r="AH4744" s="2" t="str">
        <f ca="1"/>
        <v>Bad</v>
      </c>
    </row>
    <row r="4745" spans="2:34" x14ac:dyDescent="0.2">
      <c r="B4745" s="2">
        <f ca="1"/>
        <v>0.72100922984777105</v>
      </c>
      <c r="O4745" s="2">
        <f ca="1"/>
        <v>0.57773450981744523</v>
      </c>
      <c r="X4745" s="2">
        <f ca="1"/>
        <v>44.119692396482904</v>
      </c>
      <c r="AG4745" s="2">
        <f ca="1"/>
        <v>0.89449637688186412</v>
      </c>
      <c r="AH4745" s="2" t="str">
        <f ca="1"/>
        <v>Bad</v>
      </c>
    </row>
    <row r="4746" spans="2:34" x14ac:dyDescent="0.2">
      <c r="B4746" s="2">
        <f ca="1"/>
        <v>0.43469059131131371</v>
      </c>
      <c r="O4746" s="2">
        <f ca="1"/>
        <v>1.7098759324898445</v>
      </c>
      <c r="X4746" s="2">
        <f ca="1"/>
        <v>53.697144900152658</v>
      </c>
      <c r="AG4746" s="2">
        <f ca="1"/>
        <v>9.2227733222286057E-2</v>
      </c>
      <c r="AH4746" s="2" t="str">
        <f ca="1"/>
        <v>OK</v>
      </c>
    </row>
    <row r="4747" spans="2:34" x14ac:dyDescent="0.2">
      <c r="B4747" s="2">
        <f ca="1"/>
        <v>0.78085975804283492</v>
      </c>
      <c r="O4747" s="2">
        <f ca="1"/>
        <v>-1.3180587299701574</v>
      </c>
      <c r="X4747" s="2">
        <f ca="1"/>
        <v>46.255162983316396</v>
      </c>
      <c r="AG4747" s="2">
        <f ca="1"/>
        <v>0.57934352264981026</v>
      </c>
      <c r="AH4747" s="2" t="str">
        <f ca="1"/>
        <v>Bad</v>
      </c>
    </row>
    <row r="4748" spans="2:34" x14ac:dyDescent="0.2">
      <c r="B4748" s="2">
        <f ca="1"/>
        <v>0.39956380481795772</v>
      </c>
      <c r="O4748" s="2">
        <f ca="1"/>
        <v>0.55767564706390116</v>
      </c>
      <c r="X4748" s="2">
        <f ca="1"/>
        <v>30.563049030206617</v>
      </c>
      <c r="AG4748" s="2">
        <f ca="1"/>
        <v>9.9406483676895085E-2</v>
      </c>
      <c r="AH4748" s="2" t="str">
        <f ca="1"/>
        <v>OK</v>
      </c>
    </row>
    <row r="4749" spans="2:34" x14ac:dyDescent="0.2">
      <c r="B4749" s="2">
        <f ca="1"/>
        <v>0.37857728381780698</v>
      </c>
      <c r="O4749" s="2">
        <f ca="1"/>
        <v>1.8713468328670635</v>
      </c>
      <c r="X4749" s="2">
        <f ca="1"/>
        <v>36.45669654532491</v>
      </c>
      <c r="AG4749" s="2">
        <f ca="1"/>
        <v>0.56475142320127381</v>
      </c>
      <c r="AH4749" s="2" t="str">
        <f ca="1"/>
        <v>Bad</v>
      </c>
    </row>
    <row r="4750" spans="2:34" x14ac:dyDescent="0.2">
      <c r="B4750" s="2">
        <f ca="1"/>
        <v>0.58877621369441746</v>
      </c>
      <c r="O4750" s="2">
        <f ca="1"/>
        <v>-5.6226632839947943E-2</v>
      </c>
      <c r="X4750" s="2">
        <f ca="1"/>
        <v>61.816975840851612</v>
      </c>
      <c r="AG4750" s="2">
        <f ca="1"/>
        <v>0.60835969757458219</v>
      </c>
      <c r="AH4750" s="2" t="str">
        <f ca="1"/>
        <v>Bad</v>
      </c>
    </row>
    <row r="4751" spans="2:34" x14ac:dyDescent="0.2">
      <c r="B4751" s="2">
        <f ca="1"/>
        <v>0.63845962235820441</v>
      </c>
      <c r="O4751" s="2">
        <f ca="1"/>
        <v>6.4568625092756904E-2</v>
      </c>
      <c r="X4751" s="2">
        <f ca="1"/>
        <v>43.05603160860646</v>
      </c>
      <c r="AG4751" s="2">
        <f ca="1"/>
        <v>0.93776082780710968</v>
      </c>
      <c r="AH4751" s="2" t="str">
        <f ca="1"/>
        <v>Bad</v>
      </c>
    </row>
    <row r="4752" spans="2:34" x14ac:dyDescent="0.2">
      <c r="B4752" s="2">
        <f ca="1"/>
        <v>0.59437135852520506</v>
      </c>
      <c r="O4752" s="2">
        <f ca="1"/>
        <v>0.48515128030007793</v>
      </c>
      <c r="X4752" s="2">
        <f ca="1"/>
        <v>35.410485888720451</v>
      </c>
      <c r="AG4752" s="2">
        <f ca="1"/>
        <v>4.1901313694841846E-2</v>
      </c>
      <c r="AH4752" s="2" t="str">
        <f ca="1"/>
        <v>Good</v>
      </c>
    </row>
    <row r="4753" spans="2:34" x14ac:dyDescent="0.2">
      <c r="B4753" s="2">
        <f ca="1"/>
        <v>0.95764844238219315</v>
      </c>
      <c r="O4753" s="2">
        <f ca="1"/>
        <v>0.81182808513557236</v>
      </c>
      <c r="X4753" s="2">
        <f ca="1"/>
        <v>42.608987037994467</v>
      </c>
      <c r="AG4753" s="2">
        <f ca="1"/>
        <v>0.54803122721387809</v>
      </c>
      <c r="AH4753" s="2" t="str">
        <f ca="1"/>
        <v>Bad</v>
      </c>
    </row>
    <row r="4754" spans="2:34" x14ac:dyDescent="0.2">
      <c r="B4754" s="2">
        <f ca="1"/>
        <v>0.2035498454110618</v>
      </c>
      <c r="O4754" s="2">
        <f ca="1"/>
        <v>1.3061636712634408</v>
      </c>
      <c r="X4754" s="2">
        <f ca="1"/>
        <v>61.216868640354619</v>
      </c>
      <c r="AG4754" s="2">
        <f ca="1"/>
        <v>0.34698478856385218</v>
      </c>
      <c r="AH4754" s="2" t="str">
        <f ca="1"/>
        <v>OK</v>
      </c>
    </row>
    <row r="4755" spans="2:34" x14ac:dyDescent="0.2">
      <c r="B4755" s="2">
        <f ca="1"/>
        <v>0.71608677120314934</v>
      </c>
      <c r="O4755" s="2">
        <f ca="1"/>
        <v>-1.2781802159553066</v>
      </c>
      <c r="X4755" s="2">
        <f ca="1"/>
        <v>41.007487948339232</v>
      </c>
      <c r="AG4755" s="2">
        <f ca="1"/>
        <v>0.13351352115819082</v>
      </c>
      <c r="AH4755" s="2" t="str">
        <f ca="1"/>
        <v>OK</v>
      </c>
    </row>
    <row r="4756" spans="2:34" x14ac:dyDescent="0.2">
      <c r="B4756" s="2">
        <f ca="1"/>
        <v>0.81733550106311226</v>
      </c>
      <c r="O4756" s="2">
        <f ca="1"/>
        <v>-0.92280639449597246</v>
      </c>
      <c r="X4756" s="2">
        <f ca="1"/>
        <v>51.913978589860207</v>
      </c>
      <c r="AG4756" s="2">
        <f ca="1"/>
        <v>0.2446872096127215</v>
      </c>
      <c r="AH4756" s="2" t="str">
        <f ca="1"/>
        <v>OK</v>
      </c>
    </row>
    <row r="4757" spans="2:34" x14ac:dyDescent="0.2">
      <c r="B4757" s="2">
        <f ca="1"/>
        <v>0.75765540248589214</v>
      </c>
      <c r="O4757" s="2">
        <f ca="1"/>
        <v>-1.3996293817020926</v>
      </c>
      <c r="X4757" s="2">
        <f ca="1"/>
        <v>29.116268475936813</v>
      </c>
      <c r="AG4757" s="2">
        <f ca="1"/>
        <v>0.68863762652669336</v>
      </c>
      <c r="AH4757" s="2" t="str">
        <f ca="1"/>
        <v>Bad</v>
      </c>
    </row>
    <row r="4758" spans="2:34" x14ac:dyDescent="0.2">
      <c r="B4758" s="2">
        <f ca="1"/>
        <v>0.5744481199264464</v>
      </c>
      <c r="O4758" s="2">
        <f ca="1"/>
        <v>0.68062336328833362</v>
      </c>
      <c r="X4758" s="2">
        <f ca="1"/>
        <v>26.734427011780628</v>
      </c>
      <c r="AG4758" s="2">
        <f ca="1"/>
        <v>0.46552255828437072</v>
      </c>
      <c r="AH4758" s="2" t="str">
        <f ca="1"/>
        <v>Bad</v>
      </c>
    </row>
    <row r="4759" spans="2:34" x14ac:dyDescent="0.2">
      <c r="B4759" s="2">
        <f ca="1"/>
        <v>0.70639688046843041</v>
      </c>
      <c r="O4759" s="2">
        <f ca="1"/>
        <v>-0.27318553260742112</v>
      </c>
      <c r="X4759" s="2">
        <f ca="1"/>
        <v>48.380179490975095</v>
      </c>
      <c r="AG4759" s="2">
        <f ca="1"/>
        <v>6.4668406567157222E-2</v>
      </c>
      <c r="AH4759" s="2" t="str">
        <f ca="1"/>
        <v>OK</v>
      </c>
    </row>
    <row r="4760" spans="2:34" x14ac:dyDescent="0.2">
      <c r="B4760" s="2">
        <f ca="1"/>
        <v>0.54815960662945806</v>
      </c>
      <c r="O4760" s="2">
        <f ca="1"/>
        <v>0.13431749746096988</v>
      </c>
      <c r="X4760" s="2">
        <f ca="1"/>
        <v>37.089602426213304</v>
      </c>
      <c r="AG4760" s="2">
        <f ca="1"/>
        <v>0.62871448385263839</v>
      </c>
      <c r="AH4760" s="2" t="str">
        <f ca="1"/>
        <v>Bad</v>
      </c>
    </row>
    <row r="4761" spans="2:34" x14ac:dyDescent="0.2">
      <c r="B4761" s="2">
        <f ca="1"/>
        <v>0.32025819241203535</v>
      </c>
      <c r="O4761" s="2">
        <f ca="1"/>
        <v>-1.0262336106509333</v>
      </c>
      <c r="X4761" s="2">
        <f ca="1"/>
        <v>51.339293025075648</v>
      </c>
      <c r="AG4761" s="2">
        <f ca="1"/>
        <v>0.93772594088381944</v>
      </c>
      <c r="AH4761" s="2" t="str">
        <f ca="1"/>
        <v>Bad</v>
      </c>
    </row>
    <row r="4762" spans="2:34" x14ac:dyDescent="0.2">
      <c r="B4762" s="2">
        <f ca="1"/>
        <v>1.4593716926627032E-2</v>
      </c>
      <c r="O4762" s="2">
        <f ca="1"/>
        <v>-0.71657042684402095</v>
      </c>
      <c r="X4762" s="2">
        <f ca="1"/>
        <v>47.709714646166304</v>
      </c>
      <c r="AG4762" s="2">
        <f ca="1"/>
        <v>0.36042426304470454</v>
      </c>
      <c r="AH4762" s="2" t="str">
        <f ca="1"/>
        <v>OK</v>
      </c>
    </row>
    <row r="4763" spans="2:34" x14ac:dyDescent="0.2">
      <c r="B4763" s="2">
        <f ca="1"/>
        <v>3.3691117359338385E-2</v>
      </c>
      <c r="O4763" s="2">
        <f ca="1"/>
        <v>-0.5178500022099114</v>
      </c>
      <c r="X4763" s="2">
        <f ca="1"/>
        <v>34.381901761485992</v>
      </c>
      <c r="AG4763" s="2">
        <f ca="1"/>
        <v>5.8656475897944205E-2</v>
      </c>
      <c r="AH4763" s="2" t="str">
        <f ca="1"/>
        <v>OK</v>
      </c>
    </row>
    <row r="4764" spans="2:34" x14ac:dyDescent="0.2">
      <c r="B4764" s="2">
        <f ca="1"/>
        <v>0.44328018701144489</v>
      </c>
      <c r="O4764" s="2">
        <f ca="1"/>
        <v>-1.1070764153669106</v>
      </c>
      <c r="X4764" s="2">
        <f ca="1"/>
        <v>54.303659514782304</v>
      </c>
      <c r="AG4764" s="2">
        <f ca="1"/>
        <v>0.79677585742708157</v>
      </c>
      <c r="AH4764" s="2" t="str">
        <f ca="1"/>
        <v>Bad</v>
      </c>
    </row>
    <row r="4765" spans="2:34" x14ac:dyDescent="0.2">
      <c r="B4765" s="2">
        <f ca="1"/>
        <v>0.12447698823635811</v>
      </c>
      <c r="O4765" s="2">
        <f ca="1"/>
        <v>-0.40390987308978682</v>
      </c>
      <c r="X4765" s="2">
        <f ca="1"/>
        <v>26.016050311212418</v>
      </c>
      <c r="AG4765" s="2">
        <f ca="1"/>
        <v>0.45273204345260365</v>
      </c>
      <c r="AH4765" s="2" t="str">
        <f ca="1"/>
        <v>Bad</v>
      </c>
    </row>
    <row r="4766" spans="2:34" x14ac:dyDescent="0.2">
      <c r="B4766" s="2">
        <f ca="1"/>
        <v>0.53526116891428788</v>
      </c>
      <c r="O4766" s="2">
        <f ca="1"/>
        <v>-0.7490903713264041</v>
      </c>
      <c r="X4766" s="2">
        <f ca="1"/>
        <v>29.826292725818146</v>
      </c>
      <c r="AG4766" s="2">
        <f ca="1"/>
        <v>0.20638733159019917</v>
      </c>
      <c r="AH4766" s="2" t="str">
        <f ca="1"/>
        <v>OK</v>
      </c>
    </row>
    <row r="4767" spans="2:34" x14ac:dyDescent="0.2">
      <c r="B4767" s="2">
        <f ca="1"/>
        <v>0.236437955038449</v>
      </c>
      <c r="O4767" s="2">
        <f ca="1"/>
        <v>-9.9152805823099731E-3</v>
      </c>
      <c r="X4767" s="2">
        <f ca="1"/>
        <v>44.414212952679648</v>
      </c>
      <c r="AG4767" s="2">
        <f ca="1"/>
        <v>0.7050318750005109</v>
      </c>
      <c r="AH4767" s="2" t="str">
        <f ca="1"/>
        <v>Bad</v>
      </c>
    </row>
    <row r="4768" spans="2:34" x14ac:dyDescent="0.2">
      <c r="B4768" s="2">
        <f ca="1"/>
        <v>0.8210298521821251</v>
      </c>
      <c r="O4768" s="2">
        <f ca="1"/>
        <v>2.1221704330643889</v>
      </c>
      <c r="X4768" s="2">
        <f ca="1"/>
        <v>50.330534775529649</v>
      </c>
      <c r="AG4768" s="2">
        <f ca="1"/>
        <v>0.63295297100634151</v>
      </c>
      <c r="AH4768" s="2" t="str">
        <f ca="1"/>
        <v>Bad</v>
      </c>
    </row>
    <row r="4769" spans="2:34" x14ac:dyDescent="0.2">
      <c r="B4769" s="2">
        <f ca="1"/>
        <v>0.84100795909225812</v>
      </c>
      <c r="O4769" s="2">
        <f ca="1"/>
        <v>0.73587434435142773</v>
      </c>
      <c r="X4769" s="2">
        <f ca="1"/>
        <v>32.035628403907545</v>
      </c>
      <c r="AG4769" s="2">
        <f ca="1"/>
        <v>0.71348250180414441</v>
      </c>
      <c r="AH4769" s="2" t="str">
        <f ca="1"/>
        <v>Bad</v>
      </c>
    </row>
    <row r="4770" spans="2:34" x14ac:dyDescent="0.2">
      <c r="B4770" s="2">
        <f ca="1"/>
        <v>0.3870639344342246</v>
      </c>
      <c r="O4770" s="2">
        <f ca="1"/>
        <v>-0.85778300824751963</v>
      </c>
      <c r="X4770" s="2">
        <f ca="1"/>
        <v>54.243125139532538</v>
      </c>
      <c r="AG4770" s="2">
        <f ca="1"/>
        <v>0.12446426338565608</v>
      </c>
      <c r="AH4770" s="2" t="str">
        <f ca="1"/>
        <v>OK</v>
      </c>
    </row>
    <row r="4771" spans="2:34" x14ac:dyDescent="0.2">
      <c r="B4771" s="2">
        <f ca="1"/>
        <v>0.31890163958336593</v>
      </c>
      <c r="O4771" s="2">
        <f ca="1"/>
        <v>-7.062000429178765E-2</v>
      </c>
      <c r="X4771" s="2">
        <f ca="1"/>
        <v>86.074300733230388</v>
      </c>
      <c r="AG4771" s="2">
        <f ca="1"/>
        <v>0.75108571369611954</v>
      </c>
      <c r="AH4771" s="2" t="str">
        <f ca="1"/>
        <v>Bad</v>
      </c>
    </row>
    <row r="4772" spans="2:34" x14ac:dyDescent="0.2">
      <c r="B4772" s="2">
        <f ca="1"/>
        <v>0.38469222289349236</v>
      </c>
      <c r="O4772" s="2">
        <f ca="1"/>
        <v>1.1241100470120182</v>
      </c>
      <c r="X4772" s="2">
        <f ca="1"/>
        <v>48.402146003663759</v>
      </c>
      <c r="AG4772" s="2">
        <f ca="1"/>
        <v>0.84711015898932929</v>
      </c>
      <c r="AH4772" s="2" t="str">
        <f ca="1"/>
        <v>Bad</v>
      </c>
    </row>
    <row r="4773" spans="2:34" x14ac:dyDescent="0.2">
      <c r="B4773" s="2">
        <f ca="1"/>
        <v>0.58409156408884177</v>
      </c>
      <c r="O4773" s="2">
        <f ca="1"/>
        <v>1.2569150231234427</v>
      </c>
      <c r="X4773" s="2">
        <f ca="1"/>
        <v>51.923610010566257</v>
      </c>
      <c r="AG4773" s="2">
        <f ca="1"/>
        <v>0.68134204410724797</v>
      </c>
      <c r="AH4773" s="2" t="str">
        <f ca="1"/>
        <v>Bad</v>
      </c>
    </row>
    <row r="4774" spans="2:34" x14ac:dyDescent="0.2">
      <c r="B4774" s="2">
        <f ca="1"/>
        <v>0.46925736252843864</v>
      </c>
      <c r="O4774" s="2">
        <f ca="1"/>
        <v>0.10623030307518277</v>
      </c>
      <c r="X4774" s="2">
        <f ca="1"/>
        <v>55.584540852974854</v>
      </c>
      <c r="AG4774" s="2">
        <f ca="1"/>
        <v>0.55331268693515567</v>
      </c>
      <c r="AH4774" s="2" t="str">
        <f ca="1"/>
        <v>Bad</v>
      </c>
    </row>
    <row r="4775" spans="2:34" x14ac:dyDescent="0.2">
      <c r="B4775" s="2">
        <f ca="1"/>
        <v>0.95024687839398925</v>
      </c>
      <c r="O4775" s="2">
        <f ca="1"/>
        <v>1.1817075417227261</v>
      </c>
      <c r="X4775" s="2">
        <f ca="1"/>
        <v>34.698384339614911</v>
      </c>
      <c r="AG4775" s="2">
        <f ca="1"/>
        <v>0.69858865390531877</v>
      </c>
      <c r="AH4775" s="2" t="str">
        <f ca="1"/>
        <v>Bad</v>
      </c>
    </row>
    <row r="4776" spans="2:34" x14ac:dyDescent="0.2">
      <c r="B4776" s="2">
        <f ca="1"/>
        <v>0.60168911246472523</v>
      </c>
      <c r="O4776" s="2">
        <f ca="1"/>
        <v>-5.3040816938133742E-2</v>
      </c>
      <c r="X4776" s="2">
        <f ca="1"/>
        <v>35.949839881912098</v>
      </c>
      <c r="AG4776" s="2">
        <f ca="1"/>
        <v>9.8447961802446304E-2</v>
      </c>
      <c r="AH4776" s="2" t="str">
        <f ca="1"/>
        <v>OK</v>
      </c>
    </row>
    <row r="4777" spans="2:34" x14ac:dyDescent="0.2">
      <c r="B4777" s="2">
        <f ca="1"/>
        <v>0.58288340997392663</v>
      </c>
      <c r="O4777" s="2">
        <f ca="1"/>
        <v>0.66451124790304317</v>
      </c>
      <c r="X4777" s="2">
        <f ca="1"/>
        <v>63.243730595759743</v>
      </c>
      <c r="AG4777" s="2">
        <f ca="1"/>
        <v>0.97620727480309077</v>
      </c>
      <c r="AH4777" s="2" t="str">
        <f ca="1"/>
        <v>Bad</v>
      </c>
    </row>
    <row r="4778" spans="2:34" x14ac:dyDescent="0.2">
      <c r="B4778" s="2">
        <f ca="1"/>
        <v>0.95874755939444789</v>
      </c>
      <c r="O4778" s="2">
        <f ca="1"/>
        <v>1.9926523337337156E-2</v>
      </c>
      <c r="X4778" s="2">
        <f ca="1"/>
        <v>29.257703785575167</v>
      </c>
      <c r="AG4778" s="2">
        <f ca="1"/>
        <v>0.13426852681667034</v>
      </c>
      <c r="AH4778" s="2" t="str">
        <f ca="1"/>
        <v>OK</v>
      </c>
    </row>
    <row r="4779" spans="2:34" x14ac:dyDescent="0.2">
      <c r="B4779" s="2">
        <f ca="1"/>
        <v>0.28059780862517059</v>
      </c>
      <c r="O4779" s="2">
        <f ca="1"/>
        <v>0.65962919229970629</v>
      </c>
      <c r="X4779" s="2">
        <f ca="1"/>
        <v>24.583866577112747</v>
      </c>
      <c r="AG4779" s="2">
        <f ca="1"/>
        <v>0.66835696214394025</v>
      </c>
      <c r="AH4779" s="2" t="str">
        <f ca="1"/>
        <v>Bad</v>
      </c>
    </row>
    <row r="4780" spans="2:34" x14ac:dyDescent="0.2">
      <c r="B4780" s="2">
        <f ca="1"/>
        <v>0.67025580409688557</v>
      </c>
      <c r="O4780" s="2">
        <f ca="1"/>
        <v>-0.79052943292447775</v>
      </c>
      <c r="X4780" s="2">
        <f ca="1"/>
        <v>56.712880863183308</v>
      </c>
      <c r="AG4780" s="2">
        <f ca="1"/>
        <v>0.11849946940166545</v>
      </c>
      <c r="AH4780" s="2" t="str">
        <f ca="1"/>
        <v>OK</v>
      </c>
    </row>
    <row r="4781" spans="2:34" x14ac:dyDescent="0.2">
      <c r="B4781" s="2">
        <f ca="1"/>
        <v>0.44329126088090587</v>
      </c>
      <c r="O4781" s="2">
        <f ca="1"/>
        <v>-1.9569649593519409E-2</v>
      </c>
      <c r="X4781" s="2">
        <f ca="1"/>
        <v>61.12072385165024</v>
      </c>
      <c r="AG4781" s="2">
        <f ca="1"/>
        <v>0.76648242316820681</v>
      </c>
      <c r="AH4781" s="2" t="str">
        <f ca="1"/>
        <v>Bad</v>
      </c>
    </row>
    <row r="4782" spans="2:34" x14ac:dyDescent="0.2">
      <c r="B4782" s="2">
        <f ca="1"/>
        <v>0.56912613503618958</v>
      </c>
      <c r="O4782" s="2">
        <f ca="1"/>
        <v>0.12839496223928498</v>
      </c>
      <c r="X4782" s="2">
        <f ca="1"/>
        <v>53.240598555679938</v>
      </c>
      <c r="AG4782" s="2">
        <f ca="1"/>
        <v>0.27368649849598747</v>
      </c>
      <c r="AH4782" s="2" t="str">
        <f ca="1"/>
        <v>OK</v>
      </c>
    </row>
    <row r="4783" spans="2:34" x14ac:dyDescent="0.2">
      <c r="B4783" s="2">
        <f ca="1"/>
        <v>0.37596397352370992</v>
      </c>
      <c r="O4783" s="2">
        <f ca="1"/>
        <v>1.1567441181013234</v>
      </c>
      <c r="X4783" s="2">
        <f ca="1"/>
        <v>36.667894827991518</v>
      </c>
      <c r="AG4783" s="2">
        <f ca="1"/>
        <v>0.89803792808360106</v>
      </c>
      <c r="AH4783" s="2" t="str">
        <f ca="1"/>
        <v>Bad</v>
      </c>
    </row>
    <row r="4784" spans="2:34" x14ac:dyDescent="0.2">
      <c r="B4784" s="2">
        <f ca="1"/>
        <v>0.24400053169172398</v>
      </c>
      <c r="O4784" s="2">
        <f ca="1"/>
        <v>-0.21782766319444091</v>
      </c>
      <c r="X4784" s="2">
        <f ca="1"/>
        <v>39.336310138146516</v>
      </c>
      <c r="AG4784" s="2">
        <f ca="1"/>
        <v>0.95290181531561546</v>
      </c>
      <c r="AH4784" s="2" t="str">
        <f ca="1"/>
        <v>Bad</v>
      </c>
    </row>
    <row r="4785" spans="2:34" x14ac:dyDescent="0.2">
      <c r="B4785" s="2">
        <f ca="1"/>
        <v>0.19194231269880468</v>
      </c>
      <c r="O4785" s="2">
        <f ca="1"/>
        <v>7.5135312825652632E-3</v>
      </c>
      <c r="X4785" s="2">
        <f ca="1"/>
        <v>59.129495050514429</v>
      </c>
      <c r="AG4785" s="2">
        <f ca="1"/>
        <v>0.73404368220502203</v>
      </c>
      <c r="AH4785" s="2" t="str">
        <f ca="1"/>
        <v>Bad</v>
      </c>
    </row>
    <row r="4786" spans="2:34" x14ac:dyDescent="0.2">
      <c r="B4786" s="2">
        <f ca="1"/>
        <v>0.80549144999706468</v>
      </c>
      <c r="O4786" s="2">
        <f ca="1"/>
        <v>2.3372617074552569</v>
      </c>
      <c r="X4786" s="2">
        <f ca="1"/>
        <v>40.904815278071986</v>
      </c>
      <c r="AG4786" s="2">
        <f ca="1"/>
        <v>7.5526046781361211E-2</v>
      </c>
      <c r="AH4786" s="2" t="str">
        <f ca="1"/>
        <v>OK</v>
      </c>
    </row>
    <row r="4787" spans="2:34" x14ac:dyDescent="0.2">
      <c r="B4787" s="2">
        <f ca="1"/>
        <v>0.204637462121247</v>
      </c>
      <c r="O4787" s="2">
        <f ca="1"/>
        <v>-0.14235165821522153</v>
      </c>
      <c r="X4787" s="2">
        <f ca="1"/>
        <v>20.734217909142338</v>
      </c>
      <c r="AG4787" s="2">
        <f ca="1"/>
        <v>0.57378887804254197</v>
      </c>
      <c r="AH4787" s="2" t="str">
        <f ca="1"/>
        <v>Bad</v>
      </c>
    </row>
    <row r="4788" spans="2:34" x14ac:dyDescent="0.2">
      <c r="B4788" s="2">
        <f ca="1"/>
        <v>0.1658150821541915</v>
      </c>
      <c r="O4788" s="2">
        <f ca="1"/>
        <v>0.32747675308164986</v>
      </c>
      <c r="X4788" s="2">
        <f ca="1"/>
        <v>36.051907934731837</v>
      </c>
      <c r="AG4788" s="2">
        <f ca="1"/>
        <v>0.9251314162544142</v>
      </c>
      <c r="AH4788" s="2" t="str">
        <f ca="1"/>
        <v>Bad</v>
      </c>
    </row>
    <row r="4789" spans="2:34" x14ac:dyDescent="0.2">
      <c r="B4789" s="2">
        <f ca="1"/>
        <v>0.26655285892109482</v>
      </c>
      <c r="O4789" s="2">
        <f ca="1"/>
        <v>-1.2078599747339169</v>
      </c>
      <c r="X4789" s="2">
        <f ca="1"/>
        <v>68.136983340497295</v>
      </c>
      <c r="AG4789" s="2">
        <f ca="1"/>
        <v>0.7244275633999484</v>
      </c>
      <c r="AH4789" s="2" t="str">
        <f ca="1"/>
        <v>Bad</v>
      </c>
    </row>
    <row r="4790" spans="2:34" x14ac:dyDescent="0.2">
      <c r="B4790" s="2">
        <f ca="1"/>
        <v>0.2626768264308339</v>
      </c>
      <c r="O4790" s="2">
        <f ca="1"/>
        <v>-0.38245341440180308</v>
      </c>
      <c r="X4790" s="2">
        <f ca="1"/>
        <v>22.884362881238868</v>
      </c>
      <c r="AG4790" s="2">
        <f ca="1"/>
        <v>0.8333148112873765</v>
      </c>
      <c r="AH4790" s="2" t="str">
        <f ca="1"/>
        <v>Bad</v>
      </c>
    </row>
    <row r="4791" spans="2:34" x14ac:dyDescent="0.2">
      <c r="B4791" s="2">
        <f ca="1"/>
        <v>0.71835788356388219</v>
      </c>
      <c r="O4791" s="2">
        <f ca="1"/>
        <v>-0.26227650147050513</v>
      </c>
      <c r="X4791" s="2">
        <f ca="1"/>
        <v>40.207527730974689</v>
      </c>
      <c r="AG4791" s="2">
        <f ca="1"/>
        <v>0.78112261002016847</v>
      </c>
      <c r="AH4791" s="2" t="str">
        <f ca="1"/>
        <v>Bad</v>
      </c>
    </row>
    <row r="4792" spans="2:34" x14ac:dyDescent="0.2">
      <c r="B4792" s="2">
        <f ca="1"/>
        <v>0.79003655971784514</v>
      </c>
      <c r="O4792" s="2">
        <f ca="1"/>
        <v>-6.2110550780164649E-2</v>
      </c>
      <c r="X4792" s="2">
        <f ca="1"/>
        <v>56.430450586992997</v>
      </c>
      <c r="AG4792" s="2">
        <f ca="1"/>
        <v>0.57636177458095239</v>
      </c>
      <c r="AH4792" s="2" t="str">
        <f ca="1"/>
        <v>Bad</v>
      </c>
    </row>
    <row r="4793" spans="2:34" x14ac:dyDescent="0.2">
      <c r="B4793" s="2">
        <f ca="1"/>
        <v>0.23822611898344781</v>
      </c>
      <c r="O4793" s="2">
        <f ca="1"/>
        <v>-0.75473520222322943</v>
      </c>
      <c r="X4793" s="2">
        <f ca="1"/>
        <v>42.942130268658516</v>
      </c>
      <c r="AG4793" s="2">
        <f ca="1"/>
        <v>0.63937007865790241</v>
      </c>
      <c r="AH4793" s="2" t="str">
        <f ca="1"/>
        <v>Bad</v>
      </c>
    </row>
    <row r="4794" spans="2:34" x14ac:dyDescent="0.2">
      <c r="B4794" s="2">
        <f ca="1"/>
        <v>0.94333849590558017</v>
      </c>
      <c r="O4794" s="2">
        <f ca="1"/>
        <v>1.8672595604730309</v>
      </c>
      <c r="X4794" s="2">
        <f ca="1"/>
        <v>50.639387219890438</v>
      </c>
      <c r="AG4794" s="2">
        <f ca="1"/>
        <v>0.82559483490618502</v>
      </c>
      <c r="AH4794" s="2" t="str">
        <f ca="1"/>
        <v>Bad</v>
      </c>
    </row>
    <row r="4795" spans="2:34" x14ac:dyDescent="0.2">
      <c r="B4795" s="2">
        <f ca="1"/>
        <v>1.0012591251682412E-3</v>
      </c>
      <c r="O4795" s="2">
        <f ca="1"/>
        <v>-0.17908744972686588</v>
      </c>
      <c r="X4795" s="2">
        <f ca="1"/>
        <v>78.408306028097485</v>
      </c>
      <c r="AG4795" s="2">
        <f ca="1"/>
        <v>0.37849912116608175</v>
      </c>
      <c r="AH4795" s="2" t="str">
        <f ca="1"/>
        <v>OK</v>
      </c>
    </row>
    <row r="4796" spans="2:34" x14ac:dyDescent="0.2">
      <c r="B4796" s="2">
        <f ca="1"/>
        <v>0.55477254311870405</v>
      </c>
      <c r="O4796" s="2">
        <f ca="1"/>
        <v>0.24752724667198925</v>
      </c>
      <c r="X4796" s="2">
        <f ca="1"/>
        <v>44.917758352726771</v>
      </c>
      <c r="AG4796" s="2">
        <f ca="1"/>
        <v>0.31775602440036077</v>
      </c>
      <c r="AH4796" s="2" t="str">
        <f ca="1"/>
        <v>OK</v>
      </c>
    </row>
    <row r="4797" spans="2:34" x14ac:dyDescent="0.2">
      <c r="B4797" s="2">
        <f ca="1"/>
        <v>0.21258438554060577</v>
      </c>
      <c r="O4797" s="2">
        <f ca="1"/>
        <v>2.767667153432134</v>
      </c>
      <c r="X4797" s="2">
        <f ca="1"/>
        <v>47.428915017395681</v>
      </c>
      <c r="AG4797" s="2">
        <f ca="1"/>
        <v>0.92589067346582854</v>
      </c>
      <c r="AH4797" s="2" t="str">
        <f ca="1"/>
        <v>Bad</v>
      </c>
    </row>
    <row r="4798" spans="2:34" x14ac:dyDescent="0.2">
      <c r="B4798" s="2">
        <f ca="1"/>
        <v>0.13949597671511249</v>
      </c>
      <c r="O4798" s="2">
        <f ca="1"/>
        <v>-0.40427714594316494</v>
      </c>
      <c r="X4798" s="2">
        <f ca="1"/>
        <v>105.66665848476021</v>
      </c>
      <c r="AG4798" s="2">
        <f ca="1"/>
        <v>0.60094635064249458</v>
      </c>
      <c r="AH4798" s="2" t="str">
        <f ca="1"/>
        <v>Bad</v>
      </c>
    </row>
    <row r="4799" spans="2:34" x14ac:dyDescent="0.2">
      <c r="B4799" s="2">
        <f ca="1"/>
        <v>0.42810245048699502</v>
      </c>
      <c r="O4799" s="2">
        <f ca="1"/>
        <v>-2.8770356046336683</v>
      </c>
      <c r="X4799" s="2">
        <f ca="1"/>
        <v>65.40006677858706</v>
      </c>
      <c r="AG4799" s="2">
        <f ca="1"/>
        <v>0.90827659582525122</v>
      </c>
      <c r="AH4799" s="2" t="str">
        <f ca="1"/>
        <v>Bad</v>
      </c>
    </row>
    <row r="4800" spans="2:34" x14ac:dyDescent="0.2">
      <c r="B4800" s="2">
        <f ca="1"/>
        <v>0.64839024366144749</v>
      </c>
      <c r="O4800" s="2">
        <f ca="1"/>
        <v>-1.1278707907464198</v>
      </c>
      <c r="X4800" s="2">
        <f ca="1"/>
        <v>19.313800021666545</v>
      </c>
      <c r="AG4800" s="2">
        <f ca="1"/>
        <v>0.50484056906877028</v>
      </c>
      <c r="AH4800" s="2" t="str">
        <f ca="1"/>
        <v>Bad</v>
      </c>
    </row>
    <row r="4801" spans="2:34" x14ac:dyDescent="0.2">
      <c r="B4801" s="2">
        <f ca="1"/>
        <v>0.9708457809374933</v>
      </c>
      <c r="O4801" s="2">
        <f ca="1"/>
        <v>1.3739506268568291</v>
      </c>
      <c r="X4801" s="2">
        <f ca="1"/>
        <v>37.650638923050309</v>
      </c>
      <c r="AG4801" s="2">
        <f ca="1"/>
        <v>0.79068019884941121</v>
      </c>
      <c r="AH4801" s="2" t="str">
        <f ca="1"/>
        <v>Bad</v>
      </c>
    </row>
    <row r="4802" spans="2:34" x14ac:dyDescent="0.2">
      <c r="B4802" s="2">
        <f ca="1"/>
        <v>2.7017139452979677E-2</v>
      </c>
      <c r="O4802" s="2">
        <f ca="1"/>
        <v>1.896511376395287</v>
      </c>
      <c r="X4802" s="2">
        <f ca="1"/>
        <v>105.4803711055786</v>
      </c>
      <c r="AG4802" s="2">
        <f ca="1"/>
        <v>0.7584788812621146</v>
      </c>
      <c r="AH4802" s="2" t="str">
        <f ca="1"/>
        <v>Bad</v>
      </c>
    </row>
    <row r="4803" spans="2:34" x14ac:dyDescent="0.2">
      <c r="B4803" s="2">
        <f ca="1"/>
        <v>0.1920273269409476</v>
      </c>
      <c r="O4803" s="2">
        <f ca="1"/>
        <v>0.77169110857296341</v>
      </c>
      <c r="X4803" s="2">
        <f ca="1"/>
        <v>52.680458463832132</v>
      </c>
      <c r="AG4803" s="2">
        <f ca="1"/>
        <v>0.88187581099640333</v>
      </c>
      <c r="AH4803" s="2" t="str">
        <f ca="1"/>
        <v>Bad</v>
      </c>
    </row>
    <row r="4804" spans="2:34" x14ac:dyDescent="0.2">
      <c r="B4804" s="2">
        <f ca="1"/>
        <v>0.56980771996433033</v>
      </c>
      <c r="O4804" s="2">
        <f ca="1"/>
        <v>0.58150104025073368</v>
      </c>
      <c r="X4804" s="2">
        <f ca="1"/>
        <v>64.675544157002037</v>
      </c>
      <c r="AG4804" s="2">
        <f ca="1"/>
        <v>0.23274279332886705</v>
      </c>
      <c r="AH4804" s="2" t="str">
        <f ca="1"/>
        <v>OK</v>
      </c>
    </row>
    <row r="4805" spans="2:34" x14ac:dyDescent="0.2">
      <c r="B4805" s="2">
        <f ca="1"/>
        <v>0.86617685084101814</v>
      </c>
      <c r="O4805" s="2">
        <f ca="1"/>
        <v>0.62045604586756564</v>
      </c>
      <c r="X4805" s="2">
        <f ca="1"/>
        <v>49.415372405666105</v>
      </c>
      <c r="AG4805" s="2">
        <f ca="1"/>
        <v>0.80741356480318749</v>
      </c>
      <c r="AH4805" s="2" t="str">
        <f ca="1"/>
        <v>Bad</v>
      </c>
    </row>
    <row r="4806" spans="2:34" x14ac:dyDescent="0.2">
      <c r="B4806" s="2">
        <f ca="1"/>
        <v>1.7636451803754838E-2</v>
      </c>
      <c r="O4806" s="2">
        <f ca="1"/>
        <v>1.5360547300832226</v>
      </c>
      <c r="X4806" s="2">
        <f ca="1"/>
        <v>63.789668028185027</v>
      </c>
      <c r="AG4806" s="2">
        <f ca="1"/>
        <v>0.86281030510501089</v>
      </c>
      <c r="AH4806" s="2" t="str">
        <f ca="1"/>
        <v>Bad</v>
      </c>
    </row>
    <row r="4807" spans="2:34" x14ac:dyDescent="0.2">
      <c r="B4807" s="2">
        <f ca="1"/>
        <v>0.46265492925908824</v>
      </c>
      <c r="O4807" s="2">
        <f ca="1"/>
        <v>0.37294407778090138</v>
      </c>
      <c r="X4807" s="2">
        <f ca="1"/>
        <v>47.569291735173174</v>
      </c>
      <c r="AG4807" s="2">
        <f ca="1"/>
        <v>0.49156468024211386</v>
      </c>
      <c r="AH4807" s="2" t="str">
        <f ca="1"/>
        <v>Bad</v>
      </c>
    </row>
    <row r="4808" spans="2:34" x14ac:dyDescent="0.2">
      <c r="B4808" s="2">
        <f ca="1"/>
        <v>0.96834295074502075</v>
      </c>
      <c r="O4808" s="2">
        <f ca="1"/>
        <v>2.2525707223497182</v>
      </c>
      <c r="X4808" s="2">
        <f ca="1"/>
        <v>46.190739166857789</v>
      </c>
      <c r="AG4808" s="2">
        <f ca="1"/>
        <v>0.38062205300720442</v>
      </c>
      <c r="AH4808" s="2" t="str">
        <f ca="1"/>
        <v>OK</v>
      </c>
    </row>
    <row r="4809" spans="2:34" x14ac:dyDescent="0.2">
      <c r="B4809" s="2">
        <f ca="1"/>
        <v>0.50071041907104052</v>
      </c>
      <c r="O4809" s="2">
        <f ca="1"/>
        <v>-1.1586392433178589</v>
      </c>
      <c r="X4809" s="2">
        <f ca="1"/>
        <v>55.695651099535077</v>
      </c>
      <c r="AG4809" s="2">
        <f ca="1"/>
        <v>0.29437496451161449</v>
      </c>
      <c r="AH4809" s="2" t="str">
        <f ca="1"/>
        <v>OK</v>
      </c>
    </row>
    <row r="4810" spans="2:34" x14ac:dyDescent="0.2">
      <c r="B4810" s="2">
        <f ca="1"/>
        <v>3.2973368940780734E-3</v>
      </c>
      <c r="O4810" s="2">
        <f ca="1"/>
        <v>-0.89196797048945975</v>
      </c>
      <c r="X4810" s="2">
        <f ca="1"/>
        <v>53.549744509647411</v>
      </c>
      <c r="AG4810" s="2">
        <f ca="1"/>
        <v>0.69798289331286578</v>
      </c>
      <c r="AH4810" s="2" t="str">
        <f ca="1"/>
        <v>Bad</v>
      </c>
    </row>
    <row r="4811" spans="2:34" x14ac:dyDescent="0.2">
      <c r="B4811" s="2">
        <f ca="1"/>
        <v>0.66834614619633781</v>
      </c>
      <c r="O4811" s="2">
        <f ca="1"/>
        <v>0.42656724294445963</v>
      </c>
      <c r="X4811" s="2">
        <f ca="1"/>
        <v>54.642966192960131</v>
      </c>
      <c r="AG4811" s="2">
        <f ca="1"/>
        <v>0.38005477257470366</v>
      </c>
      <c r="AH4811" s="2" t="str">
        <f ca="1"/>
        <v>OK</v>
      </c>
    </row>
    <row r="4812" spans="2:34" x14ac:dyDescent="0.2">
      <c r="B4812" s="2">
        <f ca="1"/>
        <v>0.57314355611460632</v>
      </c>
      <c r="O4812" s="2">
        <f ca="1"/>
        <v>-9.2482012600063109E-3</v>
      </c>
      <c r="X4812" s="2">
        <f ca="1"/>
        <v>53.602766563529158</v>
      </c>
      <c r="AG4812" s="2">
        <f ca="1"/>
        <v>0.43848965147729713</v>
      </c>
      <c r="AH4812" s="2" t="str">
        <f ca="1"/>
        <v>Bad</v>
      </c>
    </row>
    <row r="4813" spans="2:34" x14ac:dyDescent="0.2">
      <c r="B4813" s="2">
        <f ca="1"/>
        <v>0.18286544396399962</v>
      </c>
      <c r="O4813" s="2">
        <f ca="1"/>
        <v>-0.59988307538282237</v>
      </c>
      <c r="X4813" s="2">
        <f ca="1"/>
        <v>60.996692010049173</v>
      </c>
      <c r="AG4813" s="2">
        <f ca="1"/>
        <v>0.51625263609443461</v>
      </c>
      <c r="AH4813" s="2" t="str">
        <f ca="1"/>
        <v>Bad</v>
      </c>
    </row>
    <row r="4814" spans="2:34" x14ac:dyDescent="0.2">
      <c r="B4814" s="2">
        <f ca="1"/>
        <v>0.25348634079885701</v>
      </c>
      <c r="O4814" s="2">
        <f ca="1"/>
        <v>0.54026630724936364</v>
      </c>
      <c r="X4814" s="2">
        <f ca="1"/>
        <v>52.578424742171208</v>
      </c>
      <c r="AG4814" s="2">
        <f ca="1"/>
        <v>0.34515595336003613</v>
      </c>
      <c r="AH4814" s="2" t="str">
        <f ca="1"/>
        <v>OK</v>
      </c>
    </row>
    <row r="4815" spans="2:34" x14ac:dyDescent="0.2">
      <c r="B4815" s="2">
        <f ca="1"/>
        <v>0.49783099876611492</v>
      </c>
      <c r="O4815" s="2">
        <f ca="1"/>
        <v>0.16253501753434388</v>
      </c>
      <c r="X4815" s="2">
        <f ca="1"/>
        <v>51.081223838122</v>
      </c>
      <c r="AG4815" s="2">
        <f ca="1"/>
        <v>7.578802456538436E-2</v>
      </c>
      <c r="AH4815" s="2" t="str">
        <f ca="1"/>
        <v>OK</v>
      </c>
    </row>
    <row r="4816" spans="2:34" x14ac:dyDescent="0.2">
      <c r="B4816" s="2">
        <f ca="1"/>
        <v>0.41808025967418305</v>
      </c>
      <c r="O4816" s="2">
        <f ca="1"/>
        <v>0.27554460572382045</v>
      </c>
      <c r="X4816" s="2">
        <f ca="1"/>
        <v>62.563170404381353</v>
      </c>
      <c r="AG4816" s="2">
        <f ca="1"/>
        <v>0.35377182950419539</v>
      </c>
      <c r="AH4816" s="2" t="str">
        <f ca="1"/>
        <v>OK</v>
      </c>
    </row>
    <row r="4817" spans="2:34" x14ac:dyDescent="0.2">
      <c r="B4817" s="2">
        <f ca="1"/>
        <v>0.23612439330315449</v>
      </c>
      <c r="O4817" s="2">
        <f ca="1"/>
        <v>-2.2869222265567455</v>
      </c>
      <c r="X4817" s="2">
        <f ca="1"/>
        <v>51.271090831138643</v>
      </c>
      <c r="AG4817" s="2">
        <f ca="1"/>
        <v>0.1410596343403292</v>
      </c>
      <c r="AH4817" s="2" t="str">
        <f ca="1"/>
        <v>OK</v>
      </c>
    </row>
    <row r="4818" spans="2:34" x14ac:dyDescent="0.2">
      <c r="B4818" s="2">
        <f ca="1"/>
        <v>0.88107913560169426</v>
      </c>
      <c r="O4818" s="2">
        <f ca="1"/>
        <v>-2.0121216793864227</v>
      </c>
      <c r="X4818" s="2">
        <f ca="1"/>
        <v>62.258700816198925</v>
      </c>
      <c r="AG4818" s="2">
        <f ca="1"/>
        <v>0.29027419500096863</v>
      </c>
      <c r="AH4818" s="2" t="str">
        <f ca="1"/>
        <v>OK</v>
      </c>
    </row>
    <row r="4819" spans="2:34" x14ac:dyDescent="0.2">
      <c r="B4819" s="2">
        <f ca="1"/>
        <v>0.9481960345861693</v>
      </c>
      <c r="O4819" s="2">
        <f ca="1"/>
        <v>0.82785904711408997</v>
      </c>
      <c r="X4819" s="2">
        <f ca="1"/>
        <v>50.072137072023267</v>
      </c>
      <c r="AG4819" s="2">
        <f ca="1"/>
        <v>0.14502166030656882</v>
      </c>
      <c r="AH4819" s="2" t="str">
        <f ca="1"/>
        <v>OK</v>
      </c>
    </row>
    <row r="4820" spans="2:34" x14ac:dyDescent="0.2">
      <c r="B4820" s="2">
        <f ca="1"/>
        <v>0.87231551108153438</v>
      </c>
      <c r="O4820" s="2">
        <f ca="1"/>
        <v>0.60036522873015419</v>
      </c>
      <c r="X4820" s="2">
        <f ca="1"/>
        <v>31.058361073301086</v>
      </c>
      <c r="AG4820" s="2">
        <f ca="1"/>
        <v>0.37610227338971125</v>
      </c>
      <c r="AH4820" s="2" t="str">
        <f ca="1"/>
        <v>OK</v>
      </c>
    </row>
    <row r="4821" spans="2:34" x14ac:dyDescent="0.2">
      <c r="B4821" s="2">
        <f ca="1"/>
        <v>0.40086162689782001</v>
      </c>
      <c r="O4821" s="2">
        <f ca="1"/>
        <v>-0.38975676953319388</v>
      </c>
      <c r="X4821" s="2">
        <f ca="1"/>
        <v>42.215778422724675</v>
      </c>
      <c r="AG4821" s="2">
        <f ca="1"/>
        <v>3.455639890816542E-2</v>
      </c>
      <c r="AH4821" s="2" t="str">
        <f ca="1"/>
        <v>Good</v>
      </c>
    </row>
    <row r="4822" spans="2:34" x14ac:dyDescent="0.2">
      <c r="B4822" s="2">
        <f ca="1"/>
        <v>0.65761383347692526</v>
      </c>
      <c r="O4822" s="2">
        <f ca="1"/>
        <v>1.0768269564274657</v>
      </c>
      <c r="X4822" s="2">
        <f ca="1"/>
        <v>46.310081964389731</v>
      </c>
      <c r="AG4822" s="2">
        <f ca="1"/>
        <v>0.71626215242140168</v>
      </c>
      <c r="AH4822" s="2" t="str">
        <f ca="1"/>
        <v>Bad</v>
      </c>
    </row>
    <row r="4823" spans="2:34" x14ac:dyDescent="0.2">
      <c r="B4823" s="2">
        <f ca="1"/>
        <v>0.66342437931291398</v>
      </c>
      <c r="O4823" s="2">
        <f ca="1"/>
        <v>0.76136537826426187</v>
      </c>
      <c r="X4823" s="2">
        <f ca="1"/>
        <v>37.292646014735219</v>
      </c>
      <c r="AG4823" s="2">
        <f ca="1"/>
        <v>0.14397023910594431</v>
      </c>
      <c r="AH4823" s="2" t="str">
        <f ca="1"/>
        <v>OK</v>
      </c>
    </row>
    <row r="4824" spans="2:34" x14ac:dyDescent="0.2">
      <c r="B4824" s="2">
        <f ca="1"/>
        <v>0.88791035384360861</v>
      </c>
      <c r="O4824" s="2">
        <f ca="1"/>
        <v>0.54182587156944373</v>
      </c>
      <c r="X4824" s="2">
        <f ca="1"/>
        <v>65.326214365816654</v>
      </c>
      <c r="AG4824" s="2">
        <f ca="1"/>
        <v>0.34208388037351267</v>
      </c>
      <c r="AH4824" s="2" t="str">
        <f ca="1"/>
        <v>OK</v>
      </c>
    </row>
    <row r="4825" spans="2:34" x14ac:dyDescent="0.2">
      <c r="B4825" s="2">
        <f ca="1"/>
        <v>0.62039244538364313</v>
      </c>
      <c r="O4825" s="2">
        <f ca="1"/>
        <v>-0.38044138024723229</v>
      </c>
      <c r="X4825" s="2">
        <f ca="1"/>
        <v>43.242231102774994</v>
      </c>
      <c r="AG4825" s="2">
        <f ca="1"/>
        <v>0.72276404562226171</v>
      </c>
      <c r="AH4825" s="2" t="str">
        <f ca="1"/>
        <v>Bad</v>
      </c>
    </row>
    <row r="4826" spans="2:34" x14ac:dyDescent="0.2">
      <c r="B4826" s="2">
        <f ca="1"/>
        <v>0.73841928833231685</v>
      </c>
      <c r="O4826" s="2">
        <f ca="1"/>
        <v>-0.44427335255438261</v>
      </c>
      <c r="X4826" s="2">
        <f ca="1"/>
        <v>32.045492357176308</v>
      </c>
      <c r="AG4826" s="2">
        <f ca="1"/>
        <v>0.63347355011057638</v>
      </c>
      <c r="AH4826" s="2" t="str">
        <f ca="1"/>
        <v>Bad</v>
      </c>
    </row>
    <row r="4827" spans="2:34" x14ac:dyDescent="0.2">
      <c r="B4827" s="2">
        <f ca="1"/>
        <v>0.49162383735959936</v>
      </c>
      <c r="O4827" s="2">
        <f ca="1"/>
        <v>-2.0150629728078244</v>
      </c>
      <c r="X4827" s="2">
        <f ca="1"/>
        <v>44.024000217134336</v>
      </c>
      <c r="AG4827" s="2">
        <f ca="1"/>
        <v>0.63670342045530437</v>
      </c>
      <c r="AH4827" s="2" t="str">
        <f ca="1"/>
        <v>Bad</v>
      </c>
    </row>
    <row r="4828" spans="2:34" x14ac:dyDescent="0.2">
      <c r="B4828" s="2">
        <f ca="1"/>
        <v>0.85249058973933578</v>
      </c>
      <c r="O4828" s="2">
        <f ca="1"/>
        <v>0.62785551003993589</v>
      </c>
      <c r="X4828" s="2">
        <f ca="1"/>
        <v>49.415211358841589</v>
      </c>
      <c r="AG4828" s="2">
        <f ca="1"/>
        <v>8.1904376069749985E-2</v>
      </c>
      <c r="AH4828" s="2" t="str">
        <f ca="1"/>
        <v>OK</v>
      </c>
    </row>
    <row r="4829" spans="2:34" x14ac:dyDescent="0.2">
      <c r="B4829" s="2">
        <f ca="1"/>
        <v>0.909735203487543</v>
      </c>
      <c r="O4829" s="2">
        <f ca="1"/>
        <v>-0.43992660547737589</v>
      </c>
      <c r="X4829" s="2">
        <f ca="1"/>
        <v>33.536624012099679</v>
      </c>
      <c r="AG4829" s="2">
        <f ca="1"/>
        <v>0.33616859768488161</v>
      </c>
      <c r="AH4829" s="2" t="str">
        <f ca="1"/>
        <v>OK</v>
      </c>
    </row>
    <row r="4830" spans="2:34" x14ac:dyDescent="0.2">
      <c r="B4830" s="2">
        <f ca="1"/>
        <v>7.0871249735042108E-2</v>
      </c>
      <c r="O4830" s="2">
        <f ca="1"/>
        <v>0.93130834983802968</v>
      </c>
      <c r="X4830" s="2">
        <f ca="1"/>
        <v>41.677911668785519</v>
      </c>
      <c r="AG4830" s="2">
        <f ca="1"/>
        <v>0.82713375540330047</v>
      </c>
      <c r="AH4830" s="2" t="str">
        <f ca="1"/>
        <v>Bad</v>
      </c>
    </row>
    <row r="4831" spans="2:34" x14ac:dyDescent="0.2">
      <c r="B4831" s="2">
        <f ca="1"/>
        <v>0.29491350847767639</v>
      </c>
      <c r="O4831" s="2">
        <f ca="1"/>
        <v>-9.3285773131796132E-2</v>
      </c>
      <c r="X4831" s="2">
        <f ca="1"/>
        <v>65.995271339247068</v>
      </c>
      <c r="AG4831" s="2">
        <f ca="1"/>
        <v>0.60552505101182486</v>
      </c>
      <c r="AH4831" s="2" t="str">
        <f ca="1"/>
        <v>Bad</v>
      </c>
    </row>
    <row r="4832" spans="2:34" x14ac:dyDescent="0.2">
      <c r="B4832" s="2">
        <f ca="1"/>
        <v>0.70161007926143371</v>
      </c>
      <c r="O4832" s="2">
        <f ca="1"/>
        <v>0.39959514569255961</v>
      </c>
      <c r="X4832" s="2">
        <f ca="1"/>
        <v>36.539825101017335</v>
      </c>
      <c r="AG4832" s="2">
        <f ca="1"/>
        <v>0.94901754366359836</v>
      </c>
      <c r="AH4832" s="2" t="str">
        <f ca="1"/>
        <v>Bad</v>
      </c>
    </row>
    <row r="4833" spans="2:34" x14ac:dyDescent="0.2">
      <c r="B4833" s="2">
        <f ca="1"/>
        <v>0.23247100123329734</v>
      </c>
      <c r="O4833" s="2">
        <f ca="1"/>
        <v>1.0935781452891742</v>
      </c>
      <c r="X4833" s="2">
        <f ca="1"/>
        <v>39.817802434543708</v>
      </c>
      <c r="AG4833" s="2">
        <f ca="1"/>
        <v>0.28029839459641659</v>
      </c>
      <c r="AH4833" s="2" t="str">
        <f ca="1"/>
        <v>OK</v>
      </c>
    </row>
    <row r="4834" spans="2:34" x14ac:dyDescent="0.2">
      <c r="B4834" s="2">
        <f ca="1"/>
        <v>0.37225493434482537</v>
      </c>
      <c r="O4834" s="2">
        <f ca="1"/>
        <v>-0.50237459827135356</v>
      </c>
      <c r="X4834" s="2">
        <f ca="1"/>
        <v>47.583587975813806</v>
      </c>
      <c r="AG4834" s="2">
        <f ca="1"/>
        <v>0.33267253744329528</v>
      </c>
      <c r="AH4834" s="2" t="str">
        <f ca="1"/>
        <v>OK</v>
      </c>
    </row>
    <row r="4835" spans="2:34" x14ac:dyDescent="0.2">
      <c r="B4835" s="2">
        <f ca="1"/>
        <v>0.85228394748754743</v>
      </c>
      <c r="O4835" s="2">
        <f ca="1"/>
        <v>1.1552670309571511</v>
      </c>
      <c r="X4835" s="2">
        <f ca="1"/>
        <v>59.49656068126928</v>
      </c>
      <c r="AG4835" s="2">
        <f ca="1"/>
        <v>0.25213440721575253</v>
      </c>
      <c r="AH4835" s="2" t="str">
        <f ca="1"/>
        <v>OK</v>
      </c>
    </row>
    <row r="4836" spans="2:34" x14ac:dyDescent="0.2">
      <c r="B4836" s="2">
        <f ca="1"/>
        <v>0.59854237358483275</v>
      </c>
      <c r="O4836" s="2">
        <f ca="1"/>
        <v>6.1383856599542833E-2</v>
      </c>
      <c r="X4836" s="2">
        <f ca="1"/>
        <v>60.705703461885356</v>
      </c>
      <c r="AG4836" s="2">
        <f ca="1"/>
        <v>0.14792062185007548</v>
      </c>
      <c r="AH4836" s="2" t="str">
        <f ca="1"/>
        <v>OK</v>
      </c>
    </row>
    <row r="4837" spans="2:34" x14ac:dyDescent="0.2">
      <c r="B4837" s="2">
        <f ca="1"/>
        <v>0.57235034848710398</v>
      </c>
      <c r="O4837" s="2">
        <f ca="1"/>
        <v>-0.96268427741910956</v>
      </c>
      <c r="X4837" s="2">
        <f ca="1"/>
        <v>54.283670809914312</v>
      </c>
      <c r="AG4837" s="2">
        <f ca="1"/>
        <v>0.88036425181213351</v>
      </c>
      <c r="AH4837" s="2" t="str">
        <f ca="1"/>
        <v>Bad</v>
      </c>
    </row>
    <row r="4838" spans="2:34" x14ac:dyDescent="0.2">
      <c r="B4838" s="2">
        <f ca="1"/>
        <v>0.52362726368681867</v>
      </c>
      <c r="O4838" s="2">
        <f ca="1"/>
        <v>-3.4345715835666028E-2</v>
      </c>
      <c r="X4838" s="2">
        <f ca="1"/>
        <v>44.89356447334486</v>
      </c>
      <c r="AG4838" s="2">
        <f ca="1"/>
        <v>3.0286463701842958E-3</v>
      </c>
      <c r="AH4838" s="2" t="str">
        <f ca="1"/>
        <v>Good</v>
      </c>
    </row>
    <row r="4839" spans="2:34" x14ac:dyDescent="0.2">
      <c r="B4839" s="2">
        <f ca="1"/>
        <v>0.45960114929479579</v>
      </c>
      <c r="O4839" s="2">
        <f ca="1"/>
        <v>0.56879924878313082</v>
      </c>
      <c r="X4839" s="2">
        <f ca="1"/>
        <v>67.834811753111651</v>
      </c>
      <c r="AG4839" s="2">
        <f ca="1"/>
        <v>0.73009587138314114</v>
      </c>
      <c r="AH4839" s="2" t="str">
        <f ca="1"/>
        <v>Bad</v>
      </c>
    </row>
    <row r="4840" spans="2:34" x14ac:dyDescent="0.2">
      <c r="B4840" s="2">
        <f ca="1"/>
        <v>7.62397308281626E-3</v>
      </c>
      <c r="O4840" s="2">
        <f ca="1"/>
        <v>-2.4488129382562406E-2</v>
      </c>
      <c r="X4840" s="2">
        <f ca="1"/>
        <v>34.892185498575024</v>
      </c>
      <c r="AG4840" s="2">
        <f ca="1"/>
        <v>0.21860331481285344</v>
      </c>
      <c r="AH4840" s="2" t="str">
        <f ca="1"/>
        <v>OK</v>
      </c>
    </row>
    <row r="4841" spans="2:34" x14ac:dyDescent="0.2">
      <c r="B4841" s="2">
        <f ca="1"/>
        <v>0.37804512924147704</v>
      </c>
      <c r="O4841" s="2">
        <f ca="1"/>
        <v>-1.2981488691978591</v>
      </c>
      <c r="X4841" s="2">
        <f ca="1"/>
        <v>64.919327243071592</v>
      </c>
      <c r="AG4841" s="2">
        <f ca="1"/>
        <v>2.953015904679801E-2</v>
      </c>
      <c r="AH4841" s="2" t="str">
        <f ca="1"/>
        <v>Good</v>
      </c>
    </row>
    <row r="4842" spans="2:34" x14ac:dyDescent="0.2">
      <c r="B4842" s="2">
        <f ca="1"/>
        <v>0.48251843449888909</v>
      </c>
      <c r="O4842" s="2">
        <f ca="1"/>
        <v>-0.90574964233774824</v>
      </c>
      <c r="X4842" s="2">
        <f ca="1"/>
        <v>51.186299768279959</v>
      </c>
      <c r="AG4842" s="2">
        <f ca="1"/>
        <v>0.80187325328236048</v>
      </c>
      <c r="AH4842" s="2" t="str">
        <f ca="1"/>
        <v>Bad</v>
      </c>
    </row>
    <row r="4843" spans="2:34" x14ac:dyDescent="0.2">
      <c r="B4843" s="2">
        <f ca="1"/>
        <v>0.83199596889619221</v>
      </c>
      <c r="O4843" s="2">
        <f ca="1"/>
        <v>-1.1778108135678642</v>
      </c>
      <c r="X4843" s="2">
        <f ca="1"/>
        <v>49.468735989482049</v>
      </c>
      <c r="AG4843" s="2">
        <f ca="1"/>
        <v>0.13206112794875469</v>
      </c>
      <c r="AH4843" s="2" t="str">
        <f ca="1"/>
        <v>OK</v>
      </c>
    </row>
    <row r="4844" spans="2:34" x14ac:dyDescent="0.2">
      <c r="B4844" s="2">
        <f ca="1"/>
        <v>0.97821062583834051</v>
      </c>
      <c r="O4844" s="2">
        <f ca="1"/>
        <v>-0.63904707489934909</v>
      </c>
      <c r="X4844" s="2">
        <f ca="1"/>
        <v>52.075630550730629</v>
      </c>
      <c r="AG4844" s="2">
        <f ca="1"/>
        <v>0.18278403962654988</v>
      </c>
      <c r="AH4844" s="2" t="str">
        <f ca="1"/>
        <v>OK</v>
      </c>
    </row>
    <row r="4845" spans="2:34" x14ac:dyDescent="0.2">
      <c r="B4845" s="2">
        <f ca="1"/>
        <v>0.6437505555332117</v>
      </c>
      <c r="O4845" s="2">
        <f ca="1"/>
        <v>-2.3370512215383625</v>
      </c>
      <c r="X4845" s="2">
        <f ca="1"/>
        <v>40.393330266986524</v>
      </c>
      <c r="AG4845" s="2">
        <f ca="1"/>
        <v>0.37000730853772557</v>
      </c>
      <c r="AH4845" s="2" t="str">
        <f ca="1"/>
        <v>OK</v>
      </c>
    </row>
    <row r="4846" spans="2:34" x14ac:dyDescent="0.2">
      <c r="B4846" s="2">
        <f ca="1"/>
        <v>0.24818397933152481</v>
      </c>
      <c r="O4846" s="2">
        <f ca="1"/>
        <v>-0.97666450046934572</v>
      </c>
      <c r="X4846" s="2">
        <f ca="1"/>
        <v>52.4627838174206</v>
      </c>
      <c r="AG4846" s="2">
        <f ca="1"/>
        <v>0.98838487059938385</v>
      </c>
      <c r="AH4846" s="2" t="str">
        <f ca="1"/>
        <v>Bad</v>
      </c>
    </row>
    <row r="4847" spans="2:34" x14ac:dyDescent="0.2">
      <c r="B4847" s="2">
        <f ca="1"/>
        <v>0.45637840011917308</v>
      </c>
      <c r="O4847" s="2">
        <f ca="1"/>
        <v>-0.47378351035095423</v>
      </c>
      <c r="X4847" s="2">
        <f ca="1"/>
        <v>46.569106649932451</v>
      </c>
      <c r="AG4847" s="2">
        <f ca="1"/>
        <v>0.114990513175665</v>
      </c>
      <c r="AH4847" s="2" t="str">
        <f ca="1"/>
        <v>OK</v>
      </c>
    </row>
    <row r="4848" spans="2:34" x14ac:dyDescent="0.2">
      <c r="B4848" s="2">
        <f ca="1"/>
        <v>8.9768421267976128E-2</v>
      </c>
      <c r="O4848" s="2">
        <f ca="1"/>
        <v>-0.2043781063661855</v>
      </c>
      <c r="X4848" s="2">
        <f ca="1"/>
        <v>53.674470941501902</v>
      </c>
      <c r="AG4848" s="2">
        <f ca="1"/>
        <v>0.86304889845542654</v>
      </c>
      <c r="AH4848" s="2" t="str">
        <f ca="1"/>
        <v>Bad</v>
      </c>
    </row>
    <row r="4849" spans="2:34" x14ac:dyDescent="0.2">
      <c r="B4849" s="2">
        <f ca="1"/>
        <v>0.88370992643974722</v>
      </c>
      <c r="O4849" s="2">
        <f ca="1"/>
        <v>1.1776106969292552</v>
      </c>
      <c r="X4849" s="2">
        <f ca="1"/>
        <v>32.116304825514831</v>
      </c>
      <c r="AG4849" s="2">
        <f ca="1"/>
        <v>0.36126998697492652</v>
      </c>
      <c r="AH4849" s="2" t="str">
        <f ca="1"/>
        <v>OK</v>
      </c>
    </row>
    <row r="4850" spans="2:34" x14ac:dyDescent="0.2">
      <c r="B4850" s="2">
        <f ca="1"/>
        <v>0.18823037593073733</v>
      </c>
      <c r="O4850" s="2">
        <f ca="1"/>
        <v>2.4817335720279408</v>
      </c>
      <c r="X4850" s="2">
        <f ca="1"/>
        <v>24.522848431172175</v>
      </c>
      <c r="AG4850" s="2">
        <f ca="1"/>
        <v>0.41254289217234574</v>
      </c>
      <c r="AH4850" s="2" t="str">
        <f ca="1"/>
        <v>Bad</v>
      </c>
    </row>
    <row r="4851" spans="2:34" x14ac:dyDescent="0.2">
      <c r="B4851" s="2">
        <f ca="1"/>
        <v>0.64249420704440818</v>
      </c>
      <c r="O4851" s="2">
        <f ca="1"/>
        <v>0.83224036183679395</v>
      </c>
      <c r="X4851" s="2">
        <f ca="1"/>
        <v>31.115723734349245</v>
      </c>
      <c r="AG4851" s="2">
        <f ca="1"/>
        <v>0.67768124248255135</v>
      </c>
      <c r="AH4851" s="2" t="str">
        <f ca="1"/>
        <v>Bad</v>
      </c>
    </row>
    <row r="4852" spans="2:34" x14ac:dyDescent="0.2">
      <c r="B4852" s="2">
        <f ca="1"/>
        <v>0.62679870239951407</v>
      </c>
      <c r="O4852" s="2">
        <f ca="1"/>
        <v>0.59965248726661424</v>
      </c>
      <c r="X4852" s="2">
        <f ca="1"/>
        <v>45.608451898440038</v>
      </c>
      <c r="AG4852" s="2">
        <f ca="1"/>
        <v>0.40725245987416403</v>
      </c>
      <c r="AH4852" s="2" t="str">
        <f ca="1"/>
        <v>Bad</v>
      </c>
    </row>
    <row r="4853" spans="2:34" x14ac:dyDescent="0.2">
      <c r="B4853" s="2">
        <f ca="1"/>
        <v>0.51189355964570327</v>
      </c>
      <c r="O4853" s="2">
        <f ca="1"/>
        <v>0.17074158480790935</v>
      </c>
      <c r="X4853" s="2">
        <f ca="1"/>
        <v>38.34027067040828</v>
      </c>
      <c r="AG4853" s="2">
        <f ca="1"/>
        <v>7.7554979875681385E-2</v>
      </c>
      <c r="AH4853" s="2" t="str">
        <f ca="1"/>
        <v>OK</v>
      </c>
    </row>
    <row r="4854" spans="2:34" x14ac:dyDescent="0.2">
      <c r="B4854" s="2">
        <f ca="1"/>
        <v>0.60156263058729786</v>
      </c>
      <c r="O4854" s="2">
        <f ca="1"/>
        <v>1.252277719337088</v>
      </c>
      <c r="X4854" s="2">
        <f ca="1"/>
        <v>37.237640641035206</v>
      </c>
      <c r="AG4854" s="2">
        <f ca="1"/>
        <v>0.70047837852111505</v>
      </c>
      <c r="AH4854" s="2" t="str">
        <f ca="1"/>
        <v>Bad</v>
      </c>
    </row>
    <row r="4855" spans="2:34" x14ac:dyDescent="0.2">
      <c r="B4855" s="2">
        <f ca="1"/>
        <v>0.65684282732860666</v>
      </c>
      <c r="O4855" s="2">
        <f ca="1"/>
        <v>0.95403535770611281</v>
      </c>
      <c r="X4855" s="2">
        <f ca="1"/>
        <v>48.865642435769047</v>
      </c>
      <c r="AG4855" s="2">
        <f ca="1"/>
        <v>0.97472878912228356</v>
      </c>
      <c r="AH4855" s="2" t="str">
        <f ca="1"/>
        <v>Bad</v>
      </c>
    </row>
    <row r="4856" spans="2:34" x14ac:dyDescent="0.2">
      <c r="B4856" s="2">
        <f ca="1"/>
        <v>0.64201678920232097</v>
      </c>
      <c r="O4856" s="2">
        <f ca="1"/>
        <v>1.7667165395017124</v>
      </c>
      <c r="X4856" s="2">
        <f ca="1"/>
        <v>51.729501689581888</v>
      </c>
      <c r="AG4856" s="2">
        <f ca="1"/>
        <v>0.63079873028668088</v>
      </c>
      <c r="AH4856" s="2" t="str">
        <f ca="1"/>
        <v>Bad</v>
      </c>
    </row>
    <row r="4857" spans="2:34" x14ac:dyDescent="0.2">
      <c r="B4857" s="2">
        <f ca="1"/>
        <v>0.59150325589723818</v>
      </c>
      <c r="O4857" s="2">
        <f ca="1"/>
        <v>-3.4383726549007558E-2</v>
      </c>
      <c r="X4857" s="2">
        <f ca="1"/>
        <v>55.530803123118218</v>
      </c>
      <c r="AG4857" s="2">
        <f ca="1"/>
        <v>9.0425165580060973E-2</v>
      </c>
      <c r="AH4857" s="2" t="str">
        <f ca="1"/>
        <v>OK</v>
      </c>
    </row>
    <row r="4858" spans="2:34" x14ac:dyDescent="0.2">
      <c r="B4858" s="2">
        <f ca="1"/>
        <v>0.29819799019681481</v>
      </c>
      <c r="O4858" s="2">
        <f ca="1"/>
        <v>0.91204610015958376</v>
      </c>
      <c r="X4858" s="2">
        <f ca="1"/>
        <v>80.523357192987646</v>
      </c>
      <c r="AG4858" s="2">
        <f ca="1"/>
        <v>0.28387032917069055</v>
      </c>
      <c r="AH4858" s="2" t="str">
        <f ca="1"/>
        <v>OK</v>
      </c>
    </row>
    <row r="4859" spans="2:34" x14ac:dyDescent="0.2">
      <c r="B4859" s="2">
        <f ca="1"/>
        <v>0.27923161671457786</v>
      </c>
      <c r="O4859" s="2">
        <f ca="1"/>
        <v>1.9576754864345189</v>
      </c>
      <c r="X4859" s="2">
        <f ca="1"/>
        <v>56.556749397577342</v>
      </c>
      <c r="AG4859" s="2">
        <f ca="1"/>
        <v>0.90272930197632339</v>
      </c>
      <c r="AH4859" s="2" t="str">
        <f ca="1"/>
        <v>Bad</v>
      </c>
    </row>
    <row r="4860" spans="2:34" x14ac:dyDescent="0.2">
      <c r="B4860" s="2">
        <f ca="1"/>
        <v>0.94175606106337262</v>
      </c>
      <c r="O4860" s="2">
        <f ca="1"/>
        <v>0.77829419182893511</v>
      </c>
      <c r="X4860" s="2">
        <f ca="1"/>
        <v>48.836859969431174</v>
      </c>
      <c r="AG4860" s="2">
        <f ca="1"/>
        <v>0.81183665575802277</v>
      </c>
      <c r="AH4860" s="2" t="str">
        <f ca="1"/>
        <v>Bad</v>
      </c>
    </row>
    <row r="4861" spans="2:34" x14ac:dyDescent="0.2">
      <c r="B4861" s="2">
        <f ca="1"/>
        <v>0.19002147279708792</v>
      </c>
      <c r="O4861" s="2">
        <f ca="1"/>
        <v>0.91038518877699393</v>
      </c>
      <c r="X4861" s="2">
        <f ca="1"/>
        <v>82.415671392789022</v>
      </c>
      <c r="AG4861" s="2">
        <f ca="1"/>
        <v>0.5178921135642951</v>
      </c>
      <c r="AH4861" s="2" t="str">
        <f ca="1"/>
        <v>Bad</v>
      </c>
    </row>
    <row r="4862" spans="2:34" x14ac:dyDescent="0.2">
      <c r="B4862" s="2">
        <f ca="1"/>
        <v>0.35429740274922494</v>
      </c>
      <c r="O4862" s="2">
        <f ca="1"/>
        <v>-0.87072774202814607</v>
      </c>
      <c r="X4862" s="2">
        <f ca="1"/>
        <v>62.804197501900759</v>
      </c>
      <c r="AG4862" s="2">
        <f ca="1"/>
        <v>5.7712745591019132E-2</v>
      </c>
      <c r="AH4862" s="2" t="str">
        <f ca="1"/>
        <v>OK</v>
      </c>
    </row>
    <row r="4863" spans="2:34" x14ac:dyDescent="0.2">
      <c r="B4863" s="2">
        <f ca="1"/>
        <v>0.18608650566955887</v>
      </c>
      <c r="O4863" s="2">
        <f ca="1"/>
        <v>-1.5064861128876705</v>
      </c>
      <c r="X4863" s="2">
        <f ca="1"/>
        <v>37.692461212659033</v>
      </c>
      <c r="AG4863" s="2">
        <f ca="1"/>
        <v>0.59799501975147629</v>
      </c>
      <c r="AH4863" s="2" t="str">
        <f ca="1"/>
        <v>Bad</v>
      </c>
    </row>
    <row r="4864" spans="2:34" x14ac:dyDescent="0.2">
      <c r="B4864" s="2">
        <f ca="1"/>
        <v>0.66588719648425099</v>
      </c>
      <c r="O4864" s="2">
        <f ca="1"/>
        <v>-0.64419239914647286</v>
      </c>
      <c r="X4864" s="2">
        <f ca="1"/>
        <v>30.680512402004002</v>
      </c>
      <c r="AG4864" s="2">
        <f ca="1"/>
        <v>0.62159719503535937</v>
      </c>
      <c r="AH4864" s="2" t="str">
        <f ca="1"/>
        <v>Bad</v>
      </c>
    </row>
    <row r="4865" spans="2:34" x14ac:dyDescent="0.2">
      <c r="B4865" s="2">
        <f ca="1"/>
        <v>0.6567605029837662</v>
      </c>
      <c r="O4865" s="2">
        <f ca="1"/>
        <v>-6.547596627328521E-2</v>
      </c>
      <c r="X4865" s="2">
        <f ca="1"/>
        <v>53.311930642226066</v>
      </c>
      <c r="AG4865" s="2">
        <f ca="1"/>
        <v>0.33382310789082403</v>
      </c>
      <c r="AH4865" s="2" t="str">
        <f ca="1"/>
        <v>OK</v>
      </c>
    </row>
    <row r="4866" spans="2:34" x14ac:dyDescent="0.2">
      <c r="B4866" s="2">
        <f ca="1"/>
        <v>0.83244719251060273</v>
      </c>
      <c r="O4866" s="2">
        <f ca="1"/>
        <v>0.3644708334320732</v>
      </c>
      <c r="X4866" s="2">
        <f ca="1"/>
        <v>40.213346261579098</v>
      </c>
      <c r="AG4866" s="2">
        <f ca="1"/>
        <v>4.4530849862284727E-2</v>
      </c>
      <c r="AH4866" s="2" t="str">
        <f ca="1"/>
        <v>Good</v>
      </c>
    </row>
    <row r="4867" spans="2:34" x14ac:dyDescent="0.2">
      <c r="B4867" s="2">
        <f ca="1"/>
        <v>0.72503253451502747</v>
      </c>
      <c r="O4867" s="2">
        <f ca="1"/>
        <v>-1.8234673883890165</v>
      </c>
      <c r="X4867" s="2">
        <f ca="1"/>
        <v>37.594995912238687</v>
      </c>
      <c r="AG4867" s="2">
        <f ca="1"/>
        <v>0.34691000508735259</v>
      </c>
      <c r="AH4867" s="2" t="str">
        <f ca="1"/>
        <v>OK</v>
      </c>
    </row>
    <row r="4868" spans="2:34" x14ac:dyDescent="0.2">
      <c r="B4868" s="2">
        <f ca="1"/>
        <v>5.9121724119190366E-2</v>
      </c>
      <c r="O4868" s="2">
        <f ca="1"/>
        <v>0.50680233976449263</v>
      </c>
      <c r="X4868" s="2">
        <f ca="1"/>
        <v>42.775727585724212</v>
      </c>
      <c r="AG4868" s="2">
        <f ca="1"/>
        <v>4.7716214300820514E-2</v>
      </c>
      <c r="AH4868" s="2" t="str">
        <f ca="1"/>
        <v>Good</v>
      </c>
    </row>
    <row r="4869" spans="2:34" x14ac:dyDescent="0.2">
      <c r="B4869" s="2">
        <f ca="1"/>
        <v>0.31807923852534725</v>
      </c>
      <c r="O4869" s="2">
        <f ca="1"/>
        <v>-3.2441880674705403E-3</v>
      </c>
      <c r="X4869" s="2">
        <f ca="1"/>
        <v>33.901524834366043</v>
      </c>
      <c r="AG4869" s="2">
        <f ca="1"/>
        <v>0.30272796981567174</v>
      </c>
      <c r="AH4869" s="2" t="str">
        <f ca="1"/>
        <v>OK</v>
      </c>
    </row>
    <row r="4870" spans="2:34" x14ac:dyDescent="0.2">
      <c r="B4870" s="2">
        <f ca="1"/>
        <v>0.37283670384672574</v>
      </c>
      <c r="O4870" s="2">
        <f ca="1"/>
        <v>0.68933832066827505</v>
      </c>
      <c r="X4870" s="2">
        <f ca="1"/>
        <v>57.241045903594639</v>
      </c>
      <c r="AG4870" s="2">
        <f ca="1"/>
        <v>0.69955270648618217</v>
      </c>
      <c r="AH4870" s="2" t="str">
        <f ca="1"/>
        <v>Bad</v>
      </c>
    </row>
    <row r="4871" spans="2:34" x14ac:dyDescent="0.2">
      <c r="B4871" s="2">
        <f ca="1"/>
        <v>0.67999585925265471</v>
      </c>
      <c r="O4871" s="2">
        <f ca="1"/>
        <v>-0.1214555513517591</v>
      </c>
      <c r="X4871" s="2">
        <f ca="1"/>
        <v>57.46459569773797</v>
      </c>
      <c r="AG4871" s="2">
        <f ca="1"/>
        <v>0.18221796794217093</v>
      </c>
      <c r="AH4871" s="2" t="str">
        <f ca="1"/>
        <v>OK</v>
      </c>
    </row>
    <row r="4872" spans="2:34" x14ac:dyDescent="0.2">
      <c r="B4872" s="2">
        <f ca="1"/>
        <v>4.5391478074584768E-2</v>
      </c>
      <c r="O4872" s="2">
        <f ca="1"/>
        <v>-0.52867956773031188</v>
      </c>
      <c r="X4872" s="2">
        <f ca="1"/>
        <v>36.968063208905434</v>
      </c>
      <c r="AG4872" s="2">
        <f ca="1"/>
        <v>0.51051046388720311</v>
      </c>
      <c r="AH4872" s="2" t="str">
        <f ca="1"/>
        <v>Bad</v>
      </c>
    </row>
    <row r="4873" spans="2:34" x14ac:dyDescent="0.2">
      <c r="B4873" s="2">
        <f ca="1"/>
        <v>0.51182971687623335</v>
      </c>
      <c r="O4873" s="2">
        <f ca="1"/>
        <v>0.82553407191098205</v>
      </c>
      <c r="X4873" s="2">
        <f ca="1"/>
        <v>39.400005713067976</v>
      </c>
      <c r="AG4873" s="2">
        <f ca="1"/>
        <v>0.2547850580140818</v>
      </c>
      <c r="AH4873" s="2" t="str">
        <f ca="1"/>
        <v>OK</v>
      </c>
    </row>
    <row r="4874" spans="2:34" x14ac:dyDescent="0.2">
      <c r="B4874" s="2">
        <f ca="1"/>
        <v>0.35165923560164369</v>
      </c>
      <c r="O4874" s="2">
        <f ca="1"/>
        <v>0.15092435086491202</v>
      </c>
      <c r="X4874" s="2">
        <f ca="1"/>
        <v>32.670012759764674</v>
      </c>
      <c r="AG4874" s="2">
        <f ca="1"/>
        <v>0.67020448268670418</v>
      </c>
      <c r="AH4874" s="2" t="str">
        <f ca="1"/>
        <v>Bad</v>
      </c>
    </row>
    <row r="4875" spans="2:34" x14ac:dyDescent="0.2">
      <c r="B4875" s="2">
        <f ca="1"/>
        <v>5.6816596765704164E-2</v>
      </c>
      <c r="O4875" s="2">
        <f ca="1"/>
        <v>-1.0142215043304064</v>
      </c>
      <c r="X4875" s="2">
        <f ca="1"/>
        <v>73.308255908708617</v>
      </c>
      <c r="AG4875" s="2">
        <f ca="1"/>
        <v>0.32789971740471002</v>
      </c>
      <c r="AH4875" s="2" t="str">
        <f ca="1"/>
        <v>OK</v>
      </c>
    </row>
    <row r="4876" spans="2:34" x14ac:dyDescent="0.2">
      <c r="B4876" s="2">
        <f ca="1"/>
        <v>0.30689075926788845</v>
      </c>
      <c r="O4876" s="2">
        <f ca="1"/>
        <v>0.28592833803229178</v>
      </c>
      <c r="X4876" s="2">
        <f ca="1"/>
        <v>56.187020739804616</v>
      </c>
      <c r="AG4876" s="2">
        <f ca="1"/>
        <v>0.58096418143965467</v>
      </c>
      <c r="AH4876" s="2" t="str">
        <f ca="1"/>
        <v>Bad</v>
      </c>
    </row>
    <row r="4877" spans="2:34" x14ac:dyDescent="0.2">
      <c r="B4877" s="2">
        <f ca="1"/>
        <v>0.43344084198127208</v>
      </c>
      <c r="O4877" s="2">
        <f ca="1"/>
        <v>-0.64564814339369547</v>
      </c>
      <c r="X4877" s="2">
        <f ca="1"/>
        <v>23.43094537822871</v>
      </c>
      <c r="AG4877" s="2">
        <f ca="1"/>
        <v>0.28346596967284432</v>
      </c>
      <c r="AH4877" s="2" t="str">
        <f ca="1"/>
        <v>OK</v>
      </c>
    </row>
    <row r="4878" spans="2:34" x14ac:dyDescent="0.2">
      <c r="B4878" s="2">
        <f ca="1"/>
        <v>0.10937584705045822</v>
      </c>
      <c r="O4878" s="2">
        <f ca="1"/>
        <v>-1.5664043141572381</v>
      </c>
      <c r="X4878" s="2">
        <f ca="1"/>
        <v>79.105602424710696</v>
      </c>
      <c r="AG4878" s="2">
        <f ca="1"/>
        <v>0.65567461260687909</v>
      </c>
      <c r="AH4878" s="2" t="str">
        <f ca="1"/>
        <v>Bad</v>
      </c>
    </row>
    <row r="4879" spans="2:34" x14ac:dyDescent="0.2">
      <c r="B4879" s="2">
        <f ca="1"/>
        <v>0.75779940313305683</v>
      </c>
      <c r="O4879" s="2">
        <f ca="1"/>
        <v>-1.1016324793662199E-2</v>
      </c>
      <c r="X4879" s="2">
        <f ca="1"/>
        <v>45.889673871884625</v>
      </c>
      <c r="AG4879" s="2">
        <f ca="1"/>
        <v>0.82367726706027322</v>
      </c>
      <c r="AH4879" s="2" t="str">
        <f ca="1"/>
        <v>Bad</v>
      </c>
    </row>
    <row r="4880" spans="2:34" x14ac:dyDescent="0.2">
      <c r="B4880" s="2">
        <f ca="1"/>
        <v>0.35389594740145269</v>
      </c>
      <c r="O4880" s="2">
        <f ca="1"/>
        <v>-1.0793384213309194</v>
      </c>
      <c r="X4880" s="2">
        <f ca="1"/>
        <v>70.358227665463019</v>
      </c>
      <c r="AG4880" s="2">
        <f ca="1"/>
        <v>0.72869442292272502</v>
      </c>
      <c r="AH4880" s="2" t="str">
        <f ca="1"/>
        <v>Bad</v>
      </c>
    </row>
    <row r="4881" spans="2:34" x14ac:dyDescent="0.2">
      <c r="B4881" s="2">
        <f ca="1"/>
        <v>0.44775868777711136</v>
      </c>
      <c r="O4881" s="2">
        <f ca="1"/>
        <v>-0.47763334295738458</v>
      </c>
      <c r="X4881" s="2">
        <f ca="1"/>
        <v>43.757389920890112</v>
      </c>
      <c r="AG4881" s="2">
        <f ca="1"/>
        <v>0.87740765830094625</v>
      </c>
      <c r="AH4881" s="2" t="str">
        <f ca="1"/>
        <v>Bad</v>
      </c>
    </row>
    <row r="4882" spans="2:34" x14ac:dyDescent="0.2">
      <c r="B4882" s="2">
        <f ca="1"/>
        <v>0.77080347009396566</v>
      </c>
      <c r="O4882" s="2">
        <f ca="1"/>
        <v>0.29133598131295296</v>
      </c>
      <c r="X4882" s="2">
        <f ca="1"/>
        <v>32.05485557078304</v>
      </c>
      <c r="AG4882" s="2">
        <f ca="1"/>
        <v>0.56988357817840907</v>
      </c>
      <c r="AH4882" s="2" t="str">
        <f ca="1"/>
        <v>Bad</v>
      </c>
    </row>
    <row r="4883" spans="2:34" x14ac:dyDescent="0.2">
      <c r="B4883" s="2">
        <f ca="1"/>
        <v>0.46467063012727428</v>
      </c>
      <c r="O4883" s="2">
        <f ca="1"/>
        <v>-1.7570122348018569</v>
      </c>
      <c r="X4883" s="2">
        <f ca="1"/>
        <v>53.06039617849364</v>
      </c>
      <c r="AG4883" s="2">
        <f ca="1"/>
        <v>0.93919866851882872</v>
      </c>
      <c r="AH4883" s="2" t="str">
        <f ca="1"/>
        <v>Bad</v>
      </c>
    </row>
    <row r="4884" spans="2:34" x14ac:dyDescent="0.2">
      <c r="B4884" s="2">
        <f ca="1"/>
        <v>0.76219244320262347</v>
      </c>
      <c r="O4884" s="2">
        <f ca="1"/>
        <v>1.8900591283127539</v>
      </c>
      <c r="X4884" s="2">
        <f ca="1"/>
        <v>39.320038495689388</v>
      </c>
      <c r="AG4884" s="2">
        <f ca="1"/>
        <v>0.9640313208469804</v>
      </c>
      <c r="AH4884" s="2" t="str">
        <f ca="1"/>
        <v>Bad</v>
      </c>
    </row>
    <row r="4885" spans="2:34" x14ac:dyDescent="0.2">
      <c r="B4885" s="2">
        <f ca="1"/>
        <v>0.80612983704414143</v>
      </c>
      <c r="O4885" s="2">
        <f ca="1"/>
        <v>-1.9328610226402427</v>
      </c>
      <c r="X4885" s="2">
        <f ca="1"/>
        <v>42.323709333457167</v>
      </c>
      <c r="AG4885" s="2">
        <f ca="1"/>
        <v>0.94395761821558821</v>
      </c>
      <c r="AH4885" s="2" t="str">
        <f ca="1"/>
        <v>Bad</v>
      </c>
    </row>
    <row r="4886" spans="2:34" x14ac:dyDescent="0.2">
      <c r="B4886" s="2">
        <f ca="1"/>
        <v>0.48818837616096022</v>
      </c>
      <c r="O4886" s="2">
        <f ca="1"/>
        <v>-1.6598144888124557</v>
      </c>
      <c r="X4886" s="2">
        <f ca="1"/>
        <v>53.530395116432878</v>
      </c>
      <c r="AG4886" s="2">
        <f ca="1"/>
        <v>0.46089833600228647</v>
      </c>
      <c r="AH4886" s="2" t="str">
        <f ca="1"/>
        <v>Bad</v>
      </c>
    </row>
    <row r="4887" spans="2:34" x14ac:dyDescent="0.2">
      <c r="B4887" s="2">
        <f ca="1"/>
        <v>0.2659460664141835</v>
      </c>
      <c r="O4887" s="2">
        <f ca="1"/>
        <v>1.0117572006931532</v>
      </c>
      <c r="X4887" s="2">
        <f ca="1"/>
        <v>32.562862242898838</v>
      </c>
      <c r="AG4887" s="2">
        <f ca="1"/>
        <v>2.2350101039809722E-3</v>
      </c>
      <c r="AH4887" s="2" t="str">
        <f ca="1"/>
        <v>Good</v>
      </c>
    </row>
    <row r="4888" spans="2:34" x14ac:dyDescent="0.2">
      <c r="B4888" s="2">
        <f ca="1"/>
        <v>0.84330120601332892</v>
      </c>
      <c r="O4888" s="2">
        <f ca="1"/>
        <v>-2.488100273076653</v>
      </c>
      <c r="X4888" s="2">
        <f ca="1"/>
        <v>43.262243703527766</v>
      </c>
      <c r="AG4888" s="2">
        <f ca="1"/>
        <v>0.75096770478896491</v>
      </c>
      <c r="AH4888" s="2" t="str">
        <f ca="1"/>
        <v>Bad</v>
      </c>
    </row>
    <row r="4889" spans="2:34" x14ac:dyDescent="0.2">
      <c r="B4889" s="2">
        <f ca="1"/>
        <v>0.59032427645820063</v>
      </c>
      <c r="O4889" s="2">
        <f ca="1"/>
        <v>0.16415306785327258</v>
      </c>
      <c r="X4889" s="2">
        <f ca="1"/>
        <v>78.65782163005062</v>
      </c>
      <c r="AG4889" s="2">
        <f ca="1"/>
        <v>0.26185125777057627</v>
      </c>
      <c r="AH4889" s="2" t="str">
        <f ca="1"/>
        <v>OK</v>
      </c>
    </row>
    <row r="4890" spans="2:34" x14ac:dyDescent="0.2">
      <c r="B4890" s="2">
        <f ca="1"/>
        <v>1.3903035603899383E-2</v>
      </c>
      <c r="O4890" s="2">
        <f ca="1"/>
        <v>-5.9578334882088128E-2</v>
      </c>
      <c r="X4890" s="2">
        <f ca="1"/>
        <v>25.071076115348788</v>
      </c>
      <c r="AG4890" s="2">
        <f ca="1"/>
        <v>0.39542617707713057</v>
      </c>
      <c r="AH4890" s="2" t="str">
        <f ca="1"/>
        <v>OK</v>
      </c>
    </row>
    <row r="4891" spans="2:34" x14ac:dyDescent="0.2">
      <c r="B4891" s="2">
        <f ca="1"/>
        <v>0.10061280132176376</v>
      </c>
      <c r="O4891" s="2">
        <f ca="1"/>
        <v>-1.5090026806927463</v>
      </c>
      <c r="X4891" s="2">
        <f ca="1"/>
        <v>81.605398713125538</v>
      </c>
      <c r="AG4891" s="2">
        <f ca="1"/>
        <v>0.59710485957486181</v>
      </c>
      <c r="AH4891" s="2" t="str">
        <f ca="1"/>
        <v>Bad</v>
      </c>
    </row>
    <row r="4892" spans="2:34" x14ac:dyDescent="0.2">
      <c r="B4892" s="2">
        <f ca="1"/>
        <v>0.23233721486885295</v>
      </c>
      <c r="O4892" s="2">
        <f ca="1"/>
        <v>0.38958579969930468</v>
      </c>
      <c r="X4892" s="2">
        <f ca="1"/>
        <v>17.590501636448824</v>
      </c>
      <c r="AG4892" s="2">
        <f ca="1"/>
        <v>0.85544534484446388</v>
      </c>
      <c r="AH4892" s="2" t="str">
        <f ca="1"/>
        <v>Bad</v>
      </c>
    </row>
    <row r="4893" spans="2:34" x14ac:dyDescent="0.2">
      <c r="B4893" s="2">
        <f ca="1"/>
        <v>0.74049909711156769</v>
      </c>
      <c r="O4893" s="2">
        <f ca="1"/>
        <v>0.21508675739877911</v>
      </c>
      <c r="X4893" s="2">
        <f ca="1"/>
        <v>44.522183100028492</v>
      </c>
      <c r="AG4893" s="2">
        <f ca="1"/>
        <v>0.20844305110208006</v>
      </c>
      <c r="AH4893" s="2" t="str">
        <f ca="1"/>
        <v>OK</v>
      </c>
    </row>
    <row r="4894" spans="2:34" x14ac:dyDescent="0.2">
      <c r="B4894" s="2">
        <f ca="1"/>
        <v>0.87849607974199251</v>
      </c>
      <c r="O4894" s="2">
        <f ca="1"/>
        <v>-5.5882295392530056E-2</v>
      </c>
      <c r="X4894" s="2">
        <f ca="1"/>
        <v>30.164852432707733</v>
      </c>
      <c r="AG4894" s="2">
        <f ca="1"/>
        <v>0.85861889719735318</v>
      </c>
      <c r="AH4894" s="2" t="str">
        <f ca="1"/>
        <v>Bad</v>
      </c>
    </row>
    <row r="4895" spans="2:34" x14ac:dyDescent="0.2">
      <c r="B4895" s="2">
        <f ca="1"/>
        <v>0.29536766468785536</v>
      </c>
      <c r="O4895" s="2">
        <f ca="1"/>
        <v>1.1247503794271465</v>
      </c>
      <c r="X4895" s="2">
        <f ca="1"/>
        <v>51.662211854373297</v>
      </c>
      <c r="AG4895" s="2">
        <f ca="1"/>
        <v>0.41266251406390997</v>
      </c>
      <c r="AH4895" s="2" t="str">
        <f ca="1"/>
        <v>Bad</v>
      </c>
    </row>
    <row r="4896" spans="2:34" x14ac:dyDescent="0.2">
      <c r="B4896" s="2">
        <f ca="1"/>
        <v>0.50105529994797426</v>
      </c>
      <c r="O4896" s="2">
        <f ca="1"/>
        <v>-7.2760579963583151E-3</v>
      </c>
      <c r="X4896" s="2">
        <f ca="1"/>
        <v>42.600553837052658</v>
      </c>
      <c r="AG4896" s="2">
        <f ca="1"/>
        <v>7.7136500250020168E-2</v>
      </c>
      <c r="AH4896" s="2" t="str">
        <f ca="1"/>
        <v>OK</v>
      </c>
    </row>
    <row r="4897" spans="2:34" x14ac:dyDescent="0.2">
      <c r="B4897" s="2">
        <f ca="1"/>
        <v>0.51870761588852998</v>
      </c>
      <c r="O4897" s="2">
        <f ca="1"/>
        <v>-0.3109040666013419</v>
      </c>
      <c r="X4897" s="2">
        <f ca="1"/>
        <v>31.308589557006435</v>
      </c>
      <c r="AG4897" s="2">
        <f ca="1"/>
        <v>0.96880882837349014</v>
      </c>
      <c r="AH4897" s="2" t="str">
        <f ca="1"/>
        <v>Bad</v>
      </c>
    </row>
    <row r="4898" spans="2:34" x14ac:dyDescent="0.2">
      <c r="B4898" s="2">
        <f ca="1"/>
        <v>0.90769798231107024</v>
      </c>
      <c r="O4898" s="2">
        <f ca="1"/>
        <v>-4.1012230425511954E-3</v>
      </c>
      <c r="X4898" s="2">
        <f ca="1"/>
        <v>25.619377181900536</v>
      </c>
      <c r="AG4898" s="2">
        <f ca="1"/>
        <v>0.91355988485718154</v>
      </c>
      <c r="AH4898" s="2" t="str">
        <f ca="1"/>
        <v>Bad</v>
      </c>
    </row>
    <row r="4899" spans="2:34" x14ac:dyDescent="0.2">
      <c r="B4899" s="2">
        <f ca="1"/>
        <v>0.95638347200335638</v>
      </c>
      <c r="O4899" s="2">
        <f ca="1"/>
        <v>-0.23221177622072212</v>
      </c>
      <c r="X4899" s="2">
        <f ca="1"/>
        <v>63.51492029710294</v>
      </c>
      <c r="AG4899" s="2">
        <f ca="1"/>
        <v>0.48014067448239128</v>
      </c>
      <c r="AH4899" s="2" t="str">
        <f ca="1"/>
        <v>Bad</v>
      </c>
    </row>
    <row r="4900" spans="2:34" x14ac:dyDescent="0.2">
      <c r="B4900" s="2">
        <f ca="1"/>
        <v>0.4120307534445351</v>
      </c>
      <c r="O4900" s="2">
        <f ca="1"/>
        <v>1.7784867947774989</v>
      </c>
      <c r="X4900" s="2">
        <f ca="1"/>
        <v>35.800764265780558</v>
      </c>
      <c r="AG4900" s="2">
        <f ca="1"/>
        <v>0.34603959340102963</v>
      </c>
      <c r="AH4900" s="2" t="str">
        <f ca="1"/>
        <v>OK</v>
      </c>
    </row>
    <row r="4901" spans="2:34" x14ac:dyDescent="0.2">
      <c r="B4901" s="2">
        <f ca="1"/>
        <v>0.35363962261455972</v>
      </c>
      <c r="O4901" s="2">
        <f ca="1"/>
        <v>0.56087738614667371</v>
      </c>
      <c r="X4901" s="2">
        <f ca="1"/>
        <v>49.032065223417362</v>
      </c>
      <c r="AG4901" s="2">
        <f ca="1"/>
        <v>0.61451996272566145</v>
      </c>
      <c r="AH4901" s="2" t="str">
        <f ca="1"/>
        <v>Bad</v>
      </c>
    </row>
    <row r="4902" spans="2:34" x14ac:dyDescent="0.2">
      <c r="B4902" s="2">
        <f ca="1"/>
        <v>0.96163199323640591</v>
      </c>
      <c r="O4902" s="2">
        <f ca="1"/>
        <v>-0.51495172161849379</v>
      </c>
      <c r="X4902" s="2">
        <f ca="1"/>
        <v>46.492817959066393</v>
      </c>
      <c r="AG4902" s="2">
        <f ca="1"/>
        <v>0.84123213155039123</v>
      </c>
      <c r="AH4902" s="2" t="str">
        <f ca="1"/>
        <v>Bad</v>
      </c>
    </row>
    <row r="4903" spans="2:34" x14ac:dyDescent="0.2">
      <c r="B4903" s="2">
        <f ca="1"/>
        <v>0.47053191267391692</v>
      </c>
      <c r="O4903" s="2">
        <f ca="1"/>
        <v>0.27310704338750946</v>
      </c>
      <c r="X4903" s="2">
        <f ca="1"/>
        <v>58.931342697859051</v>
      </c>
      <c r="AG4903" s="2">
        <f ca="1"/>
        <v>5.3894831995628278E-2</v>
      </c>
      <c r="AH4903" s="2" t="str">
        <f ca="1"/>
        <v>OK</v>
      </c>
    </row>
    <row r="4904" spans="2:34" x14ac:dyDescent="0.2">
      <c r="B4904" s="2">
        <f ca="1"/>
        <v>0.29603618565378165</v>
      </c>
      <c r="O4904" s="2">
        <f ca="1"/>
        <v>0.57308351310574779</v>
      </c>
      <c r="X4904" s="2">
        <f ca="1"/>
        <v>68.711352125989094</v>
      </c>
      <c r="AG4904" s="2">
        <f ca="1"/>
        <v>0.57715968924815408</v>
      </c>
      <c r="AH4904" s="2" t="str">
        <f ca="1"/>
        <v>Bad</v>
      </c>
    </row>
    <row r="4905" spans="2:34" x14ac:dyDescent="0.2">
      <c r="B4905" s="2">
        <f ca="1"/>
        <v>4.2156095236431268E-2</v>
      </c>
      <c r="O4905" s="2">
        <f ca="1"/>
        <v>0.6803082859920444</v>
      </c>
      <c r="X4905" s="2">
        <f ca="1"/>
        <v>30.603660938997077</v>
      </c>
      <c r="AG4905" s="2">
        <f ca="1"/>
        <v>0.81799735557437714</v>
      </c>
      <c r="AH4905" s="2" t="str">
        <f ca="1"/>
        <v>Bad</v>
      </c>
    </row>
    <row r="4906" spans="2:34" x14ac:dyDescent="0.2">
      <c r="B4906" s="2">
        <f ca="1"/>
        <v>0.41156317035429368</v>
      </c>
      <c r="O4906" s="2">
        <f ca="1"/>
        <v>2.0084239476267887</v>
      </c>
      <c r="X4906" s="2">
        <f ca="1"/>
        <v>40.59744050044047</v>
      </c>
      <c r="AG4906" s="2">
        <f ca="1"/>
        <v>0.97553645225219254</v>
      </c>
      <c r="AH4906" s="2" t="str">
        <f ca="1"/>
        <v>Bad</v>
      </c>
    </row>
    <row r="4907" spans="2:34" x14ac:dyDescent="0.2">
      <c r="B4907" s="2">
        <f ca="1"/>
        <v>0.65292210593146804</v>
      </c>
      <c r="O4907" s="2">
        <f ca="1"/>
        <v>0.16066690187659063</v>
      </c>
      <c r="X4907" s="2">
        <f ca="1"/>
        <v>47.735920971906801</v>
      </c>
      <c r="AG4907" s="2">
        <f ca="1"/>
        <v>0.11211870737378149</v>
      </c>
      <c r="AH4907" s="2" t="str">
        <f ca="1"/>
        <v>OK</v>
      </c>
    </row>
    <row r="4908" spans="2:34" x14ac:dyDescent="0.2">
      <c r="B4908" s="2">
        <f ca="1"/>
        <v>0.51449588299464311</v>
      </c>
      <c r="O4908" s="2">
        <f ca="1"/>
        <v>-0.75342259013618162</v>
      </c>
      <c r="X4908" s="2">
        <f ca="1"/>
        <v>40.385372635578172</v>
      </c>
      <c r="AG4908" s="2">
        <f ca="1"/>
        <v>0.67066407251636773</v>
      </c>
      <c r="AH4908" s="2" t="str">
        <f ca="1"/>
        <v>Bad</v>
      </c>
    </row>
    <row r="4909" spans="2:34" x14ac:dyDescent="0.2">
      <c r="B4909" s="2">
        <f ca="1"/>
        <v>0.80216985535090624</v>
      </c>
      <c r="O4909" s="2">
        <f ca="1"/>
        <v>0.96366539798044937</v>
      </c>
      <c r="X4909" s="2">
        <f ca="1"/>
        <v>38.992213557900492</v>
      </c>
      <c r="AG4909" s="2">
        <f ca="1"/>
        <v>0.93080445626440622</v>
      </c>
      <c r="AH4909" s="2" t="str">
        <f ca="1"/>
        <v>Bad</v>
      </c>
    </row>
    <row r="4910" spans="2:34" x14ac:dyDescent="0.2">
      <c r="B4910" s="2">
        <f ca="1"/>
        <v>0.27396447037458671</v>
      </c>
      <c r="O4910" s="2">
        <f ca="1"/>
        <v>0.85390827093965804</v>
      </c>
      <c r="X4910" s="2">
        <f ca="1"/>
        <v>40.548750644030946</v>
      </c>
      <c r="AG4910" s="2">
        <f ca="1"/>
        <v>0.56609563978895872</v>
      </c>
      <c r="AH4910" s="2" t="str">
        <f ca="1"/>
        <v>Bad</v>
      </c>
    </row>
    <row r="4911" spans="2:34" x14ac:dyDescent="0.2">
      <c r="B4911" s="2">
        <f ca="1"/>
        <v>0.98056156172694364</v>
      </c>
      <c r="O4911" s="2">
        <f ca="1"/>
        <v>0.95484991937787511</v>
      </c>
      <c r="X4911" s="2">
        <f ca="1"/>
        <v>47.962601782410992</v>
      </c>
      <c r="AG4911" s="2">
        <f ca="1"/>
        <v>0.99468993052866916</v>
      </c>
      <c r="AH4911" s="2" t="str">
        <f ca="1"/>
        <v>Bad</v>
      </c>
    </row>
    <row r="4912" spans="2:34" x14ac:dyDescent="0.2">
      <c r="B4912" s="2">
        <f ca="1"/>
        <v>0.33913187432207481</v>
      </c>
      <c r="O4912" s="2">
        <f ca="1"/>
        <v>-1.3004199119726043</v>
      </c>
      <c r="X4912" s="2">
        <f ca="1"/>
        <v>37.399722721308081</v>
      </c>
      <c r="AG4912" s="2">
        <f ca="1"/>
        <v>0.86237861471406907</v>
      </c>
      <c r="AH4912" s="2" t="str">
        <f ca="1"/>
        <v>Bad</v>
      </c>
    </row>
    <row r="4913" spans="2:34" x14ac:dyDescent="0.2">
      <c r="B4913" s="2">
        <f ca="1"/>
        <v>0.74316742762451393</v>
      </c>
      <c r="O4913" s="2">
        <f ca="1"/>
        <v>-2.2927616654546599</v>
      </c>
      <c r="X4913" s="2">
        <f ca="1"/>
        <v>72.248980688883179</v>
      </c>
      <c r="AG4913" s="2">
        <f ca="1"/>
        <v>0.8979647263044872</v>
      </c>
      <c r="AH4913" s="2" t="str">
        <f ca="1"/>
        <v>Bad</v>
      </c>
    </row>
    <row r="4914" spans="2:34" x14ac:dyDescent="0.2">
      <c r="B4914" s="2">
        <f ca="1"/>
        <v>0.76903779483031842</v>
      </c>
      <c r="O4914" s="2">
        <f ca="1"/>
        <v>7.4468064639342205E-2</v>
      </c>
      <c r="X4914" s="2">
        <f ca="1"/>
        <v>46.906469871273266</v>
      </c>
      <c r="AG4914" s="2">
        <f ca="1"/>
        <v>0.93888882484180591</v>
      </c>
      <c r="AH4914" s="2" t="str">
        <f ca="1"/>
        <v>Bad</v>
      </c>
    </row>
    <row r="4915" spans="2:34" x14ac:dyDescent="0.2">
      <c r="B4915" s="2">
        <f ca="1"/>
        <v>0.32215832295903701</v>
      </c>
      <c r="O4915" s="2">
        <f ca="1"/>
        <v>-1.1054766824224669</v>
      </c>
      <c r="X4915" s="2">
        <f ca="1"/>
        <v>33.066140565948473</v>
      </c>
      <c r="AG4915" s="2">
        <f ca="1"/>
        <v>0.3470151939538364</v>
      </c>
      <c r="AH4915" s="2" t="str">
        <f ca="1"/>
        <v>OK</v>
      </c>
    </row>
    <row r="4916" spans="2:34" x14ac:dyDescent="0.2">
      <c r="B4916" s="2">
        <f ca="1"/>
        <v>2.9943300957614438E-2</v>
      </c>
      <c r="O4916" s="2">
        <f ca="1"/>
        <v>0.22799349099402932</v>
      </c>
      <c r="X4916" s="2">
        <f ca="1"/>
        <v>56.403397452172229</v>
      </c>
      <c r="AG4916" s="2">
        <f ca="1"/>
        <v>0.83483232032641119</v>
      </c>
      <c r="AH4916" s="2" t="str">
        <f ca="1"/>
        <v>Bad</v>
      </c>
    </row>
    <row r="4917" spans="2:34" x14ac:dyDescent="0.2">
      <c r="B4917" s="2">
        <f ca="1"/>
        <v>0.24494923587121331</v>
      </c>
      <c r="O4917" s="2">
        <f ca="1"/>
        <v>-1.0338259739567064</v>
      </c>
      <c r="X4917" s="2">
        <f ca="1"/>
        <v>60.753800881719549</v>
      </c>
      <c r="AG4917" s="2">
        <f ca="1"/>
        <v>0.26786400490253848</v>
      </c>
      <c r="AH4917" s="2" t="str">
        <f ca="1"/>
        <v>OK</v>
      </c>
    </row>
    <row r="4918" spans="2:34" x14ac:dyDescent="0.2">
      <c r="B4918" s="2">
        <f ca="1"/>
        <v>0.2598920701360794</v>
      </c>
      <c r="O4918" s="2">
        <f ca="1"/>
        <v>-1.9751195118500868</v>
      </c>
      <c r="X4918" s="2">
        <f ca="1"/>
        <v>60.315956721380857</v>
      </c>
      <c r="AG4918" s="2">
        <f ca="1"/>
        <v>0.95844010031738369</v>
      </c>
      <c r="AH4918" s="2" t="str">
        <f ca="1"/>
        <v>Bad</v>
      </c>
    </row>
    <row r="4919" spans="2:34" x14ac:dyDescent="0.2">
      <c r="B4919" s="2">
        <f ca="1"/>
        <v>0.23957539602634115</v>
      </c>
      <c r="O4919" s="2">
        <f ca="1"/>
        <v>9.5503864702177945E-3</v>
      </c>
      <c r="X4919" s="2">
        <f ca="1"/>
        <v>41.984658230681198</v>
      </c>
      <c r="AG4919" s="2">
        <f ca="1"/>
        <v>0.18473684233860532</v>
      </c>
      <c r="AH4919" s="2" t="str">
        <f ca="1"/>
        <v>OK</v>
      </c>
    </row>
    <row r="4920" spans="2:34" x14ac:dyDescent="0.2">
      <c r="B4920" s="2">
        <f ca="1"/>
        <v>0.40014383229609773</v>
      </c>
      <c r="O4920" s="2">
        <f ca="1"/>
        <v>0.33207166297768131</v>
      </c>
      <c r="X4920" s="2">
        <f ca="1"/>
        <v>55.739051145445842</v>
      </c>
      <c r="AG4920" s="2">
        <f ca="1"/>
        <v>0.85615177416372212</v>
      </c>
      <c r="AH4920" s="2" t="str">
        <f ca="1"/>
        <v>Bad</v>
      </c>
    </row>
    <row r="4921" spans="2:34" x14ac:dyDescent="0.2">
      <c r="B4921" s="2">
        <f ca="1"/>
        <v>0.2468485589574243</v>
      </c>
      <c r="O4921" s="2">
        <f ca="1"/>
        <v>0.37468150395417138</v>
      </c>
      <c r="X4921" s="2">
        <f ca="1"/>
        <v>27.099048061524094</v>
      </c>
      <c r="AG4921" s="2">
        <f ca="1"/>
        <v>0.32257815322934968</v>
      </c>
      <c r="AH4921" s="2" t="str">
        <f ca="1"/>
        <v>OK</v>
      </c>
    </row>
    <row r="4922" spans="2:34" x14ac:dyDescent="0.2">
      <c r="B4922" s="2">
        <f ca="1"/>
        <v>0.52600238335904703</v>
      </c>
      <c r="O4922" s="2">
        <f ca="1"/>
        <v>1.043892379761483</v>
      </c>
      <c r="X4922" s="2">
        <f ca="1"/>
        <v>83.469584546288814</v>
      </c>
      <c r="AG4922" s="2">
        <f ca="1"/>
        <v>0.28473205428853143</v>
      </c>
      <c r="AH4922" s="2" t="str">
        <f ca="1"/>
        <v>OK</v>
      </c>
    </row>
    <row r="4923" spans="2:34" x14ac:dyDescent="0.2">
      <c r="B4923" s="2">
        <f ca="1"/>
        <v>0.41704381349796349</v>
      </c>
      <c r="O4923" s="2">
        <f ca="1"/>
        <v>-1.7554862193691401</v>
      </c>
      <c r="X4923" s="2">
        <f ca="1"/>
        <v>101.24766047644448</v>
      </c>
      <c r="AG4923" s="2">
        <f ca="1"/>
        <v>0.82333320486137507</v>
      </c>
      <c r="AH4923" s="2" t="str">
        <f ca="1"/>
        <v>Bad</v>
      </c>
    </row>
    <row r="4924" spans="2:34" x14ac:dyDescent="0.2">
      <c r="B4924" s="2">
        <f ca="1"/>
        <v>0.22741416855447061</v>
      </c>
      <c r="O4924" s="2">
        <f ca="1"/>
        <v>-1.4338188382226469</v>
      </c>
      <c r="X4924" s="2">
        <f ca="1"/>
        <v>59.067642213294391</v>
      </c>
      <c r="AG4924" s="2">
        <f ca="1"/>
        <v>3.543966626249162E-2</v>
      </c>
      <c r="AH4924" s="2" t="str">
        <f ca="1"/>
        <v>Good</v>
      </c>
    </row>
    <row r="4925" spans="2:34" x14ac:dyDescent="0.2">
      <c r="B4925" s="2">
        <f ca="1"/>
        <v>0.64678822807357039</v>
      </c>
      <c r="O4925" s="2">
        <f ca="1"/>
        <v>0.46266050056803737</v>
      </c>
      <c r="X4925" s="2">
        <f ca="1"/>
        <v>47.811283306632014</v>
      </c>
      <c r="AG4925" s="2">
        <f ca="1"/>
        <v>1.4118911810887536E-2</v>
      </c>
      <c r="AH4925" s="2" t="str">
        <f ca="1"/>
        <v>Good</v>
      </c>
    </row>
    <row r="4926" spans="2:34" x14ac:dyDescent="0.2">
      <c r="B4926" s="2">
        <f ca="1"/>
        <v>0.70684640900461049</v>
      </c>
      <c r="O4926" s="2">
        <f ca="1"/>
        <v>0.54432911082014279</v>
      </c>
      <c r="X4926" s="2">
        <f ca="1"/>
        <v>55.459483222116575</v>
      </c>
      <c r="AG4926" s="2">
        <f ca="1"/>
        <v>0.82789226280666783</v>
      </c>
      <c r="AH4926" s="2" t="str">
        <f ca="1"/>
        <v>Bad</v>
      </c>
    </row>
    <row r="4927" spans="2:34" x14ac:dyDescent="0.2">
      <c r="B4927" s="2">
        <f ca="1"/>
        <v>0.37805759562243035</v>
      </c>
      <c r="O4927" s="2">
        <f ca="1"/>
        <v>0.17339889426161353</v>
      </c>
      <c r="X4927" s="2">
        <f ca="1"/>
        <v>48.098356267357133</v>
      </c>
      <c r="AG4927" s="2">
        <f ca="1"/>
        <v>0.65331875479134593</v>
      </c>
      <c r="AH4927" s="2" t="str">
        <f ca="1"/>
        <v>Bad</v>
      </c>
    </row>
    <row r="4928" spans="2:34" x14ac:dyDescent="0.2">
      <c r="B4928" s="2">
        <f ca="1"/>
        <v>0.62319629793730824</v>
      </c>
      <c r="O4928" s="2">
        <f ca="1"/>
        <v>0.68814869661766664</v>
      </c>
      <c r="X4928" s="2">
        <f ca="1"/>
        <v>58.110389868214007</v>
      </c>
      <c r="AG4928" s="2">
        <f ca="1"/>
        <v>0.76935242144603744</v>
      </c>
      <c r="AH4928" s="2" t="str">
        <f ca="1"/>
        <v>Bad</v>
      </c>
    </row>
    <row r="4929" spans="2:34" x14ac:dyDescent="0.2">
      <c r="B4929" s="2">
        <f ca="1"/>
        <v>0.54031660193866382</v>
      </c>
      <c r="O4929" s="2">
        <f ca="1"/>
        <v>-0.44451121091971302</v>
      </c>
      <c r="X4929" s="2">
        <f ca="1"/>
        <v>81.207308883862396</v>
      </c>
      <c r="AG4929" s="2">
        <f ca="1"/>
        <v>0.95311947671097652</v>
      </c>
      <c r="AH4929" s="2" t="str">
        <f ca="1"/>
        <v>Bad</v>
      </c>
    </row>
    <row r="4930" spans="2:34" x14ac:dyDescent="0.2">
      <c r="B4930" s="2">
        <f ca="1"/>
        <v>0.53819062864029643</v>
      </c>
      <c r="O4930" s="2">
        <f ca="1"/>
        <v>-0.80826749906335793</v>
      </c>
      <c r="X4930" s="2">
        <f ca="1"/>
        <v>34.24989803197461</v>
      </c>
      <c r="AG4930" s="2">
        <f ca="1"/>
        <v>0.60327621488024774</v>
      </c>
      <c r="AH4930" s="2" t="str">
        <f ca="1"/>
        <v>Bad</v>
      </c>
    </row>
    <row r="4931" spans="2:34" x14ac:dyDescent="0.2">
      <c r="B4931" s="2">
        <f ca="1"/>
        <v>0.56410097173941431</v>
      </c>
      <c r="O4931" s="2">
        <f ca="1"/>
        <v>0.75708220911336721</v>
      </c>
      <c r="X4931" s="2">
        <f ca="1"/>
        <v>48.839652466257405</v>
      </c>
      <c r="AG4931" s="2">
        <f ca="1"/>
        <v>0.16418390578316289</v>
      </c>
      <c r="AH4931" s="2" t="str">
        <f ca="1"/>
        <v>OK</v>
      </c>
    </row>
    <row r="4932" spans="2:34" x14ac:dyDescent="0.2">
      <c r="B4932" s="2">
        <f ca="1"/>
        <v>0.8517874293557286</v>
      </c>
      <c r="O4932" s="2">
        <f ca="1"/>
        <v>-0.72174489105397133</v>
      </c>
      <c r="X4932" s="2">
        <f ca="1"/>
        <v>32.466800379947301</v>
      </c>
      <c r="AG4932" s="2">
        <f ca="1"/>
        <v>0.73961080250004629</v>
      </c>
      <c r="AH4932" s="2" t="str">
        <f ca="1"/>
        <v>Bad</v>
      </c>
    </row>
    <row r="4933" spans="2:34" x14ac:dyDescent="0.2">
      <c r="B4933" s="2">
        <f ca="1"/>
        <v>0.12726692873683465</v>
      </c>
      <c r="O4933" s="2">
        <f ca="1"/>
        <v>-0.50490705463078367</v>
      </c>
      <c r="X4933" s="2">
        <f ca="1"/>
        <v>48.133556054861366</v>
      </c>
      <c r="AG4933" s="2">
        <f ca="1"/>
        <v>0.63331270615740642</v>
      </c>
      <c r="AH4933" s="2" t="str">
        <f ca="1"/>
        <v>Bad</v>
      </c>
    </row>
    <row r="4934" spans="2:34" x14ac:dyDescent="0.2">
      <c r="B4934" s="2">
        <f ca="1"/>
        <v>0.68175360415340913</v>
      </c>
      <c r="O4934" s="2">
        <f ca="1"/>
        <v>-0.49764064983340561</v>
      </c>
      <c r="X4934" s="2">
        <f ca="1"/>
        <v>60.143713345093687</v>
      </c>
      <c r="AG4934" s="2">
        <f ca="1"/>
        <v>0.5095678070687808</v>
      </c>
      <c r="AH4934" s="2" t="str">
        <f ca="1"/>
        <v>Bad</v>
      </c>
    </row>
    <row r="4935" spans="2:34" x14ac:dyDescent="0.2">
      <c r="B4935" s="2">
        <f ca="1"/>
        <v>0.49215061151251205</v>
      </c>
      <c r="O4935" s="2">
        <f ca="1"/>
        <v>6.68433334792055E-2</v>
      </c>
      <c r="X4935" s="2">
        <f ca="1"/>
        <v>44.558481122736175</v>
      </c>
      <c r="AG4935" s="2">
        <f ca="1"/>
        <v>8.9002444718778051E-2</v>
      </c>
      <c r="AH4935" s="2" t="str">
        <f ca="1"/>
        <v>OK</v>
      </c>
    </row>
    <row r="4936" spans="2:34" x14ac:dyDescent="0.2">
      <c r="B4936" s="2">
        <f ca="1"/>
        <v>0.88548796158989829</v>
      </c>
      <c r="O4936" s="2">
        <f ca="1"/>
        <v>-3.4853886824739465E-2</v>
      </c>
      <c r="X4936" s="2">
        <f ca="1"/>
        <v>43.995524475977291</v>
      </c>
      <c r="AG4936" s="2">
        <f ca="1"/>
        <v>0.24081865995967511</v>
      </c>
      <c r="AH4936" s="2" t="str">
        <f ca="1"/>
        <v>OK</v>
      </c>
    </row>
    <row r="4937" spans="2:34" x14ac:dyDescent="0.2">
      <c r="B4937" s="2">
        <f ca="1"/>
        <v>0.24790567570639332</v>
      </c>
      <c r="O4937" s="2">
        <f ca="1"/>
        <v>1.9445272812696959</v>
      </c>
      <c r="X4937" s="2">
        <f ca="1"/>
        <v>24.785563942160721</v>
      </c>
      <c r="AG4937" s="2">
        <f ca="1"/>
        <v>0.69092814667067493</v>
      </c>
      <c r="AH4937" s="2" t="str">
        <f ca="1"/>
        <v>Bad</v>
      </c>
    </row>
    <row r="4938" spans="2:34" x14ac:dyDescent="0.2">
      <c r="B4938" s="2">
        <f ca="1"/>
        <v>0.64254810406902885</v>
      </c>
      <c r="O4938" s="2">
        <f ca="1"/>
        <v>-1.0528216704012225</v>
      </c>
      <c r="X4938" s="2">
        <f ca="1"/>
        <v>57.270987419740692</v>
      </c>
      <c r="AG4938" s="2">
        <f ca="1"/>
        <v>0.33423503273483246</v>
      </c>
      <c r="AH4938" s="2" t="str">
        <f ca="1"/>
        <v>OK</v>
      </c>
    </row>
    <row r="4939" spans="2:34" x14ac:dyDescent="0.2">
      <c r="B4939" s="2">
        <f ca="1"/>
        <v>0.30057435767636553</v>
      </c>
      <c r="O4939" s="2">
        <f ca="1"/>
        <v>0.64668410519744568</v>
      </c>
      <c r="X4939" s="2">
        <f ca="1"/>
        <v>68.607251373280434</v>
      </c>
      <c r="AG4939" s="2">
        <f ca="1"/>
        <v>0.79249328364438476</v>
      </c>
      <c r="AH4939" s="2" t="str">
        <f ca="1"/>
        <v>Bad</v>
      </c>
    </row>
    <row r="4940" spans="2:34" x14ac:dyDescent="0.2">
      <c r="B4940" s="2">
        <f ca="1"/>
        <v>0.85048766912634655</v>
      </c>
      <c r="O4940" s="2">
        <f ca="1"/>
        <v>0.97643195996369603</v>
      </c>
      <c r="X4940" s="2">
        <f ca="1"/>
        <v>39.305192380556974</v>
      </c>
      <c r="AG4940" s="2">
        <f ca="1"/>
        <v>0.55445680993208257</v>
      </c>
      <c r="AH4940" s="2" t="str">
        <f ca="1"/>
        <v>Bad</v>
      </c>
    </row>
    <row r="4941" spans="2:34" x14ac:dyDescent="0.2">
      <c r="B4941" s="2">
        <f ca="1"/>
        <v>0.56931064236991147</v>
      </c>
      <c r="O4941" s="2">
        <f ca="1"/>
        <v>1.2071241128286636</v>
      </c>
      <c r="X4941" s="2">
        <f ca="1"/>
        <v>63.016414645981811</v>
      </c>
      <c r="AG4941" s="2">
        <f ca="1"/>
        <v>0.88467351121765492</v>
      </c>
      <c r="AH4941" s="2" t="str">
        <f ca="1"/>
        <v>Bad</v>
      </c>
    </row>
    <row r="4942" spans="2:34" x14ac:dyDescent="0.2">
      <c r="B4942" s="2">
        <f ca="1"/>
        <v>0.4739775119586831</v>
      </c>
      <c r="O4942" s="2">
        <f ca="1"/>
        <v>-2.885594221256524</v>
      </c>
      <c r="X4942" s="2">
        <f ca="1"/>
        <v>53.319940864100062</v>
      </c>
      <c r="AG4942" s="2">
        <f ca="1"/>
        <v>0.25864427142354751</v>
      </c>
      <c r="AH4942" s="2" t="str">
        <f ca="1"/>
        <v>OK</v>
      </c>
    </row>
    <row r="4943" spans="2:34" x14ac:dyDescent="0.2">
      <c r="B4943" s="2">
        <f ca="1"/>
        <v>0.25852001661171031</v>
      </c>
      <c r="O4943" s="2">
        <f ca="1"/>
        <v>1.798764318875786</v>
      </c>
      <c r="X4943" s="2">
        <f ca="1"/>
        <v>51.93868988167749</v>
      </c>
      <c r="AG4943" s="2">
        <f ca="1"/>
        <v>0.58522100588160963</v>
      </c>
      <c r="AH4943" s="2" t="str">
        <f ca="1"/>
        <v>Bad</v>
      </c>
    </row>
    <row r="4944" spans="2:34" x14ac:dyDescent="0.2">
      <c r="B4944" s="2">
        <f ca="1"/>
        <v>0.20722982947615121</v>
      </c>
      <c r="O4944" s="2">
        <f ca="1"/>
        <v>-1.30200807083154</v>
      </c>
      <c r="X4944" s="2">
        <f ca="1"/>
        <v>41.174985503200325</v>
      </c>
      <c r="AG4944" s="2">
        <f ca="1"/>
        <v>0.50429477077407081</v>
      </c>
      <c r="AH4944" s="2" t="str">
        <f ca="1"/>
        <v>Bad</v>
      </c>
    </row>
    <row r="4945" spans="2:34" x14ac:dyDescent="0.2">
      <c r="B4945" s="2">
        <f ca="1"/>
        <v>0.39560256453911813</v>
      </c>
      <c r="O4945" s="2">
        <f ca="1"/>
        <v>2.6050432253571811</v>
      </c>
      <c r="X4945" s="2">
        <f ca="1"/>
        <v>72.798186236529688</v>
      </c>
      <c r="AG4945" s="2">
        <f ca="1"/>
        <v>0.12936520097644033</v>
      </c>
      <c r="AH4945" s="2" t="str">
        <f ca="1"/>
        <v>OK</v>
      </c>
    </row>
    <row r="4946" spans="2:34" x14ac:dyDescent="0.2">
      <c r="B4946" s="2">
        <f ca="1"/>
        <v>0.79321766045115116</v>
      </c>
      <c r="O4946" s="2">
        <f ca="1"/>
        <v>-1.1013929883237354</v>
      </c>
      <c r="X4946" s="2">
        <f ca="1"/>
        <v>74.782383775424151</v>
      </c>
      <c r="AG4946" s="2">
        <f ca="1"/>
        <v>0.94724533486045015</v>
      </c>
      <c r="AH4946" s="2" t="str">
        <f ca="1"/>
        <v>Bad</v>
      </c>
    </row>
    <row r="4947" spans="2:34" x14ac:dyDescent="0.2">
      <c r="B4947" s="2">
        <f ca="1"/>
        <v>0.76424975880289203</v>
      </c>
      <c r="O4947" s="2">
        <f ca="1"/>
        <v>-0.17393277161189744</v>
      </c>
      <c r="X4947" s="2">
        <f ca="1"/>
        <v>60.420143808680223</v>
      </c>
      <c r="AG4947" s="2">
        <f ca="1"/>
        <v>0.77867609759466427</v>
      </c>
      <c r="AH4947" s="2" t="str">
        <f ca="1"/>
        <v>Bad</v>
      </c>
    </row>
    <row r="4948" spans="2:34" x14ac:dyDescent="0.2">
      <c r="B4948" s="2">
        <f ca="1"/>
        <v>0.52400011428894211</v>
      </c>
      <c r="O4948" s="2">
        <f ca="1"/>
        <v>-0.67204435238480398</v>
      </c>
      <c r="X4948" s="2">
        <f ca="1"/>
        <v>82.234726927089866</v>
      </c>
      <c r="AG4948" s="2">
        <f ca="1"/>
        <v>0.92236987836203954</v>
      </c>
      <c r="AH4948" s="2" t="str">
        <f ca="1"/>
        <v>Bad</v>
      </c>
    </row>
    <row r="4949" spans="2:34" x14ac:dyDescent="0.2">
      <c r="B4949" s="2">
        <f ca="1"/>
        <v>0.83451457780819416</v>
      </c>
      <c r="O4949" s="2">
        <f ca="1"/>
        <v>0.77157225046046596</v>
      </c>
      <c r="X4949" s="2">
        <f ca="1"/>
        <v>37.710340807542792</v>
      </c>
      <c r="AG4949" s="2">
        <f ca="1"/>
        <v>0.4315097511504733</v>
      </c>
      <c r="AH4949" s="2" t="str">
        <f ca="1"/>
        <v>Bad</v>
      </c>
    </row>
    <row r="4950" spans="2:34" x14ac:dyDescent="0.2">
      <c r="B4950" s="2">
        <f ca="1"/>
        <v>0.62306700795865155</v>
      </c>
      <c r="O4950" s="2">
        <f ca="1"/>
        <v>-0.5611418824325094</v>
      </c>
      <c r="X4950" s="2">
        <f ca="1"/>
        <v>58.644272601116434</v>
      </c>
      <c r="AG4950" s="2">
        <f ca="1"/>
        <v>0.36209700913815013</v>
      </c>
      <c r="AH4950" s="2" t="str">
        <f ca="1"/>
        <v>OK</v>
      </c>
    </row>
    <row r="4951" spans="2:34" x14ac:dyDescent="0.2">
      <c r="B4951" s="2">
        <f ca="1"/>
        <v>4.1480027191438396E-3</v>
      </c>
      <c r="O4951" s="2">
        <f ca="1"/>
        <v>-0.60532582386228351</v>
      </c>
      <c r="X4951" s="2">
        <f ca="1"/>
        <v>56.42282371076162</v>
      </c>
      <c r="AG4951" s="2">
        <f ca="1"/>
        <v>0.51172174284618399</v>
      </c>
      <c r="AH4951" s="2" t="str">
        <f ca="1"/>
        <v>Bad</v>
      </c>
    </row>
    <row r="4952" spans="2:34" x14ac:dyDescent="0.2">
      <c r="B4952" s="2">
        <f ca="1"/>
        <v>0.68653917955825028</v>
      </c>
      <c r="O4952" s="2">
        <f ca="1"/>
        <v>-0.48935182001290334</v>
      </c>
      <c r="X4952" s="2">
        <f ca="1"/>
        <v>32.180660529321507</v>
      </c>
      <c r="AG4952" s="2">
        <f ca="1"/>
        <v>0.79334502270874951</v>
      </c>
      <c r="AH4952" s="2" t="str">
        <f ca="1"/>
        <v>Bad</v>
      </c>
    </row>
    <row r="4953" spans="2:34" x14ac:dyDescent="0.2">
      <c r="B4953" s="2">
        <f ca="1"/>
        <v>0.75227311856608137</v>
      </c>
      <c r="O4953" s="2">
        <f ca="1"/>
        <v>-0.73918294271639007</v>
      </c>
      <c r="X4953" s="2">
        <f ca="1"/>
        <v>28.378093277582124</v>
      </c>
      <c r="AG4953" s="2">
        <f ca="1"/>
        <v>0.18386622424392463</v>
      </c>
      <c r="AH4953" s="2" t="str">
        <f ca="1"/>
        <v>OK</v>
      </c>
    </row>
    <row r="4954" spans="2:34" x14ac:dyDescent="0.2">
      <c r="B4954" s="2">
        <f ca="1"/>
        <v>0.22395787203594741</v>
      </c>
      <c r="O4954" s="2">
        <f ca="1"/>
        <v>1.1690928781723995</v>
      </c>
      <c r="X4954" s="2">
        <f ca="1"/>
        <v>30.20977923920546</v>
      </c>
      <c r="AG4954" s="2">
        <f ca="1"/>
        <v>0.52397403272441667</v>
      </c>
      <c r="AH4954" s="2" t="str">
        <f ca="1"/>
        <v>Bad</v>
      </c>
    </row>
    <row r="4955" spans="2:34" x14ac:dyDescent="0.2">
      <c r="B4955" s="2">
        <f ca="1"/>
        <v>0.90624937379469128</v>
      </c>
      <c r="O4955" s="2">
        <f ca="1"/>
        <v>0.60477224311506417</v>
      </c>
      <c r="X4955" s="2">
        <f ca="1"/>
        <v>45.928643753996013</v>
      </c>
      <c r="AG4955" s="2">
        <f ca="1"/>
        <v>0.47372453872107423</v>
      </c>
      <c r="AH4955" s="2" t="str">
        <f ca="1"/>
        <v>Bad</v>
      </c>
    </row>
    <row r="4956" spans="2:34" x14ac:dyDescent="0.2">
      <c r="B4956" s="2">
        <f ca="1"/>
        <v>0.75984750033278914</v>
      </c>
      <c r="O4956" s="2">
        <f ca="1"/>
        <v>-0.10516291114186969</v>
      </c>
      <c r="X4956" s="2">
        <f ca="1"/>
        <v>69.084482621810736</v>
      </c>
      <c r="AG4956" s="2">
        <f ca="1"/>
        <v>0.1519630193338799</v>
      </c>
      <c r="AH4956" s="2" t="str">
        <f ca="1"/>
        <v>OK</v>
      </c>
    </row>
    <row r="4957" spans="2:34" x14ac:dyDescent="0.2">
      <c r="B4957" s="2">
        <f ca="1"/>
        <v>0.28679050643206905</v>
      </c>
      <c r="O4957" s="2">
        <f ca="1"/>
        <v>-8.3693598204883646E-2</v>
      </c>
      <c r="X4957" s="2">
        <f ca="1"/>
        <v>34.310426294517839</v>
      </c>
      <c r="AG4957" s="2">
        <f ca="1"/>
        <v>0.16531332600116988</v>
      </c>
      <c r="AH4957" s="2" t="str">
        <f ca="1"/>
        <v>OK</v>
      </c>
    </row>
    <row r="4958" spans="2:34" x14ac:dyDescent="0.2">
      <c r="B4958" s="2">
        <f ca="1"/>
        <v>0.66139311495131059</v>
      </c>
      <c r="O4958" s="2">
        <f ca="1"/>
        <v>3.0397389556216695E-2</v>
      </c>
      <c r="X4958" s="2">
        <f ca="1"/>
        <v>43.617278674763895</v>
      </c>
      <c r="AG4958" s="2">
        <f ca="1"/>
        <v>0.97385347831387281</v>
      </c>
      <c r="AH4958" s="2" t="str">
        <f ca="1"/>
        <v>Bad</v>
      </c>
    </row>
    <row r="4959" spans="2:34" x14ac:dyDescent="0.2">
      <c r="B4959" s="2">
        <f ca="1"/>
        <v>0.63764133376446486</v>
      </c>
      <c r="O4959" s="2">
        <f ca="1"/>
        <v>0.42131253539056218</v>
      </c>
      <c r="X4959" s="2">
        <f ca="1"/>
        <v>36.137444177895304</v>
      </c>
      <c r="AG4959" s="2">
        <f ca="1"/>
        <v>0.44952439053301285</v>
      </c>
      <c r="AH4959" s="2" t="str">
        <f ca="1"/>
        <v>Bad</v>
      </c>
    </row>
    <row r="4960" spans="2:34" x14ac:dyDescent="0.2">
      <c r="B4960" s="2">
        <f ca="1"/>
        <v>0.9631765112423738</v>
      </c>
      <c r="O4960" s="2">
        <f ca="1"/>
        <v>5.6212166875086542E-3</v>
      </c>
      <c r="X4960" s="2">
        <f ca="1"/>
        <v>51.677228600838909</v>
      </c>
      <c r="AG4960" s="2">
        <f ca="1"/>
        <v>0.73472742873755048</v>
      </c>
      <c r="AH4960" s="2" t="str">
        <f ca="1"/>
        <v>Bad</v>
      </c>
    </row>
    <row r="4961" spans="2:34" x14ac:dyDescent="0.2">
      <c r="B4961" s="2">
        <f ca="1"/>
        <v>0.24111796870394908</v>
      </c>
      <c r="O4961" s="2">
        <f ca="1"/>
        <v>-0.82682332527735003</v>
      </c>
      <c r="X4961" s="2">
        <f ca="1"/>
        <v>43.624737684473622</v>
      </c>
      <c r="AG4961" s="2">
        <f ca="1"/>
        <v>0.28119642121342214</v>
      </c>
      <c r="AH4961" s="2" t="str">
        <f ca="1"/>
        <v>OK</v>
      </c>
    </row>
    <row r="4962" spans="2:34" x14ac:dyDescent="0.2">
      <c r="B4962" s="2">
        <f ca="1"/>
        <v>0.9610077185603183</v>
      </c>
      <c r="O4962" s="2">
        <f ca="1"/>
        <v>0.17911465099875712</v>
      </c>
      <c r="X4962" s="2">
        <f ca="1"/>
        <v>34.945430326606953</v>
      </c>
      <c r="AG4962" s="2">
        <f ca="1"/>
        <v>0.37018013989550491</v>
      </c>
      <c r="AH4962" s="2" t="str">
        <f ca="1"/>
        <v>OK</v>
      </c>
    </row>
    <row r="4963" spans="2:34" x14ac:dyDescent="0.2">
      <c r="B4963" s="2">
        <f ca="1"/>
        <v>0.11070442154856708</v>
      </c>
      <c r="O4963" s="2">
        <f ca="1"/>
        <v>-0.97741669318731594</v>
      </c>
      <c r="X4963" s="2">
        <f ca="1"/>
        <v>62.353392869909385</v>
      </c>
      <c r="AG4963" s="2">
        <f ca="1"/>
        <v>0.9534606857466934</v>
      </c>
      <c r="AH4963" s="2" t="str">
        <f ca="1"/>
        <v>Bad</v>
      </c>
    </row>
    <row r="4964" spans="2:34" x14ac:dyDescent="0.2">
      <c r="B4964" s="2">
        <f ca="1"/>
        <v>0.5960591373176849</v>
      </c>
      <c r="O4964" s="2">
        <f ca="1"/>
        <v>-0.37652802271335206</v>
      </c>
      <c r="X4964" s="2">
        <f ca="1"/>
        <v>66.378692509230589</v>
      </c>
      <c r="AG4964" s="2">
        <f ca="1"/>
        <v>0.55451783094121909</v>
      </c>
      <c r="AH4964" s="2" t="str">
        <f ca="1"/>
        <v>Bad</v>
      </c>
    </row>
    <row r="4965" spans="2:34" x14ac:dyDescent="0.2">
      <c r="B4965" s="2">
        <f ca="1"/>
        <v>0.75396495635886129</v>
      </c>
      <c r="O4965" s="2">
        <f ca="1"/>
        <v>-0.51742752944416415</v>
      </c>
      <c r="X4965" s="2">
        <f ca="1"/>
        <v>39.961976717259589</v>
      </c>
      <c r="AG4965" s="2">
        <f ca="1"/>
        <v>0.20676567208121455</v>
      </c>
      <c r="AH4965" s="2" t="str">
        <f ca="1"/>
        <v>OK</v>
      </c>
    </row>
    <row r="4966" spans="2:34" x14ac:dyDescent="0.2">
      <c r="B4966" s="2">
        <f ca="1"/>
        <v>0.31687492888823465</v>
      </c>
      <c r="O4966" s="2">
        <f ca="1"/>
        <v>0.83993611745597929</v>
      </c>
      <c r="X4966" s="2">
        <f ca="1"/>
        <v>50.861471655493666</v>
      </c>
      <c r="AG4966" s="2">
        <f ca="1"/>
        <v>0.44296199917376478</v>
      </c>
      <c r="AH4966" s="2" t="str">
        <f ca="1"/>
        <v>Bad</v>
      </c>
    </row>
    <row r="4967" spans="2:34" x14ac:dyDescent="0.2">
      <c r="B4967" s="2">
        <f ca="1"/>
        <v>0.64068365935011751</v>
      </c>
      <c r="O4967" s="2">
        <f ca="1"/>
        <v>0.574909981161702</v>
      </c>
      <c r="X4967" s="2">
        <f ca="1"/>
        <v>37.011193764739517</v>
      </c>
      <c r="AG4967" s="2">
        <f ca="1"/>
        <v>0.37091625363885639</v>
      </c>
      <c r="AH4967" s="2" t="str">
        <f ca="1"/>
        <v>OK</v>
      </c>
    </row>
    <row r="4968" spans="2:34" x14ac:dyDescent="0.2">
      <c r="B4968" s="2">
        <f ca="1"/>
        <v>0.13228078349231742</v>
      </c>
      <c r="O4968" s="2">
        <f ca="1"/>
        <v>1.4597448924603023</v>
      </c>
      <c r="X4968" s="2">
        <f ca="1"/>
        <v>51.989878085773995</v>
      </c>
      <c r="AG4968" s="2">
        <f ca="1"/>
        <v>0.15658641854335542</v>
      </c>
      <c r="AH4968" s="2" t="str">
        <f ca="1"/>
        <v>OK</v>
      </c>
    </row>
    <row r="4969" spans="2:34" x14ac:dyDescent="0.2">
      <c r="B4969" s="2">
        <f ca="1"/>
        <v>0.85149863583802099</v>
      </c>
      <c r="O4969" s="2">
        <f ca="1"/>
        <v>0.13942824682122307</v>
      </c>
      <c r="X4969" s="2">
        <f ca="1"/>
        <v>82.801372963654842</v>
      </c>
      <c r="AG4969" s="2">
        <f ca="1"/>
        <v>0.62452856167843929</v>
      </c>
      <c r="AH4969" s="2" t="str">
        <f ca="1"/>
        <v>Bad</v>
      </c>
    </row>
    <row r="4970" spans="2:34" x14ac:dyDescent="0.2">
      <c r="B4970" s="2">
        <f ca="1"/>
        <v>0.42793807511044313</v>
      </c>
      <c r="O4970" s="2">
        <f ca="1"/>
        <v>-1.1437455343016436</v>
      </c>
      <c r="X4970" s="2">
        <f ca="1"/>
        <v>56.180019712504709</v>
      </c>
      <c r="AG4970" s="2">
        <f ca="1"/>
        <v>0.15230242783052783</v>
      </c>
      <c r="AH4970" s="2" t="str">
        <f ca="1"/>
        <v>OK</v>
      </c>
    </row>
    <row r="4971" spans="2:34" x14ac:dyDescent="0.2">
      <c r="B4971" s="2">
        <f ca="1"/>
        <v>0.85643865721980417</v>
      </c>
      <c r="O4971" s="2">
        <f ca="1"/>
        <v>0.29871764574122028</v>
      </c>
      <c r="X4971" s="2">
        <f ca="1"/>
        <v>32.231895621167951</v>
      </c>
      <c r="AG4971" s="2">
        <f ca="1"/>
        <v>0.1737312489481766</v>
      </c>
      <c r="AH4971" s="2" t="str">
        <f ca="1"/>
        <v>OK</v>
      </c>
    </row>
    <row r="4972" spans="2:34" x14ac:dyDescent="0.2">
      <c r="B4972" s="2">
        <f ca="1"/>
        <v>0.48889552545285486</v>
      </c>
      <c r="O4972" s="2">
        <f ca="1"/>
        <v>-0.33161918012779357</v>
      </c>
      <c r="X4972" s="2">
        <f ca="1"/>
        <v>70.263101166289246</v>
      </c>
      <c r="AG4972" s="2">
        <f ca="1"/>
        <v>0.23829232356860008</v>
      </c>
      <c r="AH4972" s="2" t="str">
        <f ca="1"/>
        <v>OK</v>
      </c>
    </row>
    <row r="4973" spans="2:34" x14ac:dyDescent="0.2">
      <c r="B4973" s="2">
        <f ca="1"/>
        <v>0.81961362505457669</v>
      </c>
      <c r="O4973" s="2">
        <f ca="1"/>
        <v>0.91087238822196837</v>
      </c>
      <c r="X4973" s="2">
        <f ca="1"/>
        <v>64.132558229842203</v>
      </c>
      <c r="AG4973" s="2">
        <f ca="1"/>
        <v>0.30395797049425832</v>
      </c>
      <c r="AH4973" s="2" t="str">
        <f ca="1"/>
        <v>OK</v>
      </c>
    </row>
    <row r="4974" spans="2:34" x14ac:dyDescent="0.2">
      <c r="B4974" s="2">
        <f ca="1"/>
        <v>0.33919255760822931</v>
      </c>
      <c r="O4974" s="2">
        <f ca="1"/>
        <v>0.3170643583287911</v>
      </c>
      <c r="X4974" s="2">
        <f ca="1"/>
        <v>56.943794647570542</v>
      </c>
      <c r="AG4974" s="2">
        <f ca="1"/>
        <v>0.41445293385650217</v>
      </c>
      <c r="AH4974" s="2" t="str">
        <f ca="1"/>
        <v>Bad</v>
      </c>
    </row>
    <row r="4975" spans="2:34" x14ac:dyDescent="0.2">
      <c r="B4975" s="2">
        <f ca="1"/>
        <v>0.19006697864489119</v>
      </c>
      <c r="O4975" s="2">
        <f ca="1"/>
        <v>-1.0057304167169685</v>
      </c>
      <c r="X4975" s="2">
        <f ca="1"/>
        <v>55.703934824171284</v>
      </c>
      <c r="AG4975" s="2">
        <f ca="1"/>
        <v>0.42404322631740121</v>
      </c>
      <c r="AH4975" s="2" t="str">
        <f ca="1"/>
        <v>Bad</v>
      </c>
    </row>
    <row r="4976" spans="2:34" x14ac:dyDescent="0.2">
      <c r="B4976" s="2">
        <f ca="1"/>
        <v>0.59649605944605621</v>
      </c>
      <c r="O4976" s="2">
        <f ca="1"/>
        <v>1.3580254935773723</v>
      </c>
      <c r="X4976" s="2">
        <f ca="1"/>
        <v>26.625494955091082</v>
      </c>
      <c r="AG4976" s="2">
        <f ca="1"/>
        <v>0.98007924973392546</v>
      </c>
      <c r="AH4976" s="2" t="str">
        <f ca="1"/>
        <v>Bad</v>
      </c>
    </row>
    <row r="4977" spans="2:34" x14ac:dyDescent="0.2">
      <c r="B4977" s="2">
        <f ca="1"/>
        <v>0.66428723439799353</v>
      </c>
      <c r="O4977" s="2">
        <f ca="1"/>
        <v>0.27495962100156907</v>
      </c>
      <c r="X4977" s="2">
        <f ca="1"/>
        <v>71.785834305051068</v>
      </c>
      <c r="AG4977" s="2">
        <f ca="1"/>
        <v>0.16208326296394215</v>
      </c>
      <c r="AH4977" s="2" t="str">
        <f ca="1"/>
        <v>OK</v>
      </c>
    </row>
    <row r="4978" spans="2:34" x14ac:dyDescent="0.2">
      <c r="B4978" s="2">
        <f ca="1"/>
        <v>0.90787193515111331</v>
      </c>
      <c r="O4978" s="2">
        <f ca="1"/>
        <v>0.82796041127258335</v>
      </c>
      <c r="X4978" s="2">
        <f ca="1"/>
        <v>33.68559722115647</v>
      </c>
      <c r="AG4978" s="2">
        <f ca="1"/>
        <v>0.91707584900802996</v>
      </c>
      <c r="AH4978" s="2" t="str">
        <f ca="1"/>
        <v>Bad</v>
      </c>
    </row>
    <row r="4979" spans="2:34" x14ac:dyDescent="0.2">
      <c r="B4979" s="2">
        <f ca="1"/>
        <v>0.72884369723844467</v>
      </c>
      <c r="O4979" s="2">
        <f ca="1"/>
        <v>0.51999852442110883</v>
      </c>
      <c r="X4979" s="2">
        <f ca="1"/>
        <v>33.184025603923388</v>
      </c>
      <c r="AG4979" s="2">
        <f ca="1"/>
        <v>0.65001746811421368</v>
      </c>
      <c r="AH4979" s="2" t="str">
        <f ca="1"/>
        <v>Bad</v>
      </c>
    </row>
    <row r="4980" spans="2:34" x14ac:dyDescent="0.2">
      <c r="B4980" s="2">
        <f ca="1"/>
        <v>0.41518001972637864</v>
      </c>
      <c r="O4980" s="2">
        <f ca="1"/>
        <v>-0.46431855145226558</v>
      </c>
      <c r="X4980" s="2">
        <f ca="1"/>
        <v>28.928850554238235</v>
      </c>
      <c r="AG4980" s="2">
        <f ca="1"/>
        <v>0.17784310447248752</v>
      </c>
      <c r="AH4980" s="2" t="str">
        <f ca="1"/>
        <v>OK</v>
      </c>
    </row>
    <row r="4981" spans="2:34" x14ac:dyDescent="0.2">
      <c r="B4981" s="2">
        <f ca="1"/>
        <v>0.7309945800570159</v>
      </c>
      <c r="O4981" s="2">
        <f ca="1"/>
        <v>7.6576771649597725E-2</v>
      </c>
      <c r="X4981" s="2">
        <f ca="1"/>
        <v>59.942072906376694</v>
      </c>
      <c r="AG4981" s="2">
        <f ca="1"/>
        <v>0.5053849940712174</v>
      </c>
      <c r="AH4981" s="2" t="str">
        <f ca="1"/>
        <v>Bad</v>
      </c>
    </row>
    <row r="4982" spans="2:34" x14ac:dyDescent="0.2">
      <c r="B4982" s="2">
        <f ca="1"/>
        <v>0.60669933552577349</v>
      </c>
      <c r="O4982" s="2">
        <f ca="1"/>
        <v>-0.48145837737643926</v>
      </c>
      <c r="X4982" s="2">
        <f ca="1"/>
        <v>39.42022849887185</v>
      </c>
      <c r="AG4982" s="2">
        <f ca="1"/>
        <v>0.19693444129468451</v>
      </c>
      <c r="AH4982" s="2" t="str">
        <f ca="1"/>
        <v>OK</v>
      </c>
    </row>
    <row r="4983" spans="2:34" x14ac:dyDescent="0.2">
      <c r="B4983" s="2">
        <f ca="1"/>
        <v>0.90259822690839475</v>
      </c>
      <c r="O4983" s="2">
        <f ca="1"/>
        <v>0.40520072410132602</v>
      </c>
      <c r="X4983" s="2">
        <f ca="1"/>
        <v>28.678525467325805</v>
      </c>
      <c r="AG4983" s="2">
        <f ca="1"/>
        <v>0.82392037454010847</v>
      </c>
      <c r="AH4983" s="2" t="str">
        <f ca="1"/>
        <v>Bad</v>
      </c>
    </row>
    <row r="4984" spans="2:34" x14ac:dyDescent="0.2">
      <c r="B4984" s="2">
        <f ca="1"/>
        <v>0.39553022094274848</v>
      </c>
      <c r="O4984" s="2">
        <f ca="1"/>
        <v>0.48126682781456831</v>
      </c>
      <c r="X4984" s="2">
        <f ca="1"/>
        <v>45.656117002879853</v>
      </c>
      <c r="AG4984" s="2">
        <f ca="1"/>
        <v>0.16415310762594437</v>
      </c>
      <c r="AH4984" s="2" t="str">
        <f ca="1"/>
        <v>OK</v>
      </c>
    </row>
    <row r="4985" spans="2:34" x14ac:dyDescent="0.2">
      <c r="B4985" s="2">
        <f ca="1"/>
        <v>0.68976591575945911</v>
      </c>
      <c r="O4985" s="2">
        <f ca="1"/>
        <v>-0.83459822464612921</v>
      </c>
      <c r="X4985" s="2">
        <f ca="1"/>
        <v>68.288008961002845</v>
      </c>
      <c r="AG4985" s="2">
        <f ca="1"/>
        <v>0.70748721750951993</v>
      </c>
      <c r="AH4985" s="2" t="str">
        <f ca="1"/>
        <v>Bad</v>
      </c>
    </row>
    <row r="4986" spans="2:34" x14ac:dyDescent="0.2">
      <c r="B4986" s="2">
        <f ca="1"/>
        <v>0.46674550337286802</v>
      </c>
      <c r="O4986" s="2">
        <f ca="1"/>
        <v>1.590878677431065</v>
      </c>
      <c r="X4986" s="2">
        <f ca="1"/>
        <v>53.85066822487574</v>
      </c>
      <c r="AG4986" s="2">
        <f ca="1"/>
        <v>0.79718551073960464</v>
      </c>
      <c r="AH4986" s="2" t="str">
        <f ca="1"/>
        <v>Bad</v>
      </c>
    </row>
    <row r="4987" spans="2:34" x14ac:dyDescent="0.2">
      <c r="B4987" s="2">
        <f ca="1"/>
        <v>0.59470232882158625</v>
      </c>
      <c r="O4987" s="2">
        <f ca="1"/>
        <v>-0.49007256145370331</v>
      </c>
      <c r="X4987" s="2">
        <f ca="1"/>
        <v>38.491735259758826</v>
      </c>
      <c r="AG4987" s="2">
        <f ca="1"/>
        <v>0.24971852523229088</v>
      </c>
      <c r="AH4987" s="2" t="str">
        <f ca="1"/>
        <v>OK</v>
      </c>
    </row>
    <row r="4988" spans="2:34" x14ac:dyDescent="0.2">
      <c r="B4988" s="2">
        <f ca="1"/>
        <v>0.95745673941509213</v>
      </c>
      <c r="O4988" s="2">
        <f ca="1"/>
        <v>0.80670437751830115</v>
      </c>
      <c r="X4988" s="2">
        <f ca="1"/>
        <v>41.99336666704022</v>
      </c>
      <c r="AG4988" s="2">
        <f ca="1"/>
        <v>0.13461669435122903</v>
      </c>
      <c r="AH4988" s="2" t="str">
        <f ca="1"/>
        <v>OK</v>
      </c>
    </row>
    <row r="4989" spans="2:34" x14ac:dyDescent="0.2">
      <c r="B4989" s="2">
        <f ca="1"/>
        <v>0.73309059883076721</v>
      </c>
      <c r="O4989" s="2">
        <f ca="1"/>
        <v>0.67150073533530652</v>
      </c>
      <c r="X4989" s="2">
        <f ca="1"/>
        <v>59.695997489475076</v>
      </c>
      <c r="AG4989" s="2">
        <f ca="1"/>
        <v>0.29776451290023709</v>
      </c>
      <c r="AH4989" s="2" t="str">
        <f ca="1"/>
        <v>OK</v>
      </c>
    </row>
    <row r="4990" spans="2:34" x14ac:dyDescent="0.2">
      <c r="B4990" s="2">
        <f ca="1"/>
        <v>0.67151546628768988</v>
      </c>
      <c r="O4990" s="2">
        <f ca="1"/>
        <v>-1.7641914530416612E-2</v>
      </c>
      <c r="X4990" s="2">
        <f ca="1"/>
        <v>58.884581354199021</v>
      </c>
      <c r="AG4990" s="2">
        <f ca="1"/>
        <v>0.11231750780605587</v>
      </c>
      <c r="AH4990" s="2" t="str">
        <f ca="1"/>
        <v>OK</v>
      </c>
    </row>
    <row r="4991" spans="2:34" x14ac:dyDescent="0.2">
      <c r="B4991" s="2">
        <f ca="1"/>
        <v>0.22300178510764535</v>
      </c>
      <c r="O4991" s="2">
        <f ca="1"/>
        <v>1.7144136274833071</v>
      </c>
      <c r="X4991" s="2">
        <f ca="1"/>
        <v>46.024446823477319</v>
      </c>
      <c r="AG4991" s="2">
        <f ca="1"/>
        <v>0.47434251263997473</v>
      </c>
      <c r="AH4991" s="2" t="str">
        <f ca="1"/>
        <v>Bad</v>
      </c>
    </row>
    <row r="4992" spans="2:34" x14ac:dyDescent="0.2">
      <c r="B4992" s="2">
        <f ca="1"/>
        <v>0.49437704747706768</v>
      </c>
      <c r="O4992" s="2">
        <f ca="1"/>
        <v>-0.71723256779520572</v>
      </c>
      <c r="X4992" s="2">
        <f ca="1"/>
        <v>55.355248464419439</v>
      </c>
      <c r="AG4992" s="2">
        <f ca="1"/>
        <v>0.57373814880406804</v>
      </c>
      <c r="AH4992" s="2" t="str">
        <f ca="1"/>
        <v>Bad</v>
      </c>
    </row>
    <row r="4993" spans="2:34" x14ac:dyDescent="0.2">
      <c r="B4993" s="2">
        <f ca="1"/>
        <v>0.97800110142681973</v>
      </c>
      <c r="O4993" s="2">
        <f ca="1"/>
        <v>-1.6461378128566642</v>
      </c>
      <c r="X4993" s="2">
        <f ca="1"/>
        <v>99.252695006192297</v>
      </c>
      <c r="AG4993" s="2">
        <f ca="1"/>
        <v>1.7991597844745577E-2</v>
      </c>
      <c r="AH4993" s="2" t="str">
        <f ca="1"/>
        <v>Good</v>
      </c>
    </row>
    <row r="4994" spans="2:34" x14ac:dyDescent="0.2">
      <c r="B4994" s="2">
        <f ca="1"/>
        <v>0.48226710617627444</v>
      </c>
      <c r="O4994" s="2">
        <f ca="1"/>
        <v>-2.1802275940310643</v>
      </c>
      <c r="X4994" s="2">
        <f ca="1"/>
        <v>59.06968644917832</v>
      </c>
      <c r="AG4994" s="2">
        <f ca="1"/>
        <v>0.51305506548300217</v>
      </c>
      <c r="AH4994" s="2" t="str">
        <f ca="1"/>
        <v>Bad</v>
      </c>
    </row>
    <row r="4995" spans="2:34" x14ac:dyDescent="0.2">
      <c r="B4995" s="2">
        <f ca="1"/>
        <v>0.19627842046125221</v>
      </c>
      <c r="O4995" s="2">
        <f ca="1"/>
        <v>0.52233156238115241</v>
      </c>
      <c r="X4995" s="2">
        <f ca="1"/>
        <v>29.028753799137146</v>
      </c>
      <c r="AG4995" s="2">
        <f ca="1"/>
        <v>0.36576010177339158</v>
      </c>
      <c r="AH4995" s="2" t="str">
        <f ca="1"/>
        <v>OK</v>
      </c>
    </row>
    <row r="4996" spans="2:34" x14ac:dyDescent="0.2">
      <c r="B4996" s="2">
        <f ca="1"/>
        <v>0.29561365684137209</v>
      </c>
      <c r="O4996" s="2">
        <f ca="1"/>
        <v>0.27080539315030056</v>
      </c>
      <c r="X4996" s="2">
        <f ca="1"/>
        <v>47.356119388763965</v>
      </c>
      <c r="AG4996" s="2">
        <f ca="1"/>
        <v>0.51930864834367241</v>
      </c>
      <c r="AH4996" s="2" t="str">
        <f ca="1"/>
        <v>Bad</v>
      </c>
    </row>
    <row r="4997" spans="2:34" x14ac:dyDescent="0.2">
      <c r="B4997" s="2">
        <f ca="1"/>
        <v>0.84949526010607657</v>
      </c>
      <c r="O4997" s="2">
        <f ca="1"/>
        <v>-1.3342300798959663</v>
      </c>
      <c r="X4997" s="2">
        <f ca="1"/>
        <v>55.653827121362703</v>
      </c>
      <c r="AG4997" s="2">
        <f ca="1"/>
        <v>0.63676612970569502</v>
      </c>
      <c r="AH4997" s="2" t="str">
        <f ca="1"/>
        <v>Bad</v>
      </c>
    </row>
    <row r="4998" spans="2:34" x14ac:dyDescent="0.2">
      <c r="B4998" s="2">
        <f ca="1"/>
        <v>0.47982086653919942</v>
      </c>
      <c r="O4998" s="2">
        <f ca="1"/>
        <v>0.18618901722491721</v>
      </c>
      <c r="X4998" s="2">
        <f ca="1"/>
        <v>50.530008606901184</v>
      </c>
      <c r="AG4998" s="2">
        <f ca="1"/>
        <v>6.234247499657819E-2</v>
      </c>
      <c r="AH4998" s="2" t="str">
        <f ca="1"/>
        <v>OK</v>
      </c>
    </row>
    <row r="4999" spans="2:34" x14ac:dyDescent="0.2">
      <c r="B4999" s="2">
        <f ca="1"/>
        <v>0.17245203136709919</v>
      </c>
      <c r="O4999" s="2">
        <f ca="1"/>
        <v>9.2427700768676568E-2</v>
      </c>
      <c r="X4999" s="2">
        <f ca="1"/>
        <v>64.381074129012688</v>
      </c>
      <c r="AG4999" s="2">
        <f ca="1"/>
        <v>0.61757763972323598</v>
      </c>
      <c r="AH4999" s="2" t="str">
        <f ca="1"/>
        <v>Bad</v>
      </c>
    </row>
    <row r="5000" spans="2:34" x14ac:dyDescent="0.2">
      <c r="B5000" s="2">
        <f ca="1"/>
        <v>0.61426946169751906</v>
      </c>
      <c r="O5000" s="2">
        <f ca="1"/>
        <v>-0.77605141681322831</v>
      </c>
      <c r="X5000" s="2">
        <f ca="1"/>
        <v>35.489599890103406</v>
      </c>
      <c r="AG5000" s="2">
        <f ca="1"/>
        <v>4.0259063807965845E-2</v>
      </c>
      <c r="AH5000" s="2" t="str">
        <f ca="1"/>
        <v>Good</v>
      </c>
    </row>
    <row r="5001" spans="2:34" x14ac:dyDescent="0.2">
      <c r="B5001" s="2">
        <f ca="1"/>
        <v>0.68531563242377747</v>
      </c>
      <c r="O5001" s="2">
        <f ca="1"/>
        <v>0.33615396398175518</v>
      </c>
      <c r="X5001" s="2">
        <f ca="1"/>
        <v>45.749707735973416</v>
      </c>
      <c r="AG5001" s="2">
        <f ca="1"/>
        <v>0.46920392743942729</v>
      </c>
      <c r="AH5001" s="2" t="str">
        <f ca="1"/>
        <v>Bad</v>
      </c>
    </row>
    <row r="5002" spans="2:34" x14ac:dyDescent="0.2">
      <c r="B5002" s="2">
        <f ca="1"/>
        <v>0.50235923387881321</v>
      </c>
      <c r="O5002" s="2">
        <f ca="1"/>
        <v>0.56884744340120275</v>
      </c>
      <c r="X5002" s="2">
        <f ca="1"/>
        <v>50.939248021856343</v>
      </c>
      <c r="AG5002" s="2">
        <f ca="1"/>
        <v>1.5895828810090107E-2</v>
      </c>
      <c r="AH5002" s="2" t="str">
        <f ca="1"/>
        <v>Good</v>
      </c>
    </row>
    <row r="5003" spans="2:34" x14ac:dyDescent="0.2">
      <c r="B5003" s="2">
        <f ca="1"/>
        <v>6.1874412597819894E-3</v>
      </c>
      <c r="O5003" s="2">
        <f ca="1"/>
        <v>0.12036343450482978</v>
      </c>
      <c r="X5003" s="2">
        <f ca="1"/>
        <v>48.001178498276822</v>
      </c>
      <c r="AG5003" s="2">
        <f ca="1"/>
        <v>0.92344813191292596</v>
      </c>
      <c r="AH5003" s="2" t="str">
        <f ca="1"/>
        <v>Bad</v>
      </c>
    </row>
    <row r="5004" spans="2:34" x14ac:dyDescent="0.2">
      <c r="B5004" s="2">
        <f ca="1"/>
        <v>0.73383666163300409</v>
      </c>
      <c r="O5004" s="2">
        <f ca="1"/>
        <v>-9.4755976436640327E-2</v>
      </c>
      <c r="X5004" s="2">
        <f ca="1"/>
        <v>34.177858469426177</v>
      </c>
      <c r="AG5004" s="2">
        <f ca="1"/>
        <v>0.65838337291319049</v>
      </c>
      <c r="AH5004" s="2" t="str">
        <f ca="1"/>
        <v>Bad</v>
      </c>
    </row>
    <row r="5005" spans="2:34" x14ac:dyDescent="0.2">
      <c r="B5005" s="2">
        <f ca="1"/>
        <v>0.89836157565455044</v>
      </c>
      <c r="O5005" s="2">
        <f ca="1"/>
        <v>1.3376179761585578</v>
      </c>
      <c r="X5005" s="2">
        <f ca="1"/>
        <v>54.975313668775996</v>
      </c>
      <c r="AG5005" s="2">
        <f ca="1"/>
        <v>0.56298913343632595</v>
      </c>
      <c r="AH5005" s="2" t="str">
        <f ca="1"/>
        <v>Bad</v>
      </c>
    </row>
    <row r="5006" spans="2:34" x14ac:dyDescent="0.2">
      <c r="B5006" s="2">
        <f ca="1"/>
        <v>0.71104517740996109</v>
      </c>
      <c r="O5006" s="2">
        <f ca="1"/>
        <v>-1.9210048660385652</v>
      </c>
      <c r="X5006" s="2">
        <f ca="1"/>
        <v>28.910968038383182</v>
      </c>
      <c r="AG5006" s="2">
        <f ca="1"/>
        <v>0.52746598488596508</v>
      </c>
      <c r="AH5006" s="2" t="str">
        <f ca="1"/>
        <v>Bad</v>
      </c>
    </row>
    <row r="5007" spans="2:34" x14ac:dyDescent="0.2">
      <c r="B5007" s="2">
        <f ca="1"/>
        <v>0.82798626709853984</v>
      </c>
      <c r="O5007" s="2">
        <f ca="1"/>
        <v>-0.42202069920691598</v>
      </c>
      <c r="X5007" s="2">
        <f ca="1"/>
        <v>51.549405597299113</v>
      </c>
      <c r="AG5007" s="2">
        <f ca="1"/>
        <v>5.1887214335570864E-2</v>
      </c>
      <c r="AH5007" s="2" t="str">
        <f ca="1"/>
        <v>OK</v>
      </c>
    </row>
    <row r="5008" spans="2:34" x14ac:dyDescent="0.2">
      <c r="B5008" s="2">
        <f ca="1"/>
        <v>0.59914489049862896</v>
      </c>
      <c r="O5008" s="2">
        <f ca="1"/>
        <v>0.20901272322320871</v>
      </c>
      <c r="X5008" s="2">
        <f ca="1"/>
        <v>22.911002878595916</v>
      </c>
      <c r="AG5008" s="2">
        <f ca="1"/>
        <v>7.0769039591913385E-2</v>
      </c>
      <c r="AH5008" s="2" t="str">
        <f ca="1"/>
        <v>OK</v>
      </c>
    </row>
    <row r="5009" spans="2:34" x14ac:dyDescent="0.2">
      <c r="B5009" s="2">
        <f ca="1"/>
        <v>6.9236745097779107E-2</v>
      </c>
      <c r="O5009" s="2">
        <f ca="1"/>
        <v>0.2174052433511415</v>
      </c>
      <c r="X5009" s="2">
        <f ca="1"/>
        <v>37.134174644066007</v>
      </c>
      <c r="AG5009" s="2">
        <f ca="1"/>
        <v>0.57741392989470786</v>
      </c>
      <c r="AH5009" s="2" t="str">
        <f ca="1"/>
        <v>Bad</v>
      </c>
    </row>
    <row r="5010" spans="2:34" x14ac:dyDescent="0.2">
      <c r="B5010" s="2">
        <f ca="1"/>
        <v>2.4718349853047439E-2</v>
      </c>
      <c r="O5010" s="2">
        <f ca="1"/>
        <v>1.6680981259763146</v>
      </c>
      <c r="X5010" s="2">
        <f ca="1"/>
        <v>49.187933345337896</v>
      </c>
      <c r="AG5010" s="2">
        <f ca="1"/>
        <v>0.19141404736283829</v>
      </c>
      <c r="AH5010" s="2" t="str">
        <f ca="1"/>
        <v>OK</v>
      </c>
    </row>
    <row r="5011" spans="2:34" x14ac:dyDescent="0.2">
      <c r="B5011" s="2">
        <f ca="1"/>
        <v>0.49123043581555725</v>
      </c>
      <c r="O5011" s="2">
        <f ca="1"/>
        <v>-0.53817464525629155</v>
      </c>
      <c r="X5011" s="2">
        <f ca="1"/>
        <v>103.28003286688427</v>
      </c>
      <c r="AG5011" s="2">
        <f ca="1"/>
        <v>0.75397444419862869</v>
      </c>
      <c r="AH5011" s="2" t="str">
        <f ca="1"/>
        <v>Bad</v>
      </c>
    </row>
    <row r="5012" spans="2:34" x14ac:dyDescent="0.2">
      <c r="B5012" s="2">
        <f ca="1"/>
        <v>0.365304939194387</v>
      </c>
      <c r="O5012" s="2">
        <f ca="1"/>
        <v>0.62363135870260422</v>
      </c>
      <c r="X5012" s="2">
        <f ca="1"/>
        <v>38.770702121832329</v>
      </c>
      <c r="AG5012" s="2">
        <f ca="1"/>
        <v>0.7042140188256889</v>
      </c>
      <c r="AH5012" s="2" t="str">
        <f ca="1"/>
        <v>Bad</v>
      </c>
    </row>
    <row r="5013" spans="2:34" x14ac:dyDescent="0.2">
      <c r="B5013" s="2">
        <f ca="1"/>
        <v>6.9703545825415381E-2</v>
      </c>
      <c r="O5013" s="2">
        <f ca="1"/>
        <v>-1.6013655427141724</v>
      </c>
      <c r="X5013" s="2">
        <f ca="1"/>
        <v>76.572675594356639</v>
      </c>
      <c r="AG5013" s="2">
        <f ca="1"/>
        <v>0.37005741375407375</v>
      </c>
      <c r="AH5013" s="2" t="str">
        <f ca="1"/>
        <v>OK</v>
      </c>
    </row>
    <row r="5014" spans="2:34" x14ac:dyDescent="0.2">
      <c r="B5014" s="2">
        <f ca="1"/>
        <v>0.74309135744319388</v>
      </c>
      <c r="O5014" s="2">
        <f ca="1"/>
        <v>-0.28928430396093718</v>
      </c>
      <c r="X5014" s="2">
        <f ca="1"/>
        <v>59.155985376442139</v>
      </c>
      <c r="AG5014" s="2">
        <f ca="1"/>
        <v>0.9819272322991579</v>
      </c>
      <c r="AH5014" s="2" t="str">
        <f ca="1"/>
        <v>Bad</v>
      </c>
    </row>
    <row r="5015" spans="2:34" x14ac:dyDescent="0.2">
      <c r="B5015" s="2">
        <f ca="1"/>
        <v>0.50481477707306666</v>
      </c>
      <c r="O5015" s="2">
        <f ca="1"/>
        <v>0.46683002477712443</v>
      </c>
      <c r="X5015" s="2">
        <f ca="1"/>
        <v>54.173257171277591</v>
      </c>
      <c r="AG5015" s="2">
        <f ca="1"/>
        <v>0.38358704482156147</v>
      </c>
      <c r="AH5015" s="2" t="str">
        <f ca="1"/>
        <v>OK</v>
      </c>
    </row>
    <row r="5016" spans="2:34" x14ac:dyDescent="0.2">
      <c r="B5016" s="2">
        <f ca="1"/>
        <v>0.39531741241803697</v>
      </c>
      <c r="O5016" s="2">
        <f ca="1"/>
        <v>0.73755187174332515</v>
      </c>
      <c r="X5016" s="2">
        <f ca="1"/>
        <v>41.533236017824741</v>
      </c>
      <c r="AG5016" s="2">
        <f ca="1"/>
        <v>0.88760648101286876</v>
      </c>
      <c r="AH5016" s="2" t="str">
        <f ca="1"/>
        <v>Bad</v>
      </c>
    </row>
    <row r="5017" spans="2:34" x14ac:dyDescent="0.2">
      <c r="B5017" s="2">
        <f ca="1"/>
        <v>0.65365809343431014</v>
      </c>
      <c r="O5017" s="2">
        <f ca="1"/>
        <v>-0.16103417394780861</v>
      </c>
      <c r="X5017" s="2">
        <f ca="1"/>
        <v>66.464282584114528</v>
      </c>
      <c r="AG5017" s="2">
        <f ca="1"/>
        <v>2.170275063065441E-2</v>
      </c>
      <c r="AH5017" s="2" t="str">
        <f ca="1"/>
        <v>Good</v>
      </c>
    </row>
    <row r="5018" spans="2:34" x14ac:dyDescent="0.2">
      <c r="B5018" s="2">
        <f ca="1"/>
        <v>0.2383747335725277</v>
      </c>
      <c r="O5018" s="2">
        <f ca="1"/>
        <v>-1.6004855776204585</v>
      </c>
      <c r="X5018" s="2">
        <f ca="1"/>
        <v>58.64345232306615</v>
      </c>
      <c r="AG5018" s="2">
        <f ca="1"/>
        <v>0.21945368496430873</v>
      </c>
      <c r="AH5018" s="2" t="str">
        <f ca="1"/>
        <v>OK</v>
      </c>
    </row>
    <row r="5019" spans="2:34" x14ac:dyDescent="0.2">
      <c r="B5019" s="2">
        <f ca="1"/>
        <v>0.62138739606947779</v>
      </c>
      <c r="O5019" s="2">
        <f ca="1"/>
        <v>-2.2147617209590935</v>
      </c>
      <c r="X5019" s="2">
        <f ca="1"/>
        <v>74.933705829923156</v>
      </c>
      <c r="AG5019" s="2">
        <f ca="1"/>
        <v>2.3915500192372319E-2</v>
      </c>
      <c r="AH5019" s="2" t="str">
        <f ca="1"/>
        <v>Good</v>
      </c>
    </row>
    <row r="5020" spans="2:34" x14ac:dyDescent="0.2">
      <c r="B5020" s="2">
        <f ca="1"/>
        <v>4.4526949450455655E-2</v>
      </c>
      <c r="O5020" s="2">
        <f ca="1"/>
        <v>0.70868502199581729</v>
      </c>
      <c r="X5020" s="2">
        <f ca="1"/>
        <v>29.944227242901754</v>
      </c>
      <c r="AG5020" s="2">
        <f ca="1"/>
        <v>0.98545772330644077</v>
      </c>
      <c r="AH5020" s="2" t="str">
        <f ca="1"/>
        <v>Bad</v>
      </c>
    </row>
    <row r="5021" spans="2:34" x14ac:dyDescent="0.2">
      <c r="B5021" s="2">
        <f ca="1"/>
        <v>4.9051443325708766E-2</v>
      </c>
      <c r="O5021" s="2">
        <f ca="1"/>
        <v>-0.87910231621404866</v>
      </c>
      <c r="X5021" s="2">
        <f ca="1"/>
        <v>52.223577311589018</v>
      </c>
      <c r="AG5021" s="2">
        <f ca="1"/>
        <v>7.7279178726289421E-2</v>
      </c>
      <c r="AH5021" s="2" t="str">
        <f ca="1"/>
        <v>OK</v>
      </c>
    </row>
    <row r="5022" spans="2:34" x14ac:dyDescent="0.2">
      <c r="B5022" s="2">
        <f ca="1"/>
        <v>0.98743277477030222</v>
      </c>
      <c r="O5022" s="2">
        <f ca="1"/>
        <v>-0.87361709717048308</v>
      </c>
      <c r="X5022" s="2">
        <f ca="1"/>
        <v>51.521398924147121</v>
      </c>
      <c r="AG5022" s="2">
        <f ca="1"/>
        <v>0.79715797023646728</v>
      </c>
      <c r="AH5022" s="2" t="str">
        <f ca="1"/>
        <v>Bad</v>
      </c>
    </row>
    <row r="5023" spans="2:34" x14ac:dyDescent="0.2">
      <c r="B5023" s="2">
        <f ca="1"/>
        <v>0.6661833266968693</v>
      </c>
      <c r="O5023" s="2">
        <f ca="1"/>
        <v>-0.80444854764644802</v>
      </c>
      <c r="X5023" s="2">
        <f ca="1"/>
        <v>51.87679546926163</v>
      </c>
      <c r="AG5023" s="2">
        <f ca="1"/>
        <v>0.82453987516036564</v>
      </c>
      <c r="AH5023" s="2" t="str">
        <f ca="1"/>
        <v>Bad</v>
      </c>
    </row>
    <row r="5024" spans="2:34" x14ac:dyDescent="0.2">
      <c r="B5024" s="2">
        <f ca="1"/>
        <v>4.7696683420270558E-2</v>
      </c>
      <c r="O5024" s="2">
        <f ca="1"/>
        <v>-0.11596764446283757</v>
      </c>
      <c r="X5024" s="2">
        <f ca="1"/>
        <v>35.837275429695772</v>
      </c>
      <c r="AG5024" s="2">
        <f ca="1"/>
        <v>0.90749916705189348</v>
      </c>
      <c r="AH5024" s="2" t="str">
        <f ca="1"/>
        <v>Bad</v>
      </c>
    </row>
    <row r="5025" spans="2:34" x14ac:dyDescent="0.2">
      <c r="B5025" s="2">
        <f ca="1"/>
        <v>5.0823434314547722E-2</v>
      </c>
      <c r="O5025" s="2">
        <f ca="1"/>
        <v>-0.22475103355585066</v>
      </c>
      <c r="X5025" s="2">
        <f ca="1"/>
        <v>57.74668915448612</v>
      </c>
      <c r="AG5025" s="2">
        <f ca="1"/>
        <v>0.502016631391345</v>
      </c>
      <c r="AH5025" s="2" t="str">
        <f ca="1"/>
        <v>Bad</v>
      </c>
    </row>
    <row r="5026" spans="2:34" x14ac:dyDescent="0.2">
      <c r="B5026" s="2">
        <f ca="1"/>
        <v>0.53082630646575968</v>
      </c>
      <c r="O5026" s="2">
        <f ca="1"/>
        <v>1.2712707615309073</v>
      </c>
      <c r="X5026" s="2">
        <f ca="1"/>
        <v>57.181774130311076</v>
      </c>
      <c r="AG5026" s="2">
        <f ca="1"/>
        <v>0.18207889818937506</v>
      </c>
      <c r="AH5026" s="2" t="str">
        <f ca="1"/>
        <v>OK</v>
      </c>
    </row>
    <row r="5027" spans="2:34" x14ac:dyDescent="0.2">
      <c r="B5027" s="2">
        <f ca="1"/>
        <v>0.76770635933880049</v>
      </c>
      <c r="O5027" s="2">
        <f ca="1"/>
        <v>0.46113400354358924</v>
      </c>
      <c r="X5027" s="2">
        <f ca="1"/>
        <v>37.991554290744418</v>
      </c>
      <c r="AG5027" s="2">
        <f ca="1"/>
        <v>0.87380302523448572</v>
      </c>
      <c r="AH5027" s="2" t="str">
        <f ca="1"/>
        <v>Bad</v>
      </c>
    </row>
    <row r="5028" spans="2:34" x14ac:dyDescent="0.2">
      <c r="B5028" s="2">
        <f ca="1"/>
        <v>0.33611616145061407</v>
      </c>
      <c r="O5028" s="2">
        <f ca="1"/>
        <v>2.5073653410948391</v>
      </c>
      <c r="X5028" s="2">
        <f ca="1"/>
        <v>123.94210420102915</v>
      </c>
      <c r="AG5028" s="2">
        <f ca="1"/>
        <v>0.4094793257078635</v>
      </c>
      <c r="AH5028" s="2" t="str">
        <f ca="1"/>
        <v>Bad</v>
      </c>
    </row>
    <row r="5029" spans="2:34" x14ac:dyDescent="0.2">
      <c r="B5029" s="2">
        <f ca="1"/>
        <v>0.81809794334494379</v>
      </c>
      <c r="O5029" s="2">
        <f ca="1"/>
        <v>0.79636426129817928</v>
      </c>
      <c r="X5029" s="2">
        <f ca="1"/>
        <v>34.357495287321342</v>
      </c>
      <c r="AG5029" s="2">
        <f ca="1"/>
        <v>0.11680052941036312</v>
      </c>
      <c r="AH5029" s="2" t="str">
        <f ca="1"/>
        <v>OK</v>
      </c>
    </row>
    <row r="5030" spans="2:34" x14ac:dyDescent="0.2">
      <c r="B5030" s="2">
        <f ca="1"/>
        <v>0.81881070438640702</v>
      </c>
      <c r="O5030" s="2">
        <f ca="1"/>
        <v>1.1358303948477242</v>
      </c>
      <c r="X5030" s="2">
        <f ca="1"/>
        <v>70.555393684457243</v>
      </c>
      <c r="AG5030" s="2">
        <f ca="1"/>
        <v>0.93759846989946571</v>
      </c>
      <c r="AH5030" s="2" t="str">
        <f ca="1"/>
        <v>Bad</v>
      </c>
    </row>
    <row r="5031" spans="2:34" x14ac:dyDescent="0.2">
      <c r="B5031" s="2">
        <f ca="1"/>
        <v>0.3586563781895824</v>
      </c>
      <c r="O5031" s="2">
        <f ca="1"/>
        <v>-0.70663015872565971</v>
      </c>
      <c r="X5031" s="2">
        <f ca="1"/>
        <v>33.5456437163283</v>
      </c>
      <c r="AG5031" s="2">
        <f ca="1"/>
        <v>0.50641637327379829</v>
      </c>
      <c r="AH5031" s="2" t="str">
        <f ca="1"/>
        <v>Bad</v>
      </c>
    </row>
    <row r="5032" spans="2:34" x14ac:dyDescent="0.2">
      <c r="B5032" s="2">
        <f ca="1"/>
        <v>0.4784115157203459</v>
      </c>
      <c r="O5032" s="2">
        <f ca="1"/>
        <v>-1.5302606099038785</v>
      </c>
      <c r="X5032" s="2">
        <f ca="1"/>
        <v>60.869378128420202</v>
      </c>
      <c r="AG5032" s="2">
        <f ca="1"/>
        <v>0.76969682799036709</v>
      </c>
      <c r="AH5032" s="2" t="str">
        <f ca="1"/>
        <v>Bad</v>
      </c>
    </row>
    <row r="5033" spans="2:34" x14ac:dyDescent="0.2">
      <c r="B5033" s="2">
        <f ca="1"/>
        <v>0.33720739602873473</v>
      </c>
      <c r="O5033" s="2">
        <f ca="1"/>
        <v>1.1895729097350296</v>
      </c>
      <c r="X5033" s="2">
        <f ca="1"/>
        <v>39.357203279391058</v>
      </c>
      <c r="AG5033" s="2">
        <f ca="1"/>
        <v>0.59459314505636884</v>
      </c>
      <c r="AH5033" s="2" t="str">
        <f ca="1"/>
        <v>Bad</v>
      </c>
    </row>
    <row r="5034" spans="2:34" x14ac:dyDescent="0.2">
      <c r="B5034" s="2">
        <f ca="1"/>
        <v>0.6036608691899874</v>
      </c>
      <c r="O5034" s="2">
        <f ca="1"/>
        <v>1.9593391270463509</v>
      </c>
      <c r="X5034" s="2">
        <f ca="1"/>
        <v>46.431081082679768</v>
      </c>
      <c r="AG5034" s="2">
        <f ca="1"/>
        <v>0.97987236927860422</v>
      </c>
      <c r="AH5034" s="2" t="str">
        <f ca="1"/>
        <v>Bad</v>
      </c>
    </row>
    <row r="5035" spans="2:34" x14ac:dyDescent="0.2">
      <c r="B5035" s="2">
        <f ca="1"/>
        <v>0.14032754586605778</v>
      </c>
      <c r="O5035" s="2">
        <f ca="1"/>
        <v>0.27659667353541201</v>
      </c>
      <c r="X5035" s="2">
        <f ca="1"/>
        <v>42.00328029688216</v>
      </c>
      <c r="AG5035" s="2">
        <f ca="1"/>
        <v>0.57356596841152241</v>
      </c>
      <c r="AH5035" s="2" t="str">
        <f ca="1"/>
        <v>Bad</v>
      </c>
    </row>
    <row r="5036" spans="2:34" x14ac:dyDescent="0.2">
      <c r="B5036" s="2">
        <f ca="1"/>
        <v>0.93482388109835313</v>
      </c>
      <c r="O5036" s="2">
        <f ca="1"/>
        <v>0.48420388871593428</v>
      </c>
      <c r="X5036" s="2">
        <f ca="1"/>
        <v>32.208513186246883</v>
      </c>
      <c r="AG5036" s="2">
        <f ca="1"/>
        <v>0.23271500701131442</v>
      </c>
      <c r="AH5036" s="2" t="str">
        <f ca="1"/>
        <v>OK</v>
      </c>
    </row>
    <row r="5037" spans="2:34" x14ac:dyDescent="0.2">
      <c r="B5037" s="2">
        <f ca="1"/>
        <v>1.2497963666340706E-2</v>
      </c>
      <c r="O5037" s="2">
        <f ca="1"/>
        <v>-1.5344836072891721</v>
      </c>
      <c r="X5037" s="2">
        <f ca="1"/>
        <v>34.452535034209866</v>
      </c>
      <c r="AG5037" s="2">
        <f ca="1"/>
        <v>0.87093126118839836</v>
      </c>
      <c r="AH5037" s="2" t="str">
        <f ca="1"/>
        <v>Bad</v>
      </c>
    </row>
    <row r="5038" spans="2:34" x14ac:dyDescent="0.2">
      <c r="B5038" s="2">
        <f ca="1"/>
        <v>8.7315965724372946E-2</v>
      </c>
      <c r="O5038" s="2">
        <f ca="1"/>
        <v>-2.23942608391663</v>
      </c>
      <c r="X5038" s="2">
        <f ca="1"/>
        <v>28.169102624473574</v>
      </c>
      <c r="AG5038" s="2">
        <f ca="1"/>
        <v>0.56084652913797606</v>
      </c>
      <c r="AH5038" s="2" t="str">
        <f ca="1"/>
        <v>Bad</v>
      </c>
    </row>
    <row r="5039" spans="2:34" x14ac:dyDescent="0.2">
      <c r="B5039" s="2">
        <f ca="1"/>
        <v>0.14870817338939024</v>
      </c>
      <c r="O5039" s="2">
        <f ca="1"/>
        <v>0.51449817728493974</v>
      </c>
      <c r="X5039" s="2">
        <f ca="1"/>
        <v>49.591493851687275</v>
      </c>
      <c r="AG5039" s="2">
        <f ca="1"/>
        <v>0.7390355175648109</v>
      </c>
      <c r="AH5039" s="2" t="str">
        <f ca="1"/>
        <v>Bad</v>
      </c>
    </row>
    <row r="5040" spans="2:34" x14ac:dyDescent="0.2">
      <c r="B5040" s="2">
        <f ca="1"/>
        <v>0.36474154269518011</v>
      </c>
      <c r="O5040" s="2">
        <f ca="1"/>
        <v>2.4696860946739019</v>
      </c>
      <c r="X5040" s="2">
        <f ca="1"/>
        <v>22.32785958745805</v>
      </c>
      <c r="AG5040" s="2">
        <f ca="1"/>
        <v>0.77546750075516346</v>
      </c>
      <c r="AH5040" s="2" t="str">
        <f ca="1"/>
        <v>Bad</v>
      </c>
    </row>
    <row r="5041" spans="2:34" x14ac:dyDescent="0.2">
      <c r="B5041" s="2">
        <f ca="1"/>
        <v>0.92695664494397079</v>
      </c>
      <c r="O5041" s="2">
        <f ca="1"/>
        <v>-1.2792289482902646</v>
      </c>
      <c r="X5041" s="2">
        <f ca="1"/>
        <v>71.199172421311772</v>
      </c>
      <c r="AG5041" s="2">
        <f ca="1"/>
        <v>0.72697080220157351</v>
      </c>
      <c r="AH5041" s="2" t="str">
        <f ca="1"/>
        <v>Bad</v>
      </c>
    </row>
    <row r="5042" spans="2:34" x14ac:dyDescent="0.2">
      <c r="B5042" s="2">
        <f ca="1"/>
        <v>0.30337258130178579</v>
      </c>
      <c r="O5042" s="2">
        <f ca="1"/>
        <v>0.90793991895113968</v>
      </c>
      <c r="X5042" s="2">
        <f ca="1"/>
        <v>56.425731241782941</v>
      </c>
      <c r="AG5042" s="2">
        <f ca="1"/>
        <v>0.98437772733383233</v>
      </c>
      <c r="AH5042" s="2" t="str">
        <f ca="1"/>
        <v>Bad</v>
      </c>
    </row>
    <row r="5043" spans="2:34" x14ac:dyDescent="0.2">
      <c r="B5043" s="2">
        <f ca="1"/>
        <v>9.790946855919036E-2</v>
      </c>
      <c r="O5043" s="2">
        <f ca="1"/>
        <v>-0.32868186414014938</v>
      </c>
      <c r="X5043" s="2">
        <f ca="1"/>
        <v>60.144775425821315</v>
      </c>
      <c r="AG5043" s="2">
        <f ca="1"/>
        <v>0.96433652083609145</v>
      </c>
      <c r="AH5043" s="2" t="str">
        <f ca="1"/>
        <v>Bad</v>
      </c>
    </row>
    <row r="5044" spans="2:34" x14ac:dyDescent="0.2">
      <c r="B5044" s="2">
        <f ca="1"/>
        <v>0.17168395458740804</v>
      </c>
      <c r="O5044" s="2">
        <f ca="1"/>
        <v>0.51720845969589968</v>
      </c>
      <c r="X5044" s="2">
        <f ca="1"/>
        <v>26.835017264859189</v>
      </c>
      <c r="AG5044" s="2">
        <f ca="1"/>
        <v>0.95459122542809505</v>
      </c>
      <c r="AH5044" s="2" t="str">
        <f ca="1"/>
        <v>Bad</v>
      </c>
    </row>
    <row r="5045" spans="2:34" x14ac:dyDescent="0.2">
      <c r="B5045" s="2">
        <f ca="1"/>
        <v>0.46848214632463514</v>
      </c>
      <c r="O5045" s="2">
        <f ca="1"/>
        <v>6.8514438796109578E-2</v>
      </c>
      <c r="X5045" s="2">
        <f ca="1"/>
        <v>43.270400180156244</v>
      </c>
      <c r="AG5045" s="2">
        <f ca="1"/>
        <v>0.60584653953078238</v>
      </c>
      <c r="AH5045" s="2" t="str">
        <f ca="1"/>
        <v>Bad</v>
      </c>
    </row>
    <row r="5046" spans="2:34" x14ac:dyDescent="0.2">
      <c r="B5046" s="2">
        <f ca="1"/>
        <v>0.75912985988776338</v>
      </c>
      <c r="O5046" s="2">
        <f ca="1"/>
        <v>-1.2668042490254061</v>
      </c>
      <c r="X5046" s="2">
        <f ca="1"/>
        <v>79.392856567496182</v>
      </c>
      <c r="AG5046" s="2">
        <f ca="1"/>
        <v>0.93969562227713488</v>
      </c>
      <c r="AH5046" s="2" t="str">
        <f ca="1"/>
        <v>Bad</v>
      </c>
    </row>
    <row r="5047" spans="2:34" x14ac:dyDescent="0.2">
      <c r="B5047" s="2">
        <f ca="1"/>
        <v>0.80383390209981953</v>
      </c>
      <c r="O5047" s="2">
        <f ca="1"/>
        <v>2.0104605214322033</v>
      </c>
      <c r="X5047" s="2">
        <f ca="1"/>
        <v>37.471752337313447</v>
      </c>
      <c r="AG5047" s="2">
        <f ca="1"/>
        <v>0.53062297316620266</v>
      </c>
      <c r="AH5047" s="2" t="str">
        <f ca="1"/>
        <v>Bad</v>
      </c>
    </row>
    <row r="5048" spans="2:34" x14ac:dyDescent="0.2">
      <c r="B5048" s="2">
        <f ca="1"/>
        <v>0.25067347174387189</v>
      </c>
      <c r="O5048" s="2">
        <f ca="1"/>
        <v>-1.3159290038459834</v>
      </c>
      <c r="X5048" s="2">
        <f ca="1"/>
        <v>53.83628300064268</v>
      </c>
      <c r="AG5048" s="2">
        <f ca="1"/>
        <v>0.96507522273311785</v>
      </c>
      <c r="AH5048" s="2" t="str">
        <f ca="1"/>
        <v>Bad</v>
      </c>
    </row>
    <row r="5049" spans="2:34" x14ac:dyDescent="0.2">
      <c r="B5049" s="2">
        <f ca="1"/>
        <v>0.61428217707375321</v>
      </c>
      <c r="O5049" s="2">
        <f ca="1"/>
        <v>0.47203414328164067</v>
      </c>
      <c r="X5049" s="2">
        <f ca="1"/>
        <v>60.360512676980591</v>
      </c>
      <c r="AG5049" s="2">
        <f ca="1"/>
        <v>0.58140680242139786</v>
      </c>
      <c r="AH5049" s="2" t="str">
        <f ca="1"/>
        <v>Bad</v>
      </c>
    </row>
    <row r="5050" spans="2:34" x14ac:dyDescent="0.2">
      <c r="B5050" s="2">
        <f ca="1"/>
        <v>0.65228264756347554</v>
      </c>
      <c r="O5050" s="2">
        <f ca="1"/>
        <v>1.1155444589914889</v>
      </c>
      <c r="X5050" s="2">
        <f ca="1"/>
        <v>39.925996887149587</v>
      </c>
      <c r="AG5050" s="2">
        <f ca="1"/>
        <v>0.29013750397829274</v>
      </c>
      <c r="AH5050" s="2" t="str">
        <f ca="1"/>
        <v>OK</v>
      </c>
    </row>
    <row r="5051" spans="2:34" x14ac:dyDescent="0.2">
      <c r="B5051" s="2">
        <f ca="1"/>
        <v>0.13668604545966856</v>
      </c>
      <c r="O5051" s="2">
        <f ca="1"/>
        <v>-8.3942980596556152E-2</v>
      </c>
      <c r="X5051" s="2">
        <f ca="1"/>
        <v>32.203132739428987</v>
      </c>
      <c r="AG5051" s="2">
        <f ca="1"/>
        <v>0.5281631085813876</v>
      </c>
      <c r="AH5051" s="2" t="str">
        <f ca="1"/>
        <v>Bad</v>
      </c>
    </row>
    <row r="5052" spans="2:34" x14ac:dyDescent="0.2">
      <c r="B5052" s="2">
        <f ca="1"/>
        <v>3.620567166230293E-2</v>
      </c>
      <c r="O5052" s="2">
        <f ca="1"/>
        <v>1.64173599547992</v>
      </c>
      <c r="X5052" s="2">
        <f ca="1"/>
        <v>28.162306189200656</v>
      </c>
      <c r="AG5052" s="2">
        <f ca="1"/>
        <v>0.81585893968128742</v>
      </c>
      <c r="AH5052" s="2" t="str">
        <f ca="1"/>
        <v>Bad</v>
      </c>
    </row>
    <row r="5053" spans="2:34" x14ac:dyDescent="0.2">
      <c r="B5053" s="2">
        <f ca="1"/>
        <v>0.25086162733150164</v>
      </c>
      <c r="O5053" s="2">
        <f ca="1"/>
        <v>-0.74721019870119332</v>
      </c>
      <c r="X5053" s="2">
        <f ca="1"/>
        <v>41.012833994805675</v>
      </c>
      <c r="AG5053" s="2">
        <f ca="1"/>
        <v>0.932031219676273</v>
      </c>
      <c r="AH5053" s="2" t="str">
        <f ca="1"/>
        <v>Bad</v>
      </c>
    </row>
    <row r="5054" spans="2:34" x14ac:dyDescent="0.2">
      <c r="B5054" s="2">
        <f ca="1"/>
        <v>0.35001597947253194</v>
      </c>
      <c r="O5054" s="2">
        <f ca="1"/>
        <v>-0.66579547900084513</v>
      </c>
      <c r="X5054" s="2">
        <f ca="1"/>
        <v>33.031090307187519</v>
      </c>
      <c r="AG5054" s="2">
        <f ca="1"/>
        <v>0.86980315097085703</v>
      </c>
      <c r="AH5054" s="2" t="str">
        <f ca="1"/>
        <v>Bad</v>
      </c>
    </row>
    <row r="5055" spans="2:34" x14ac:dyDescent="0.2">
      <c r="B5055" s="2">
        <f ca="1"/>
        <v>0.32702578478261768</v>
      </c>
      <c r="O5055" s="2">
        <f ca="1"/>
        <v>0.58764866533609283</v>
      </c>
      <c r="X5055" s="2">
        <f ca="1"/>
        <v>50.042198602446391</v>
      </c>
      <c r="AG5055" s="2">
        <f ca="1"/>
        <v>0.26014036202940138</v>
      </c>
      <c r="AH5055" s="2" t="str">
        <f ca="1"/>
        <v>OK</v>
      </c>
    </row>
    <row r="5056" spans="2:34" x14ac:dyDescent="0.2">
      <c r="B5056" s="2">
        <f ca="1"/>
        <v>0.34698922875752913</v>
      </c>
      <c r="O5056" s="2">
        <f ca="1"/>
        <v>0.30199855477016591</v>
      </c>
      <c r="X5056" s="2">
        <f ca="1"/>
        <v>55.710961310515586</v>
      </c>
      <c r="AG5056" s="2">
        <f ca="1"/>
        <v>0.87376674386169295</v>
      </c>
      <c r="AH5056" s="2" t="str">
        <f ca="1"/>
        <v>Bad</v>
      </c>
    </row>
    <row r="5057" spans="2:34" x14ac:dyDescent="0.2">
      <c r="B5057" s="2">
        <f ca="1"/>
        <v>0.49609338193002728</v>
      </c>
      <c r="O5057" s="2">
        <f ca="1"/>
        <v>0.71364086830751383</v>
      </c>
      <c r="X5057" s="2">
        <f ca="1"/>
        <v>37.497948864291672</v>
      </c>
      <c r="AG5057" s="2">
        <f ca="1"/>
        <v>0.18669565263865251</v>
      </c>
      <c r="AH5057" s="2" t="str">
        <f ca="1"/>
        <v>OK</v>
      </c>
    </row>
    <row r="5058" spans="2:34" x14ac:dyDescent="0.2">
      <c r="B5058" s="2">
        <f ca="1"/>
        <v>6.9885194542903317E-2</v>
      </c>
      <c r="O5058" s="2">
        <f ca="1"/>
        <v>-1.0968218093524291</v>
      </c>
      <c r="X5058" s="2">
        <f ca="1"/>
        <v>41.720051832205421</v>
      </c>
      <c r="AG5058" s="2">
        <f ca="1"/>
        <v>0.68464859584149673</v>
      </c>
      <c r="AH5058" s="2" t="str">
        <f ca="1"/>
        <v>Bad</v>
      </c>
    </row>
    <row r="5059" spans="2:34" x14ac:dyDescent="0.2">
      <c r="B5059" s="2">
        <f ca="1"/>
        <v>0.89791572887934001</v>
      </c>
      <c r="O5059" s="2">
        <f ca="1"/>
        <v>-0.46617469736723827</v>
      </c>
      <c r="X5059" s="2">
        <f ca="1"/>
        <v>50.09937787048063</v>
      </c>
      <c r="AG5059" s="2">
        <f ca="1"/>
        <v>0.40163918296462264</v>
      </c>
      <c r="AH5059" s="2" t="str">
        <f ca="1"/>
        <v>Bad</v>
      </c>
    </row>
    <row r="5060" spans="2:34" x14ac:dyDescent="0.2">
      <c r="B5060" s="2">
        <f ca="1"/>
        <v>0.51080008214690764</v>
      </c>
      <c r="O5060" s="2">
        <f ca="1"/>
        <v>1.8603334295413463</v>
      </c>
      <c r="X5060" s="2">
        <f ca="1"/>
        <v>55.352699913776071</v>
      </c>
      <c r="AG5060" s="2">
        <f ca="1"/>
        <v>0.75130881191339705</v>
      </c>
      <c r="AH5060" s="2" t="str">
        <f ca="1"/>
        <v>Bad</v>
      </c>
    </row>
    <row r="5061" spans="2:34" x14ac:dyDescent="0.2">
      <c r="B5061" s="2">
        <f ca="1"/>
        <v>0.19625982663415376</v>
      </c>
      <c r="O5061" s="2">
        <f ca="1"/>
        <v>-1.4818352255612044</v>
      </c>
      <c r="X5061" s="2">
        <f ca="1"/>
        <v>34.692327869074624</v>
      </c>
      <c r="AG5061" s="2">
        <f ca="1"/>
        <v>0.73069534248727197</v>
      </c>
      <c r="AH5061" s="2" t="str">
        <f ca="1"/>
        <v>Bad</v>
      </c>
    </row>
    <row r="5062" spans="2:34" x14ac:dyDescent="0.2">
      <c r="B5062" s="2">
        <f ca="1"/>
        <v>0.53349536687926014</v>
      </c>
      <c r="O5062" s="2">
        <f ca="1"/>
        <v>2.142203368310807</v>
      </c>
      <c r="X5062" s="2">
        <f ca="1"/>
        <v>53.645956040168478</v>
      </c>
      <c r="AG5062" s="2">
        <f ca="1"/>
        <v>0.42387672141731092</v>
      </c>
      <c r="AH5062" s="2" t="str">
        <f ca="1"/>
        <v>Bad</v>
      </c>
    </row>
    <row r="5063" spans="2:34" x14ac:dyDescent="0.2">
      <c r="B5063" s="2">
        <f ca="1"/>
        <v>0.10914674133264435</v>
      </c>
      <c r="O5063" s="2">
        <f ca="1"/>
        <v>-0.13551974941069142</v>
      </c>
      <c r="X5063" s="2">
        <f ca="1"/>
        <v>36.398053737248681</v>
      </c>
      <c r="AG5063" s="2">
        <f ca="1"/>
        <v>8.6135243393123506E-2</v>
      </c>
      <c r="AH5063" s="2" t="str">
        <f ca="1"/>
        <v>OK</v>
      </c>
    </row>
    <row r="5064" spans="2:34" x14ac:dyDescent="0.2">
      <c r="B5064" s="2">
        <f ca="1"/>
        <v>0.44332582826217215</v>
      </c>
      <c r="O5064" s="2">
        <f ca="1"/>
        <v>0.15204520097558047</v>
      </c>
      <c r="X5064" s="2">
        <f ca="1"/>
        <v>48.82132526811408</v>
      </c>
      <c r="AG5064" s="2">
        <f ca="1"/>
        <v>0.73721355169242009</v>
      </c>
      <c r="AH5064" s="2" t="str">
        <f ca="1"/>
        <v>Bad</v>
      </c>
    </row>
    <row r="5065" spans="2:34" x14ac:dyDescent="0.2">
      <c r="B5065" s="2">
        <f ca="1"/>
        <v>0.90789694470834559</v>
      </c>
      <c r="O5065" s="2">
        <f ca="1"/>
        <v>0.26959612875389299</v>
      </c>
      <c r="X5065" s="2">
        <f ca="1"/>
        <v>44.971142914909372</v>
      </c>
      <c r="AG5065" s="2">
        <f ca="1"/>
        <v>0.4825885237086458</v>
      </c>
      <c r="AH5065" s="2" t="str">
        <f ca="1"/>
        <v>Bad</v>
      </c>
    </row>
    <row r="5066" spans="2:34" x14ac:dyDescent="0.2">
      <c r="B5066" s="2">
        <f ca="1"/>
        <v>0.45827429896735628</v>
      </c>
      <c r="O5066" s="2">
        <f ca="1"/>
        <v>0.87102080283247596</v>
      </c>
      <c r="X5066" s="2">
        <f ca="1"/>
        <v>74.049512876391773</v>
      </c>
      <c r="AG5066" s="2">
        <f ca="1"/>
        <v>0.23033809388222015</v>
      </c>
      <c r="AH5066" s="2" t="str">
        <f ca="1"/>
        <v>OK</v>
      </c>
    </row>
    <row r="5067" spans="2:34" x14ac:dyDescent="0.2">
      <c r="B5067" s="2">
        <f ca="1"/>
        <v>0.34182519056279559</v>
      </c>
      <c r="O5067" s="2">
        <f ca="1"/>
        <v>1.1930602673538604</v>
      </c>
      <c r="X5067" s="2">
        <f ca="1"/>
        <v>41.83201991703902</v>
      </c>
      <c r="AG5067" s="2">
        <f ca="1"/>
        <v>0.78903657675977956</v>
      </c>
      <c r="AH5067" s="2" t="str">
        <f ca="1"/>
        <v>Bad</v>
      </c>
    </row>
    <row r="5068" spans="2:34" x14ac:dyDescent="0.2">
      <c r="B5068" s="2">
        <f ca="1"/>
        <v>8.2731402716445412E-2</v>
      </c>
      <c r="O5068" s="2">
        <f ca="1"/>
        <v>-1.9583549695641311</v>
      </c>
      <c r="X5068" s="2">
        <f ca="1"/>
        <v>70.838611924533396</v>
      </c>
      <c r="AG5068" s="2">
        <f ca="1"/>
        <v>0.29976659781493842</v>
      </c>
      <c r="AH5068" s="2" t="str">
        <f ca="1"/>
        <v>OK</v>
      </c>
    </row>
    <row r="5069" spans="2:34" x14ac:dyDescent="0.2">
      <c r="B5069" s="2">
        <f ca="1"/>
        <v>0.30254696411986193</v>
      </c>
      <c r="O5069" s="2">
        <f ca="1"/>
        <v>1.2316923853676522</v>
      </c>
      <c r="X5069" s="2">
        <f ca="1"/>
        <v>44.975285245719085</v>
      </c>
      <c r="AG5069" s="2">
        <f ca="1"/>
        <v>0.66210496975772193</v>
      </c>
      <c r="AH5069" s="2" t="str">
        <f ca="1"/>
        <v>Bad</v>
      </c>
    </row>
    <row r="5070" spans="2:34" x14ac:dyDescent="0.2">
      <c r="B5070" s="2">
        <f ca="1"/>
        <v>0.84184748973455426</v>
      </c>
      <c r="O5070" s="2">
        <f ca="1"/>
        <v>-0.50069037239926661</v>
      </c>
      <c r="X5070" s="2">
        <f ca="1"/>
        <v>48.95169185223623</v>
      </c>
      <c r="AG5070" s="2">
        <f ca="1"/>
        <v>0.99317876690953821</v>
      </c>
      <c r="AH5070" s="2" t="str">
        <f ca="1"/>
        <v>Bad</v>
      </c>
    </row>
    <row r="5071" spans="2:34" x14ac:dyDescent="0.2">
      <c r="B5071" s="2">
        <f ca="1"/>
        <v>0.32608686094333539</v>
      </c>
      <c r="O5071" s="2">
        <f ca="1"/>
        <v>0.24770291528262736</v>
      </c>
      <c r="X5071" s="2">
        <f ca="1"/>
        <v>48.401549816917878</v>
      </c>
      <c r="AG5071" s="2">
        <f ca="1"/>
        <v>0.24367021863415239</v>
      </c>
      <c r="AH5071" s="2" t="str">
        <f ca="1"/>
        <v>OK</v>
      </c>
    </row>
    <row r="5072" spans="2:34" x14ac:dyDescent="0.2">
      <c r="B5072" s="2">
        <f ca="1"/>
        <v>0.22962969258655508</v>
      </c>
      <c r="O5072" s="2">
        <f ca="1"/>
        <v>0.17196020194131001</v>
      </c>
      <c r="X5072" s="2">
        <f ca="1"/>
        <v>46.812296615058749</v>
      </c>
      <c r="AG5072" s="2">
        <f ca="1"/>
        <v>0.54067766623017799</v>
      </c>
      <c r="AH5072" s="2" t="str">
        <f ca="1"/>
        <v>Bad</v>
      </c>
    </row>
    <row r="5073" spans="2:34" x14ac:dyDescent="0.2">
      <c r="B5073" s="2">
        <f ca="1"/>
        <v>0.57527683777172944</v>
      </c>
      <c r="O5073" s="2">
        <f ca="1"/>
        <v>1.3907294807225525</v>
      </c>
      <c r="X5073" s="2">
        <f ca="1"/>
        <v>43.979735771157245</v>
      </c>
      <c r="AG5073" s="2">
        <f ca="1"/>
        <v>0.97979287874852194</v>
      </c>
      <c r="AH5073" s="2" t="str">
        <f ca="1"/>
        <v>Bad</v>
      </c>
    </row>
    <row r="5074" spans="2:34" x14ac:dyDescent="0.2">
      <c r="B5074" s="2">
        <f ca="1"/>
        <v>0.2124563615521049</v>
      </c>
      <c r="O5074" s="2">
        <f ca="1"/>
        <v>-1.3081448315581137</v>
      </c>
      <c r="X5074" s="2">
        <f ca="1"/>
        <v>43.637844498717001</v>
      </c>
      <c r="AG5074" s="2">
        <f ca="1"/>
        <v>0.37502033190244766</v>
      </c>
      <c r="AH5074" s="2" t="str">
        <f ca="1"/>
        <v>OK</v>
      </c>
    </row>
    <row r="5075" spans="2:34" x14ac:dyDescent="0.2">
      <c r="B5075" s="2">
        <f ca="1"/>
        <v>0.77102506534256698</v>
      </c>
      <c r="O5075" s="2">
        <f ca="1"/>
        <v>0.78350525823040396</v>
      </c>
      <c r="X5075" s="2">
        <f ca="1"/>
        <v>99.697649365815394</v>
      </c>
      <c r="AG5075" s="2">
        <f ca="1"/>
        <v>0.5440527518770637</v>
      </c>
      <c r="AH5075" s="2" t="str">
        <f ca="1"/>
        <v>Bad</v>
      </c>
    </row>
    <row r="5076" spans="2:34" x14ac:dyDescent="0.2">
      <c r="B5076" s="2">
        <f ca="1"/>
        <v>0.95132526115671712</v>
      </c>
      <c r="O5076" s="2">
        <f ca="1"/>
        <v>-0.27616667922559801</v>
      </c>
      <c r="X5076" s="2">
        <f ca="1"/>
        <v>75.047402826237871</v>
      </c>
      <c r="AG5076" s="2">
        <f ca="1"/>
        <v>0.84818645342858145</v>
      </c>
      <c r="AH5076" s="2" t="str">
        <f ca="1"/>
        <v>Bad</v>
      </c>
    </row>
    <row r="5077" spans="2:34" x14ac:dyDescent="0.2">
      <c r="B5077" s="2">
        <f ca="1"/>
        <v>6.158260085582401E-2</v>
      </c>
      <c r="O5077" s="2">
        <f ca="1"/>
        <v>0.50541343159680185</v>
      </c>
      <c r="X5077" s="2">
        <f ca="1"/>
        <v>41.32356990408843</v>
      </c>
      <c r="AG5077" s="2">
        <f ca="1"/>
        <v>0.30577562076126341</v>
      </c>
      <c r="AH5077" s="2" t="str">
        <f ca="1"/>
        <v>OK</v>
      </c>
    </row>
    <row r="5078" spans="2:34" x14ac:dyDescent="0.2">
      <c r="B5078" s="2">
        <f ca="1"/>
        <v>0.70426693152596598</v>
      </c>
      <c r="O5078" s="2">
        <f ca="1"/>
        <v>-0.60314169083958291</v>
      </c>
      <c r="X5078" s="2">
        <f ca="1"/>
        <v>64.162916723307006</v>
      </c>
      <c r="AG5078" s="2">
        <f ca="1"/>
        <v>0.52307566389206639</v>
      </c>
      <c r="AH5078" s="2" t="str">
        <f ca="1"/>
        <v>Bad</v>
      </c>
    </row>
    <row r="5079" spans="2:34" x14ac:dyDescent="0.2">
      <c r="B5079" s="2">
        <f ca="1"/>
        <v>0.70111849281331451</v>
      </c>
      <c r="O5079" s="2">
        <f ca="1"/>
        <v>-0.23403988273514487</v>
      </c>
      <c r="X5079" s="2">
        <f ca="1"/>
        <v>53.143765758357766</v>
      </c>
      <c r="AG5079" s="2">
        <f ca="1"/>
        <v>0.52052001979237916</v>
      </c>
      <c r="AH5079" s="2" t="str">
        <f ca="1"/>
        <v>Bad</v>
      </c>
    </row>
    <row r="5080" spans="2:34" x14ac:dyDescent="0.2">
      <c r="B5080" s="2">
        <f ca="1"/>
        <v>0.40778558537290155</v>
      </c>
      <c r="O5080" s="2">
        <f ca="1"/>
        <v>0.7066978309382772</v>
      </c>
      <c r="X5080" s="2">
        <f ca="1"/>
        <v>35.262299998481524</v>
      </c>
      <c r="AG5080" s="2">
        <f ca="1"/>
        <v>0.10424020243964716</v>
      </c>
      <c r="AH5080" s="2" t="str">
        <f ca="1"/>
        <v>OK</v>
      </c>
    </row>
    <row r="5081" spans="2:34" x14ac:dyDescent="0.2">
      <c r="B5081" s="2">
        <f ca="1"/>
        <v>0.1999900866436235</v>
      </c>
      <c r="O5081" s="2">
        <f ca="1"/>
        <v>1.9629111516548234</v>
      </c>
      <c r="X5081" s="2">
        <f ca="1"/>
        <v>56.800611023719213</v>
      </c>
      <c r="AG5081" s="2">
        <f ca="1"/>
        <v>0.65424883862703553</v>
      </c>
      <c r="AH5081" s="2" t="str">
        <f ca="1"/>
        <v>Bad</v>
      </c>
    </row>
    <row r="5082" spans="2:34" x14ac:dyDescent="0.2">
      <c r="B5082" s="2">
        <f ca="1"/>
        <v>0.6543990445607557</v>
      </c>
      <c r="O5082" s="2">
        <f ca="1"/>
        <v>0.68369427898536073</v>
      </c>
      <c r="X5082" s="2">
        <f ca="1"/>
        <v>42.502887938709918</v>
      </c>
      <c r="AG5082" s="2">
        <f ca="1"/>
        <v>0.14441073971108231</v>
      </c>
      <c r="AH5082" s="2" t="str">
        <f ca="1"/>
        <v>OK</v>
      </c>
    </row>
    <row r="5083" spans="2:34" x14ac:dyDescent="0.2">
      <c r="B5083" s="2">
        <f ca="1"/>
        <v>0.68420670636544512</v>
      </c>
      <c r="O5083" s="2">
        <f ca="1"/>
        <v>0.35239007141742196</v>
      </c>
      <c r="X5083" s="2">
        <f ca="1"/>
        <v>56.26034745086092</v>
      </c>
      <c r="AG5083" s="2">
        <f ca="1"/>
        <v>0.13823474217882459</v>
      </c>
      <c r="AH5083" s="2" t="str">
        <f ca="1"/>
        <v>OK</v>
      </c>
    </row>
    <row r="5084" spans="2:34" x14ac:dyDescent="0.2">
      <c r="B5084" s="2">
        <f ca="1"/>
        <v>0.11824945559452193</v>
      </c>
      <c r="O5084" s="2">
        <f ca="1"/>
        <v>-0.31342149267353941</v>
      </c>
      <c r="X5084" s="2">
        <f ca="1"/>
        <v>40.70658889037432</v>
      </c>
      <c r="AG5084" s="2">
        <f ca="1"/>
        <v>0.77496491868140471</v>
      </c>
      <c r="AH5084" s="2" t="str">
        <f ca="1"/>
        <v>Bad</v>
      </c>
    </row>
    <row r="5085" spans="2:34" x14ac:dyDescent="0.2">
      <c r="B5085" s="2">
        <f ca="1"/>
        <v>4.8726285267659541E-2</v>
      </c>
      <c r="O5085" s="2">
        <f ca="1"/>
        <v>1.234559254621446E-2</v>
      </c>
      <c r="X5085" s="2">
        <f ca="1"/>
        <v>47.204261369793073</v>
      </c>
      <c r="AG5085" s="2">
        <f ca="1"/>
        <v>0.27216797134401594</v>
      </c>
      <c r="AH5085" s="2" t="str">
        <f ca="1"/>
        <v>OK</v>
      </c>
    </row>
    <row r="5086" spans="2:34" x14ac:dyDescent="0.2">
      <c r="B5086" s="2">
        <f ca="1"/>
        <v>0.80911225761300898</v>
      </c>
      <c r="O5086" s="2">
        <f ca="1"/>
        <v>0.2676783520342379</v>
      </c>
      <c r="X5086" s="2">
        <f ca="1"/>
        <v>43.255433561503096</v>
      </c>
      <c r="AG5086" s="2">
        <f ca="1"/>
        <v>0.51464530945132703</v>
      </c>
      <c r="AH5086" s="2" t="str">
        <f ca="1"/>
        <v>Bad</v>
      </c>
    </row>
    <row r="5087" spans="2:34" x14ac:dyDescent="0.2">
      <c r="B5087" s="2">
        <f ca="1"/>
        <v>0.15538751995312028</v>
      </c>
      <c r="O5087" s="2">
        <f ca="1"/>
        <v>2.1534086066789127</v>
      </c>
      <c r="X5087" s="2">
        <f ca="1"/>
        <v>58.8430335962058</v>
      </c>
      <c r="AG5087" s="2">
        <f ca="1"/>
        <v>0.75455857957667094</v>
      </c>
      <c r="AH5087" s="2" t="str">
        <f ca="1"/>
        <v>Bad</v>
      </c>
    </row>
    <row r="5088" spans="2:34" x14ac:dyDescent="0.2">
      <c r="B5088" s="2">
        <f ca="1"/>
        <v>0.54960189664848524</v>
      </c>
      <c r="O5088" s="2">
        <f ca="1"/>
        <v>-1.1867317544781921</v>
      </c>
      <c r="X5088" s="2">
        <f ca="1"/>
        <v>46.593406087676989</v>
      </c>
      <c r="AG5088" s="2">
        <f ca="1"/>
        <v>0.78956352917738237</v>
      </c>
      <c r="AH5088" s="2" t="str">
        <f ca="1"/>
        <v>Bad</v>
      </c>
    </row>
    <row r="5089" spans="2:34" x14ac:dyDescent="0.2">
      <c r="B5089" s="2">
        <f ca="1"/>
        <v>0.22882396644555603</v>
      </c>
      <c r="O5089" s="2">
        <f ca="1"/>
        <v>0.2521561593234401</v>
      </c>
      <c r="X5089" s="2">
        <f ca="1"/>
        <v>29.449153231689941</v>
      </c>
      <c r="AG5089" s="2">
        <f ca="1"/>
        <v>0.12639156824620179</v>
      </c>
      <c r="AH5089" s="2" t="str">
        <f ca="1"/>
        <v>OK</v>
      </c>
    </row>
    <row r="5090" spans="2:34" x14ac:dyDescent="0.2">
      <c r="B5090" s="2">
        <f ca="1"/>
        <v>0.890879516167145</v>
      </c>
      <c r="O5090" s="2">
        <f ca="1"/>
        <v>-2.0298542932808803</v>
      </c>
      <c r="X5090" s="2">
        <f ca="1"/>
        <v>83.323422292547036</v>
      </c>
      <c r="AG5090" s="2">
        <f ca="1"/>
        <v>0.73860064927135483</v>
      </c>
      <c r="AH5090" s="2" t="str">
        <f ca="1"/>
        <v>Bad</v>
      </c>
    </row>
    <row r="5091" spans="2:34" x14ac:dyDescent="0.2">
      <c r="B5091" s="2">
        <f ca="1"/>
        <v>0.99154085436412798</v>
      </c>
      <c r="O5091" s="2">
        <f ca="1"/>
        <v>0.35050367085622669</v>
      </c>
      <c r="X5091" s="2">
        <f ca="1"/>
        <v>42.26131886634186</v>
      </c>
      <c r="AG5091" s="2">
        <f ca="1"/>
        <v>0.47132950969792664</v>
      </c>
      <c r="AH5091" s="2" t="str">
        <f ca="1"/>
        <v>Bad</v>
      </c>
    </row>
    <row r="5092" spans="2:34" x14ac:dyDescent="0.2">
      <c r="B5092" s="2">
        <f ca="1"/>
        <v>0.82254938447578829</v>
      </c>
      <c r="O5092" s="2">
        <f ca="1"/>
        <v>-6.6353575359867301E-2</v>
      </c>
      <c r="X5092" s="2">
        <f ca="1"/>
        <v>31.722387601946505</v>
      </c>
      <c r="AG5092" s="2">
        <f ca="1"/>
        <v>0.38197917162397532</v>
      </c>
      <c r="AH5092" s="2" t="str">
        <f ca="1"/>
        <v>OK</v>
      </c>
    </row>
    <row r="5093" spans="2:34" x14ac:dyDescent="0.2">
      <c r="B5093" s="2">
        <f ca="1"/>
        <v>0.99672738995311527</v>
      </c>
      <c r="O5093" s="2">
        <f ca="1"/>
        <v>1.4243616956178495</v>
      </c>
      <c r="X5093" s="2">
        <f ca="1"/>
        <v>40.131396569777529</v>
      </c>
      <c r="AG5093" s="2">
        <f ca="1"/>
        <v>0.17085289425119021</v>
      </c>
      <c r="AH5093" s="2" t="str">
        <f ca="1"/>
        <v>OK</v>
      </c>
    </row>
    <row r="5094" spans="2:34" x14ac:dyDescent="0.2">
      <c r="B5094" s="2">
        <f ca="1"/>
        <v>0.6832542062379654</v>
      </c>
      <c r="O5094" s="2">
        <f ca="1"/>
        <v>0.47647705200542323</v>
      </c>
      <c r="X5094" s="2">
        <f ca="1"/>
        <v>59.931200667751369</v>
      </c>
      <c r="AG5094" s="2">
        <f ca="1"/>
        <v>0.360725217409962</v>
      </c>
      <c r="AH5094" s="2" t="str">
        <f ca="1"/>
        <v>OK</v>
      </c>
    </row>
    <row r="5095" spans="2:34" x14ac:dyDescent="0.2">
      <c r="B5095" s="2">
        <f ca="1"/>
        <v>0.28928042769553119</v>
      </c>
      <c r="O5095" s="2">
        <f ca="1"/>
        <v>1.0689561602387727</v>
      </c>
      <c r="X5095" s="2">
        <f ca="1"/>
        <v>57.835643337844935</v>
      </c>
      <c r="AG5095" s="2">
        <f ca="1"/>
        <v>0.83131087220274824</v>
      </c>
      <c r="AH5095" s="2" t="str">
        <f ca="1"/>
        <v>Bad</v>
      </c>
    </row>
    <row r="5096" spans="2:34" x14ac:dyDescent="0.2">
      <c r="B5096" s="2">
        <f ca="1"/>
        <v>0.43280436812520162</v>
      </c>
      <c r="O5096" s="2">
        <f ca="1"/>
        <v>-0.30186724217041272</v>
      </c>
      <c r="X5096" s="2">
        <f ca="1"/>
        <v>37.966717222819014</v>
      </c>
      <c r="AG5096" s="2">
        <f ca="1"/>
        <v>0.93146169674997692</v>
      </c>
      <c r="AH5096" s="2" t="str">
        <f ca="1"/>
        <v>Bad</v>
      </c>
    </row>
    <row r="5097" spans="2:34" x14ac:dyDescent="0.2">
      <c r="B5097" s="2">
        <f ca="1"/>
        <v>0.80977062810400735</v>
      </c>
      <c r="O5097" s="2">
        <f ca="1"/>
        <v>-2.2941538666717811</v>
      </c>
      <c r="X5097" s="2">
        <f ca="1"/>
        <v>35.070871561251089</v>
      </c>
      <c r="AG5097" s="2">
        <f ca="1"/>
        <v>0.22470759119281092</v>
      </c>
      <c r="AH5097" s="2" t="str">
        <f ca="1"/>
        <v>OK</v>
      </c>
    </row>
    <row r="5098" spans="2:34" x14ac:dyDescent="0.2">
      <c r="B5098" s="2">
        <f ca="1"/>
        <v>0.26318536203689669</v>
      </c>
      <c r="O5098" s="2">
        <f ca="1"/>
        <v>-0.51083763713093389</v>
      </c>
      <c r="X5098" s="2">
        <f ca="1"/>
        <v>60.888598621379245</v>
      </c>
      <c r="AG5098" s="2">
        <f ca="1"/>
        <v>0.51631706961545687</v>
      </c>
      <c r="AH5098" s="2" t="str">
        <f ca="1"/>
        <v>Bad</v>
      </c>
    </row>
    <row r="5099" spans="2:34" x14ac:dyDescent="0.2">
      <c r="B5099" s="2">
        <f ca="1"/>
        <v>0.72736853492764109</v>
      </c>
      <c r="O5099" s="2">
        <f ca="1"/>
        <v>-6.8482121199984036E-2</v>
      </c>
      <c r="X5099" s="2">
        <f ca="1"/>
        <v>43.996545488574121</v>
      </c>
      <c r="AG5099" s="2">
        <f ca="1"/>
        <v>0.70463240815870765</v>
      </c>
      <c r="AH5099" s="2" t="str">
        <f ca="1"/>
        <v>Bad</v>
      </c>
    </row>
    <row r="5100" spans="2:34" x14ac:dyDescent="0.2">
      <c r="B5100" s="2">
        <f ca="1"/>
        <v>0.7574768108721095</v>
      </c>
      <c r="O5100" s="2">
        <f ca="1"/>
        <v>1.0564509081024018</v>
      </c>
      <c r="X5100" s="2">
        <f ca="1"/>
        <v>41.582712594520771</v>
      </c>
      <c r="AG5100" s="2">
        <f ca="1"/>
        <v>0.73480701592287678</v>
      </c>
      <c r="AH5100" s="2" t="str">
        <f ca="1"/>
        <v>Bad</v>
      </c>
    </row>
    <row r="5101" spans="2:34" x14ac:dyDescent="0.2">
      <c r="B5101" s="2">
        <f ca="1"/>
        <v>0.62429925338154724</v>
      </c>
      <c r="O5101" s="2">
        <f ca="1"/>
        <v>1.0340792434307986</v>
      </c>
      <c r="X5101" s="2">
        <f ca="1"/>
        <v>43.072957103568669</v>
      </c>
      <c r="AG5101" s="2">
        <f ca="1"/>
        <v>0.91948851537002874</v>
      </c>
      <c r="AH5101" s="2" t="str">
        <f ca="1"/>
        <v>Bad</v>
      </c>
    </row>
    <row r="5102" spans="2:34" x14ac:dyDescent="0.2">
      <c r="B5102" s="2">
        <f ca="1"/>
        <v>0.94715052715809689</v>
      </c>
      <c r="O5102" s="2">
        <f ca="1"/>
        <v>-4.0409629310528973E-2</v>
      </c>
      <c r="X5102" s="2">
        <f ca="1"/>
        <v>35.041215504480292</v>
      </c>
      <c r="AG5102" s="2">
        <f ca="1"/>
        <v>0.8834667839105268</v>
      </c>
      <c r="AH5102" s="2" t="str">
        <f ca="1"/>
        <v>Bad</v>
      </c>
    </row>
    <row r="5103" spans="2:34" x14ac:dyDescent="0.2">
      <c r="B5103" s="2">
        <f ca="1"/>
        <v>3.6627107385532209E-2</v>
      </c>
      <c r="O5103" s="2">
        <f ca="1"/>
        <v>-1.2755609175788163</v>
      </c>
      <c r="X5103" s="2">
        <f ca="1"/>
        <v>66.981404454377127</v>
      </c>
      <c r="AG5103" s="2">
        <f ca="1"/>
        <v>0.59813674451594667</v>
      </c>
      <c r="AH5103" s="2" t="str">
        <f ca="1"/>
        <v>Bad</v>
      </c>
    </row>
    <row r="5104" spans="2:34" x14ac:dyDescent="0.2">
      <c r="B5104" s="2">
        <f ca="1"/>
        <v>0.25950857440751252</v>
      </c>
      <c r="O5104" s="2">
        <f ca="1"/>
        <v>1.3889497036415483</v>
      </c>
      <c r="X5104" s="2">
        <f ca="1"/>
        <v>35.339076501163433</v>
      </c>
      <c r="AG5104" s="2">
        <f ca="1"/>
        <v>0.17767080850286932</v>
      </c>
      <c r="AH5104" s="2" t="str">
        <f ca="1"/>
        <v>OK</v>
      </c>
    </row>
    <row r="5105" spans="2:34" x14ac:dyDescent="0.2">
      <c r="B5105" s="2">
        <f ca="1"/>
        <v>0.25701924847278446</v>
      </c>
      <c r="O5105" s="2">
        <f ca="1"/>
        <v>0.7152113485430559</v>
      </c>
      <c r="X5105" s="2">
        <f ca="1"/>
        <v>67.589891751327016</v>
      </c>
      <c r="AG5105" s="2">
        <f ca="1"/>
        <v>0.14985318850912521</v>
      </c>
      <c r="AH5105" s="2" t="str">
        <f ca="1"/>
        <v>OK</v>
      </c>
    </row>
    <row r="5106" spans="2:34" x14ac:dyDescent="0.2">
      <c r="B5106" s="2">
        <f ca="1"/>
        <v>0.14879577381652465</v>
      </c>
      <c r="O5106" s="2">
        <f ca="1"/>
        <v>-0.3326038544450014</v>
      </c>
      <c r="X5106" s="2">
        <f ca="1"/>
        <v>56.75891596742683</v>
      </c>
      <c r="AG5106" s="2">
        <f ca="1"/>
        <v>0.63022183058316439</v>
      </c>
      <c r="AH5106" s="2" t="str">
        <f ca="1"/>
        <v>Bad</v>
      </c>
    </row>
    <row r="5107" spans="2:34" x14ac:dyDescent="0.2">
      <c r="B5107" s="2">
        <f ca="1"/>
        <v>0.66386682462503965</v>
      </c>
      <c r="O5107" s="2">
        <f ca="1"/>
        <v>-0.37559733359232744</v>
      </c>
      <c r="X5107" s="2">
        <f ca="1"/>
        <v>63.224566356950717</v>
      </c>
      <c r="AG5107" s="2">
        <f ca="1"/>
        <v>0.49242283739598336</v>
      </c>
      <c r="AH5107" s="2" t="str">
        <f ca="1"/>
        <v>Bad</v>
      </c>
    </row>
    <row r="5108" spans="2:34" x14ac:dyDescent="0.2">
      <c r="B5108" s="2">
        <f ca="1"/>
        <v>0.61625110088911739</v>
      </c>
      <c r="O5108" s="2">
        <f ca="1"/>
        <v>0.44226273001915056</v>
      </c>
      <c r="X5108" s="2">
        <f ca="1"/>
        <v>58.068660748149618</v>
      </c>
      <c r="AG5108" s="2">
        <f ca="1"/>
        <v>0.6945875094719165</v>
      </c>
      <c r="AH5108" s="2" t="str">
        <f ca="1"/>
        <v>Bad</v>
      </c>
    </row>
    <row r="5109" spans="2:34" x14ac:dyDescent="0.2">
      <c r="B5109" s="2">
        <f ca="1"/>
        <v>0.63630042587202928</v>
      </c>
      <c r="O5109" s="2">
        <f ca="1"/>
        <v>1.588910304057791</v>
      </c>
      <c r="X5109" s="2">
        <f ca="1"/>
        <v>26.222668321390543</v>
      </c>
      <c r="AG5109" s="2">
        <f ca="1"/>
        <v>0.17064086322878169</v>
      </c>
      <c r="AH5109" s="2" t="str">
        <f ca="1"/>
        <v>OK</v>
      </c>
    </row>
    <row r="5110" spans="2:34" x14ac:dyDescent="0.2">
      <c r="B5110" s="2">
        <f ca="1"/>
        <v>0.58662769956167615</v>
      </c>
      <c r="O5110" s="2">
        <f ca="1"/>
        <v>0.1256855294527108</v>
      </c>
      <c r="X5110" s="2">
        <f ca="1"/>
        <v>21.171374353083763</v>
      </c>
      <c r="AG5110" s="2">
        <f ca="1"/>
        <v>5.3429998096751641E-2</v>
      </c>
      <c r="AH5110" s="2" t="str">
        <f ca="1"/>
        <v>OK</v>
      </c>
    </row>
    <row r="5111" spans="2:34" x14ac:dyDescent="0.2">
      <c r="B5111" s="2">
        <f ca="1"/>
        <v>0.26186323615763984</v>
      </c>
      <c r="O5111" s="2">
        <f ca="1"/>
        <v>-0.66033083342091659</v>
      </c>
      <c r="X5111" s="2">
        <f ca="1"/>
        <v>38.610294008231996</v>
      </c>
      <c r="AG5111" s="2">
        <f ca="1"/>
        <v>0.70997832312687148</v>
      </c>
      <c r="AH5111" s="2" t="str">
        <f ca="1"/>
        <v>Bad</v>
      </c>
    </row>
    <row r="5112" spans="2:34" x14ac:dyDescent="0.2">
      <c r="B5112" s="2">
        <f ca="1"/>
        <v>0.91786704329588997</v>
      </c>
      <c r="O5112" s="2">
        <f ca="1"/>
        <v>-0.55075081949846083</v>
      </c>
      <c r="X5112" s="2">
        <f ca="1"/>
        <v>72.969358843191287</v>
      </c>
      <c r="AG5112" s="2">
        <f ca="1"/>
        <v>0.54847656134339773</v>
      </c>
      <c r="AH5112" s="2" t="str">
        <f ca="1"/>
        <v>Bad</v>
      </c>
    </row>
    <row r="5113" spans="2:34" x14ac:dyDescent="0.2">
      <c r="B5113" s="2">
        <f ca="1"/>
        <v>0.97406250090251234</v>
      </c>
      <c r="O5113" s="2">
        <f ca="1"/>
        <v>1.2464996808831141</v>
      </c>
      <c r="X5113" s="2">
        <f ca="1"/>
        <v>60.399830551194675</v>
      </c>
      <c r="AG5113" s="2">
        <f ca="1"/>
        <v>0.40410488480362838</v>
      </c>
      <c r="AH5113" s="2" t="str">
        <f ca="1"/>
        <v>Bad</v>
      </c>
    </row>
    <row r="5114" spans="2:34" x14ac:dyDescent="0.2">
      <c r="B5114" s="2">
        <f ca="1"/>
        <v>0.51442782184677083</v>
      </c>
      <c r="O5114" s="2">
        <f ca="1"/>
        <v>0.7782499829292423</v>
      </c>
      <c r="X5114" s="2">
        <f ca="1"/>
        <v>78.382626150585935</v>
      </c>
      <c r="AG5114" s="2">
        <f ca="1"/>
        <v>0.39155057724482822</v>
      </c>
      <c r="AH5114" s="2" t="str">
        <f ca="1"/>
        <v>OK</v>
      </c>
    </row>
    <row r="5115" spans="2:34" x14ac:dyDescent="0.2">
      <c r="B5115" s="2">
        <f ca="1"/>
        <v>3.6001073969697428E-2</v>
      </c>
      <c r="O5115" s="2">
        <f ca="1"/>
        <v>0.45000762750290035</v>
      </c>
      <c r="X5115" s="2">
        <f ca="1"/>
        <v>29.55857767698674</v>
      </c>
      <c r="AG5115" s="2">
        <f ca="1"/>
        <v>0.25450155836056543</v>
      </c>
      <c r="AH5115" s="2" t="str">
        <f ca="1"/>
        <v>OK</v>
      </c>
    </row>
    <row r="5116" spans="2:34" x14ac:dyDescent="0.2">
      <c r="B5116" s="2">
        <f ca="1"/>
        <v>0.97298527557574888</v>
      </c>
      <c r="O5116" s="2">
        <f ca="1"/>
        <v>0.1757518738320564</v>
      </c>
      <c r="X5116" s="2">
        <f ca="1"/>
        <v>54.667418908243768</v>
      </c>
      <c r="AG5116" s="2">
        <f ca="1"/>
        <v>0.92377521380633576</v>
      </c>
      <c r="AH5116" s="2" t="str">
        <f ca="1"/>
        <v>Bad</v>
      </c>
    </row>
    <row r="5117" spans="2:34" x14ac:dyDescent="0.2">
      <c r="B5117" s="2">
        <f ca="1"/>
        <v>0.63834734546979699</v>
      </c>
      <c r="O5117" s="2">
        <f ca="1"/>
        <v>-2.0872116774679417</v>
      </c>
      <c r="X5117" s="2">
        <f ca="1"/>
        <v>34.824948811231394</v>
      </c>
      <c r="AG5117" s="2">
        <f ca="1"/>
        <v>0.41527585844430615</v>
      </c>
      <c r="AH5117" s="2" t="str">
        <f ca="1"/>
        <v>Bad</v>
      </c>
    </row>
    <row r="5118" spans="2:34" x14ac:dyDescent="0.2">
      <c r="B5118" s="2">
        <f ca="1"/>
        <v>9.0813324506275883E-2</v>
      </c>
      <c r="O5118" s="2">
        <f ca="1"/>
        <v>0.65532178535602403</v>
      </c>
      <c r="X5118" s="2">
        <f ca="1"/>
        <v>43.120659699223808</v>
      </c>
      <c r="AG5118" s="2">
        <f ca="1"/>
        <v>0.42746228206001202</v>
      </c>
      <c r="AH5118" s="2" t="str">
        <f ca="1"/>
        <v>Bad</v>
      </c>
    </row>
    <row r="5119" spans="2:34" x14ac:dyDescent="0.2">
      <c r="B5119" s="2">
        <f ca="1"/>
        <v>0.71807925908637893</v>
      </c>
      <c r="O5119" s="2">
        <f ca="1"/>
        <v>0.24568267048848566</v>
      </c>
      <c r="X5119" s="2">
        <f ca="1"/>
        <v>46.30351314563319</v>
      </c>
      <c r="AG5119" s="2">
        <f ca="1"/>
        <v>0.15919369612472689</v>
      </c>
      <c r="AH5119" s="2" t="str">
        <f ca="1"/>
        <v>OK</v>
      </c>
    </row>
    <row r="5120" spans="2:34" x14ac:dyDescent="0.2">
      <c r="B5120" s="2">
        <f ca="1"/>
        <v>0.114193440692262</v>
      </c>
      <c r="O5120" s="2">
        <f ca="1"/>
        <v>-0.733605945411829</v>
      </c>
      <c r="X5120" s="2">
        <f ca="1"/>
        <v>63.874184574049345</v>
      </c>
      <c r="AG5120" s="2">
        <f ca="1"/>
        <v>0.91102827505143558</v>
      </c>
      <c r="AH5120" s="2" t="str">
        <f ca="1"/>
        <v>Bad</v>
      </c>
    </row>
    <row r="5121" spans="2:34" x14ac:dyDescent="0.2">
      <c r="B5121" s="2">
        <f ca="1"/>
        <v>0.21886220848550519</v>
      </c>
      <c r="O5121" s="2">
        <f ca="1"/>
        <v>-0.77828224358804898</v>
      </c>
      <c r="X5121" s="2">
        <f ca="1"/>
        <v>59.826242348590945</v>
      </c>
      <c r="AG5121" s="2">
        <f ca="1"/>
        <v>0.79200743804980656</v>
      </c>
      <c r="AH5121" s="2" t="str">
        <f ca="1"/>
        <v>Bad</v>
      </c>
    </row>
    <row r="5122" spans="2:34" x14ac:dyDescent="0.2">
      <c r="B5122" s="2">
        <f ca="1"/>
        <v>0.52190010638108886</v>
      </c>
      <c r="O5122" s="2">
        <f ca="1"/>
        <v>-0.41404882328147341</v>
      </c>
      <c r="X5122" s="2">
        <f ca="1"/>
        <v>70.715782551253355</v>
      </c>
      <c r="AG5122" s="2">
        <f ca="1"/>
        <v>0.89136230980124243</v>
      </c>
      <c r="AH5122" s="2" t="str">
        <f ca="1"/>
        <v>Bad</v>
      </c>
    </row>
    <row r="5123" spans="2:34" x14ac:dyDescent="0.2">
      <c r="B5123" s="2">
        <f ca="1"/>
        <v>0.67299823476197651</v>
      </c>
      <c r="O5123" s="2">
        <f ca="1"/>
        <v>-0.81404360217738858</v>
      </c>
      <c r="X5123" s="2">
        <f ca="1"/>
        <v>66.451264758437787</v>
      </c>
      <c r="AG5123" s="2">
        <f ca="1"/>
        <v>0.11081235967101111</v>
      </c>
      <c r="AH5123" s="2" t="str">
        <f ca="1"/>
        <v>OK</v>
      </c>
    </row>
    <row r="5124" spans="2:34" x14ac:dyDescent="0.2">
      <c r="B5124" s="2">
        <f ca="1"/>
        <v>0.40308305933069732</v>
      </c>
      <c r="O5124" s="2">
        <f ca="1"/>
        <v>-1.0041800724973393</v>
      </c>
      <c r="X5124" s="2">
        <f ca="1"/>
        <v>61.823524553673096</v>
      </c>
      <c r="AG5124" s="2">
        <f ca="1"/>
        <v>0.83922572583704924</v>
      </c>
      <c r="AH5124" s="2" t="str">
        <f ca="1"/>
        <v>Bad</v>
      </c>
    </row>
    <row r="5125" spans="2:34" x14ac:dyDescent="0.2">
      <c r="B5125" s="2">
        <f ca="1"/>
        <v>0.35422419372288383</v>
      </c>
      <c r="O5125" s="2">
        <f ca="1"/>
        <v>1.0458159706973895</v>
      </c>
      <c r="X5125" s="2">
        <f ca="1"/>
        <v>56.491048120322759</v>
      </c>
      <c r="AG5125" s="2">
        <f ca="1"/>
        <v>0.27960322881399136</v>
      </c>
      <c r="AH5125" s="2" t="str">
        <f ca="1"/>
        <v>OK</v>
      </c>
    </row>
    <row r="5126" spans="2:34" x14ac:dyDescent="0.2">
      <c r="B5126" s="2">
        <f ca="1"/>
        <v>0.51251408856778813</v>
      </c>
      <c r="O5126" s="2">
        <f ca="1"/>
        <v>0.1702281505256249</v>
      </c>
      <c r="X5126" s="2">
        <f ca="1"/>
        <v>24.556010688496389</v>
      </c>
      <c r="AG5126" s="2">
        <f ca="1"/>
        <v>0.64818214554431952</v>
      </c>
      <c r="AH5126" s="2" t="str">
        <f ca="1"/>
        <v>Bad</v>
      </c>
    </row>
    <row r="5127" spans="2:34" x14ac:dyDescent="0.2">
      <c r="B5127" s="2">
        <f ca="1"/>
        <v>0.97559607857344632</v>
      </c>
      <c r="O5127" s="2">
        <f ca="1"/>
        <v>0.34536876142942319</v>
      </c>
      <c r="X5127" s="2">
        <f ca="1"/>
        <v>47.58240420428227</v>
      </c>
      <c r="AG5127" s="2">
        <f ca="1"/>
        <v>0.94172377193952839</v>
      </c>
      <c r="AH5127" s="2" t="str">
        <f ca="1"/>
        <v>Bad</v>
      </c>
    </row>
    <row r="5128" spans="2:34" x14ac:dyDescent="0.2">
      <c r="B5128" s="2">
        <f ca="1"/>
        <v>0.24554559785249919</v>
      </c>
      <c r="O5128" s="2">
        <f ca="1"/>
        <v>0.37174703037314732</v>
      </c>
      <c r="X5128" s="2">
        <f ca="1"/>
        <v>55.158356950327743</v>
      </c>
      <c r="AG5128" s="2">
        <f ca="1"/>
        <v>0.26725630668628453</v>
      </c>
      <c r="AH5128" s="2" t="str">
        <f ca="1"/>
        <v>OK</v>
      </c>
    </row>
    <row r="5129" spans="2:34" x14ac:dyDescent="0.2">
      <c r="B5129" s="2">
        <f ca="1"/>
        <v>0.2700667831402932</v>
      </c>
      <c r="O5129" s="2">
        <f ca="1"/>
        <v>0.72108893430992071</v>
      </c>
      <c r="X5129" s="2">
        <f ca="1"/>
        <v>52.294345417552712</v>
      </c>
      <c r="AG5129" s="2">
        <f ca="1"/>
        <v>0.4900495571767931</v>
      </c>
      <c r="AH5129" s="2" t="str">
        <f ca="1"/>
        <v>Bad</v>
      </c>
    </row>
    <row r="5130" spans="2:34" x14ac:dyDescent="0.2">
      <c r="B5130" s="2">
        <f ca="1"/>
        <v>0.77608560675643967</v>
      </c>
      <c r="O5130" s="2">
        <f ca="1"/>
        <v>0.19927349894927729</v>
      </c>
      <c r="X5130" s="2">
        <f ca="1"/>
        <v>47.162725549941662</v>
      </c>
      <c r="AG5130" s="2">
        <f ca="1"/>
        <v>4.4891110874703433E-2</v>
      </c>
      <c r="AH5130" s="2" t="str">
        <f ca="1"/>
        <v>Good</v>
      </c>
    </row>
    <row r="5131" spans="2:34" x14ac:dyDescent="0.2">
      <c r="B5131" s="2">
        <f ca="1"/>
        <v>0.93969476218506398</v>
      </c>
      <c r="O5131" s="2">
        <f ca="1"/>
        <v>-2.5680702083833731E-2</v>
      </c>
      <c r="X5131" s="2">
        <f ca="1"/>
        <v>30.632886183747388</v>
      </c>
      <c r="AG5131" s="2">
        <f ca="1"/>
        <v>0.21002485818269134</v>
      </c>
      <c r="AH5131" s="2" t="str">
        <f ca="1"/>
        <v>OK</v>
      </c>
    </row>
    <row r="5132" spans="2:34" x14ac:dyDescent="0.2">
      <c r="B5132" s="2">
        <f ca="1"/>
        <v>0.57878360788419014</v>
      </c>
      <c r="O5132" s="2">
        <f ca="1"/>
        <v>-1.4309226374896615</v>
      </c>
      <c r="X5132" s="2">
        <f ca="1"/>
        <v>59.615063987978196</v>
      </c>
      <c r="AG5132" s="2">
        <f ca="1"/>
        <v>0.93639673587654881</v>
      </c>
      <c r="AH5132" s="2" t="str">
        <f ca="1"/>
        <v>Bad</v>
      </c>
    </row>
    <row r="5133" spans="2:34" x14ac:dyDescent="0.2">
      <c r="B5133" s="2">
        <f ca="1"/>
        <v>0.91261160445005185</v>
      </c>
      <c r="O5133" s="2">
        <f ca="1"/>
        <v>-1.806885182658805</v>
      </c>
      <c r="X5133" s="2">
        <f ca="1"/>
        <v>36.180505688509271</v>
      </c>
      <c r="AG5133" s="2">
        <f ca="1"/>
        <v>0.63904721361191053</v>
      </c>
      <c r="AH5133" s="2" t="str">
        <f ca="1"/>
        <v>Bad</v>
      </c>
    </row>
    <row r="5134" spans="2:34" x14ac:dyDescent="0.2">
      <c r="B5134" s="2">
        <f ca="1"/>
        <v>0.1931858806367972</v>
      </c>
      <c r="O5134" s="2">
        <f ca="1"/>
        <v>1.2508448870312634</v>
      </c>
      <c r="X5134" s="2">
        <f ca="1"/>
        <v>54.718383575390604</v>
      </c>
      <c r="AG5134" s="2">
        <f ca="1"/>
        <v>0.10826592132676272</v>
      </c>
      <c r="AH5134" s="2" t="str">
        <f ca="1"/>
        <v>OK</v>
      </c>
    </row>
    <row r="5135" spans="2:34" x14ac:dyDescent="0.2">
      <c r="B5135" s="2">
        <f ca="1"/>
        <v>0.5479495889389312</v>
      </c>
      <c r="O5135" s="2">
        <f ca="1"/>
        <v>-0.27065865516560866</v>
      </c>
      <c r="X5135" s="2">
        <f ca="1"/>
        <v>40.36346310679194</v>
      </c>
      <c r="AG5135" s="2">
        <f ca="1"/>
        <v>0.4927136366396383</v>
      </c>
      <c r="AH5135" s="2" t="str">
        <f ca="1"/>
        <v>Bad</v>
      </c>
    </row>
    <row r="5136" spans="2:34" x14ac:dyDescent="0.2">
      <c r="B5136" s="2">
        <f ca="1"/>
        <v>0.47685532423062837</v>
      </c>
      <c r="O5136" s="2">
        <f ca="1"/>
        <v>0.79293719398398554</v>
      </c>
      <c r="X5136" s="2">
        <f ca="1"/>
        <v>53.546661382296634</v>
      </c>
      <c r="AG5136" s="2">
        <f ca="1"/>
        <v>0.38933038175507684</v>
      </c>
      <c r="AH5136" s="2" t="str">
        <f ca="1"/>
        <v>OK</v>
      </c>
    </row>
    <row r="5137" spans="2:34" x14ac:dyDescent="0.2">
      <c r="B5137" s="2">
        <f ca="1"/>
        <v>2.7212592612346764E-2</v>
      </c>
      <c r="O5137" s="2">
        <f ca="1"/>
        <v>-0.73581920064840345</v>
      </c>
      <c r="X5137" s="2">
        <f ca="1"/>
        <v>45.527747530778775</v>
      </c>
      <c r="AG5137" s="2">
        <f ca="1"/>
        <v>0.78994723601985406</v>
      </c>
      <c r="AH5137" s="2" t="str">
        <f ca="1"/>
        <v>Bad</v>
      </c>
    </row>
    <row r="5138" spans="2:34" x14ac:dyDescent="0.2">
      <c r="B5138" s="2">
        <f ca="1"/>
        <v>0.13492002493831179</v>
      </c>
      <c r="O5138" s="2">
        <f ca="1"/>
        <v>-4.7857685168155757E-2</v>
      </c>
      <c r="X5138" s="2">
        <f ca="1"/>
        <v>44.833853635396828</v>
      </c>
      <c r="AG5138" s="2">
        <f ca="1"/>
        <v>0.36352214297917063</v>
      </c>
      <c r="AH5138" s="2" t="str">
        <f ca="1"/>
        <v>OK</v>
      </c>
    </row>
    <row r="5139" spans="2:34" x14ac:dyDescent="0.2">
      <c r="B5139" s="2">
        <f ca="1"/>
        <v>5.2827270011089889E-2</v>
      </c>
      <c r="O5139" s="2">
        <f ca="1"/>
        <v>-1.077230758046644</v>
      </c>
      <c r="X5139" s="2">
        <f ca="1"/>
        <v>31.147529121571289</v>
      </c>
      <c r="AG5139" s="2">
        <f ca="1"/>
        <v>0.15963825334601633</v>
      </c>
      <c r="AH5139" s="2" t="str">
        <f ca="1"/>
        <v>OK</v>
      </c>
    </row>
    <row r="5140" spans="2:34" x14ac:dyDescent="0.2">
      <c r="B5140" s="2">
        <f ca="1"/>
        <v>0.56573877302200892</v>
      </c>
      <c r="O5140" s="2">
        <f ca="1"/>
        <v>6.5519304054990915E-2</v>
      </c>
      <c r="X5140" s="2">
        <f ca="1"/>
        <v>48.46404944668366</v>
      </c>
      <c r="AG5140" s="2">
        <f ca="1"/>
        <v>0.78676757189657831</v>
      </c>
      <c r="AH5140" s="2" t="str">
        <f ca="1"/>
        <v>Bad</v>
      </c>
    </row>
    <row r="5141" spans="2:34" x14ac:dyDescent="0.2">
      <c r="B5141" s="2">
        <f ca="1"/>
        <v>0.43327109278059495</v>
      </c>
      <c r="O5141" s="2">
        <f ca="1"/>
        <v>-0.752172674217369</v>
      </c>
      <c r="X5141" s="2">
        <f ca="1"/>
        <v>41.268676077605058</v>
      </c>
      <c r="AG5141" s="2">
        <f ca="1"/>
        <v>0.91992696970864496</v>
      </c>
      <c r="AH5141" s="2" t="str">
        <f ca="1"/>
        <v>Bad</v>
      </c>
    </row>
    <row r="5142" spans="2:34" x14ac:dyDescent="0.2">
      <c r="B5142" s="2">
        <f ca="1"/>
        <v>0.38856413231164799</v>
      </c>
      <c r="O5142" s="2">
        <f ca="1"/>
        <v>0.46841245384986557</v>
      </c>
      <c r="X5142" s="2">
        <f ca="1"/>
        <v>64.147884109791391</v>
      </c>
      <c r="AG5142" s="2">
        <f ca="1"/>
        <v>0.41778299094844384</v>
      </c>
      <c r="AH5142" s="2" t="str">
        <f ca="1"/>
        <v>Bad</v>
      </c>
    </row>
    <row r="5143" spans="2:34" x14ac:dyDescent="0.2">
      <c r="B5143" s="2">
        <f ca="1"/>
        <v>0.69822079422977668</v>
      </c>
      <c r="O5143" s="2">
        <f ca="1"/>
        <v>-0.51041149410655406</v>
      </c>
      <c r="X5143" s="2">
        <f ca="1"/>
        <v>92.832575811660263</v>
      </c>
      <c r="AG5143" s="2">
        <f ca="1"/>
        <v>0.21800845009174208</v>
      </c>
      <c r="AH5143" s="2" t="str">
        <f ca="1"/>
        <v>OK</v>
      </c>
    </row>
    <row r="5144" spans="2:34" x14ac:dyDescent="0.2">
      <c r="B5144" s="2">
        <f ca="1"/>
        <v>9.5447057082995723E-3</v>
      </c>
      <c r="O5144" s="2">
        <f ca="1"/>
        <v>-0.26177290817587556</v>
      </c>
      <c r="X5144" s="2">
        <f ca="1"/>
        <v>79.76911992727068</v>
      </c>
      <c r="AG5144" s="2">
        <f ca="1"/>
        <v>7.9937667716505345E-3</v>
      </c>
      <c r="AH5144" s="2" t="str">
        <f ca="1"/>
        <v>Good</v>
      </c>
    </row>
    <row r="5145" spans="2:34" x14ac:dyDescent="0.2">
      <c r="B5145" s="2">
        <f ca="1"/>
        <v>0.42277987925509075</v>
      </c>
      <c r="O5145" s="2">
        <f ca="1"/>
        <v>-1.0047060691662371E-2</v>
      </c>
      <c r="X5145" s="2">
        <f ca="1"/>
        <v>62.830712893220678</v>
      </c>
      <c r="AG5145" s="2">
        <f ca="1"/>
        <v>0.43327359247010655</v>
      </c>
      <c r="AH5145" s="2" t="str">
        <f ca="1"/>
        <v>Bad</v>
      </c>
    </row>
    <row r="5146" spans="2:34" x14ac:dyDescent="0.2">
      <c r="B5146" s="2">
        <f ca="1"/>
        <v>0.87101877901213642</v>
      </c>
      <c r="O5146" s="2">
        <f ca="1"/>
        <v>3.7905434670890116E-2</v>
      </c>
      <c r="X5146" s="2">
        <f ca="1"/>
        <v>43.953804801785957</v>
      </c>
      <c r="AG5146" s="2">
        <f ca="1"/>
        <v>0.25704370770459573</v>
      </c>
      <c r="AH5146" s="2" t="str">
        <f ca="1"/>
        <v>OK</v>
      </c>
    </row>
    <row r="5147" spans="2:34" x14ac:dyDescent="0.2">
      <c r="B5147" s="2">
        <f ca="1"/>
        <v>0.82053889164295191</v>
      </c>
      <c r="O5147" s="2">
        <f ca="1"/>
        <v>-0.2759977688822533</v>
      </c>
      <c r="X5147" s="2">
        <f ca="1"/>
        <v>58.74702413971665</v>
      </c>
      <c r="AG5147" s="2">
        <f ca="1"/>
        <v>0.6721656629000341</v>
      </c>
      <c r="AH5147" s="2" t="str">
        <f ca="1"/>
        <v>Bad</v>
      </c>
    </row>
    <row r="5148" spans="2:34" x14ac:dyDescent="0.2">
      <c r="B5148" s="2">
        <f ca="1"/>
        <v>9.7798371281291097E-2</v>
      </c>
      <c r="O5148" s="2">
        <f ca="1"/>
        <v>-0.46095229169839114</v>
      </c>
      <c r="X5148" s="2">
        <f ca="1"/>
        <v>43.44461440131716</v>
      </c>
      <c r="AG5148" s="2">
        <f ca="1"/>
        <v>0.92414376680044907</v>
      </c>
      <c r="AH5148" s="2" t="str">
        <f ca="1"/>
        <v>Bad</v>
      </c>
    </row>
    <row r="5149" spans="2:34" x14ac:dyDescent="0.2">
      <c r="B5149" s="2">
        <f ca="1"/>
        <v>5.8205532998724996E-2</v>
      </c>
      <c r="O5149" s="2">
        <f ca="1"/>
        <v>-0.48920596622079576</v>
      </c>
      <c r="X5149" s="2">
        <f ca="1"/>
        <v>62.08074788997579</v>
      </c>
      <c r="AG5149" s="2">
        <f ca="1"/>
        <v>0.58609924278301251</v>
      </c>
      <c r="AH5149" s="2" t="str">
        <f ca="1"/>
        <v>Bad</v>
      </c>
    </row>
    <row r="5150" spans="2:34" x14ac:dyDescent="0.2">
      <c r="B5150" s="2">
        <f ca="1"/>
        <v>0.24986487780290667</v>
      </c>
      <c r="O5150" s="2">
        <f ca="1"/>
        <v>0.26207907996638913</v>
      </c>
      <c r="X5150" s="2">
        <f ca="1"/>
        <v>43.312796422210489</v>
      </c>
      <c r="AG5150" s="2">
        <f ca="1"/>
        <v>0.2146744078356142</v>
      </c>
      <c r="AH5150" s="2" t="str">
        <f ca="1"/>
        <v>OK</v>
      </c>
    </row>
    <row r="5151" spans="2:34" x14ac:dyDescent="0.2">
      <c r="B5151" s="2">
        <f ca="1"/>
        <v>0.30602334420365507</v>
      </c>
      <c r="O5151" s="2">
        <f ca="1"/>
        <v>1.0487182278471321</v>
      </c>
      <c r="X5151" s="2">
        <f ca="1"/>
        <v>47.97089053560579</v>
      </c>
      <c r="AG5151" s="2">
        <f ca="1"/>
        <v>0.73169296494461977</v>
      </c>
      <c r="AH5151" s="2" t="str">
        <f ca="1"/>
        <v>Bad</v>
      </c>
    </row>
    <row r="5152" spans="2:34" x14ac:dyDescent="0.2">
      <c r="B5152" s="2">
        <f ca="1"/>
        <v>0.14902641212654033</v>
      </c>
      <c r="O5152" s="2">
        <f ca="1"/>
        <v>0.24374970073535671</v>
      </c>
      <c r="X5152" s="2">
        <f ca="1"/>
        <v>32.798087831351687</v>
      </c>
      <c r="AG5152" s="2">
        <f ca="1"/>
        <v>0.43049455815845716</v>
      </c>
      <c r="AH5152" s="2" t="str">
        <f ca="1"/>
        <v>Bad</v>
      </c>
    </row>
    <row r="5153" spans="2:34" x14ac:dyDescent="0.2">
      <c r="B5153" s="2">
        <f ca="1"/>
        <v>0.23363486964974212</v>
      </c>
      <c r="O5153" s="2">
        <f ca="1"/>
        <v>1.2317005085476886</v>
      </c>
      <c r="X5153" s="2">
        <f ca="1"/>
        <v>32.134806764376819</v>
      </c>
      <c r="AG5153" s="2">
        <f ca="1"/>
        <v>0.8838638600346389</v>
      </c>
      <c r="AH5153" s="2" t="str">
        <f ca="1"/>
        <v>Bad</v>
      </c>
    </row>
    <row r="5154" spans="2:34" x14ac:dyDescent="0.2">
      <c r="B5154" s="2">
        <f ca="1"/>
        <v>0.34988197996825932</v>
      </c>
      <c r="O5154" s="2">
        <f ca="1"/>
        <v>0.12535861510561969</v>
      </c>
      <c r="X5154" s="2">
        <f ca="1"/>
        <v>49.130198765871597</v>
      </c>
      <c r="AG5154" s="2">
        <f ca="1"/>
        <v>0.75478972615461171</v>
      </c>
      <c r="AH5154" s="2" t="str">
        <f ca="1"/>
        <v>Bad</v>
      </c>
    </row>
    <row r="5155" spans="2:34" x14ac:dyDescent="0.2">
      <c r="B5155" s="2">
        <f ca="1"/>
        <v>0.86435654091008574</v>
      </c>
      <c r="O5155" s="2">
        <f ca="1"/>
        <v>-0.69717069386455754</v>
      </c>
      <c r="X5155" s="2">
        <f ca="1"/>
        <v>71.807616055643834</v>
      </c>
      <c r="AG5155" s="2">
        <f ca="1"/>
        <v>0.31117535020092446</v>
      </c>
      <c r="AH5155" s="2" t="str">
        <f ca="1"/>
        <v>OK</v>
      </c>
    </row>
    <row r="5156" spans="2:34" x14ac:dyDescent="0.2">
      <c r="B5156" s="2">
        <f ca="1"/>
        <v>8.5263394609711884E-2</v>
      </c>
      <c r="O5156" s="2">
        <f ca="1"/>
        <v>0.56258062257736086</v>
      </c>
      <c r="X5156" s="2">
        <f ca="1"/>
        <v>53.983858308916311</v>
      </c>
      <c r="AG5156" s="2">
        <f ca="1"/>
        <v>0.41341635534230781</v>
      </c>
      <c r="AH5156" s="2" t="str">
        <f ca="1"/>
        <v>Bad</v>
      </c>
    </row>
    <row r="5157" spans="2:34" x14ac:dyDescent="0.2">
      <c r="B5157" s="2">
        <f ca="1"/>
        <v>0.71672587508372887</v>
      </c>
      <c r="O5157" s="2">
        <f ca="1"/>
        <v>0.29328333181412763</v>
      </c>
      <c r="X5157" s="2">
        <f ca="1"/>
        <v>55.763058510338567</v>
      </c>
      <c r="AG5157" s="2">
        <f ca="1"/>
        <v>0.45026727114392928</v>
      </c>
      <c r="AH5157" s="2" t="str">
        <f ca="1"/>
        <v>Bad</v>
      </c>
    </row>
    <row r="5158" spans="2:34" x14ac:dyDescent="0.2">
      <c r="B5158" s="2">
        <f ca="1"/>
        <v>0.10809664104514582</v>
      </c>
      <c r="O5158" s="2">
        <f ca="1"/>
        <v>-1.8217320270089221</v>
      </c>
      <c r="X5158" s="2">
        <f ca="1"/>
        <v>48.891952461722198</v>
      </c>
      <c r="AG5158" s="2">
        <f ca="1"/>
        <v>0.62443364814237468</v>
      </c>
      <c r="AH5158" s="2" t="str">
        <f ca="1"/>
        <v>Bad</v>
      </c>
    </row>
    <row r="5159" spans="2:34" x14ac:dyDescent="0.2">
      <c r="B5159" s="2">
        <f ca="1"/>
        <v>0.8698165433621956</v>
      </c>
      <c r="O5159" s="2">
        <f ca="1"/>
        <v>-1.3727540094515036</v>
      </c>
      <c r="X5159" s="2">
        <f ca="1"/>
        <v>59.786647994966003</v>
      </c>
      <c r="AG5159" s="2">
        <f ca="1"/>
        <v>0.5766578626869816</v>
      </c>
      <c r="AH5159" s="2" t="str">
        <f ca="1"/>
        <v>Bad</v>
      </c>
    </row>
    <row r="5160" spans="2:34" x14ac:dyDescent="0.2">
      <c r="B5160" s="2">
        <f ca="1"/>
        <v>0.4086664807025111</v>
      </c>
      <c r="O5160" s="2">
        <f ca="1"/>
        <v>-0.31750585632174882</v>
      </c>
      <c r="X5160" s="2">
        <f ca="1"/>
        <v>56.070946711204705</v>
      </c>
      <c r="AG5160" s="2">
        <f ca="1"/>
        <v>0.78849795722057792</v>
      </c>
      <c r="AH5160" s="2" t="str">
        <f ca="1"/>
        <v>Bad</v>
      </c>
    </row>
    <row r="5161" spans="2:34" x14ac:dyDescent="0.2">
      <c r="B5161" s="2">
        <f ca="1"/>
        <v>9.2362623397442833E-2</v>
      </c>
      <c r="O5161" s="2">
        <f ca="1"/>
        <v>-0.2325105030621285</v>
      </c>
      <c r="X5161" s="2">
        <f ca="1"/>
        <v>86.599433903876175</v>
      </c>
      <c r="AG5161" s="2">
        <f ca="1"/>
        <v>0.49574195852375857</v>
      </c>
      <c r="AH5161" s="2" t="str">
        <f ca="1"/>
        <v>Bad</v>
      </c>
    </row>
    <row r="5162" spans="2:34" x14ac:dyDescent="0.2">
      <c r="B5162" s="2">
        <f ca="1"/>
        <v>0.70261460870578407</v>
      </c>
      <c r="O5162" s="2">
        <f ca="1"/>
        <v>-0.43242992029183808</v>
      </c>
      <c r="X5162" s="2">
        <f ca="1"/>
        <v>28.852515870365849</v>
      </c>
      <c r="AG5162" s="2">
        <f ca="1"/>
        <v>0.53434622767877094</v>
      </c>
      <c r="AH5162" s="2" t="str">
        <f ca="1"/>
        <v>Bad</v>
      </c>
    </row>
    <row r="5163" spans="2:34" x14ac:dyDescent="0.2">
      <c r="B5163" s="2">
        <f ca="1"/>
        <v>0.90025569547697826</v>
      </c>
      <c r="O5163" s="2">
        <f ca="1"/>
        <v>-0.1573478698644335</v>
      </c>
      <c r="X5163" s="2">
        <f ca="1"/>
        <v>21.243260125809996</v>
      </c>
      <c r="AG5163" s="2">
        <f ca="1"/>
        <v>2.9818028236748395E-2</v>
      </c>
      <c r="AH5163" s="2" t="str">
        <f ca="1"/>
        <v>Good</v>
      </c>
    </row>
    <row r="5164" spans="2:34" x14ac:dyDescent="0.2">
      <c r="B5164" s="2">
        <f ca="1"/>
        <v>3.7637164898252751E-2</v>
      </c>
      <c r="O5164" s="2">
        <f ca="1"/>
        <v>-0.4744240118638236</v>
      </c>
      <c r="X5164" s="2">
        <f ca="1"/>
        <v>51.930186326568169</v>
      </c>
      <c r="AG5164" s="2">
        <f ca="1"/>
        <v>1.7806813035432523E-3</v>
      </c>
      <c r="AH5164" s="2" t="str">
        <f ca="1"/>
        <v>Good</v>
      </c>
    </row>
    <row r="5165" spans="2:34" x14ac:dyDescent="0.2">
      <c r="B5165" s="2">
        <f ca="1"/>
        <v>0.64548791364906921</v>
      </c>
      <c r="O5165" s="2">
        <f ca="1"/>
        <v>0.15116788999931799</v>
      </c>
      <c r="X5165" s="2">
        <f ca="1"/>
        <v>17.526226803585821</v>
      </c>
      <c r="AG5165" s="2">
        <f ca="1"/>
        <v>0.31484091441973217</v>
      </c>
      <c r="AH5165" s="2" t="str">
        <f ca="1"/>
        <v>OK</v>
      </c>
    </row>
    <row r="5166" spans="2:34" x14ac:dyDescent="0.2">
      <c r="B5166" s="2">
        <f ca="1"/>
        <v>0.47212289435303489</v>
      </c>
      <c r="O5166" s="2">
        <f ca="1"/>
        <v>-0.92623932185899938</v>
      </c>
      <c r="X5166" s="2">
        <f ca="1"/>
        <v>34.786081393704734</v>
      </c>
      <c r="AG5166" s="2">
        <f ca="1"/>
        <v>0.32161926618746239</v>
      </c>
      <c r="AH5166" s="2" t="str">
        <f ca="1"/>
        <v>OK</v>
      </c>
    </row>
    <row r="5167" spans="2:34" x14ac:dyDescent="0.2">
      <c r="B5167" s="2">
        <f ca="1"/>
        <v>0.83834965493808156</v>
      </c>
      <c r="O5167" s="2">
        <f ca="1"/>
        <v>1.4810231914823695</v>
      </c>
      <c r="X5167" s="2">
        <f ca="1"/>
        <v>46.978707761534039</v>
      </c>
      <c r="AG5167" s="2">
        <f ca="1"/>
        <v>0.21527253329517659</v>
      </c>
      <c r="AH5167" s="2" t="str">
        <f ca="1"/>
        <v>OK</v>
      </c>
    </row>
    <row r="5168" spans="2:34" x14ac:dyDescent="0.2">
      <c r="B5168" s="2">
        <f ca="1"/>
        <v>0.1525027958911338</v>
      </c>
      <c r="O5168" s="2">
        <f ca="1"/>
        <v>1.1764104670598337</v>
      </c>
      <c r="X5168" s="2">
        <f ca="1"/>
        <v>39.701735256629256</v>
      </c>
      <c r="AG5168" s="2">
        <f ca="1"/>
        <v>0.67318662036720567</v>
      </c>
      <c r="AH5168" s="2" t="str">
        <f ca="1"/>
        <v>Bad</v>
      </c>
    </row>
    <row r="5169" spans="2:34" x14ac:dyDescent="0.2">
      <c r="B5169" s="2">
        <f ca="1"/>
        <v>0.59269427426652377</v>
      </c>
      <c r="O5169" s="2">
        <f ca="1"/>
        <v>-0.47568399924854693</v>
      </c>
      <c r="X5169" s="2">
        <f ca="1"/>
        <v>28.830046933332525</v>
      </c>
      <c r="AG5169" s="2">
        <f ca="1"/>
        <v>0.29397062407561836</v>
      </c>
      <c r="AH5169" s="2" t="str">
        <f ca="1"/>
        <v>OK</v>
      </c>
    </row>
    <row r="5170" spans="2:34" x14ac:dyDescent="0.2">
      <c r="B5170" s="2">
        <f ca="1"/>
        <v>0.8865933264633461</v>
      </c>
      <c r="O5170" s="2">
        <f ca="1"/>
        <v>-0.49803094681961307</v>
      </c>
      <c r="X5170" s="2">
        <f ca="1"/>
        <v>54.981025452373125</v>
      </c>
      <c r="AG5170" s="2">
        <f ca="1"/>
        <v>0.18818187943383946</v>
      </c>
      <c r="AH5170" s="2" t="str">
        <f ca="1"/>
        <v>OK</v>
      </c>
    </row>
    <row r="5171" spans="2:34" x14ac:dyDescent="0.2">
      <c r="B5171" s="2">
        <f ca="1"/>
        <v>0.51651812039014144</v>
      </c>
      <c r="O5171" s="2">
        <f ca="1"/>
        <v>-1.7353298372321191</v>
      </c>
      <c r="X5171" s="2">
        <f ca="1"/>
        <v>63.767824725011252</v>
      </c>
      <c r="AG5171" s="2">
        <f ca="1"/>
        <v>0.63725605886555314</v>
      </c>
      <c r="AH5171" s="2" t="str">
        <f ca="1"/>
        <v>Bad</v>
      </c>
    </row>
    <row r="5172" spans="2:34" x14ac:dyDescent="0.2">
      <c r="B5172" s="2">
        <f ca="1"/>
        <v>0.52242198120857419</v>
      </c>
      <c r="O5172" s="2">
        <f ca="1"/>
        <v>-0.4905384934826385</v>
      </c>
      <c r="X5172" s="2">
        <f ca="1"/>
        <v>38.750232535195096</v>
      </c>
      <c r="AG5172" s="2">
        <f ca="1"/>
        <v>0.85219025953490113</v>
      </c>
      <c r="AH5172" s="2" t="str">
        <f ca="1"/>
        <v>Bad</v>
      </c>
    </row>
    <row r="5173" spans="2:34" x14ac:dyDescent="0.2">
      <c r="B5173" s="2">
        <f ca="1"/>
        <v>0.82027692545685893</v>
      </c>
      <c r="O5173" s="2">
        <f ca="1"/>
        <v>-0.3047225976514471</v>
      </c>
      <c r="X5173" s="2">
        <f ca="1"/>
        <v>61.553736563230046</v>
      </c>
      <c r="AG5173" s="2">
        <f ca="1"/>
        <v>0.95783083976297201</v>
      </c>
      <c r="AH5173" s="2" t="str">
        <f ca="1"/>
        <v>Bad</v>
      </c>
    </row>
    <row r="5174" spans="2:34" x14ac:dyDescent="0.2">
      <c r="B5174" s="2">
        <f ca="1"/>
        <v>0.25535644139502223</v>
      </c>
      <c r="O5174" s="2">
        <f ca="1"/>
        <v>-1.2040620658080585</v>
      </c>
      <c r="X5174" s="2">
        <f ca="1"/>
        <v>58.673903525614392</v>
      </c>
      <c r="AG5174" s="2">
        <f ca="1"/>
        <v>0.76367878351029406</v>
      </c>
      <c r="AH5174" s="2" t="str">
        <f ca="1"/>
        <v>Bad</v>
      </c>
    </row>
    <row r="5175" spans="2:34" x14ac:dyDescent="0.2">
      <c r="B5175" s="2">
        <f ca="1"/>
        <v>0.91358543559422811</v>
      </c>
      <c r="O5175" s="2">
        <f ca="1"/>
        <v>-3.7624654918484345E-2</v>
      </c>
      <c r="X5175" s="2">
        <f ca="1"/>
        <v>30.882600578583567</v>
      </c>
      <c r="AG5175" s="2">
        <f ca="1"/>
        <v>0.11049373917900285</v>
      </c>
      <c r="AH5175" s="2" t="str">
        <f ca="1"/>
        <v>OK</v>
      </c>
    </row>
    <row r="5176" spans="2:34" x14ac:dyDescent="0.2">
      <c r="B5176" s="2">
        <f ca="1"/>
        <v>0.62207634859526229</v>
      </c>
      <c r="O5176" s="2">
        <f ca="1"/>
        <v>0.28968113491869057</v>
      </c>
      <c r="X5176" s="2">
        <f ca="1"/>
        <v>46.321851209519508</v>
      </c>
      <c r="AG5176" s="2">
        <f ca="1"/>
        <v>0.64099376373029671</v>
      </c>
      <c r="AH5176" s="2" t="str">
        <f ca="1"/>
        <v>Bad</v>
      </c>
    </row>
    <row r="5177" spans="2:34" x14ac:dyDescent="0.2">
      <c r="B5177" s="2">
        <f ca="1"/>
        <v>0.49297806036637337</v>
      </c>
      <c r="O5177" s="2">
        <f ca="1"/>
        <v>2.7104945080817213</v>
      </c>
      <c r="X5177" s="2">
        <f ca="1"/>
        <v>88.67006222598171</v>
      </c>
      <c r="AG5177" s="2">
        <f ca="1"/>
        <v>0.35990543595797519</v>
      </c>
      <c r="AH5177" s="2" t="str">
        <f ca="1"/>
        <v>OK</v>
      </c>
    </row>
    <row r="5178" spans="2:34" x14ac:dyDescent="0.2">
      <c r="B5178" s="2">
        <f ca="1"/>
        <v>0.87026747199423249</v>
      </c>
      <c r="O5178" s="2">
        <f ca="1"/>
        <v>2.8653491250434779</v>
      </c>
      <c r="X5178" s="2">
        <f ca="1"/>
        <v>46.812522430072036</v>
      </c>
      <c r="AG5178" s="2">
        <f ca="1"/>
        <v>0.24209716782720792</v>
      </c>
      <c r="AH5178" s="2" t="str">
        <f ca="1"/>
        <v>OK</v>
      </c>
    </row>
    <row r="5179" spans="2:34" x14ac:dyDescent="0.2">
      <c r="B5179" s="2">
        <f ca="1"/>
        <v>0.70374075263544844</v>
      </c>
      <c r="O5179" s="2">
        <f ca="1"/>
        <v>1.7127390934862252</v>
      </c>
      <c r="X5179" s="2">
        <f ca="1"/>
        <v>60.656403588057188</v>
      </c>
      <c r="AG5179" s="2">
        <f ca="1"/>
        <v>0.87339455328722404</v>
      </c>
      <c r="AH5179" s="2" t="str">
        <f ca="1"/>
        <v>Bad</v>
      </c>
    </row>
    <row r="5180" spans="2:34" x14ac:dyDescent="0.2">
      <c r="B5180" s="2">
        <f ca="1"/>
        <v>0.88654854753830525</v>
      </c>
      <c r="O5180" s="2">
        <f ca="1"/>
        <v>-0.80402579521823447</v>
      </c>
      <c r="X5180" s="2">
        <f ca="1"/>
        <v>49.087017120837579</v>
      </c>
      <c r="AG5180" s="2">
        <f ca="1"/>
        <v>0.97859404384918203</v>
      </c>
      <c r="AH5180" s="2" t="str">
        <f ca="1"/>
        <v>Bad</v>
      </c>
    </row>
    <row r="5181" spans="2:34" x14ac:dyDescent="0.2">
      <c r="B5181" s="2">
        <f ca="1"/>
        <v>0.5398127831189321</v>
      </c>
      <c r="O5181" s="2">
        <f ca="1"/>
        <v>0.15308415283167204</v>
      </c>
      <c r="X5181" s="2">
        <f ca="1"/>
        <v>35.38666391003369</v>
      </c>
      <c r="AG5181" s="2">
        <f ca="1"/>
        <v>0.35808143337951504</v>
      </c>
      <c r="AH5181" s="2" t="str">
        <f ca="1"/>
        <v>OK</v>
      </c>
    </row>
    <row r="5182" spans="2:34" x14ac:dyDescent="0.2">
      <c r="B5182" s="2">
        <f ca="1"/>
        <v>0.35189672294224206</v>
      </c>
      <c r="O5182" s="2">
        <f ca="1"/>
        <v>0.41169667014371519</v>
      </c>
      <c r="X5182" s="2">
        <f ca="1"/>
        <v>70.561885618843846</v>
      </c>
      <c r="AG5182" s="2">
        <f ca="1"/>
        <v>0.91814147289514114</v>
      </c>
      <c r="AH5182" s="2" t="str">
        <f ca="1"/>
        <v>Bad</v>
      </c>
    </row>
    <row r="5183" spans="2:34" x14ac:dyDescent="0.2">
      <c r="B5183" s="2">
        <f ca="1"/>
        <v>0.75529425637092507</v>
      </c>
      <c r="O5183" s="2">
        <f ca="1"/>
        <v>-0.24372658662823452</v>
      </c>
      <c r="X5183" s="2">
        <f ca="1"/>
        <v>35.590631490165293</v>
      </c>
      <c r="AG5183" s="2">
        <f ca="1"/>
        <v>0.14142083954051454</v>
      </c>
      <c r="AH5183" s="2" t="str">
        <f ca="1"/>
        <v>OK</v>
      </c>
    </row>
    <row r="5184" spans="2:34" x14ac:dyDescent="0.2">
      <c r="B5184" s="2">
        <f ca="1"/>
        <v>0.82892360688153199</v>
      </c>
      <c r="O5184" s="2">
        <f ca="1"/>
        <v>-0.48391813207464746</v>
      </c>
      <c r="X5184" s="2">
        <f ca="1"/>
        <v>28.350073196598835</v>
      </c>
      <c r="AG5184" s="2">
        <f ca="1"/>
        <v>5.2077433801112072E-3</v>
      </c>
      <c r="AH5184" s="2" t="str">
        <f ca="1"/>
        <v>Good</v>
      </c>
    </row>
    <row r="5185" spans="2:34" x14ac:dyDescent="0.2">
      <c r="B5185" s="2">
        <f ca="1"/>
        <v>0.92170249045383335</v>
      </c>
      <c r="O5185" s="2">
        <f ca="1"/>
        <v>0.21002245061226688</v>
      </c>
      <c r="X5185" s="2">
        <f ca="1"/>
        <v>31.150060375780114</v>
      </c>
      <c r="AG5185" s="2">
        <f ca="1"/>
        <v>0.45365667447727698</v>
      </c>
      <c r="AH5185" s="2" t="str">
        <f ca="1"/>
        <v>Bad</v>
      </c>
    </row>
    <row r="5186" spans="2:34" x14ac:dyDescent="0.2">
      <c r="B5186" s="2">
        <f ca="1"/>
        <v>0.36665646154334453</v>
      </c>
      <c r="O5186" s="2">
        <f ca="1"/>
        <v>-0.75650415455086262</v>
      </c>
      <c r="X5186" s="2">
        <f ca="1"/>
        <v>58.890353432639927</v>
      </c>
      <c r="AG5186" s="2">
        <f ca="1"/>
        <v>0.34211694672946091</v>
      </c>
      <c r="AH5186" s="2" t="str">
        <f ca="1"/>
        <v>OK</v>
      </c>
    </row>
    <row r="5187" spans="2:34" x14ac:dyDescent="0.2">
      <c r="B5187" s="2">
        <f ca="1"/>
        <v>0.48627407952959678</v>
      </c>
      <c r="O5187" s="2">
        <f ca="1"/>
        <v>1.1324263457009793</v>
      </c>
      <c r="X5187" s="2">
        <f ca="1"/>
        <v>84.369986608173576</v>
      </c>
      <c r="AG5187" s="2">
        <f ca="1"/>
        <v>0.24942687969447586</v>
      </c>
      <c r="AH5187" s="2" t="str">
        <f ca="1"/>
        <v>OK</v>
      </c>
    </row>
    <row r="5188" spans="2:34" x14ac:dyDescent="0.2">
      <c r="B5188" s="2">
        <f ca="1"/>
        <v>0.27977830173772911</v>
      </c>
      <c r="O5188" s="2">
        <f ca="1"/>
        <v>-1.5727816959971792</v>
      </c>
      <c r="X5188" s="2">
        <f ca="1"/>
        <v>73.347320268802463</v>
      </c>
      <c r="AG5188" s="2">
        <f ca="1"/>
        <v>0.74387011311666207</v>
      </c>
      <c r="AH5188" s="2" t="str">
        <f ca="1"/>
        <v>Bad</v>
      </c>
    </row>
    <row r="5189" spans="2:34" x14ac:dyDescent="0.2">
      <c r="B5189" s="2">
        <f ca="1"/>
        <v>0.90931101051026109</v>
      </c>
      <c r="O5189" s="2">
        <f ca="1"/>
        <v>-4.904524607281973E-2</v>
      </c>
      <c r="X5189" s="2">
        <f ca="1"/>
        <v>55.938987586380236</v>
      </c>
      <c r="AG5189" s="2">
        <f ca="1"/>
        <v>0.71459029700744314</v>
      </c>
      <c r="AH5189" s="2" t="str">
        <f ca="1"/>
        <v>Bad</v>
      </c>
    </row>
    <row r="5190" spans="2:34" x14ac:dyDescent="0.2">
      <c r="B5190" s="2">
        <f ca="1"/>
        <v>0.62735554540296357</v>
      </c>
      <c r="O5190" s="2">
        <f ca="1"/>
        <v>1.1502754635599617</v>
      </c>
      <c r="X5190" s="2">
        <f ca="1"/>
        <v>58.344401378965784</v>
      </c>
      <c r="AG5190" s="2">
        <f ca="1"/>
        <v>0.67254571721301515</v>
      </c>
      <c r="AH5190" s="2" t="str">
        <f ca="1"/>
        <v>Bad</v>
      </c>
    </row>
    <row r="5191" spans="2:34" x14ac:dyDescent="0.2">
      <c r="B5191" s="2">
        <f ca="1"/>
        <v>0.69886312825967911</v>
      </c>
      <c r="O5191" s="2">
        <f ca="1"/>
        <v>-0.71824013714518498</v>
      </c>
      <c r="X5191" s="2">
        <f ca="1"/>
        <v>26.661473438275507</v>
      </c>
      <c r="AG5191" s="2">
        <f ca="1"/>
        <v>0.51304336530888284</v>
      </c>
      <c r="AH5191" s="2" t="str">
        <f ca="1"/>
        <v>Bad</v>
      </c>
    </row>
    <row r="5192" spans="2:34" x14ac:dyDescent="0.2">
      <c r="B5192" s="2">
        <f ca="1"/>
        <v>0.16830566542555792</v>
      </c>
      <c r="O5192" s="2">
        <f ca="1"/>
        <v>-0.30493695096110524</v>
      </c>
      <c r="X5192" s="2">
        <f ca="1"/>
        <v>48.097818850533045</v>
      </c>
      <c r="AG5192" s="2">
        <f ca="1"/>
        <v>0.7981582304375836</v>
      </c>
      <c r="AH5192" s="2" t="str">
        <f ca="1"/>
        <v>Bad</v>
      </c>
    </row>
    <row r="5193" spans="2:34" x14ac:dyDescent="0.2">
      <c r="B5193" s="2">
        <f ca="1"/>
        <v>3.1687280416062169E-2</v>
      </c>
      <c r="O5193" s="2">
        <f ca="1"/>
        <v>3.8303213156352926E-2</v>
      </c>
      <c r="X5193" s="2">
        <f ca="1"/>
        <v>75.099619891863981</v>
      </c>
      <c r="AG5193" s="2">
        <f ca="1"/>
        <v>0.28601250087065222</v>
      </c>
      <c r="AH5193" s="2" t="str">
        <f ca="1"/>
        <v>OK</v>
      </c>
    </row>
    <row r="5194" spans="2:34" x14ac:dyDescent="0.2">
      <c r="B5194" s="2">
        <f ca="1"/>
        <v>0.19462000382136746</v>
      </c>
      <c r="O5194" s="2">
        <f ca="1"/>
        <v>5.1350869377824584E-2</v>
      </c>
      <c r="X5194" s="2">
        <f ca="1"/>
        <v>39.827339761373942</v>
      </c>
      <c r="AG5194" s="2">
        <f ca="1"/>
        <v>0.40546897215714672</v>
      </c>
      <c r="AH5194" s="2" t="str">
        <f ca="1"/>
        <v>Bad</v>
      </c>
    </row>
    <row r="5195" spans="2:34" x14ac:dyDescent="0.2">
      <c r="B5195" s="2">
        <f ca="1"/>
        <v>0.36617222431307628</v>
      </c>
      <c r="O5195" s="2">
        <f ca="1"/>
        <v>0.36562988462823326</v>
      </c>
      <c r="X5195" s="2">
        <f ca="1"/>
        <v>39.070566523469957</v>
      </c>
      <c r="AG5195" s="2">
        <f ca="1"/>
        <v>0.70205925186671525</v>
      </c>
      <c r="AH5195" s="2" t="str">
        <f ca="1"/>
        <v>Bad</v>
      </c>
    </row>
    <row r="5196" spans="2:34" x14ac:dyDescent="0.2">
      <c r="B5196" s="2">
        <f ca="1"/>
        <v>0.52235928033281498</v>
      </c>
      <c r="O5196" s="2">
        <f ca="1"/>
        <v>3.3376144609950056</v>
      </c>
      <c r="X5196" s="2">
        <f ca="1"/>
        <v>36.239962409608545</v>
      </c>
      <c r="AG5196" s="2">
        <f ca="1"/>
        <v>0.35781739360596387</v>
      </c>
      <c r="AH5196" s="2" t="str">
        <f ca="1"/>
        <v>OK</v>
      </c>
    </row>
    <row r="5197" spans="2:34" x14ac:dyDescent="0.2">
      <c r="B5197" s="2">
        <f ca="1"/>
        <v>0.55640914425176979</v>
      </c>
      <c r="O5197" s="2">
        <f ca="1"/>
        <v>1.5073307649306149</v>
      </c>
      <c r="X5197" s="2">
        <f ca="1"/>
        <v>34.396189064242733</v>
      </c>
      <c r="AG5197" s="2">
        <f ca="1"/>
        <v>5.6558835345551062E-2</v>
      </c>
      <c r="AH5197" s="2" t="str">
        <f ca="1"/>
        <v>OK</v>
      </c>
    </row>
    <row r="5198" spans="2:34" x14ac:dyDescent="0.2">
      <c r="B5198" s="2">
        <f ca="1"/>
        <v>0.28245536687757711</v>
      </c>
      <c r="O5198" s="2">
        <f ca="1"/>
        <v>-0.46427366394342801</v>
      </c>
      <c r="X5198" s="2">
        <f ca="1"/>
        <v>41.632502679673294</v>
      </c>
      <c r="AG5198" s="2">
        <f ca="1"/>
        <v>0.64076236647448859</v>
      </c>
      <c r="AH5198" s="2" t="str">
        <f ca="1"/>
        <v>Bad</v>
      </c>
    </row>
    <row r="5199" spans="2:34" x14ac:dyDescent="0.2">
      <c r="B5199" s="2">
        <f ca="1"/>
        <v>0.56402212946669916</v>
      </c>
      <c r="O5199" s="2">
        <f ca="1"/>
        <v>-0.10805006803746252</v>
      </c>
      <c r="X5199" s="2">
        <f ca="1"/>
        <v>54.957702805370317</v>
      </c>
      <c r="AG5199" s="2">
        <f ca="1"/>
        <v>0.16952032834946462</v>
      </c>
      <c r="AH5199" s="2" t="str">
        <f ca="1"/>
        <v>OK</v>
      </c>
    </row>
    <row r="5200" spans="2:34" x14ac:dyDescent="0.2">
      <c r="B5200" s="2">
        <f ca="1"/>
        <v>0.14748927933847988</v>
      </c>
      <c r="O5200" s="2">
        <f ca="1"/>
        <v>-0.8022846674694265</v>
      </c>
      <c r="X5200" s="2">
        <f ca="1"/>
        <v>34.555405307473151</v>
      </c>
      <c r="AG5200" s="2">
        <f ca="1"/>
        <v>0.14629388111513464</v>
      </c>
      <c r="AH5200" s="2" t="str">
        <f ca="1"/>
        <v>OK</v>
      </c>
    </row>
    <row r="5201" spans="2:34" x14ac:dyDescent="0.2">
      <c r="B5201" s="2">
        <f ca="1"/>
        <v>0.93122691261510981</v>
      </c>
      <c r="O5201" s="2">
        <f ca="1"/>
        <v>-0.84116229008949805</v>
      </c>
      <c r="X5201" s="2">
        <f ca="1"/>
        <v>68.689852101280096</v>
      </c>
      <c r="AG5201" s="2">
        <f ca="1"/>
        <v>0.19935052451494761</v>
      </c>
      <c r="AH5201" s="2" t="str">
        <f ca="1"/>
        <v>OK</v>
      </c>
    </row>
    <row r="5202" spans="2:34" x14ac:dyDescent="0.2">
      <c r="B5202" s="2">
        <f ca="1"/>
        <v>0.82034829554905486</v>
      </c>
      <c r="O5202" s="2">
        <f ca="1"/>
        <v>-0.39051877191236667</v>
      </c>
      <c r="X5202" s="2">
        <f ca="1"/>
        <v>26.369151240034014</v>
      </c>
      <c r="AG5202" s="2">
        <f ca="1"/>
        <v>0.39752677383356283</v>
      </c>
      <c r="AH5202" s="2" t="str">
        <f ca="1"/>
        <v>OK</v>
      </c>
    </row>
    <row r="5203" spans="2:34" x14ac:dyDescent="0.2">
      <c r="B5203" s="2">
        <f ca="1"/>
        <v>0.28587484965000942</v>
      </c>
      <c r="O5203" s="2">
        <f ca="1"/>
        <v>1.1585005196996421</v>
      </c>
      <c r="X5203" s="2">
        <f ca="1"/>
        <v>29.01866696658708</v>
      </c>
      <c r="AG5203" s="2">
        <f ca="1"/>
        <v>7.6185350211393166E-2</v>
      </c>
      <c r="AH5203" s="2" t="str">
        <f ca="1"/>
        <v>OK</v>
      </c>
    </row>
    <row r="5204" spans="2:34" x14ac:dyDescent="0.2">
      <c r="B5204" s="2">
        <f ca="1"/>
        <v>0.33645870060844074</v>
      </c>
      <c r="O5204" s="2">
        <f ca="1"/>
        <v>-0.50438302445033956</v>
      </c>
      <c r="X5204" s="2">
        <f ca="1"/>
        <v>34.509951094322872</v>
      </c>
      <c r="AG5204" s="2">
        <f ca="1"/>
        <v>0.1528210917726982</v>
      </c>
      <c r="AH5204" s="2" t="str">
        <f ca="1"/>
        <v>OK</v>
      </c>
    </row>
    <row r="5205" spans="2:34" x14ac:dyDescent="0.2">
      <c r="B5205" s="2">
        <f ca="1"/>
        <v>0.47175333644872763</v>
      </c>
      <c r="O5205" s="2">
        <f ca="1"/>
        <v>-0.94260328246243552</v>
      </c>
      <c r="X5205" s="2">
        <f ca="1"/>
        <v>30.908690063466437</v>
      </c>
      <c r="AG5205" s="2">
        <f ca="1"/>
        <v>0.57540999286133077</v>
      </c>
      <c r="AH5205" s="2" t="str">
        <f ca="1"/>
        <v>Bad</v>
      </c>
    </row>
    <row r="5206" spans="2:34" x14ac:dyDescent="0.2">
      <c r="B5206" s="2">
        <f ca="1"/>
        <v>0.28377237550795176</v>
      </c>
      <c r="O5206" s="2">
        <f ca="1"/>
        <v>-2.6332087944238967</v>
      </c>
      <c r="X5206" s="2">
        <f ca="1"/>
        <v>38.492115744191345</v>
      </c>
      <c r="AG5206" s="2">
        <f ca="1"/>
        <v>0.33145594302586545</v>
      </c>
      <c r="AH5206" s="2" t="str">
        <f ca="1"/>
        <v>OK</v>
      </c>
    </row>
    <row r="5207" spans="2:34" x14ac:dyDescent="0.2">
      <c r="B5207" s="2">
        <f ca="1"/>
        <v>3.3664097171090424E-2</v>
      </c>
      <c r="O5207" s="2">
        <f ca="1"/>
        <v>0.15505142485572615</v>
      </c>
      <c r="X5207" s="2">
        <f ca="1"/>
        <v>53.950258089947383</v>
      </c>
      <c r="AG5207" s="2">
        <f ca="1"/>
        <v>0.82972542435150043</v>
      </c>
      <c r="AH5207" s="2" t="str">
        <f ca="1"/>
        <v>Bad</v>
      </c>
    </row>
    <row r="5208" spans="2:34" x14ac:dyDescent="0.2">
      <c r="B5208" s="2">
        <f ca="1"/>
        <v>0.21004526415001412</v>
      </c>
      <c r="O5208" s="2">
        <f ca="1"/>
        <v>0.75720662843319475</v>
      </c>
      <c r="X5208" s="2">
        <f ca="1"/>
        <v>54.522482228033546</v>
      </c>
      <c r="AG5208" s="2">
        <f ca="1"/>
        <v>0.98888511715468219</v>
      </c>
      <c r="AH5208" s="2" t="str">
        <f ca="1"/>
        <v>Bad</v>
      </c>
    </row>
    <row r="5209" spans="2:34" x14ac:dyDescent="0.2">
      <c r="B5209" s="2">
        <f ca="1"/>
        <v>0.83149807441289836</v>
      </c>
      <c r="O5209" s="2">
        <f ca="1"/>
        <v>0.97975567880908976</v>
      </c>
      <c r="X5209" s="2">
        <f ca="1"/>
        <v>59.180791652286459</v>
      </c>
      <c r="AG5209" s="2">
        <f ca="1"/>
        <v>0.77239201457481399</v>
      </c>
      <c r="AH5209" s="2" t="str">
        <f ca="1"/>
        <v>Bad</v>
      </c>
    </row>
    <row r="5210" spans="2:34" x14ac:dyDescent="0.2">
      <c r="B5210" s="2">
        <f ca="1"/>
        <v>0.88005611306582288</v>
      </c>
      <c r="O5210" s="2">
        <f ca="1"/>
        <v>-0.36356157758833918</v>
      </c>
      <c r="X5210" s="2">
        <f ca="1"/>
        <v>36.815344204219627</v>
      </c>
      <c r="AG5210" s="2">
        <f ca="1"/>
        <v>0.54590771113885261</v>
      </c>
      <c r="AH5210" s="2" t="str">
        <f ca="1"/>
        <v>Bad</v>
      </c>
    </row>
    <row r="5211" spans="2:34" x14ac:dyDescent="0.2">
      <c r="B5211" s="2">
        <f ca="1"/>
        <v>0.77456758026926709</v>
      </c>
      <c r="O5211" s="2">
        <f ca="1"/>
        <v>0.75332459787213246</v>
      </c>
      <c r="X5211" s="2">
        <f ca="1"/>
        <v>32.872786222345518</v>
      </c>
      <c r="AG5211" s="2">
        <f ca="1"/>
        <v>0.50996843990687379</v>
      </c>
      <c r="AH5211" s="2" t="str">
        <f ca="1"/>
        <v>Bad</v>
      </c>
    </row>
    <row r="5212" spans="2:34" x14ac:dyDescent="0.2">
      <c r="B5212" s="2">
        <f ca="1"/>
        <v>0.64071451559534798</v>
      </c>
      <c r="O5212" s="2">
        <f ca="1"/>
        <v>5.4339571701610835E-2</v>
      </c>
      <c r="X5212" s="2">
        <f ca="1"/>
        <v>54.164841189153073</v>
      </c>
      <c r="AG5212" s="2">
        <f ca="1"/>
        <v>0.39574660907101378</v>
      </c>
      <c r="AH5212" s="2" t="str">
        <f ca="1"/>
        <v>OK</v>
      </c>
    </row>
    <row r="5213" spans="2:34" x14ac:dyDescent="0.2">
      <c r="B5213" s="2">
        <f ca="1"/>
        <v>0.34548147536716933</v>
      </c>
      <c r="O5213" s="2">
        <f ca="1"/>
        <v>8.9985133749381704E-2</v>
      </c>
      <c r="X5213" s="2">
        <f ca="1"/>
        <v>27.813202106498316</v>
      </c>
      <c r="AG5213" s="2">
        <f ca="1"/>
        <v>9.0049102848427154E-2</v>
      </c>
      <c r="AH5213" s="2" t="str">
        <f ca="1"/>
        <v>OK</v>
      </c>
    </row>
    <row r="5214" spans="2:34" x14ac:dyDescent="0.2">
      <c r="B5214" s="2">
        <f ca="1"/>
        <v>5.3290648624861658E-2</v>
      </c>
      <c r="O5214" s="2">
        <f ca="1"/>
        <v>0.65133309073642043</v>
      </c>
      <c r="X5214" s="2">
        <f ca="1"/>
        <v>64.386849011706303</v>
      </c>
      <c r="AG5214" s="2">
        <f ca="1"/>
        <v>0.85146763801205139</v>
      </c>
      <c r="AH5214" s="2" t="str">
        <f ca="1"/>
        <v>Bad</v>
      </c>
    </row>
    <row r="5215" spans="2:34" x14ac:dyDescent="0.2">
      <c r="B5215" s="2">
        <f ca="1"/>
        <v>5.3496661599314432E-2</v>
      </c>
      <c r="O5215" s="2">
        <f ca="1"/>
        <v>0.13143577741962187</v>
      </c>
      <c r="X5215" s="2">
        <f ca="1"/>
        <v>43.610926591980274</v>
      </c>
      <c r="AG5215" s="2">
        <f ca="1"/>
        <v>0.22341729355019035</v>
      </c>
      <c r="AH5215" s="2" t="str">
        <f ca="1"/>
        <v>OK</v>
      </c>
    </row>
    <row r="5216" spans="2:34" x14ac:dyDescent="0.2">
      <c r="B5216" s="2">
        <f ca="1"/>
        <v>0.46729965214280633</v>
      </c>
      <c r="O5216" s="2">
        <f ca="1"/>
        <v>0.56547476916270922</v>
      </c>
      <c r="X5216" s="2">
        <f ca="1"/>
        <v>26.378369647782598</v>
      </c>
      <c r="AG5216" s="2">
        <f ca="1"/>
        <v>0.83666016090778661</v>
      </c>
      <c r="AH5216" s="2" t="str">
        <f ca="1"/>
        <v>Bad</v>
      </c>
    </row>
    <row r="5217" spans="2:34" x14ac:dyDescent="0.2">
      <c r="B5217" s="2">
        <f ca="1"/>
        <v>0.72374757777393683</v>
      </c>
      <c r="O5217" s="2">
        <f ca="1"/>
        <v>-0.19412581855590677</v>
      </c>
      <c r="X5217" s="2">
        <f ca="1"/>
        <v>46.290062974525483</v>
      </c>
      <c r="AG5217" s="2">
        <f ca="1"/>
        <v>5.574463948301922E-2</v>
      </c>
      <c r="AH5217" s="2" t="str">
        <f ca="1"/>
        <v>OK</v>
      </c>
    </row>
    <row r="5218" spans="2:34" x14ac:dyDescent="0.2">
      <c r="B5218" s="2">
        <f ca="1"/>
        <v>0.96329226192021022</v>
      </c>
      <c r="O5218" s="2">
        <f ca="1"/>
        <v>-0.26976158546694856</v>
      </c>
      <c r="X5218" s="2">
        <f ca="1"/>
        <v>30.169619930442035</v>
      </c>
      <c r="AG5218" s="2">
        <f ca="1"/>
        <v>0.6933277496104191</v>
      </c>
      <c r="AH5218" s="2" t="str">
        <f ca="1"/>
        <v>Bad</v>
      </c>
    </row>
    <row r="5219" spans="2:34" x14ac:dyDescent="0.2">
      <c r="B5219" s="2">
        <f ca="1"/>
        <v>0.49998964531880308</v>
      </c>
      <c r="O5219" s="2">
        <f ca="1"/>
        <v>3.2193315237457935E-2</v>
      </c>
      <c r="X5219" s="2">
        <f ca="1"/>
        <v>26.268959499338255</v>
      </c>
      <c r="AG5219" s="2">
        <f ca="1"/>
        <v>0.53079757669121763</v>
      </c>
      <c r="AH5219" s="2" t="str">
        <f ca="1"/>
        <v>Bad</v>
      </c>
    </row>
    <row r="5220" spans="2:34" x14ac:dyDescent="0.2">
      <c r="B5220" s="2">
        <f ca="1"/>
        <v>0.29092783825168711</v>
      </c>
      <c r="O5220" s="2">
        <f ca="1"/>
        <v>0.42002588754564468</v>
      </c>
      <c r="X5220" s="2">
        <f ca="1"/>
        <v>40.190083217601028</v>
      </c>
      <c r="AG5220" s="2">
        <f ca="1"/>
        <v>0.11232888772627092</v>
      </c>
      <c r="AH5220" s="2" t="str">
        <f ca="1"/>
        <v>OK</v>
      </c>
    </row>
    <row r="5221" spans="2:34" x14ac:dyDescent="0.2">
      <c r="B5221" s="2">
        <f ca="1"/>
        <v>0.51158762763013876</v>
      </c>
      <c r="O5221" s="2">
        <f ca="1"/>
        <v>-1.3901054833966213</v>
      </c>
      <c r="X5221" s="2">
        <f ca="1"/>
        <v>30.77823248553106</v>
      </c>
      <c r="AG5221" s="2">
        <f ca="1"/>
        <v>0.58691566739731327</v>
      </c>
      <c r="AH5221" s="2" t="str">
        <f ca="1"/>
        <v>Bad</v>
      </c>
    </row>
    <row r="5222" spans="2:34" x14ac:dyDescent="0.2">
      <c r="B5222" s="2">
        <f ca="1"/>
        <v>0.36790258637549567</v>
      </c>
      <c r="O5222" s="2">
        <f ca="1"/>
        <v>-0.78244066121923617</v>
      </c>
      <c r="X5222" s="2">
        <f ca="1"/>
        <v>83.789254189028966</v>
      </c>
      <c r="AG5222" s="2">
        <f ca="1"/>
        <v>0.38232977508956489</v>
      </c>
      <c r="AH5222" s="2" t="str">
        <f ca="1"/>
        <v>OK</v>
      </c>
    </row>
    <row r="5223" spans="2:34" x14ac:dyDescent="0.2">
      <c r="B5223" s="2">
        <f ca="1"/>
        <v>0.34209597884504128</v>
      </c>
      <c r="O5223" s="2">
        <f ca="1"/>
        <v>-0.37772756135254587</v>
      </c>
      <c r="X5223" s="2">
        <f ca="1"/>
        <v>51.170735069087939</v>
      </c>
      <c r="AG5223" s="2">
        <f ca="1"/>
        <v>0.10849644398561797</v>
      </c>
      <c r="AH5223" s="2" t="str">
        <f ca="1"/>
        <v>OK</v>
      </c>
    </row>
    <row r="5224" spans="2:34" x14ac:dyDescent="0.2">
      <c r="B5224" s="2">
        <f ca="1"/>
        <v>0.37731199535080528</v>
      </c>
      <c r="O5224" s="2">
        <f ca="1"/>
        <v>0.48297772174025877</v>
      </c>
      <c r="X5224" s="2">
        <f ca="1"/>
        <v>63.042600935646867</v>
      </c>
      <c r="AG5224" s="2">
        <f ca="1"/>
        <v>0.80591669050503612</v>
      </c>
      <c r="AH5224" s="2" t="str">
        <f ca="1"/>
        <v>Bad</v>
      </c>
    </row>
    <row r="5225" spans="2:34" x14ac:dyDescent="0.2">
      <c r="B5225" s="2">
        <f ca="1"/>
        <v>0.64929291004801248</v>
      </c>
      <c r="O5225" s="2">
        <f ca="1"/>
        <v>-1.2925279789135227</v>
      </c>
      <c r="X5225" s="2">
        <f ca="1"/>
        <v>42.169146169819378</v>
      </c>
      <c r="AG5225" s="2">
        <f ca="1"/>
        <v>0.2305605821729011</v>
      </c>
      <c r="AH5225" s="2" t="str">
        <f ca="1"/>
        <v>OK</v>
      </c>
    </row>
    <row r="5226" spans="2:34" x14ac:dyDescent="0.2">
      <c r="B5226" s="2">
        <f ca="1"/>
        <v>0.94376060112743576</v>
      </c>
      <c r="O5226" s="2">
        <f ca="1"/>
        <v>-0.45603367251652388</v>
      </c>
      <c r="X5226" s="2">
        <f ca="1"/>
        <v>29.070990789510958</v>
      </c>
      <c r="AG5226" s="2">
        <f ca="1"/>
        <v>0.47222134943250449</v>
      </c>
      <c r="AH5226" s="2" t="str">
        <f ca="1"/>
        <v>Bad</v>
      </c>
    </row>
    <row r="5227" spans="2:34" x14ac:dyDescent="0.2">
      <c r="B5227" s="2">
        <f ca="1"/>
        <v>0.16160047878240547</v>
      </c>
      <c r="O5227" s="2">
        <f ca="1"/>
        <v>7.7959395167149864E-2</v>
      </c>
      <c r="X5227" s="2">
        <f ca="1"/>
        <v>46.395282416525049</v>
      </c>
      <c r="AG5227" s="2">
        <f ca="1"/>
        <v>0.2028867174924478</v>
      </c>
      <c r="AH5227" s="2" t="str">
        <f ca="1"/>
        <v>OK</v>
      </c>
    </row>
    <row r="5228" spans="2:34" x14ac:dyDescent="0.2">
      <c r="B5228" s="2">
        <f ca="1"/>
        <v>0.36913809055350022</v>
      </c>
      <c r="O5228" s="2">
        <f ca="1"/>
        <v>0.69994386305764278</v>
      </c>
      <c r="X5228" s="2">
        <f ca="1"/>
        <v>48.936156159621909</v>
      </c>
      <c r="AG5228" s="2">
        <f ca="1"/>
        <v>0.76959397834852505</v>
      </c>
      <c r="AH5228" s="2" t="str">
        <f ca="1"/>
        <v>Bad</v>
      </c>
    </row>
    <row r="5229" spans="2:34" x14ac:dyDescent="0.2">
      <c r="B5229" s="2">
        <f ca="1"/>
        <v>0.34301345397281491</v>
      </c>
      <c r="O5229" s="2">
        <f ca="1"/>
        <v>1.2242513234161245</v>
      </c>
      <c r="X5229" s="2">
        <f ca="1"/>
        <v>29.082749529184014</v>
      </c>
      <c r="AG5229" s="2">
        <f ca="1"/>
        <v>0.32463106983682577</v>
      </c>
      <c r="AH5229" s="2" t="str">
        <f ca="1"/>
        <v>OK</v>
      </c>
    </row>
    <row r="5230" spans="2:34" x14ac:dyDescent="0.2">
      <c r="B5230" s="2">
        <f ca="1"/>
        <v>0.13473348259026463</v>
      </c>
      <c r="O5230" s="2">
        <f ca="1"/>
        <v>-0.65692778478840763</v>
      </c>
      <c r="X5230" s="2">
        <f ca="1"/>
        <v>32.972262850503704</v>
      </c>
      <c r="AG5230" s="2">
        <f ca="1"/>
        <v>0.16985260643040045</v>
      </c>
      <c r="AH5230" s="2" t="str">
        <f ca="1"/>
        <v>OK</v>
      </c>
    </row>
    <row r="5231" spans="2:34" x14ac:dyDescent="0.2">
      <c r="B5231" s="2">
        <f ca="1"/>
        <v>0.34986429247657047</v>
      </c>
      <c r="O5231" s="2">
        <f ca="1"/>
        <v>1.4126050142519653</v>
      </c>
      <c r="X5231" s="2">
        <f ca="1"/>
        <v>23.137790088106076</v>
      </c>
      <c r="AG5231" s="2">
        <f ca="1"/>
        <v>0.90593083096115801</v>
      </c>
      <c r="AH5231" s="2" t="str">
        <f ca="1"/>
        <v>Bad</v>
      </c>
    </row>
    <row r="5232" spans="2:34" x14ac:dyDescent="0.2">
      <c r="B5232" s="2">
        <f ca="1"/>
        <v>0.68421467220638643</v>
      </c>
      <c r="O5232" s="2">
        <f ca="1"/>
        <v>-0.82990410658052616</v>
      </c>
      <c r="X5232" s="2">
        <f ca="1"/>
        <v>80.176137587708482</v>
      </c>
      <c r="AG5232" s="2">
        <f ca="1"/>
        <v>0.69745687074661933</v>
      </c>
      <c r="AH5232" s="2" t="str">
        <f ca="1"/>
        <v>Bad</v>
      </c>
    </row>
    <row r="5233" spans="2:34" x14ac:dyDescent="0.2">
      <c r="B5233" s="2">
        <f ca="1"/>
        <v>0.39103898650897717</v>
      </c>
      <c r="O5233" s="2">
        <f ca="1"/>
        <v>0.2568459346395861</v>
      </c>
      <c r="X5233" s="2">
        <f ca="1"/>
        <v>54.470919399035466</v>
      </c>
      <c r="AG5233" s="2">
        <f ca="1"/>
        <v>0.14555064795125738</v>
      </c>
      <c r="AH5233" s="2" t="str">
        <f ca="1"/>
        <v>OK</v>
      </c>
    </row>
    <row r="5234" spans="2:34" x14ac:dyDescent="0.2">
      <c r="B5234" s="2">
        <f ca="1"/>
        <v>0.6715325608281657</v>
      </c>
      <c r="O5234" s="2">
        <f ca="1"/>
        <v>-1.0687103493314829</v>
      </c>
      <c r="X5234" s="2">
        <f ca="1"/>
        <v>28.509701491257978</v>
      </c>
      <c r="AG5234" s="2">
        <f ca="1"/>
        <v>0.89896821110913039</v>
      </c>
      <c r="AH5234" s="2" t="str">
        <f ca="1"/>
        <v>Bad</v>
      </c>
    </row>
    <row r="5235" spans="2:34" x14ac:dyDescent="0.2">
      <c r="B5235" s="2">
        <f ca="1"/>
        <v>0.59483466607272417</v>
      </c>
      <c r="O5235" s="2">
        <f ca="1"/>
        <v>0.94687642084134227</v>
      </c>
      <c r="X5235" s="2">
        <f ca="1"/>
        <v>27.689819456006326</v>
      </c>
      <c r="AG5235" s="2">
        <f ca="1"/>
        <v>0.82522907063037865</v>
      </c>
      <c r="AH5235" s="2" t="str">
        <f ca="1"/>
        <v>Bad</v>
      </c>
    </row>
    <row r="5236" spans="2:34" x14ac:dyDescent="0.2">
      <c r="B5236" s="2">
        <f ca="1"/>
        <v>0.93610527460969739</v>
      </c>
      <c r="O5236" s="2">
        <f ca="1"/>
        <v>0.67825190398165702</v>
      </c>
      <c r="X5236" s="2">
        <f ca="1"/>
        <v>53.018840299646115</v>
      </c>
      <c r="AG5236" s="2">
        <f ca="1"/>
        <v>0.44064259617896773</v>
      </c>
      <c r="AH5236" s="2" t="str">
        <f ca="1"/>
        <v>Bad</v>
      </c>
    </row>
    <row r="5237" spans="2:34" x14ac:dyDescent="0.2">
      <c r="B5237" s="2">
        <f ca="1"/>
        <v>0.17904432267715653</v>
      </c>
      <c r="O5237" s="2">
        <f ca="1"/>
        <v>-0.19984653771245997</v>
      </c>
      <c r="X5237" s="2">
        <f ca="1"/>
        <v>72.47465367995008</v>
      </c>
      <c r="AG5237" s="2">
        <f ca="1"/>
        <v>0.42691413075846407</v>
      </c>
      <c r="AH5237" s="2" t="str">
        <f ca="1"/>
        <v>Bad</v>
      </c>
    </row>
    <row r="5238" spans="2:34" x14ac:dyDescent="0.2">
      <c r="B5238" s="2">
        <f ca="1"/>
        <v>0.46957616392693735</v>
      </c>
      <c r="O5238" s="2">
        <f ca="1"/>
        <v>-2.0662598803273506</v>
      </c>
      <c r="X5238" s="2">
        <f ca="1"/>
        <v>42.056704141806016</v>
      </c>
      <c r="AG5238" s="2">
        <f ca="1"/>
        <v>3.0530585067544358E-2</v>
      </c>
      <c r="AH5238" s="2" t="str">
        <f ca="1"/>
        <v>Good</v>
      </c>
    </row>
    <row r="5239" spans="2:34" x14ac:dyDescent="0.2">
      <c r="B5239" s="2">
        <f ca="1"/>
        <v>0.92962502020365845</v>
      </c>
      <c r="O5239" s="2">
        <f ca="1"/>
        <v>-0.88828252873016611</v>
      </c>
      <c r="X5239" s="2">
        <f ca="1"/>
        <v>75.704569576276782</v>
      </c>
      <c r="AG5239" s="2">
        <f ca="1"/>
        <v>0.48054102119298836</v>
      </c>
      <c r="AH5239" s="2" t="str">
        <f ca="1"/>
        <v>Bad</v>
      </c>
    </row>
    <row r="5240" spans="2:34" x14ac:dyDescent="0.2">
      <c r="B5240" s="2">
        <f ca="1"/>
        <v>0.71384671308205383</v>
      </c>
      <c r="O5240" s="2">
        <f ca="1"/>
        <v>-1.5903991081347617</v>
      </c>
      <c r="X5240" s="2">
        <f ca="1"/>
        <v>55.833639198175092</v>
      </c>
      <c r="AG5240" s="2">
        <f ca="1"/>
        <v>7.9100886394942505E-2</v>
      </c>
      <c r="AH5240" s="2" t="str">
        <f ca="1"/>
        <v>OK</v>
      </c>
    </row>
    <row r="5241" spans="2:34" x14ac:dyDescent="0.2">
      <c r="B5241" s="2">
        <f ca="1"/>
        <v>0.25479489480002315</v>
      </c>
      <c r="O5241" s="2">
        <f ca="1"/>
        <v>-1.5598085347029949</v>
      </c>
      <c r="X5241" s="2">
        <f ca="1"/>
        <v>72.944796201427366</v>
      </c>
      <c r="AG5241" s="2">
        <f ca="1"/>
        <v>0.78713835671813581</v>
      </c>
      <c r="AH5241" s="2" t="str">
        <f ca="1"/>
        <v>Bad</v>
      </c>
    </row>
    <row r="5242" spans="2:34" x14ac:dyDescent="0.2">
      <c r="B5242" s="2">
        <f ca="1"/>
        <v>0.14856229801704535</v>
      </c>
      <c r="O5242" s="2">
        <f ca="1"/>
        <v>1.0988693725855185</v>
      </c>
      <c r="X5242" s="2">
        <f ca="1"/>
        <v>38.406549602542711</v>
      </c>
      <c r="AG5242" s="2">
        <f ca="1"/>
        <v>9.0010633783667693E-2</v>
      </c>
      <c r="AH5242" s="2" t="str">
        <f ca="1"/>
        <v>OK</v>
      </c>
    </row>
    <row r="5243" spans="2:34" x14ac:dyDescent="0.2">
      <c r="B5243" s="2">
        <f ca="1"/>
        <v>0.97708033980728248</v>
      </c>
      <c r="O5243" s="2">
        <f ca="1"/>
        <v>-1.1282306148986982</v>
      </c>
      <c r="X5243" s="2">
        <f ca="1"/>
        <v>39.880390317943593</v>
      </c>
      <c r="AG5243" s="2">
        <f ca="1"/>
        <v>0.83559542344614268</v>
      </c>
      <c r="AH5243" s="2" t="str">
        <f ca="1"/>
        <v>Bad</v>
      </c>
    </row>
    <row r="5244" spans="2:34" x14ac:dyDescent="0.2">
      <c r="B5244" s="2">
        <f ca="1"/>
        <v>0.86075548079776021</v>
      </c>
      <c r="O5244" s="2">
        <f ca="1"/>
        <v>-0.62280127624756698</v>
      </c>
      <c r="X5244" s="2">
        <f ca="1"/>
        <v>42.666473594990052</v>
      </c>
      <c r="AG5244" s="2">
        <f ca="1"/>
        <v>0.87281609763258095</v>
      </c>
      <c r="AH5244" s="2" t="str">
        <f ca="1"/>
        <v>Bad</v>
      </c>
    </row>
    <row r="5245" spans="2:34" x14ac:dyDescent="0.2">
      <c r="B5245" s="2">
        <f ca="1"/>
        <v>0.52030170526630815</v>
      </c>
      <c r="O5245" s="2">
        <f ca="1"/>
        <v>0.15971989704606049</v>
      </c>
      <c r="X5245" s="2">
        <f ca="1"/>
        <v>46.605933243408728</v>
      </c>
      <c r="AG5245" s="2">
        <f ca="1"/>
        <v>0.83042385670596852</v>
      </c>
      <c r="AH5245" s="2" t="str">
        <f ca="1"/>
        <v>Bad</v>
      </c>
    </row>
    <row r="5246" spans="2:34" x14ac:dyDescent="0.2">
      <c r="B5246" s="2">
        <f ca="1"/>
        <v>0.29255637218862129</v>
      </c>
      <c r="O5246" s="2">
        <f ca="1"/>
        <v>-1.6422466691496138</v>
      </c>
      <c r="X5246" s="2">
        <f ca="1"/>
        <v>28.498178040323978</v>
      </c>
      <c r="AG5246" s="2">
        <f ca="1"/>
        <v>0.96283220724034546</v>
      </c>
      <c r="AH5246" s="2" t="str">
        <f ca="1"/>
        <v>Bad</v>
      </c>
    </row>
    <row r="5247" spans="2:34" x14ac:dyDescent="0.2">
      <c r="B5247" s="2">
        <f ca="1"/>
        <v>0.38675069517042004</v>
      </c>
      <c r="O5247" s="2">
        <f ca="1"/>
        <v>0.19078374431524103</v>
      </c>
      <c r="X5247" s="2">
        <f ca="1"/>
        <v>63.653664649597665</v>
      </c>
      <c r="AG5247" s="2">
        <f ca="1"/>
        <v>0.80542759523024188</v>
      </c>
      <c r="AH5247" s="2" t="str">
        <f ca="1"/>
        <v>Bad</v>
      </c>
    </row>
    <row r="5248" spans="2:34" x14ac:dyDescent="0.2">
      <c r="B5248" s="2">
        <f ca="1"/>
        <v>0.64864220002117978</v>
      </c>
      <c r="O5248" s="2">
        <f ca="1"/>
        <v>-2.410775583510149E-2</v>
      </c>
      <c r="X5248" s="2">
        <f ca="1"/>
        <v>68.020538401465998</v>
      </c>
      <c r="AG5248" s="2">
        <f ca="1"/>
        <v>0.59945686813494548</v>
      </c>
      <c r="AH5248" s="2" t="str">
        <f ca="1"/>
        <v>Bad</v>
      </c>
    </row>
    <row r="5249" spans="2:34" x14ac:dyDescent="0.2">
      <c r="B5249" s="2">
        <f ca="1"/>
        <v>0.76325221766836471</v>
      </c>
      <c r="O5249" s="2">
        <f ca="1"/>
        <v>0.57866899015939721</v>
      </c>
      <c r="X5249" s="2">
        <f ca="1"/>
        <v>44.435948208980136</v>
      </c>
      <c r="AG5249" s="2">
        <f ca="1"/>
        <v>0.3088611248039641</v>
      </c>
      <c r="AH5249" s="2" t="str">
        <f ca="1"/>
        <v>OK</v>
      </c>
    </row>
    <row r="5250" spans="2:34" x14ac:dyDescent="0.2">
      <c r="B5250" s="2">
        <f ca="1"/>
        <v>0.3127448558522703</v>
      </c>
      <c r="O5250" s="2">
        <f ca="1"/>
        <v>1.0694966851679379</v>
      </c>
      <c r="X5250" s="2">
        <f ca="1"/>
        <v>40.068384418728101</v>
      </c>
      <c r="AG5250" s="2">
        <f ca="1"/>
        <v>3.8653484229800972E-2</v>
      </c>
      <c r="AH5250" s="2" t="str">
        <f ca="1"/>
        <v>Good</v>
      </c>
    </row>
    <row r="5251" spans="2:34" x14ac:dyDescent="0.2">
      <c r="B5251" s="2">
        <f ca="1"/>
        <v>0.37100052205565937</v>
      </c>
      <c r="O5251" s="2">
        <f ca="1"/>
        <v>1.3242495878015887</v>
      </c>
      <c r="X5251" s="2">
        <f ca="1"/>
        <v>33.963706166796428</v>
      </c>
      <c r="AG5251" s="2">
        <f ca="1"/>
        <v>0.87375338948120485</v>
      </c>
      <c r="AH5251" s="2" t="str">
        <f ca="1"/>
        <v>Bad</v>
      </c>
    </row>
    <row r="5252" spans="2:34" x14ac:dyDescent="0.2">
      <c r="B5252" s="2">
        <f ca="1"/>
        <v>2.2739715086623979E-2</v>
      </c>
      <c r="O5252" s="2">
        <f ca="1"/>
        <v>1.201833288139398</v>
      </c>
      <c r="X5252" s="2">
        <f ca="1"/>
        <v>38.26071478643582</v>
      </c>
      <c r="AG5252" s="2">
        <f ca="1"/>
        <v>0.2491623639835634</v>
      </c>
      <c r="AH5252" s="2" t="str">
        <f ca="1"/>
        <v>OK</v>
      </c>
    </row>
    <row r="5253" spans="2:34" x14ac:dyDescent="0.2">
      <c r="B5253" s="2">
        <f ca="1"/>
        <v>0.44483252065171275</v>
      </c>
      <c r="O5253" s="2">
        <f ca="1"/>
        <v>0.51532047931093572</v>
      </c>
      <c r="X5253" s="2">
        <f ca="1"/>
        <v>40.690915681084036</v>
      </c>
      <c r="AG5253" s="2">
        <f ca="1"/>
        <v>0.18805095736111421</v>
      </c>
      <c r="AH5253" s="2" t="str">
        <f ca="1"/>
        <v>OK</v>
      </c>
    </row>
    <row r="5254" spans="2:34" x14ac:dyDescent="0.2">
      <c r="B5254" s="2">
        <f ca="1"/>
        <v>3.3175108521461771E-2</v>
      </c>
      <c r="O5254" s="2">
        <f ca="1"/>
        <v>-0.71295654916347506</v>
      </c>
      <c r="X5254" s="2">
        <f ca="1"/>
        <v>30.898791811841694</v>
      </c>
      <c r="AG5254" s="2">
        <f ca="1"/>
        <v>2.2206618954408786E-2</v>
      </c>
      <c r="AH5254" s="2" t="str">
        <f ca="1"/>
        <v>Good</v>
      </c>
    </row>
    <row r="5255" spans="2:34" x14ac:dyDescent="0.2">
      <c r="B5255" s="2">
        <f ca="1"/>
        <v>0.95150353025580947</v>
      </c>
      <c r="O5255" s="2">
        <f ca="1"/>
        <v>-0.10337924656109698</v>
      </c>
      <c r="X5255" s="2">
        <f ca="1"/>
        <v>29.544030784570058</v>
      </c>
      <c r="AG5255" s="2">
        <f ca="1"/>
        <v>5.8208676690154171E-2</v>
      </c>
      <c r="AH5255" s="2" t="str">
        <f ca="1"/>
        <v>OK</v>
      </c>
    </row>
    <row r="5256" spans="2:34" x14ac:dyDescent="0.2">
      <c r="B5256" s="2">
        <f ca="1"/>
        <v>0.59264067305046408</v>
      </c>
      <c r="O5256" s="2">
        <f ca="1"/>
        <v>-0.90930755943564223</v>
      </c>
      <c r="X5256" s="2">
        <f ca="1"/>
        <v>37.298851400402519</v>
      </c>
      <c r="AG5256" s="2">
        <f ca="1"/>
        <v>0.46292958933761907</v>
      </c>
      <c r="AH5256" s="2" t="str">
        <f ca="1"/>
        <v>Bad</v>
      </c>
    </row>
    <row r="5257" spans="2:34" x14ac:dyDescent="0.2">
      <c r="B5257" s="2">
        <f ca="1"/>
        <v>0.69962184830976826</v>
      </c>
      <c r="O5257" s="2">
        <f ca="1"/>
        <v>0.67302046432462848</v>
      </c>
      <c r="X5257" s="2">
        <f ca="1"/>
        <v>61.929503352897548</v>
      </c>
      <c r="AG5257" s="2">
        <f ca="1"/>
        <v>0.20676226965229727</v>
      </c>
      <c r="AH5257" s="2" t="str">
        <f ca="1"/>
        <v>OK</v>
      </c>
    </row>
    <row r="5258" spans="2:34" x14ac:dyDescent="0.2">
      <c r="B5258" s="2">
        <f ca="1"/>
        <v>0.1314103401928024</v>
      </c>
      <c r="O5258" s="2">
        <f ca="1"/>
        <v>-7.7040460153334128E-2</v>
      </c>
      <c r="X5258" s="2">
        <f ca="1"/>
        <v>41.042526179470627</v>
      </c>
      <c r="AG5258" s="2">
        <f ca="1"/>
        <v>0.77331384912739809</v>
      </c>
      <c r="AH5258" s="2" t="str">
        <f ca="1"/>
        <v>Bad</v>
      </c>
    </row>
    <row r="5259" spans="2:34" x14ac:dyDescent="0.2">
      <c r="B5259" s="2">
        <f ca="1"/>
        <v>0.93563829514062924</v>
      </c>
      <c r="O5259" s="2">
        <f ca="1"/>
        <v>-4.3378886229996208E-2</v>
      </c>
      <c r="X5259" s="2">
        <f ca="1"/>
        <v>19.871451695308345</v>
      </c>
      <c r="AG5259" s="2">
        <f ca="1"/>
        <v>0.8333162808035719</v>
      </c>
      <c r="AH5259" s="2" t="str">
        <f ca="1"/>
        <v>Bad</v>
      </c>
    </row>
    <row r="5260" spans="2:34" x14ac:dyDescent="0.2">
      <c r="B5260" s="2">
        <f ca="1"/>
        <v>0.53840470931118412</v>
      </c>
      <c r="O5260" s="2">
        <f ca="1"/>
        <v>-0.75282149953741895</v>
      </c>
      <c r="X5260" s="2">
        <f ca="1"/>
        <v>39.04520893432754</v>
      </c>
      <c r="AG5260" s="2">
        <f ca="1"/>
        <v>0.30979748852484001</v>
      </c>
      <c r="AH5260" s="2" t="str">
        <f ca="1"/>
        <v>OK</v>
      </c>
    </row>
    <row r="5261" spans="2:34" x14ac:dyDescent="0.2">
      <c r="B5261" s="2">
        <f ca="1"/>
        <v>0.24213382425804952</v>
      </c>
      <c r="O5261" s="2">
        <f ca="1"/>
        <v>-1.7775391110999201</v>
      </c>
      <c r="X5261" s="2">
        <f ca="1"/>
        <v>36.834667217787789</v>
      </c>
      <c r="AG5261" s="2">
        <f ca="1"/>
        <v>3.3681701597877867E-2</v>
      </c>
      <c r="AH5261" s="2" t="str">
        <f ca="1"/>
        <v>Good</v>
      </c>
    </row>
    <row r="5262" spans="2:34" x14ac:dyDescent="0.2">
      <c r="B5262" s="2">
        <f ca="1"/>
        <v>0.51485588805824256</v>
      </c>
      <c r="O5262" s="2">
        <f ca="1"/>
        <v>1.8831435436901438</v>
      </c>
      <c r="X5262" s="2">
        <f ca="1"/>
        <v>39.138444333370657</v>
      </c>
      <c r="AG5262" s="2">
        <f ca="1"/>
        <v>0.68179588606774955</v>
      </c>
      <c r="AH5262" s="2" t="str">
        <f ca="1"/>
        <v>Bad</v>
      </c>
    </row>
    <row r="5263" spans="2:34" x14ac:dyDescent="0.2">
      <c r="B5263" s="2">
        <f ca="1"/>
        <v>0.49083584305881223</v>
      </c>
      <c r="O5263" s="2">
        <f ca="1"/>
        <v>0.64089420736233615</v>
      </c>
      <c r="X5263" s="2">
        <f ca="1"/>
        <v>63.015983943309131</v>
      </c>
      <c r="AG5263" s="2">
        <f ca="1"/>
        <v>0.20046282030919893</v>
      </c>
      <c r="AH5263" s="2" t="str">
        <f ca="1"/>
        <v>OK</v>
      </c>
    </row>
    <row r="5264" spans="2:34" x14ac:dyDescent="0.2">
      <c r="B5264" s="2">
        <f ca="1"/>
        <v>0.68759945939274281</v>
      </c>
      <c r="O5264" s="2">
        <f ca="1"/>
        <v>-1.1458602285904318</v>
      </c>
      <c r="X5264" s="2">
        <f ca="1"/>
        <v>79.003163085554405</v>
      </c>
      <c r="AG5264" s="2">
        <f ca="1"/>
        <v>0.50326920806374353</v>
      </c>
      <c r="AH5264" s="2" t="str">
        <f ca="1"/>
        <v>Bad</v>
      </c>
    </row>
    <row r="5265" spans="2:34" x14ac:dyDescent="0.2">
      <c r="B5265" s="2">
        <f ca="1"/>
        <v>0.81728472394092355</v>
      </c>
      <c r="O5265" s="2">
        <f ca="1"/>
        <v>8.0434567832199766E-2</v>
      </c>
      <c r="X5265" s="2">
        <f ca="1"/>
        <v>52.454966729348413</v>
      </c>
      <c r="AG5265" s="2">
        <f ca="1"/>
        <v>0.35033409011774919</v>
      </c>
      <c r="AH5265" s="2" t="str">
        <f ca="1"/>
        <v>OK</v>
      </c>
    </row>
    <row r="5266" spans="2:34" x14ac:dyDescent="0.2">
      <c r="B5266" s="2">
        <f ca="1"/>
        <v>0.4510903140443574</v>
      </c>
      <c r="O5266" s="2">
        <f ca="1"/>
        <v>-0.61772543254667223</v>
      </c>
      <c r="X5266" s="2">
        <f ca="1"/>
        <v>41.797898239332703</v>
      </c>
      <c r="AG5266" s="2">
        <f ca="1"/>
        <v>0.56605835790250514</v>
      </c>
      <c r="AH5266" s="2" t="str">
        <f ca="1"/>
        <v>Bad</v>
      </c>
    </row>
    <row r="5267" spans="2:34" x14ac:dyDescent="0.2">
      <c r="B5267" s="2">
        <f ca="1"/>
        <v>0.24888240360865566</v>
      </c>
      <c r="O5267" s="2">
        <f ca="1"/>
        <v>0.74017146451145288</v>
      </c>
      <c r="X5267" s="2">
        <f ca="1"/>
        <v>30.815137160757441</v>
      </c>
      <c r="AG5267" s="2">
        <f ca="1"/>
        <v>0.14248575288653509</v>
      </c>
      <c r="AH5267" s="2" t="str">
        <f ca="1"/>
        <v>OK</v>
      </c>
    </row>
    <row r="5268" spans="2:34" x14ac:dyDescent="0.2">
      <c r="B5268" s="2">
        <f ca="1"/>
        <v>0.94566236486288813</v>
      </c>
      <c r="O5268" s="2">
        <f ca="1"/>
        <v>1.1195307899854536</v>
      </c>
      <c r="X5268" s="2">
        <f ca="1"/>
        <v>44.810219910957024</v>
      </c>
      <c r="AG5268" s="2">
        <f ca="1"/>
        <v>0.73921842792669468</v>
      </c>
      <c r="AH5268" s="2" t="str">
        <f ca="1"/>
        <v>Bad</v>
      </c>
    </row>
    <row r="5269" spans="2:34" x14ac:dyDescent="0.2">
      <c r="B5269" s="2">
        <f ca="1"/>
        <v>0.34873333577972732</v>
      </c>
      <c r="O5269" s="2">
        <f ca="1"/>
        <v>0.56301755765707129</v>
      </c>
      <c r="X5269" s="2">
        <f ca="1"/>
        <v>53.284549035776926</v>
      </c>
      <c r="AG5269" s="2">
        <f ca="1"/>
        <v>0.31081523779010478</v>
      </c>
      <c r="AH5269" s="2" t="str">
        <f ca="1"/>
        <v>OK</v>
      </c>
    </row>
    <row r="5270" spans="2:34" x14ac:dyDescent="0.2">
      <c r="B5270" s="2">
        <f ca="1"/>
        <v>0.75963197410616057</v>
      </c>
      <c r="O5270" s="2">
        <f ca="1"/>
        <v>2.1487572243824875</v>
      </c>
      <c r="X5270" s="2">
        <f ca="1"/>
        <v>43.869436738392558</v>
      </c>
      <c r="AG5270" s="2">
        <f ca="1"/>
        <v>0.94482985989876767</v>
      </c>
      <c r="AH5270" s="2" t="str">
        <f ca="1"/>
        <v>Bad</v>
      </c>
    </row>
    <row r="5271" spans="2:34" x14ac:dyDescent="0.2">
      <c r="B5271" s="2">
        <f ca="1"/>
        <v>0.19180153558820434</v>
      </c>
      <c r="O5271" s="2">
        <f ca="1"/>
        <v>1.2213980830834494</v>
      </c>
      <c r="X5271" s="2">
        <f ca="1"/>
        <v>59.776083842438823</v>
      </c>
      <c r="AG5271" s="2">
        <f ca="1"/>
        <v>0.80947371880935037</v>
      </c>
      <c r="AH5271" s="2" t="str">
        <f ca="1"/>
        <v>Bad</v>
      </c>
    </row>
    <row r="5272" spans="2:34" x14ac:dyDescent="0.2">
      <c r="B5272" s="2">
        <f ca="1"/>
        <v>0.6980627690504928</v>
      </c>
      <c r="O5272" s="2">
        <f ca="1"/>
        <v>-1.1445095535985024</v>
      </c>
      <c r="X5272" s="2">
        <f ca="1"/>
        <v>53.748358323556999</v>
      </c>
      <c r="AG5272" s="2">
        <f ca="1"/>
        <v>0.52882051059416613</v>
      </c>
      <c r="AH5272" s="2" t="str">
        <f ca="1"/>
        <v>Bad</v>
      </c>
    </row>
    <row r="5273" spans="2:34" x14ac:dyDescent="0.2">
      <c r="B5273" s="2">
        <f ca="1"/>
        <v>0.83143332563672812</v>
      </c>
      <c r="O5273" s="2">
        <f ca="1"/>
        <v>1.0270730161590653</v>
      </c>
      <c r="X5273" s="2">
        <f ca="1"/>
        <v>52.98857637962341</v>
      </c>
      <c r="AG5273" s="2">
        <f ca="1"/>
        <v>0.12677892587176287</v>
      </c>
      <c r="AH5273" s="2" t="str">
        <f ca="1"/>
        <v>OK</v>
      </c>
    </row>
    <row r="5274" spans="2:34" x14ac:dyDescent="0.2">
      <c r="B5274" s="2">
        <f ca="1"/>
        <v>1.1320284950730564E-2</v>
      </c>
      <c r="O5274" s="2">
        <f ca="1"/>
        <v>-0.15087718800698713</v>
      </c>
      <c r="X5274" s="2">
        <f ca="1"/>
        <v>67.454528525479844</v>
      </c>
      <c r="AG5274" s="2">
        <f ca="1"/>
        <v>0.93667958222937475</v>
      </c>
      <c r="AH5274" s="2" t="str">
        <f ca="1"/>
        <v>Bad</v>
      </c>
    </row>
    <row r="5275" spans="2:34" x14ac:dyDescent="0.2">
      <c r="B5275" s="2">
        <f ca="1"/>
        <v>0.38749645212863726</v>
      </c>
      <c r="O5275" s="2">
        <f ca="1"/>
        <v>-6.295834301180836E-2</v>
      </c>
      <c r="X5275" s="2">
        <f ca="1"/>
        <v>61.238370645310347</v>
      </c>
      <c r="AG5275" s="2">
        <f ca="1"/>
        <v>0.2329677868332376</v>
      </c>
      <c r="AH5275" s="2" t="str">
        <f ca="1"/>
        <v>OK</v>
      </c>
    </row>
    <row r="5276" spans="2:34" x14ac:dyDescent="0.2">
      <c r="B5276" s="2">
        <f ca="1"/>
        <v>3.4977874878476811E-3</v>
      </c>
      <c r="O5276" s="2">
        <f ca="1"/>
        <v>0.1261029398559971</v>
      </c>
      <c r="X5276" s="2">
        <f ca="1"/>
        <v>45.127696433207795</v>
      </c>
      <c r="AG5276" s="2">
        <f ca="1"/>
        <v>0.20508293046587145</v>
      </c>
      <c r="AH5276" s="2" t="str">
        <f ca="1"/>
        <v>OK</v>
      </c>
    </row>
    <row r="5277" spans="2:34" x14ac:dyDescent="0.2">
      <c r="B5277" s="2">
        <f ca="1"/>
        <v>0.40714841317192207</v>
      </c>
      <c r="O5277" s="2">
        <f ca="1"/>
        <v>-2.4814354291032656</v>
      </c>
      <c r="X5277" s="2">
        <f ca="1"/>
        <v>45.077220614698625</v>
      </c>
      <c r="AG5277" s="2">
        <f ca="1"/>
        <v>0.71335250028388719</v>
      </c>
      <c r="AH5277" s="2" t="str">
        <f ca="1"/>
        <v>Bad</v>
      </c>
    </row>
    <row r="5278" spans="2:34" x14ac:dyDescent="0.2">
      <c r="B5278" s="2">
        <f ca="1"/>
        <v>0.85340002718452146</v>
      </c>
      <c r="O5278" s="2">
        <f ca="1"/>
        <v>-0.56798195765170623</v>
      </c>
      <c r="X5278" s="2">
        <f ca="1"/>
        <v>38.562993739440621</v>
      </c>
      <c r="AG5278" s="2">
        <f ca="1"/>
        <v>0.8499030333403943</v>
      </c>
      <c r="AH5278" s="2" t="str">
        <f ca="1"/>
        <v>Bad</v>
      </c>
    </row>
    <row r="5279" spans="2:34" x14ac:dyDescent="0.2">
      <c r="B5279" s="2">
        <f ca="1"/>
        <v>0.19761148921663052</v>
      </c>
      <c r="O5279" s="2">
        <f ca="1"/>
        <v>-0.38654225037725487</v>
      </c>
      <c r="X5279" s="2">
        <f ca="1"/>
        <v>42.522600709570511</v>
      </c>
      <c r="AG5279" s="2">
        <f ca="1"/>
        <v>0.8732479618725637</v>
      </c>
      <c r="AH5279" s="2" t="str">
        <f ca="1"/>
        <v>Bad</v>
      </c>
    </row>
    <row r="5280" spans="2:34" x14ac:dyDescent="0.2">
      <c r="B5280" s="2">
        <f ca="1"/>
        <v>0.52925891152734073</v>
      </c>
      <c r="O5280" s="2">
        <f ca="1"/>
        <v>-1.2360401050137289</v>
      </c>
      <c r="X5280" s="2">
        <f ca="1"/>
        <v>46.918119021768803</v>
      </c>
      <c r="AG5280" s="2">
        <f ca="1"/>
        <v>0.23957770007627532</v>
      </c>
      <c r="AH5280" s="2" t="str">
        <f ca="1"/>
        <v>OK</v>
      </c>
    </row>
    <row r="5281" spans="2:34" x14ac:dyDescent="0.2">
      <c r="B5281" s="2">
        <f ca="1"/>
        <v>0.97468270774517518</v>
      </c>
      <c r="O5281" s="2">
        <f ca="1"/>
        <v>0.78561855594566365</v>
      </c>
      <c r="X5281" s="2">
        <f ca="1"/>
        <v>46.96629757307538</v>
      </c>
      <c r="AG5281" s="2">
        <f ca="1"/>
        <v>0.40211500003500689</v>
      </c>
      <c r="AH5281" s="2" t="str">
        <f ca="1"/>
        <v>Bad</v>
      </c>
    </row>
    <row r="5282" spans="2:34" x14ac:dyDescent="0.2">
      <c r="B5282" s="2">
        <f ca="1"/>
        <v>0.67721621290282363</v>
      </c>
      <c r="O5282" s="2">
        <f ca="1"/>
        <v>-3.6243031812665895E-2</v>
      </c>
      <c r="X5282" s="2">
        <f ca="1"/>
        <v>51.897520459420505</v>
      </c>
      <c r="AG5282" s="2">
        <f ca="1"/>
        <v>0.90310444878459983</v>
      </c>
      <c r="AH5282" s="2" t="str">
        <f ca="1"/>
        <v>Bad</v>
      </c>
    </row>
    <row r="5283" spans="2:34" x14ac:dyDescent="0.2">
      <c r="B5283" s="2">
        <f ca="1"/>
        <v>0.95127056383224118</v>
      </c>
      <c r="O5283" s="2">
        <f ca="1"/>
        <v>0.92124830089177012</v>
      </c>
      <c r="X5283" s="2">
        <f ca="1"/>
        <v>42.786808712665206</v>
      </c>
      <c r="AG5283" s="2">
        <f ca="1"/>
        <v>0.27480915064656974</v>
      </c>
      <c r="AH5283" s="2" t="str">
        <f ca="1"/>
        <v>OK</v>
      </c>
    </row>
    <row r="5284" spans="2:34" x14ac:dyDescent="0.2">
      <c r="B5284" s="2">
        <f ca="1"/>
        <v>0.32810025290521216</v>
      </c>
      <c r="O5284" s="2">
        <f ca="1"/>
        <v>-0.43102335193108021</v>
      </c>
      <c r="X5284" s="2">
        <f ca="1"/>
        <v>46.382932155430403</v>
      </c>
      <c r="AG5284" s="2">
        <f ca="1"/>
        <v>0.44904815064315651</v>
      </c>
      <c r="AH5284" s="2" t="str">
        <f ca="1"/>
        <v>Bad</v>
      </c>
    </row>
    <row r="5285" spans="2:34" x14ac:dyDescent="0.2">
      <c r="B5285" s="2">
        <f ca="1"/>
        <v>0.62603614223373794</v>
      </c>
      <c r="O5285" s="2">
        <f ca="1"/>
        <v>0.74247300978816977</v>
      </c>
      <c r="X5285" s="2">
        <f ca="1"/>
        <v>72.06091170497244</v>
      </c>
      <c r="AG5285" s="2">
        <f ca="1"/>
        <v>0.62219836926428562</v>
      </c>
      <c r="AH5285" s="2" t="str">
        <f ca="1"/>
        <v>Bad</v>
      </c>
    </row>
    <row r="5286" spans="2:34" x14ac:dyDescent="0.2">
      <c r="B5286" s="2">
        <f ca="1"/>
        <v>0.23654990435659662</v>
      </c>
      <c r="O5286" s="2">
        <f ca="1"/>
        <v>-0.58302592493965977</v>
      </c>
      <c r="X5286" s="2">
        <f ca="1"/>
        <v>54.883727196436098</v>
      </c>
      <c r="AG5286" s="2">
        <f ca="1"/>
        <v>0.21370044196418436</v>
      </c>
      <c r="AH5286" s="2" t="str">
        <f ca="1"/>
        <v>OK</v>
      </c>
    </row>
    <row r="5287" spans="2:34" x14ac:dyDescent="0.2">
      <c r="B5287" s="2">
        <f ca="1"/>
        <v>0.76596628402842426</v>
      </c>
      <c r="O5287" s="2">
        <f ca="1"/>
        <v>-1.0983873655829393</v>
      </c>
      <c r="X5287" s="2">
        <f ca="1"/>
        <v>38.191578481896983</v>
      </c>
      <c r="AG5287" s="2">
        <f ca="1"/>
        <v>0.34688685924804963</v>
      </c>
      <c r="AH5287" s="2" t="str">
        <f ca="1"/>
        <v>OK</v>
      </c>
    </row>
    <row r="5288" spans="2:34" x14ac:dyDescent="0.2">
      <c r="B5288" s="2">
        <f ca="1"/>
        <v>0.9926720242156386</v>
      </c>
      <c r="O5288" s="2">
        <f ca="1"/>
        <v>0.18852837087421206</v>
      </c>
      <c r="X5288" s="2">
        <f ca="1"/>
        <v>64.543477178118593</v>
      </c>
      <c r="AG5288" s="2">
        <f ca="1"/>
        <v>0.14872947135574033</v>
      </c>
      <c r="AH5288" s="2" t="str">
        <f ca="1"/>
        <v>OK</v>
      </c>
    </row>
    <row r="5289" spans="2:34" x14ac:dyDescent="0.2">
      <c r="B5289" s="2">
        <f ca="1"/>
        <v>0.1132031831730933</v>
      </c>
      <c r="O5289" s="2">
        <f ca="1"/>
        <v>-1.1111966818445804</v>
      </c>
      <c r="X5289" s="2">
        <f ca="1"/>
        <v>46.75187955541795</v>
      </c>
      <c r="AG5289" s="2">
        <f ca="1"/>
        <v>0.57676944407186004</v>
      </c>
      <c r="AH5289" s="2" t="str">
        <f ca="1"/>
        <v>Bad</v>
      </c>
    </row>
    <row r="5290" spans="2:34" x14ac:dyDescent="0.2">
      <c r="B5290" s="2">
        <f ca="1"/>
        <v>0.48342100406315303</v>
      </c>
      <c r="O5290" s="2">
        <f ca="1"/>
        <v>0.26249130221186351</v>
      </c>
      <c r="X5290" s="2">
        <f ca="1"/>
        <v>63.59432509105239</v>
      </c>
      <c r="AG5290" s="2">
        <f ca="1"/>
        <v>2.1999502255997339E-2</v>
      </c>
      <c r="AH5290" s="2" t="str">
        <f ca="1"/>
        <v>Good</v>
      </c>
    </row>
    <row r="5291" spans="2:34" x14ac:dyDescent="0.2">
      <c r="B5291" s="2">
        <f ca="1"/>
        <v>0.4720961806511168</v>
      </c>
      <c r="O5291" s="2">
        <f ca="1"/>
        <v>1.1836669554852357</v>
      </c>
      <c r="X5291" s="2">
        <f ca="1"/>
        <v>60.845545365211791</v>
      </c>
      <c r="AG5291" s="2">
        <f ca="1"/>
        <v>0.83970867760305157</v>
      </c>
      <c r="AH5291" s="2" t="str">
        <f ca="1"/>
        <v>Bad</v>
      </c>
    </row>
    <row r="5292" spans="2:34" x14ac:dyDescent="0.2">
      <c r="B5292" s="2">
        <f ca="1"/>
        <v>8.1851712585603309E-3</v>
      </c>
      <c r="O5292" s="2">
        <f ca="1"/>
        <v>0.37609789329558047</v>
      </c>
      <c r="X5292" s="2">
        <f ca="1"/>
        <v>25.373295609301078</v>
      </c>
      <c r="AG5292" s="2">
        <f ca="1"/>
        <v>0.5356398388705812</v>
      </c>
      <c r="AH5292" s="2" t="str">
        <f ca="1"/>
        <v>Bad</v>
      </c>
    </row>
    <row r="5293" spans="2:34" x14ac:dyDescent="0.2">
      <c r="B5293" s="2">
        <f ca="1"/>
        <v>0.4034207668115517</v>
      </c>
      <c r="O5293" s="2">
        <f ca="1"/>
        <v>0.16702508969489929</v>
      </c>
      <c r="X5293" s="2">
        <f ca="1"/>
        <v>34.341155658707777</v>
      </c>
      <c r="AG5293" s="2">
        <f ca="1"/>
        <v>0.51600639944315807</v>
      </c>
      <c r="AH5293" s="2" t="str">
        <f ca="1"/>
        <v>Bad</v>
      </c>
    </row>
    <row r="5294" spans="2:34" x14ac:dyDescent="0.2">
      <c r="B5294" s="2">
        <f ca="1"/>
        <v>0.41415553322788612</v>
      </c>
      <c r="O5294" s="2">
        <f ca="1"/>
        <v>-0.51521943834693507</v>
      </c>
      <c r="X5294" s="2">
        <f ca="1"/>
        <v>16.577075295036664</v>
      </c>
      <c r="AG5294" s="2">
        <f ca="1"/>
        <v>0.18984609699386445</v>
      </c>
      <c r="AH5294" s="2" t="str">
        <f ca="1"/>
        <v>OK</v>
      </c>
    </row>
    <row r="5295" spans="2:34" x14ac:dyDescent="0.2">
      <c r="B5295" s="2">
        <f ca="1"/>
        <v>0.19172524468147212</v>
      </c>
      <c r="O5295" s="2">
        <f ca="1"/>
        <v>0.36206523763607029</v>
      </c>
      <c r="X5295" s="2">
        <f ca="1"/>
        <v>39.392538519840102</v>
      </c>
      <c r="AG5295" s="2">
        <f ca="1"/>
        <v>3.5520076485280772E-2</v>
      </c>
      <c r="AH5295" s="2" t="str">
        <f ca="1"/>
        <v>Good</v>
      </c>
    </row>
    <row r="5296" spans="2:34" x14ac:dyDescent="0.2">
      <c r="B5296" s="2">
        <f ca="1"/>
        <v>0.42637477365750587</v>
      </c>
      <c r="O5296" s="2">
        <f ca="1"/>
        <v>0.2283512555678722</v>
      </c>
      <c r="X5296" s="2">
        <f ca="1"/>
        <v>64.49598293800382</v>
      </c>
      <c r="AG5296" s="2">
        <f ca="1"/>
        <v>0.42081656892178154</v>
      </c>
      <c r="AH5296" s="2" t="str">
        <f ca="1"/>
        <v>Bad</v>
      </c>
    </row>
    <row r="5297" spans="2:34" x14ac:dyDescent="0.2">
      <c r="B5297" s="2">
        <f ca="1"/>
        <v>0.52894743886707674</v>
      </c>
      <c r="O5297" s="2">
        <f ca="1"/>
        <v>-0.36885348634295978</v>
      </c>
      <c r="X5297" s="2">
        <f ca="1"/>
        <v>41.543515006320284</v>
      </c>
      <c r="AG5297" s="2">
        <f ca="1"/>
        <v>0.95833315981473643</v>
      </c>
      <c r="AH5297" s="2" t="str">
        <f ca="1"/>
        <v>Bad</v>
      </c>
    </row>
    <row r="5298" spans="2:34" x14ac:dyDescent="0.2">
      <c r="B5298" s="2">
        <f ca="1"/>
        <v>0.90504421248593214</v>
      </c>
      <c r="O5298" s="2">
        <f ca="1"/>
        <v>-2.0707013702725399</v>
      </c>
      <c r="X5298" s="2">
        <f ca="1"/>
        <v>55.644143900994152</v>
      </c>
      <c r="AG5298" s="2">
        <f ca="1"/>
        <v>0.81294660564116095</v>
      </c>
      <c r="AH5298" s="2" t="str">
        <f ca="1"/>
        <v>Bad</v>
      </c>
    </row>
    <row r="5299" spans="2:34" x14ac:dyDescent="0.2">
      <c r="B5299" s="2">
        <f ca="1"/>
        <v>5.4907118675911359E-2</v>
      </c>
      <c r="O5299" s="2">
        <f ca="1"/>
        <v>-0.76928955607218785</v>
      </c>
      <c r="X5299" s="2">
        <f ca="1"/>
        <v>61.962512490195707</v>
      </c>
      <c r="AG5299" s="2">
        <f ca="1"/>
        <v>0.19656001396090117</v>
      </c>
      <c r="AH5299" s="2" t="str">
        <f ca="1"/>
        <v>OK</v>
      </c>
    </row>
    <row r="5300" spans="2:34" x14ac:dyDescent="0.2">
      <c r="B5300" s="2">
        <f ca="1"/>
        <v>0.29160772971583215</v>
      </c>
      <c r="O5300" s="2">
        <f ca="1"/>
        <v>1.4763165854332352</v>
      </c>
      <c r="X5300" s="2">
        <f ca="1"/>
        <v>38.650185021056544</v>
      </c>
      <c r="AG5300" s="2">
        <f ca="1"/>
        <v>0.15730124254176392</v>
      </c>
      <c r="AH5300" s="2" t="str">
        <f ca="1"/>
        <v>OK</v>
      </c>
    </row>
    <row r="5301" spans="2:34" x14ac:dyDescent="0.2">
      <c r="B5301" s="2">
        <f ca="1"/>
        <v>0.15646804695469463</v>
      </c>
      <c r="O5301" s="2">
        <f ca="1"/>
        <v>0.36955250687184943</v>
      </c>
      <c r="X5301" s="2">
        <f ca="1"/>
        <v>35.956377349268351</v>
      </c>
      <c r="AG5301" s="2">
        <f ca="1"/>
        <v>0.43606744053390822</v>
      </c>
      <c r="AH5301" s="2" t="str">
        <f ca="1"/>
        <v>Bad</v>
      </c>
    </row>
    <row r="5302" spans="2:34" x14ac:dyDescent="0.2">
      <c r="B5302" s="2">
        <f ca="1"/>
        <v>0.92008971956684449</v>
      </c>
      <c r="O5302" s="2">
        <f ca="1"/>
        <v>-1.0674258089202093</v>
      </c>
      <c r="X5302" s="2">
        <f ca="1"/>
        <v>46.267145589214849</v>
      </c>
      <c r="AG5302" s="2">
        <f ca="1"/>
        <v>8.9402163750828212E-2</v>
      </c>
      <c r="AH5302" s="2" t="str">
        <f ca="1"/>
        <v>OK</v>
      </c>
    </row>
    <row r="5303" spans="2:34" x14ac:dyDescent="0.2">
      <c r="B5303" s="2">
        <f ca="1"/>
        <v>0.56105731360441791</v>
      </c>
      <c r="O5303" s="2">
        <f ca="1"/>
        <v>0.89845102463643112</v>
      </c>
      <c r="X5303" s="2">
        <f ca="1"/>
        <v>59.676025342528888</v>
      </c>
      <c r="AG5303" s="2">
        <f ca="1"/>
        <v>0.66841141506726154</v>
      </c>
      <c r="AH5303" s="2" t="str">
        <f ca="1"/>
        <v>Bad</v>
      </c>
    </row>
    <row r="5304" spans="2:34" x14ac:dyDescent="0.2">
      <c r="B5304" s="2">
        <f ca="1"/>
        <v>0.83833522464470422</v>
      </c>
      <c r="O5304" s="2">
        <f ca="1"/>
        <v>-0.91669209205635294</v>
      </c>
      <c r="X5304" s="2">
        <f ca="1"/>
        <v>67.993766981118753</v>
      </c>
      <c r="AG5304" s="2">
        <f ca="1"/>
        <v>0.45127497866447319</v>
      </c>
      <c r="AH5304" s="2" t="str">
        <f ca="1"/>
        <v>Bad</v>
      </c>
    </row>
    <row r="5305" spans="2:34" x14ac:dyDescent="0.2">
      <c r="B5305" s="2">
        <f ca="1"/>
        <v>0.58212747643622076</v>
      </c>
      <c r="O5305" s="2">
        <f ca="1"/>
        <v>0.523950615112733</v>
      </c>
      <c r="X5305" s="2">
        <f ca="1"/>
        <v>84.895018137423335</v>
      </c>
      <c r="AG5305" s="2">
        <f ca="1"/>
        <v>0.80308007740596299</v>
      </c>
      <c r="AH5305" s="2" t="str">
        <f ca="1"/>
        <v>Bad</v>
      </c>
    </row>
    <row r="5306" spans="2:34" x14ac:dyDescent="0.2">
      <c r="B5306" s="2">
        <f ca="1"/>
        <v>1.2464122086206508E-3</v>
      </c>
      <c r="O5306" s="2">
        <f ca="1"/>
        <v>-2.1603424669687605</v>
      </c>
      <c r="X5306" s="2">
        <f ca="1"/>
        <v>52.488031330498828</v>
      </c>
      <c r="AG5306" s="2">
        <f ca="1"/>
        <v>0.20986913549079933</v>
      </c>
      <c r="AH5306" s="2" t="str">
        <f ca="1"/>
        <v>OK</v>
      </c>
    </row>
    <row r="5307" spans="2:34" x14ac:dyDescent="0.2">
      <c r="B5307" s="2">
        <f ca="1"/>
        <v>0.18741335962809091</v>
      </c>
      <c r="O5307" s="2">
        <f ca="1"/>
        <v>5.9726639574962589E-2</v>
      </c>
      <c r="X5307" s="2">
        <f ca="1"/>
        <v>47.414168040075317</v>
      </c>
      <c r="AG5307" s="2">
        <f ca="1"/>
        <v>0.72129997064919404</v>
      </c>
      <c r="AH5307" s="2" t="str">
        <f ca="1"/>
        <v>Bad</v>
      </c>
    </row>
    <row r="5308" spans="2:34" x14ac:dyDescent="0.2">
      <c r="B5308" s="2">
        <f ca="1"/>
        <v>0.60158356060990292</v>
      </c>
      <c r="O5308" s="2">
        <f ca="1"/>
        <v>-1.6153892074849137</v>
      </c>
      <c r="X5308" s="2">
        <f ca="1"/>
        <v>44.919475811328837</v>
      </c>
      <c r="AG5308" s="2">
        <f ca="1"/>
        <v>0.40289942732012918</v>
      </c>
      <c r="AH5308" s="2" t="str">
        <f ca="1"/>
        <v>Bad</v>
      </c>
    </row>
    <row r="5309" spans="2:34" x14ac:dyDescent="0.2">
      <c r="B5309" s="2">
        <f ca="1"/>
        <v>0.77918562470530373</v>
      </c>
      <c r="O5309" s="2">
        <f ca="1"/>
        <v>0.49377628350305192</v>
      </c>
      <c r="X5309" s="2">
        <f ca="1"/>
        <v>110.22349679527792</v>
      </c>
      <c r="AG5309" s="2">
        <f ca="1"/>
        <v>0.30096041573507271</v>
      </c>
      <c r="AH5309" s="2" t="str">
        <f ca="1"/>
        <v>OK</v>
      </c>
    </row>
    <row r="5310" spans="2:34" x14ac:dyDescent="0.2">
      <c r="B5310" s="2">
        <f ca="1"/>
        <v>0.9871562894519732</v>
      </c>
      <c r="O5310" s="2">
        <f ca="1"/>
        <v>1.1984696164885391</v>
      </c>
      <c r="X5310" s="2">
        <f ca="1"/>
        <v>42.860184664231802</v>
      </c>
      <c r="AG5310" s="2">
        <f ca="1"/>
        <v>0.80261170194219078</v>
      </c>
      <c r="AH5310" s="2" t="str">
        <f ca="1"/>
        <v>Bad</v>
      </c>
    </row>
    <row r="5311" spans="2:34" x14ac:dyDescent="0.2">
      <c r="B5311" s="2">
        <f ca="1"/>
        <v>0.73125201015090835</v>
      </c>
      <c r="O5311" s="2">
        <f ca="1"/>
        <v>2.1716339581948945</v>
      </c>
      <c r="X5311" s="2">
        <f ca="1"/>
        <v>50.959120993570643</v>
      </c>
      <c r="AG5311" s="2">
        <f ca="1"/>
        <v>0.93684452884232838</v>
      </c>
      <c r="AH5311" s="2" t="str">
        <f ca="1"/>
        <v>Bad</v>
      </c>
    </row>
    <row r="5312" spans="2:34" x14ac:dyDescent="0.2">
      <c r="B5312" s="2">
        <f ca="1"/>
        <v>0.2645363383861854</v>
      </c>
      <c r="O5312" s="2">
        <f ca="1"/>
        <v>-0.45467269239970831</v>
      </c>
      <c r="X5312" s="2">
        <f ca="1"/>
        <v>27.824546720095753</v>
      </c>
      <c r="AG5312" s="2">
        <f ca="1"/>
        <v>0.17320178199890379</v>
      </c>
      <c r="AH5312" s="2" t="str">
        <f ca="1"/>
        <v>OK</v>
      </c>
    </row>
    <row r="5313" spans="2:34" x14ac:dyDescent="0.2">
      <c r="B5313" s="2">
        <f ca="1"/>
        <v>2.3063019022657283E-2</v>
      </c>
      <c r="O5313" s="2">
        <f ca="1"/>
        <v>1.5890812393214042</v>
      </c>
      <c r="X5313" s="2">
        <f ca="1"/>
        <v>41.129373903705037</v>
      </c>
      <c r="AG5313" s="2">
        <f ca="1"/>
        <v>5.2528305864139258E-2</v>
      </c>
      <c r="AH5313" s="2" t="str">
        <f ca="1"/>
        <v>OK</v>
      </c>
    </row>
    <row r="5314" spans="2:34" x14ac:dyDescent="0.2">
      <c r="B5314" s="2">
        <f ca="1"/>
        <v>0.18887697454259444</v>
      </c>
      <c r="O5314" s="2">
        <f ca="1"/>
        <v>0.45708182007110748</v>
      </c>
      <c r="X5314" s="2">
        <f ca="1"/>
        <v>55.013098006055671</v>
      </c>
      <c r="AG5314" s="2">
        <f ca="1"/>
        <v>0.19336202378323963</v>
      </c>
      <c r="AH5314" s="2" t="str">
        <f ca="1"/>
        <v>OK</v>
      </c>
    </row>
    <row r="5315" spans="2:34" x14ac:dyDescent="0.2">
      <c r="B5315" s="2">
        <f ca="1"/>
        <v>0.85511180430201339</v>
      </c>
      <c r="O5315" s="2">
        <f ca="1"/>
        <v>1.8644903059191495</v>
      </c>
      <c r="X5315" s="2">
        <f ca="1"/>
        <v>48.636135982059514</v>
      </c>
      <c r="AG5315" s="2">
        <f ca="1"/>
        <v>0.51570725995449651</v>
      </c>
      <c r="AH5315" s="2" t="str">
        <f ca="1"/>
        <v>Bad</v>
      </c>
    </row>
    <row r="5316" spans="2:34" x14ac:dyDescent="0.2">
      <c r="B5316" s="2">
        <f ca="1"/>
        <v>0.34816472612777982</v>
      </c>
      <c r="O5316" s="2">
        <f ca="1"/>
        <v>0.23187504383395321</v>
      </c>
      <c r="X5316" s="2">
        <f ca="1"/>
        <v>54.167577638421591</v>
      </c>
      <c r="AG5316" s="2">
        <f ca="1"/>
        <v>0.20117192270929496</v>
      </c>
      <c r="AH5316" s="2" t="str">
        <f ca="1"/>
        <v>OK</v>
      </c>
    </row>
    <row r="5317" spans="2:34" x14ac:dyDescent="0.2">
      <c r="B5317" s="2">
        <f ca="1"/>
        <v>0.93318883155269483</v>
      </c>
      <c r="O5317" s="2">
        <f ca="1"/>
        <v>-0.18949116714237274</v>
      </c>
      <c r="X5317" s="2">
        <f ca="1"/>
        <v>35.136369637473138</v>
      </c>
      <c r="AG5317" s="2">
        <f ca="1"/>
        <v>0.58508682855540139</v>
      </c>
      <c r="AH5317" s="2" t="str">
        <f ca="1"/>
        <v>Bad</v>
      </c>
    </row>
    <row r="5318" spans="2:34" x14ac:dyDescent="0.2">
      <c r="B5318" s="2">
        <f ca="1"/>
        <v>0.29683708983386836</v>
      </c>
      <c r="O5318" s="2">
        <f ca="1"/>
        <v>0.68332273295592549</v>
      </c>
      <c r="X5318" s="2">
        <f ca="1"/>
        <v>28.311888029322148</v>
      </c>
      <c r="AG5318" s="2">
        <f ca="1"/>
        <v>0.78807796537557873</v>
      </c>
      <c r="AH5318" s="2" t="str">
        <f ca="1"/>
        <v>Bad</v>
      </c>
    </row>
    <row r="5319" spans="2:34" x14ac:dyDescent="0.2">
      <c r="B5319" s="2">
        <f ca="1"/>
        <v>0.18247553204677125</v>
      </c>
      <c r="O5319" s="2">
        <f ca="1"/>
        <v>1.5255180820027285</v>
      </c>
      <c r="X5319" s="2">
        <f ca="1"/>
        <v>39.99332028567477</v>
      </c>
      <c r="AG5319" s="2">
        <f ca="1"/>
        <v>0.5061494285711825</v>
      </c>
      <c r="AH5319" s="2" t="str">
        <f ca="1"/>
        <v>Bad</v>
      </c>
    </row>
    <row r="5320" spans="2:34" x14ac:dyDescent="0.2">
      <c r="B5320" s="2">
        <f ca="1"/>
        <v>0.79773951340347971</v>
      </c>
      <c r="O5320" s="2">
        <f ca="1"/>
        <v>-0.69097856386986645</v>
      </c>
      <c r="X5320" s="2">
        <f ca="1"/>
        <v>40.194512097442505</v>
      </c>
      <c r="AG5320" s="2">
        <f ca="1"/>
        <v>0.78942786800665288</v>
      </c>
      <c r="AH5320" s="2" t="str">
        <f ca="1"/>
        <v>Bad</v>
      </c>
    </row>
    <row r="5321" spans="2:34" x14ac:dyDescent="0.2">
      <c r="B5321" s="2">
        <f ca="1"/>
        <v>0.20343710790956493</v>
      </c>
      <c r="O5321" s="2">
        <f ca="1"/>
        <v>-0.85999779044006786</v>
      </c>
      <c r="X5321" s="2">
        <f ca="1"/>
        <v>35.493338312426935</v>
      </c>
      <c r="AG5321" s="2">
        <f ca="1"/>
        <v>0.98100839031963938</v>
      </c>
      <c r="AH5321" s="2" t="str">
        <f ca="1"/>
        <v>Bad</v>
      </c>
    </row>
    <row r="5322" spans="2:34" x14ac:dyDescent="0.2">
      <c r="B5322" s="2">
        <f ca="1"/>
        <v>0.38654670177790806</v>
      </c>
      <c r="O5322" s="2">
        <f ca="1"/>
        <v>9.10379334544313E-2</v>
      </c>
      <c r="X5322" s="2">
        <f ca="1"/>
        <v>43.569535564997786</v>
      </c>
      <c r="AG5322" s="2">
        <f ca="1"/>
        <v>0.62879343400608345</v>
      </c>
      <c r="AH5322" s="2" t="str">
        <f ca="1"/>
        <v>Bad</v>
      </c>
    </row>
    <row r="5323" spans="2:34" x14ac:dyDescent="0.2">
      <c r="B5323" s="2">
        <f ca="1"/>
        <v>0.77552885010959938</v>
      </c>
      <c r="O5323" s="2">
        <f ca="1"/>
        <v>0.56531094944463101</v>
      </c>
      <c r="X5323" s="2">
        <f ca="1"/>
        <v>48.758007761073443</v>
      </c>
      <c r="AG5323" s="2">
        <f ca="1"/>
        <v>0.6998466589667327</v>
      </c>
      <c r="AH5323" s="2" t="str">
        <f ca="1"/>
        <v>Bad</v>
      </c>
    </row>
    <row r="5324" spans="2:34" x14ac:dyDescent="0.2">
      <c r="B5324" s="2">
        <f ca="1"/>
        <v>0.33953828374205819</v>
      </c>
      <c r="O5324" s="2">
        <f ca="1"/>
        <v>0.44727238409010528</v>
      </c>
      <c r="X5324" s="2">
        <f ca="1"/>
        <v>39.270263888976544</v>
      </c>
      <c r="AG5324" s="2">
        <f ca="1"/>
        <v>0.57845256579370385</v>
      </c>
      <c r="AH5324" s="2" t="str">
        <f ca="1"/>
        <v>Bad</v>
      </c>
    </row>
    <row r="5325" spans="2:34" x14ac:dyDescent="0.2">
      <c r="B5325" s="2">
        <f ca="1"/>
        <v>0.18521985082871262</v>
      </c>
      <c r="O5325" s="2">
        <f ca="1"/>
        <v>-0.32912017217954503</v>
      </c>
      <c r="X5325" s="2">
        <f ca="1"/>
        <v>35.15857116469931</v>
      </c>
      <c r="AG5325" s="2">
        <f ca="1"/>
        <v>3.1379395209873762E-2</v>
      </c>
      <c r="AH5325" s="2" t="str">
        <f ca="1"/>
        <v>Good</v>
      </c>
    </row>
    <row r="5326" spans="2:34" x14ac:dyDescent="0.2">
      <c r="B5326" s="2">
        <f ca="1"/>
        <v>0.14354820507552191</v>
      </c>
      <c r="O5326" s="2">
        <f ca="1"/>
        <v>0.26419761064193148</v>
      </c>
      <c r="X5326" s="2">
        <f ca="1"/>
        <v>38.274504548174932</v>
      </c>
      <c r="AG5326" s="2">
        <f ca="1"/>
        <v>0.24312600936281537</v>
      </c>
      <c r="AH5326" s="2" t="str">
        <f ca="1"/>
        <v>OK</v>
      </c>
    </row>
    <row r="5327" spans="2:34" x14ac:dyDescent="0.2">
      <c r="B5327" s="2">
        <f ca="1"/>
        <v>0.87261088555458088</v>
      </c>
      <c r="O5327" s="2">
        <f ca="1"/>
        <v>0.75179344840834927</v>
      </c>
      <c r="X5327" s="2">
        <f ca="1"/>
        <v>60.445266606353421</v>
      </c>
      <c r="AG5327" s="2">
        <f ca="1"/>
        <v>0.50885025676833484</v>
      </c>
      <c r="AH5327" s="2" t="str">
        <f ca="1"/>
        <v>Bad</v>
      </c>
    </row>
    <row r="5328" spans="2:34" x14ac:dyDescent="0.2">
      <c r="B5328" s="2">
        <f ca="1"/>
        <v>0.71000773153670949</v>
      </c>
      <c r="O5328" s="2">
        <f ca="1"/>
        <v>0.89524867527503149</v>
      </c>
      <c r="X5328" s="2">
        <f ca="1"/>
        <v>33.84753900686534</v>
      </c>
      <c r="AG5328" s="2">
        <f ca="1"/>
        <v>0.18104437188826439</v>
      </c>
      <c r="AH5328" s="2" t="str">
        <f ca="1"/>
        <v>OK</v>
      </c>
    </row>
    <row r="5329" spans="2:34" x14ac:dyDescent="0.2">
      <c r="B5329" s="2">
        <f ca="1"/>
        <v>8.6253686315804101E-2</v>
      </c>
      <c r="O5329" s="2">
        <f ca="1"/>
        <v>-1.3966772348490404</v>
      </c>
      <c r="X5329" s="2">
        <f ca="1"/>
        <v>31.627736151512536</v>
      </c>
      <c r="AG5329" s="2">
        <f ca="1"/>
        <v>0.10745750254918995</v>
      </c>
      <c r="AH5329" s="2" t="str">
        <f ca="1"/>
        <v>OK</v>
      </c>
    </row>
    <row r="5330" spans="2:34" x14ac:dyDescent="0.2">
      <c r="B5330" s="2">
        <f ca="1"/>
        <v>2.8113147709916131E-3</v>
      </c>
      <c r="O5330" s="2">
        <f ca="1"/>
        <v>-1.0338891984273768</v>
      </c>
      <c r="X5330" s="2">
        <f ca="1"/>
        <v>35.564351508016586</v>
      </c>
      <c r="AG5330" s="2">
        <f ca="1"/>
        <v>0.2021565414947748</v>
      </c>
      <c r="AH5330" s="2" t="str">
        <f ca="1"/>
        <v>OK</v>
      </c>
    </row>
    <row r="5331" spans="2:34" x14ac:dyDescent="0.2">
      <c r="B5331" s="2">
        <f ca="1"/>
        <v>0.30090236862852882</v>
      </c>
      <c r="O5331" s="2">
        <f ca="1"/>
        <v>-1.1536971707216324</v>
      </c>
      <c r="X5331" s="2">
        <f ca="1"/>
        <v>48.238822288935701</v>
      </c>
      <c r="AG5331" s="2">
        <f ca="1"/>
        <v>0.18797058536705435</v>
      </c>
      <c r="AH5331" s="2" t="str">
        <f ca="1"/>
        <v>OK</v>
      </c>
    </row>
    <row r="5332" spans="2:34" x14ac:dyDescent="0.2">
      <c r="B5332" s="2">
        <f ca="1"/>
        <v>0.51841664548087918</v>
      </c>
      <c r="O5332" s="2">
        <f ca="1"/>
        <v>1.7294315634594273</v>
      </c>
      <c r="X5332" s="2">
        <f ca="1"/>
        <v>47.749202498360518</v>
      </c>
      <c r="AG5332" s="2">
        <f ca="1"/>
        <v>0.81515851670781903</v>
      </c>
      <c r="AH5332" s="2" t="str">
        <f ca="1"/>
        <v>Bad</v>
      </c>
    </row>
    <row r="5333" spans="2:34" x14ac:dyDescent="0.2">
      <c r="B5333" s="2">
        <f ca="1"/>
        <v>0.84895130261044183</v>
      </c>
      <c r="O5333" s="2">
        <f ca="1"/>
        <v>3.1171570460461568</v>
      </c>
      <c r="X5333" s="2">
        <f ca="1"/>
        <v>50.388360008012114</v>
      </c>
      <c r="AG5333" s="2">
        <f ca="1"/>
        <v>0.75491176680609673</v>
      </c>
      <c r="AH5333" s="2" t="str">
        <f ca="1"/>
        <v>Bad</v>
      </c>
    </row>
    <row r="5334" spans="2:34" x14ac:dyDescent="0.2">
      <c r="B5334" s="2">
        <f ca="1"/>
        <v>0.45646074193568364</v>
      </c>
      <c r="O5334" s="2">
        <f ca="1"/>
        <v>1.8025666564700746</v>
      </c>
      <c r="X5334" s="2">
        <f ca="1"/>
        <v>37.765921040545003</v>
      </c>
      <c r="AG5334" s="2">
        <f ca="1"/>
        <v>0.99745928553387708</v>
      </c>
      <c r="AH5334" s="2" t="str">
        <f ca="1"/>
        <v>Bad</v>
      </c>
    </row>
    <row r="5335" spans="2:34" x14ac:dyDescent="0.2">
      <c r="B5335" s="2">
        <f ca="1"/>
        <v>0.19375616902449533</v>
      </c>
      <c r="O5335" s="2">
        <f ca="1"/>
        <v>1.2815927411231285</v>
      </c>
      <c r="X5335" s="2">
        <f ca="1"/>
        <v>36.308161935235148</v>
      </c>
      <c r="AG5335" s="2">
        <f ca="1"/>
        <v>0.48535754871166836</v>
      </c>
      <c r="AH5335" s="2" t="str">
        <f ca="1"/>
        <v>Bad</v>
      </c>
    </row>
    <row r="5336" spans="2:34" x14ac:dyDescent="0.2">
      <c r="B5336" s="2">
        <f ca="1"/>
        <v>0.36531727232568101</v>
      </c>
      <c r="O5336" s="2">
        <f ca="1"/>
        <v>0.54297028958226712</v>
      </c>
      <c r="X5336" s="2">
        <f ca="1"/>
        <v>76.391022812633821</v>
      </c>
      <c r="AG5336" s="2">
        <f ca="1"/>
        <v>0.15700379508500761</v>
      </c>
      <c r="AH5336" s="2" t="str">
        <f ca="1"/>
        <v>OK</v>
      </c>
    </row>
    <row r="5337" spans="2:34" x14ac:dyDescent="0.2">
      <c r="B5337" s="2">
        <f ca="1"/>
        <v>0.11654278473745916</v>
      </c>
      <c r="O5337" s="2">
        <f ca="1"/>
        <v>0.41502518155298956</v>
      </c>
      <c r="X5337" s="2">
        <f ca="1"/>
        <v>28.380547811005158</v>
      </c>
      <c r="AG5337" s="2">
        <f ca="1"/>
        <v>0.63685438385231885</v>
      </c>
      <c r="AH5337" s="2" t="str">
        <f ca="1"/>
        <v>Bad</v>
      </c>
    </row>
    <row r="5338" spans="2:34" x14ac:dyDescent="0.2">
      <c r="B5338" s="2">
        <f ca="1"/>
        <v>0.68907090900704859</v>
      </c>
      <c r="O5338" s="2">
        <f ca="1"/>
        <v>0.32055298961084738</v>
      </c>
      <c r="X5338" s="2">
        <f ca="1"/>
        <v>65.218378062974494</v>
      </c>
      <c r="AG5338" s="2">
        <f ca="1"/>
        <v>0.54914552847531217</v>
      </c>
      <c r="AH5338" s="2" t="str">
        <f ca="1"/>
        <v>Bad</v>
      </c>
    </row>
    <row r="5339" spans="2:34" x14ac:dyDescent="0.2">
      <c r="B5339" s="2">
        <f ca="1"/>
        <v>0.26614092663029343</v>
      </c>
      <c r="O5339" s="2">
        <f ca="1"/>
        <v>0.19304331120085333</v>
      </c>
      <c r="X5339" s="2">
        <f ca="1"/>
        <v>25.89739715741554</v>
      </c>
      <c r="AG5339" s="2">
        <f ca="1"/>
        <v>0.92301402460250004</v>
      </c>
      <c r="AH5339" s="2" t="str">
        <f ca="1"/>
        <v>Bad</v>
      </c>
    </row>
    <row r="5340" spans="2:34" x14ac:dyDescent="0.2">
      <c r="B5340" s="2">
        <f ca="1"/>
        <v>0.45548361848330243</v>
      </c>
      <c r="O5340" s="2">
        <f ca="1"/>
        <v>-0.16486800393419448</v>
      </c>
      <c r="X5340" s="2">
        <f ca="1"/>
        <v>41.309111313535496</v>
      </c>
      <c r="AG5340" s="2">
        <f ca="1"/>
        <v>0.96710260817243077</v>
      </c>
      <c r="AH5340" s="2" t="str">
        <f ca="1"/>
        <v>Bad</v>
      </c>
    </row>
    <row r="5341" spans="2:34" x14ac:dyDescent="0.2">
      <c r="B5341" s="2">
        <f ca="1"/>
        <v>0.25184329917129711</v>
      </c>
      <c r="O5341" s="2">
        <f ca="1"/>
        <v>-0.58322093581745382</v>
      </c>
      <c r="X5341" s="2">
        <f ca="1"/>
        <v>48.142320945534195</v>
      </c>
      <c r="AG5341" s="2">
        <f ca="1"/>
        <v>0.38824880040355958</v>
      </c>
      <c r="AH5341" s="2" t="str">
        <f ca="1"/>
        <v>OK</v>
      </c>
    </row>
    <row r="5342" spans="2:34" x14ac:dyDescent="0.2">
      <c r="B5342" s="2">
        <f ca="1"/>
        <v>0.87425021121469526</v>
      </c>
      <c r="O5342" s="2">
        <f ca="1"/>
        <v>0.47578714554419521</v>
      </c>
      <c r="X5342" s="2">
        <f ca="1"/>
        <v>75.196424679076131</v>
      </c>
      <c r="AG5342" s="2">
        <f ca="1"/>
        <v>2.1147799961252156E-2</v>
      </c>
      <c r="AH5342" s="2" t="str">
        <f ca="1"/>
        <v>Good</v>
      </c>
    </row>
    <row r="5343" spans="2:34" x14ac:dyDescent="0.2">
      <c r="B5343" s="2">
        <f ca="1"/>
        <v>0.90074991890949274</v>
      </c>
      <c r="O5343" s="2">
        <f ca="1"/>
        <v>2.7746039426866242</v>
      </c>
      <c r="X5343" s="2">
        <f ca="1"/>
        <v>23.753199287304632</v>
      </c>
      <c r="AG5343" s="2">
        <f ca="1"/>
        <v>0.95774892233537123</v>
      </c>
      <c r="AH5343" s="2" t="str">
        <f ca="1"/>
        <v>Bad</v>
      </c>
    </row>
    <row r="5344" spans="2:34" x14ac:dyDescent="0.2">
      <c r="B5344" s="2">
        <f ca="1"/>
        <v>0.54628137980207137</v>
      </c>
      <c r="O5344" s="2">
        <f ca="1"/>
        <v>-0.91484004142460229</v>
      </c>
      <c r="X5344" s="2">
        <f ca="1"/>
        <v>56.066447365797181</v>
      </c>
      <c r="AG5344" s="2">
        <f ca="1"/>
        <v>0.57119931861891438</v>
      </c>
      <c r="AH5344" s="2" t="str">
        <f ca="1"/>
        <v>Bad</v>
      </c>
    </row>
    <row r="5345" spans="2:34" x14ac:dyDescent="0.2">
      <c r="B5345" s="2">
        <f ca="1"/>
        <v>0.19703140988512713</v>
      </c>
      <c r="O5345" s="2">
        <f ca="1"/>
        <v>-0.52969473712341519</v>
      </c>
      <c r="X5345" s="2">
        <f ca="1"/>
        <v>38.831226482333996</v>
      </c>
      <c r="AG5345" s="2">
        <f ca="1"/>
        <v>0.92891674240104272</v>
      </c>
      <c r="AH5345" s="2" t="str">
        <f ca="1"/>
        <v>Bad</v>
      </c>
    </row>
    <row r="5346" spans="2:34" x14ac:dyDescent="0.2">
      <c r="B5346" s="2">
        <f ca="1"/>
        <v>4.435858472991594E-2</v>
      </c>
      <c r="O5346" s="2">
        <f ca="1"/>
        <v>-1.0362720008313204</v>
      </c>
      <c r="X5346" s="2">
        <f ca="1"/>
        <v>64.989176848751598</v>
      </c>
      <c r="AG5346" s="2">
        <f ca="1"/>
        <v>0.3189960803933074</v>
      </c>
      <c r="AH5346" s="2" t="str">
        <f ca="1"/>
        <v>OK</v>
      </c>
    </row>
    <row r="5347" spans="2:34" x14ac:dyDescent="0.2">
      <c r="B5347" s="2">
        <f ca="1"/>
        <v>0.55243536225683942</v>
      </c>
      <c r="O5347" s="2">
        <f ca="1"/>
        <v>0.33158328806569365</v>
      </c>
      <c r="X5347" s="2">
        <f ca="1"/>
        <v>58.958543465712914</v>
      </c>
      <c r="AG5347" s="2">
        <f ca="1"/>
        <v>0.11165374377729642</v>
      </c>
      <c r="AH5347" s="2" t="str">
        <f ca="1"/>
        <v>OK</v>
      </c>
    </row>
    <row r="5348" spans="2:34" x14ac:dyDescent="0.2">
      <c r="B5348" s="2">
        <f ca="1"/>
        <v>0.46662798229834945</v>
      </c>
      <c r="O5348" s="2">
        <f ca="1"/>
        <v>3.0431991124325566E-2</v>
      </c>
      <c r="X5348" s="2">
        <f ca="1"/>
        <v>74.593348599298679</v>
      </c>
      <c r="AG5348" s="2">
        <f ca="1"/>
        <v>0.59145711127368616</v>
      </c>
      <c r="AH5348" s="2" t="str">
        <f ca="1"/>
        <v>Bad</v>
      </c>
    </row>
    <row r="5349" spans="2:34" x14ac:dyDescent="0.2">
      <c r="B5349" s="2">
        <f ca="1"/>
        <v>0.22447264962998337</v>
      </c>
      <c r="O5349" s="2">
        <f ca="1"/>
        <v>0.28468412641382207</v>
      </c>
      <c r="X5349" s="2">
        <f ca="1"/>
        <v>62.670497709515701</v>
      </c>
      <c r="AG5349" s="2">
        <f ca="1"/>
        <v>8.2195869001586042E-2</v>
      </c>
      <c r="AH5349" s="2" t="str">
        <f ca="1"/>
        <v>OK</v>
      </c>
    </row>
    <row r="5350" spans="2:34" x14ac:dyDescent="0.2">
      <c r="B5350" s="2">
        <f ca="1"/>
        <v>0.18817741211414796</v>
      </c>
      <c r="O5350" s="2">
        <f ca="1"/>
        <v>2.5139085264921266</v>
      </c>
      <c r="X5350" s="2">
        <f ca="1"/>
        <v>39.448983996587799</v>
      </c>
      <c r="AG5350" s="2">
        <f ca="1"/>
        <v>0.59940362088463672</v>
      </c>
      <c r="AH5350" s="2" t="str">
        <f ca="1"/>
        <v>Bad</v>
      </c>
    </row>
    <row r="5351" spans="2:34" x14ac:dyDescent="0.2">
      <c r="B5351" s="2">
        <f ca="1"/>
        <v>0.26654244949985606</v>
      </c>
      <c r="O5351" s="2">
        <f ca="1"/>
        <v>0.12348672672729458</v>
      </c>
      <c r="X5351" s="2">
        <f ca="1"/>
        <v>35.850343888117919</v>
      </c>
      <c r="AG5351" s="2">
        <f ca="1"/>
        <v>0.73170542387543458</v>
      </c>
      <c r="AH5351" s="2" t="str">
        <f ca="1"/>
        <v>Bad</v>
      </c>
    </row>
    <row r="5352" spans="2:34" x14ac:dyDescent="0.2">
      <c r="B5352" s="2">
        <f ca="1"/>
        <v>0.95950433822956849</v>
      </c>
      <c r="O5352" s="2">
        <f ca="1"/>
        <v>-1.7768261038841129E-2</v>
      </c>
      <c r="X5352" s="2">
        <f ca="1"/>
        <v>28.726224448957247</v>
      </c>
      <c r="AG5352" s="2">
        <f ca="1"/>
        <v>0.83772448625422902</v>
      </c>
      <c r="AH5352" s="2" t="str">
        <f ca="1"/>
        <v>Bad</v>
      </c>
    </row>
    <row r="5353" spans="2:34" x14ac:dyDescent="0.2">
      <c r="B5353" s="2">
        <f ca="1"/>
        <v>5.9837449126303177E-3</v>
      </c>
      <c r="O5353" s="2">
        <f ca="1"/>
        <v>0.42792817711028847</v>
      </c>
      <c r="X5353" s="2">
        <f ca="1"/>
        <v>45.340697485417458</v>
      </c>
      <c r="AG5353" s="2">
        <f ca="1"/>
        <v>0.76686143952904562</v>
      </c>
      <c r="AH5353" s="2" t="str">
        <f ca="1"/>
        <v>Bad</v>
      </c>
    </row>
    <row r="5354" spans="2:34" x14ac:dyDescent="0.2">
      <c r="B5354" s="2">
        <f ca="1"/>
        <v>0.89163917493152267</v>
      </c>
      <c r="O5354" s="2">
        <f ca="1"/>
        <v>-0.50143045691697108</v>
      </c>
      <c r="X5354" s="2">
        <f ca="1"/>
        <v>34.606760477665397</v>
      </c>
      <c r="AG5354" s="2">
        <f ca="1"/>
        <v>0.2778734247301009</v>
      </c>
      <c r="AH5354" s="2" t="str">
        <f ca="1"/>
        <v>OK</v>
      </c>
    </row>
    <row r="5355" spans="2:34" x14ac:dyDescent="0.2">
      <c r="B5355" s="2">
        <f ca="1"/>
        <v>0.14904631043353556</v>
      </c>
      <c r="O5355" s="2">
        <f ca="1"/>
        <v>-1.426011185116508</v>
      </c>
      <c r="X5355" s="2">
        <f ca="1"/>
        <v>28.495603295747664</v>
      </c>
      <c r="AG5355" s="2">
        <f ca="1"/>
        <v>0.39679117214689574</v>
      </c>
      <c r="AH5355" s="2" t="str">
        <f ca="1"/>
        <v>OK</v>
      </c>
    </row>
    <row r="5356" spans="2:34" x14ac:dyDescent="0.2">
      <c r="B5356" s="2">
        <f ca="1"/>
        <v>0.76679247792174143</v>
      </c>
      <c r="O5356" s="2">
        <f ca="1"/>
        <v>-0.39222806432995438</v>
      </c>
      <c r="X5356" s="2">
        <f ca="1"/>
        <v>21.037801981375157</v>
      </c>
      <c r="AG5356" s="2">
        <f ca="1"/>
        <v>0.15379951436123718</v>
      </c>
      <c r="AH5356" s="2" t="str">
        <f ca="1"/>
        <v>OK</v>
      </c>
    </row>
    <row r="5357" spans="2:34" x14ac:dyDescent="0.2">
      <c r="B5357" s="2">
        <f ca="1"/>
        <v>0.64468576396626509</v>
      </c>
      <c r="O5357" s="2">
        <f ca="1"/>
        <v>1.4968723121224243</v>
      </c>
      <c r="X5357" s="2">
        <f ca="1"/>
        <v>38.143746197915547</v>
      </c>
      <c r="AG5357" s="2">
        <f ca="1"/>
        <v>4.2119269716005325E-2</v>
      </c>
      <c r="AH5357" s="2" t="str">
        <f ca="1"/>
        <v>Good</v>
      </c>
    </row>
    <row r="5358" spans="2:34" x14ac:dyDescent="0.2">
      <c r="B5358" s="2">
        <f ca="1"/>
        <v>0.65810333221930173</v>
      </c>
      <c r="O5358" s="2">
        <f ca="1"/>
        <v>-0.50164532277221408</v>
      </c>
      <c r="X5358" s="2">
        <f ca="1"/>
        <v>47.584586248826419</v>
      </c>
      <c r="AG5358" s="2">
        <f ca="1"/>
        <v>0.57308517390895508</v>
      </c>
      <c r="AH5358" s="2" t="str">
        <f ca="1"/>
        <v>Bad</v>
      </c>
    </row>
    <row r="5359" spans="2:34" x14ac:dyDescent="0.2">
      <c r="B5359" s="2">
        <f ca="1"/>
        <v>0.20878407586264536</v>
      </c>
      <c r="O5359" s="2">
        <f ca="1"/>
        <v>-1.6338561429478295</v>
      </c>
      <c r="X5359" s="2">
        <f ca="1"/>
        <v>77.361392049071739</v>
      </c>
      <c r="AG5359" s="2">
        <f ca="1"/>
        <v>0.64104299336104509</v>
      </c>
      <c r="AH5359" s="2" t="str">
        <f ca="1"/>
        <v>Bad</v>
      </c>
    </row>
    <row r="5360" spans="2:34" x14ac:dyDescent="0.2">
      <c r="B5360" s="2">
        <f ca="1"/>
        <v>0.78634618077351082</v>
      </c>
      <c r="O5360" s="2">
        <f ca="1"/>
        <v>0.2678437218575877</v>
      </c>
      <c r="X5360" s="2">
        <f ca="1"/>
        <v>65.243224243736535</v>
      </c>
      <c r="AG5360" s="2">
        <f ca="1"/>
        <v>0.71326711056911751</v>
      </c>
      <c r="AH5360" s="2" t="str">
        <f ca="1"/>
        <v>Bad</v>
      </c>
    </row>
    <row r="5361" spans="2:34" x14ac:dyDescent="0.2">
      <c r="B5361" s="2">
        <f ca="1"/>
        <v>0.92456624881981475</v>
      </c>
      <c r="O5361" s="2">
        <f ca="1"/>
        <v>-0.76264507907761026</v>
      </c>
      <c r="X5361" s="2">
        <f ca="1"/>
        <v>40.143595349735868</v>
      </c>
      <c r="AG5361" s="2">
        <f ca="1"/>
        <v>3.0294650362066688E-2</v>
      </c>
      <c r="AH5361" s="2" t="str">
        <f ca="1"/>
        <v>Good</v>
      </c>
    </row>
    <row r="5362" spans="2:34" x14ac:dyDescent="0.2">
      <c r="B5362" s="2">
        <f ca="1"/>
        <v>0.77806342581324728</v>
      </c>
      <c r="O5362" s="2">
        <f ca="1"/>
        <v>1.5358592356213223</v>
      </c>
      <c r="X5362" s="2">
        <f ca="1"/>
        <v>37.219745589506317</v>
      </c>
      <c r="AG5362" s="2">
        <f ca="1"/>
        <v>0.25913562916156385</v>
      </c>
      <c r="AH5362" s="2" t="str">
        <f ca="1"/>
        <v>OK</v>
      </c>
    </row>
    <row r="5363" spans="2:34" x14ac:dyDescent="0.2">
      <c r="B5363" s="2">
        <f ca="1"/>
        <v>0.9175673750754163</v>
      </c>
      <c r="O5363" s="2">
        <f ca="1"/>
        <v>-2.1991511113896292</v>
      </c>
      <c r="X5363" s="2">
        <f ca="1"/>
        <v>47.092282673970303</v>
      </c>
      <c r="AG5363" s="2">
        <f ca="1"/>
        <v>0.10730220721288775</v>
      </c>
      <c r="AH5363" s="2" t="str">
        <f ca="1"/>
        <v>OK</v>
      </c>
    </row>
    <row r="5364" spans="2:34" x14ac:dyDescent="0.2">
      <c r="B5364" s="2">
        <f ca="1"/>
        <v>0.39175093188478294</v>
      </c>
      <c r="O5364" s="2">
        <f ca="1"/>
        <v>-0.95459072813229651</v>
      </c>
      <c r="X5364" s="2">
        <f ca="1"/>
        <v>36.946985852844293</v>
      </c>
      <c r="AG5364" s="2">
        <f ca="1"/>
        <v>0.77422932990527338</v>
      </c>
      <c r="AH5364" s="2" t="str">
        <f ca="1"/>
        <v>Bad</v>
      </c>
    </row>
    <row r="5365" spans="2:34" x14ac:dyDescent="0.2">
      <c r="B5365" s="2">
        <f ca="1"/>
        <v>0.6509518713667406</v>
      </c>
      <c r="O5365" s="2">
        <f ca="1"/>
        <v>-0.38908973343973241</v>
      </c>
      <c r="X5365" s="2">
        <f ca="1"/>
        <v>50.6855010087788</v>
      </c>
      <c r="AG5365" s="2">
        <f ca="1"/>
        <v>6.5595468465160067E-2</v>
      </c>
      <c r="AH5365" s="2" t="str">
        <f ca="1"/>
        <v>OK</v>
      </c>
    </row>
    <row r="5366" spans="2:34" x14ac:dyDescent="0.2">
      <c r="B5366" s="2">
        <f ca="1"/>
        <v>0.36141130414900258</v>
      </c>
      <c r="O5366" s="2">
        <f ca="1"/>
        <v>-0.23354476982195019</v>
      </c>
      <c r="X5366" s="2">
        <f ca="1"/>
        <v>53.499369284254634</v>
      </c>
      <c r="AG5366" s="2">
        <f ca="1"/>
        <v>0.38226795643085865</v>
      </c>
      <c r="AH5366" s="2" t="str">
        <f ca="1"/>
        <v>OK</v>
      </c>
    </row>
    <row r="5367" spans="2:34" x14ac:dyDescent="0.2">
      <c r="B5367" s="2">
        <f ca="1"/>
        <v>0.75216546138153917</v>
      </c>
      <c r="O5367" s="2">
        <f ca="1"/>
        <v>-0.80105819320172023</v>
      </c>
      <c r="X5367" s="2">
        <f ca="1"/>
        <v>71.297154001918628</v>
      </c>
      <c r="AG5367" s="2">
        <f ca="1"/>
        <v>0.41701018344381713</v>
      </c>
      <c r="AH5367" s="2" t="str">
        <f ca="1"/>
        <v>Bad</v>
      </c>
    </row>
    <row r="5368" spans="2:34" x14ac:dyDescent="0.2">
      <c r="B5368" s="2">
        <f ca="1"/>
        <v>0.60946841074593294</v>
      </c>
      <c r="O5368" s="2">
        <f ca="1"/>
        <v>0.30037507251257656</v>
      </c>
      <c r="X5368" s="2">
        <f ca="1"/>
        <v>72.831564537950953</v>
      </c>
      <c r="AG5368" s="2">
        <f ca="1"/>
        <v>0.63862465726971052</v>
      </c>
      <c r="AH5368" s="2" t="str">
        <f ca="1"/>
        <v>Bad</v>
      </c>
    </row>
    <row r="5369" spans="2:34" x14ac:dyDescent="0.2">
      <c r="B5369" s="2">
        <f ca="1"/>
        <v>0.64203111450372941</v>
      </c>
      <c r="O5369" s="2">
        <f ca="1"/>
        <v>-0.23686041801307672</v>
      </c>
      <c r="X5369" s="2">
        <f ca="1"/>
        <v>47.639219291359318</v>
      </c>
      <c r="AG5369" s="2">
        <f ca="1"/>
        <v>0.25989286916619836</v>
      </c>
      <c r="AH5369" s="2" t="str">
        <f ca="1"/>
        <v>OK</v>
      </c>
    </row>
    <row r="5370" spans="2:34" x14ac:dyDescent="0.2">
      <c r="B5370" s="2">
        <f ca="1"/>
        <v>0.69630399242442076</v>
      </c>
      <c r="O5370" s="2">
        <f ca="1"/>
        <v>-0.35565924316216152</v>
      </c>
      <c r="X5370" s="2">
        <f ca="1"/>
        <v>71.28532564116432</v>
      </c>
      <c r="AG5370" s="2">
        <f ca="1"/>
        <v>0.67932899375552847</v>
      </c>
      <c r="AH5370" s="2" t="str">
        <f ca="1"/>
        <v>Bad</v>
      </c>
    </row>
    <row r="5371" spans="2:34" x14ac:dyDescent="0.2">
      <c r="B5371" s="2">
        <f ca="1"/>
        <v>0.99252172114006698</v>
      </c>
      <c r="O5371" s="2">
        <f ca="1"/>
        <v>-0.58342870264070101</v>
      </c>
      <c r="X5371" s="2">
        <f ca="1"/>
        <v>83.106889962811309</v>
      </c>
      <c r="AG5371" s="2">
        <f ca="1"/>
        <v>0.4930581280909041</v>
      </c>
      <c r="AH5371" s="2" t="str">
        <f ca="1"/>
        <v>Bad</v>
      </c>
    </row>
    <row r="5372" spans="2:34" x14ac:dyDescent="0.2">
      <c r="B5372" s="2">
        <f ca="1"/>
        <v>0.38785660417852785</v>
      </c>
      <c r="O5372" s="2">
        <f ca="1"/>
        <v>-0.36058234091883207</v>
      </c>
      <c r="X5372" s="2">
        <f ca="1"/>
        <v>54.826261801152469</v>
      </c>
      <c r="AG5372" s="2">
        <f ca="1"/>
        <v>0.37341475112638456</v>
      </c>
      <c r="AH5372" s="2" t="str">
        <f ca="1"/>
        <v>OK</v>
      </c>
    </row>
    <row r="5373" spans="2:34" x14ac:dyDescent="0.2">
      <c r="B5373" s="2">
        <f ca="1"/>
        <v>0.3685131135905626</v>
      </c>
      <c r="O5373" s="2">
        <f ca="1"/>
        <v>-0.96629539489151262</v>
      </c>
      <c r="X5373" s="2">
        <f ca="1"/>
        <v>28.656617433865787</v>
      </c>
      <c r="AG5373" s="2">
        <f ca="1"/>
        <v>0.94129539719146282</v>
      </c>
      <c r="AH5373" s="2" t="str">
        <f ca="1"/>
        <v>Bad</v>
      </c>
    </row>
    <row r="5374" spans="2:34" x14ac:dyDescent="0.2">
      <c r="B5374" s="2">
        <f ca="1"/>
        <v>0.68444138048372194</v>
      </c>
      <c r="O5374" s="2">
        <f ca="1"/>
        <v>0.5362393142394889</v>
      </c>
      <c r="X5374" s="2">
        <f ca="1"/>
        <v>58.238254196759229</v>
      </c>
      <c r="AG5374" s="2">
        <f ca="1"/>
        <v>0.81004511195950424</v>
      </c>
      <c r="AH5374" s="2" t="str">
        <f ca="1"/>
        <v>Bad</v>
      </c>
    </row>
    <row r="5375" spans="2:34" x14ac:dyDescent="0.2">
      <c r="B5375" s="2">
        <f ca="1"/>
        <v>0.16519855780030523</v>
      </c>
      <c r="O5375" s="2">
        <f ca="1"/>
        <v>0.10352018450419823</v>
      </c>
      <c r="X5375" s="2">
        <f ca="1"/>
        <v>44.767986950586504</v>
      </c>
      <c r="AG5375" s="2">
        <f ca="1"/>
        <v>0.94396587213359595</v>
      </c>
      <c r="AH5375" s="2" t="str">
        <f ca="1"/>
        <v>Bad</v>
      </c>
    </row>
    <row r="5376" spans="2:34" x14ac:dyDescent="0.2">
      <c r="B5376" s="2">
        <f ca="1"/>
        <v>0.34680121038888334</v>
      </c>
      <c r="O5376" s="2">
        <f ca="1"/>
        <v>1.5071343293516448E-2</v>
      </c>
      <c r="X5376" s="2">
        <f ca="1"/>
        <v>37.116658526450422</v>
      </c>
      <c r="AG5376" s="2">
        <f ca="1"/>
        <v>2.9696096852338538E-3</v>
      </c>
      <c r="AH5376" s="2" t="str">
        <f ca="1"/>
        <v>Good</v>
      </c>
    </row>
    <row r="5377" spans="2:34" x14ac:dyDescent="0.2">
      <c r="B5377" s="2">
        <f ca="1"/>
        <v>0.7025387518029842</v>
      </c>
      <c r="O5377" s="2">
        <f ca="1"/>
        <v>0.72348778916782175</v>
      </c>
      <c r="X5377" s="2">
        <f ca="1"/>
        <v>31.559805082038</v>
      </c>
      <c r="AG5377" s="2">
        <f ca="1"/>
        <v>0.87188290924477885</v>
      </c>
      <c r="AH5377" s="2" t="str">
        <f ca="1"/>
        <v>Bad</v>
      </c>
    </row>
    <row r="5378" spans="2:34" x14ac:dyDescent="0.2">
      <c r="B5378" s="2">
        <f ca="1"/>
        <v>0.63989962114574039</v>
      </c>
      <c r="O5378" s="2">
        <f ca="1"/>
        <v>-0.30117481597189577</v>
      </c>
      <c r="X5378" s="2">
        <f ca="1"/>
        <v>72.632125983833916</v>
      </c>
      <c r="AG5378" s="2">
        <f ca="1"/>
        <v>0.87844587311120503</v>
      </c>
      <c r="AH5378" s="2" t="str">
        <f ca="1"/>
        <v>Bad</v>
      </c>
    </row>
    <row r="5379" spans="2:34" x14ac:dyDescent="0.2">
      <c r="B5379" s="2">
        <f ca="1"/>
        <v>0.12513168989123646</v>
      </c>
      <c r="O5379" s="2">
        <f ca="1"/>
        <v>-0.25819479473028034</v>
      </c>
      <c r="X5379" s="2">
        <f ca="1"/>
        <v>61.649611459218683</v>
      </c>
      <c r="AG5379" s="2">
        <f ca="1"/>
        <v>0.50810227553073695</v>
      </c>
      <c r="AH5379" s="2" t="str">
        <f ca="1"/>
        <v>Bad</v>
      </c>
    </row>
    <row r="5380" spans="2:34" x14ac:dyDescent="0.2">
      <c r="B5380" s="2">
        <f ca="1"/>
        <v>0.1966597813747295</v>
      </c>
      <c r="O5380" s="2">
        <f ca="1"/>
        <v>-0.41703757830757104</v>
      </c>
      <c r="X5380" s="2">
        <f ca="1"/>
        <v>41.975606628595152</v>
      </c>
      <c r="AG5380" s="2">
        <f ca="1"/>
        <v>0.14445776047783276</v>
      </c>
      <c r="AH5380" s="2" t="str">
        <f ca="1"/>
        <v>OK</v>
      </c>
    </row>
    <row r="5381" spans="2:34" x14ac:dyDescent="0.2">
      <c r="B5381" s="2">
        <f ca="1"/>
        <v>0.93511195414656623</v>
      </c>
      <c r="O5381" s="2">
        <f ca="1"/>
        <v>0.83075297088490907</v>
      </c>
      <c r="X5381" s="2">
        <f ca="1"/>
        <v>26.09721185414266</v>
      </c>
      <c r="AG5381" s="2">
        <f ca="1"/>
        <v>0.25817346841722166</v>
      </c>
      <c r="AH5381" s="2" t="str">
        <f ca="1"/>
        <v>OK</v>
      </c>
    </row>
    <row r="5382" spans="2:34" x14ac:dyDescent="0.2">
      <c r="B5382" s="2">
        <f ca="1"/>
        <v>0.54024319780872987</v>
      </c>
      <c r="O5382" s="2">
        <f ca="1"/>
        <v>-0.16530099949229266</v>
      </c>
      <c r="X5382" s="2">
        <f ca="1"/>
        <v>23.315193698353053</v>
      </c>
      <c r="AG5382" s="2">
        <f ca="1"/>
        <v>0.32008101862152638</v>
      </c>
      <c r="AH5382" s="2" t="str">
        <f ca="1"/>
        <v>OK</v>
      </c>
    </row>
    <row r="5383" spans="2:34" x14ac:dyDescent="0.2">
      <c r="B5383" s="2">
        <f ca="1"/>
        <v>0.78958155690982568</v>
      </c>
      <c r="O5383" s="2">
        <f ca="1"/>
        <v>0.39398987859859413</v>
      </c>
      <c r="X5383" s="2">
        <f ca="1"/>
        <v>66.384904221380381</v>
      </c>
      <c r="AG5383" s="2">
        <f ca="1"/>
        <v>0.75055036599378466</v>
      </c>
      <c r="AH5383" s="2" t="str">
        <f ca="1"/>
        <v>Bad</v>
      </c>
    </row>
    <row r="5384" spans="2:34" x14ac:dyDescent="0.2">
      <c r="B5384" s="2">
        <f ca="1"/>
        <v>0.88478200578567701</v>
      </c>
      <c r="O5384" s="2">
        <f ca="1"/>
        <v>0.68069207211159244</v>
      </c>
      <c r="X5384" s="2">
        <f ca="1"/>
        <v>41.538823816091693</v>
      </c>
      <c r="AG5384" s="2">
        <f ca="1"/>
        <v>0.290489583254397</v>
      </c>
      <c r="AH5384" s="2" t="str">
        <f ca="1"/>
        <v>OK</v>
      </c>
    </row>
    <row r="5385" spans="2:34" x14ac:dyDescent="0.2">
      <c r="B5385" s="2">
        <f ca="1"/>
        <v>0.10800503284909402</v>
      </c>
      <c r="O5385" s="2">
        <f ca="1"/>
        <v>0.13265410404705749</v>
      </c>
      <c r="X5385" s="2">
        <f ca="1"/>
        <v>68.089284703335835</v>
      </c>
      <c r="AG5385" s="2">
        <f ca="1"/>
        <v>0.46849926378336515</v>
      </c>
      <c r="AH5385" s="2" t="str">
        <f ca="1"/>
        <v>Bad</v>
      </c>
    </row>
    <row r="5386" spans="2:34" x14ac:dyDescent="0.2">
      <c r="B5386" s="2">
        <f ca="1"/>
        <v>0.46794519858209638</v>
      </c>
      <c r="O5386" s="2">
        <f ca="1"/>
        <v>-0.19263652945415813</v>
      </c>
      <c r="X5386" s="2">
        <f ca="1"/>
        <v>56.441889400752387</v>
      </c>
      <c r="AG5386" s="2">
        <f ca="1"/>
        <v>0.95888832391595957</v>
      </c>
      <c r="AH5386" s="2" t="str">
        <f ca="1"/>
        <v>Bad</v>
      </c>
    </row>
    <row r="5387" spans="2:34" x14ac:dyDescent="0.2">
      <c r="B5387" s="2">
        <f ca="1"/>
        <v>0.18501446775019414</v>
      </c>
      <c r="O5387" s="2">
        <f ca="1"/>
        <v>-0.10188793098873428</v>
      </c>
      <c r="X5387" s="2">
        <f ca="1"/>
        <v>43.305574837539041</v>
      </c>
      <c r="AG5387" s="2">
        <f ca="1"/>
        <v>0.85673502967523696</v>
      </c>
      <c r="AH5387" s="2" t="str">
        <f ca="1"/>
        <v>Bad</v>
      </c>
    </row>
    <row r="5388" spans="2:34" x14ac:dyDescent="0.2">
      <c r="B5388" s="2">
        <f ca="1"/>
        <v>0.65363375684548619</v>
      </c>
      <c r="O5388" s="2">
        <f ca="1"/>
        <v>0.14429668502688076</v>
      </c>
      <c r="X5388" s="2">
        <f ca="1"/>
        <v>67.130060222940315</v>
      </c>
      <c r="AG5388" s="2">
        <f ca="1"/>
        <v>0.48821378497698387</v>
      </c>
      <c r="AH5388" s="2" t="str">
        <f ca="1"/>
        <v>Bad</v>
      </c>
    </row>
    <row r="5389" spans="2:34" x14ac:dyDescent="0.2">
      <c r="B5389" s="2">
        <f ca="1"/>
        <v>0.48150584269296193</v>
      </c>
      <c r="O5389" s="2">
        <f ca="1"/>
        <v>0.43009119633815579</v>
      </c>
      <c r="X5389" s="2">
        <f ca="1"/>
        <v>46.395792381055081</v>
      </c>
      <c r="AG5389" s="2">
        <f ca="1"/>
        <v>7.4250848909862999E-2</v>
      </c>
      <c r="AH5389" s="2" t="str">
        <f ca="1"/>
        <v>OK</v>
      </c>
    </row>
    <row r="5390" spans="2:34" x14ac:dyDescent="0.2">
      <c r="B5390" s="2">
        <f ca="1"/>
        <v>0.28906692419563118</v>
      </c>
      <c r="O5390" s="2">
        <f ca="1"/>
        <v>0.74697203212686258</v>
      </c>
      <c r="X5390" s="2">
        <f ca="1"/>
        <v>54.498926573853232</v>
      </c>
      <c r="AG5390" s="2">
        <f ca="1"/>
        <v>0.24615874785612823</v>
      </c>
      <c r="AH5390" s="2" t="str">
        <f ca="1"/>
        <v>OK</v>
      </c>
    </row>
    <row r="5391" spans="2:34" x14ac:dyDescent="0.2">
      <c r="B5391" s="2">
        <f ca="1"/>
        <v>0.69313250579341279</v>
      </c>
      <c r="O5391" s="2">
        <f ca="1"/>
        <v>-1.3042883353719166</v>
      </c>
      <c r="X5391" s="2">
        <f ca="1"/>
        <v>31.936226223078496</v>
      </c>
      <c r="AG5391" s="2">
        <f ca="1"/>
        <v>0.32243925621824321</v>
      </c>
      <c r="AH5391" s="2" t="str">
        <f ca="1"/>
        <v>OK</v>
      </c>
    </row>
    <row r="5392" spans="2:34" x14ac:dyDescent="0.2">
      <c r="B5392" s="2">
        <f ca="1"/>
        <v>0.4718835453922805</v>
      </c>
      <c r="O5392" s="2">
        <f ca="1"/>
        <v>-0.32392779158810647</v>
      </c>
      <c r="X5392" s="2">
        <f ca="1"/>
        <v>30.9389295320684</v>
      </c>
      <c r="AG5392" s="2">
        <f ca="1"/>
        <v>0.68356765330618297</v>
      </c>
      <c r="AH5392" s="2" t="str">
        <f ca="1"/>
        <v>Bad</v>
      </c>
    </row>
    <row r="5393" spans="2:34" x14ac:dyDescent="0.2">
      <c r="B5393" s="2">
        <f ca="1"/>
        <v>0.22709102021511662</v>
      </c>
      <c r="O5393" s="2">
        <f ca="1"/>
        <v>2.001851286524392</v>
      </c>
      <c r="X5393" s="2">
        <f ca="1"/>
        <v>48.913421470986904</v>
      </c>
      <c r="AG5393" s="2">
        <f ca="1"/>
        <v>0.16995673711310499</v>
      </c>
      <c r="AH5393" s="2" t="str">
        <f ca="1"/>
        <v>OK</v>
      </c>
    </row>
    <row r="5394" spans="2:34" x14ac:dyDescent="0.2">
      <c r="B5394" s="2">
        <f ca="1"/>
        <v>0.32127073626425906</v>
      </c>
      <c r="O5394" s="2">
        <f ca="1"/>
        <v>1.1128722099427997</v>
      </c>
      <c r="X5394" s="2">
        <f ca="1"/>
        <v>71.955497057647165</v>
      </c>
      <c r="AG5394" s="2">
        <f ca="1"/>
        <v>0.82757150921151701</v>
      </c>
      <c r="AH5394" s="2" t="str">
        <f ca="1"/>
        <v>Bad</v>
      </c>
    </row>
    <row r="5395" spans="2:34" x14ac:dyDescent="0.2">
      <c r="B5395" s="2">
        <f ca="1"/>
        <v>0.96378177496183959</v>
      </c>
      <c r="O5395" s="2">
        <f ca="1"/>
        <v>0.35791033975877212</v>
      </c>
      <c r="X5395" s="2">
        <f ca="1"/>
        <v>63.116193906495326</v>
      </c>
      <c r="AG5395" s="2">
        <f ca="1"/>
        <v>9.8180274094546105E-2</v>
      </c>
      <c r="AH5395" s="2" t="str">
        <f ca="1"/>
        <v>OK</v>
      </c>
    </row>
    <row r="5396" spans="2:34" x14ac:dyDescent="0.2">
      <c r="B5396" s="2">
        <f ca="1"/>
        <v>0.52054837349396643</v>
      </c>
      <c r="O5396" s="2">
        <f ca="1"/>
        <v>-0.25803931429507304</v>
      </c>
      <c r="X5396" s="2">
        <f ca="1"/>
        <v>65.817200734046523</v>
      </c>
      <c r="AG5396" s="2">
        <f ca="1"/>
        <v>5.9498804161018937E-2</v>
      </c>
      <c r="AH5396" s="2" t="str">
        <f ca="1"/>
        <v>OK</v>
      </c>
    </row>
    <row r="5397" spans="2:34" x14ac:dyDescent="0.2">
      <c r="B5397" s="2">
        <f ca="1"/>
        <v>0.89359364112226802</v>
      </c>
      <c r="O5397" s="2">
        <f ca="1"/>
        <v>0.85551832321566124</v>
      </c>
      <c r="X5397" s="2">
        <f ca="1"/>
        <v>65.403630082334018</v>
      </c>
      <c r="AG5397" s="2">
        <f ca="1"/>
        <v>0.30161722580882433</v>
      </c>
      <c r="AH5397" s="2" t="str">
        <f ca="1"/>
        <v>OK</v>
      </c>
    </row>
    <row r="5398" spans="2:34" x14ac:dyDescent="0.2">
      <c r="B5398" s="2">
        <f ca="1"/>
        <v>0.66601154424020215</v>
      </c>
      <c r="O5398" s="2">
        <f ca="1"/>
        <v>-1.2062663001649365</v>
      </c>
      <c r="X5398" s="2">
        <f ca="1"/>
        <v>59.833375523082459</v>
      </c>
      <c r="AG5398" s="2">
        <f ca="1"/>
        <v>0.15007450150999846</v>
      </c>
      <c r="AH5398" s="2" t="str">
        <f ca="1"/>
        <v>OK</v>
      </c>
    </row>
    <row r="5399" spans="2:34" x14ac:dyDescent="0.2">
      <c r="B5399" s="2">
        <f ca="1"/>
        <v>0.33565230269722957</v>
      </c>
      <c r="O5399" s="2">
        <f ca="1"/>
        <v>-0.85860957290612427</v>
      </c>
      <c r="X5399" s="2">
        <f ca="1"/>
        <v>39.092900493798481</v>
      </c>
      <c r="AG5399" s="2">
        <f ca="1"/>
        <v>0.49012936316806832</v>
      </c>
      <c r="AH5399" s="2" t="str">
        <f ca="1"/>
        <v>Bad</v>
      </c>
    </row>
    <row r="5400" spans="2:34" x14ac:dyDescent="0.2">
      <c r="B5400" s="2">
        <f ca="1"/>
        <v>0.58376602195950333</v>
      </c>
      <c r="O5400" s="2">
        <f ca="1"/>
        <v>-0.64779688618331865</v>
      </c>
      <c r="X5400" s="2">
        <f ca="1"/>
        <v>50.945190529077124</v>
      </c>
      <c r="AG5400" s="2">
        <f ca="1"/>
        <v>0.74844048538041674</v>
      </c>
      <c r="AH5400" s="2" t="str">
        <f ca="1"/>
        <v>Bad</v>
      </c>
    </row>
    <row r="5401" spans="2:34" x14ac:dyDescent="0.2">
      <c r="B5401" s="2">
        <f ca="1"/>
        <v>0.21152779755216078</v>
      </c>
      <c r="O5401" s="2">
        <f ca="1"/>
        <v>0.12736433033882921</v>
      </c>
      <c r="X5401" s="2">
        <f ca="1"/>
        <v>61.521777222594707</v>
      </c>
      <c r="AG5401" s="2">
        <f ca="1"/>
        <v>0.29440826122831698</v>
      </c>
      <c r="AH5401" s="2" t="str">
        <f ca="1"/>
        <v>OK</v>
      </c>
    </row>
    <row r="5402" spans="2:34" x14ac:dyDescent="0.2">
      <c r="B5402" s="2">
        <f ca="1"/>
        <v>0.64541250672438677</v>
      </c>
      <c r="O5402" s="2">
        <f ca="1"/>
        <v>-1.5612339845771952</v>
      </c>
      <c r="X5402" s="2">
        <f ca="1"/>
        <v>42.434373618987216</v>
      </c>
      <c r="AG5402" s="2">
        <f ca="1"/>
        <v>0.40602312977234845</v>
      </c>
      <c r="AH5402" s="2" t="str">
        <f ca="1"/>
        <v>Bad</v>
      </c>
    </row>
    <row r="5403" spans="2:34" x14ac:dyDescent="0.2">
      <c r="B5403" s="2">
        <f ca="1"/>
        <v>0.28454300493651874</v>
      </c>
      <c r="O5403" s="2">
        <f ca="1"/>
        <v>2.1104767078434721</v>
      </c>
      <c r="X5403" s="2">
        <f ca="1"/>
        <v>53.327496975991309</v>
      </c>
      <c r="AG5403" s="2">
        <f ca="1"/>
        <v>0.3374858746243683</v>
      </c>
      <c r="AH5403" s="2" t="str">
        <f ca="1"/>
        <v>OK</v>
      </c>
    </row>
    <row r="5404" spans="2:34" x14ac:dyDescent="0.2">
      <c r="B5404" s="2">
        <f ca="1"/>
        <v>0.35972977162358455</v>
      </c>
      <c r="O5404" s="2">
        <f ca="1"/>
        <v>-2.0811865820430135</v>
      </c>
      <c r="X5404" s="2">
        <f ca="1"/>
        <v>66.650612374463975</v>
      </c>
      <c r="AG5404" s="2">
        <f ca="1"/>
        <v>1.7455359294501926E-2</v>
      </c>
      <c r="AH5404" s="2" t="str">
        <f ca="1"/>
        <v>Good</v>
      </c>
    </row>
    <row r="5405" spans="2:34" x14ac:dyDescent="0.2">
      <c r="B5405" s="2">
        <f ca="1"/>
        <v>0.89209955220191928</v>
      </c>
      <c r="O5405" s="2">
        <f ca="1"/>
        <v>1.8922485639433548</v>
      </c>
      <c r="X5405" s="2">
        <f ca="1"/>
        <v>29.558870738068926</v>
      </c>
      <c r="AG5405" s="2">
        <f ca="1"/>
        <v>8.076761515530162E-2</v>
      </c>
      <c r="AH5405" s="2" t="str">
        <f ca="1"/>
        <v>OK</v>
      </c>
    </row>
    <row r="5406" spans="2:34" x14ac:dyDescent="0.2">
      <c r="B5406" s="2">
        <f ca="1"/>
        <v>0.89486946864241057</v>
      </c>
      <c r="O5406" s="2">
        <f ca="1"/>
        <v>0.35059306287835418</v>
      </c>
      <c r="X5406" s="2">
        <f ca="1"/>
        <v>43.073651144752091</v>
      </c>
      <c r="AG5406" s="2">
        <f ca="1"/>
        <v>8.40629933152095E-2</v>
      </c>
      <c r="AH5406" s="2" t="str">
        <f ca="1"/>
        <v>OK</v>
      </c>
    </row>
    <row r="5407" spans="2:34" x14ac:dyDescent="0.2">
      <c r="B5407" s="2">
        <f ca="1"/>
        <v>0.14094578027371396</v>
      </c>
      <c r="O5407" s="2">
        <f ca="1"/>
        <v>0.96890372377494094</v>
      </c>
      <c r="X5407" s="2">
        <f ca="1"/>
        <v>41.725551973893353</v>
      </c>
      <c r="AG5407" s="2">
        <f ca="1"/>
        <v>0.36423498640306784</v>
      </c>
      <c r="AH5407" s="2" t="str">
        <f ca="1"/>
        <v>OK</v>
      </c>
    </row>
    <row r="5408" spans="2:34" x14ac:dyDescent="0.2">
      <c r="B5408" s="2">
        <f ca="1"/>
        <v>0.1465113386538881</v>
      </c>
      <c r="O5408" s="2">
        <f ca="1"/>
        <v>-2.1267935143149601</v>
      </c>
      <c r="X5408" s="2">
        <f ca="1"/>
        <v>83.059029131432226</v>
      </c>
      <c r="AG5408" s="2">
        <f ca="1"/>
        <v>0.27367637247653787</v>
      </c>
      <c r="AH5408" s="2" t="str">
        <f ca="1"/>
        <v>OK</v>
      </c>
    </row>
    <row r="5409" spans="2:34" x14ac:dyDescent="0.2">
      <c r="B5409" s="2">
        <f ca="1"/>
        <v>0.27722330296316056</v>
      </c>
      <c r="O5409" s="2">
        <f ca="1"/>
        <v>-0.12418575423186082</v>
      </c>
      <c r="X5409" s="2">
        <f ca="1"/>
        <v>57.245377388281526</v>
      </c>
      <c r="AG5409" s="2">
        <f ca="1"/>
        <v>0.75496637539097589</v>
      </c>
      <c r="AH5409" s="2" t="str">
        <f ca="1"/>
        <v>Bad</v>
      </c>
    </row>
    <row r="5410" spans="2:34" x14ac:dyDescent="0.2">
      <c r="B5410" s="2">
        <f ca="1"/>
        <v>0.20268261126891796</v>
      </c>
      <c r="O5410" s="2">
        <f ca="1"/>
        <v>-0.21479795224238621</v>
      </c>
      <c r="X5410" s="2">
        <f ca="1"/>
        <v>28.855677400010634</v>
      </c>
      <c r="AG5410" s="2">
        <f ca="1"/>
        <v>0.92771731684891656</v>
      </c>
      <c r="AH5410" s="2" t="str">
        <f ca="1"/>
        <v>Bad</v>
      </c>
    </row>
    <row r="5411" spans="2:34" x14ac:dyDescent="0.2">
      <c r="B5411" s="2">
        <f ca="1"/>
        <v>0.74895942894388901</v>
      </c>
      <c r="O5411" s="2">
        <f ca="1"/>
        <v>-2.1709159293933658</v>
      </c>
      <c r="X5411" s="2">
        <f ca="1"/>
        <v>50.919648111079383</v>
      </c>
      <c r="AG5411" s="2">
        <f ca="1"/>
        <v>0.70898521356543998</v>
      </c>
      <c r="AH5411" s="2" t="str">
        <f ca="1"/>
        <v>Bad</v>
      </c>
    </row>
    <row r="5412" spans="2:34" x14ac:dyDescent="0.2">
      <c r="B5412" s="2">
        <f ca="1"/>
        <v>0.81605102317735234</v>
      </c>
      <c r="O5412" s="2">
        <f ca="1"/>
        <v>-0.83611386824392431</v>
      </c>
      <c r="X5412" s="2">
        <f ca="1"/>
        <v>50.269633074572859</v>
      </c>
      <c r="AG5412" s="2">
        <f ca="1"/>
        <v>0.43997697618887655</v>
      </c>
      <c r="AH5412" s="2" t="str">
        <f ca="1"/>
        <v>Bad</v>
      </c>
    </row>
    <row r="5413" spans="2:34" x14ac:dyDescent="0.2">
      <c r="B5413" s="2">
        <f ca="1"/>
        <v>0.63739345403289138</v>
      </c>
      <c r="O5413" s="2">
        <f ca="1"/>
        <v>-1.2721593053622047</v>
      </c>
      <c r="X5413" s="2">
        <f ca="1"/>
        <v>84.314148071907752</v>
      </c>
      <c r="AG5413" s="2">
        <f ca="1"/>
        <v>0.24891230465299552</v>
      </c>
      <c r="AH5413" s="2" t="str">
        <f ca="1"/>
        <v>OK</v>
      </c>
    </row>
    <row r="5414" spans="2:34" x14ac:dyDescent="0.2">
      <c r="B5414" s="2">
        <f ca="1"/>
        <v>0.48621332140387818</v>
      </c>
      <c r="O5414" s="2">
        <f ca="1"/>
        <v>-1.1661807850410341E-3</v>
      </c>
      <c r="X5414" s="2">
        <f ca="1"/>
        <v>43.261594130682084</v>
      </c>
      <c r="AG5414" s="2">
        <f ca="1"/>
        <v>0.56296043564897413</v>
      </c>
      <c r="AH5414" s="2" t="str">
        <f ca="1"/>
        <v>Bad</v>
      </c>
    </row>
    <row r="5415" spans="2:34" x14ac:dyDescent="0.2">
      <c r="B5415" s="2">
        <f ca="1"/>
        <v>0.20225944736215351</v>
      </c>
      <c r="O5415" s="2">
        <f ca="1"/>
        <v>-0.58521554728247449</v>
      </c>
      <c r="X5415" s="2">
        <f ca="1"/>
        <v>47.849375732505081</v>
      </c>
      <c r="AG5415" s="2">
        <f ca="1"/>
        <v>0.32198706695608115</v>
      </c>
      <c r="AH5415" s="2" t="str">
        <f ca="1"/>
        <v>OK</v>
      </c>
    </row>
    <row r="5416" spans="2:34" x14ac:dyDescent="0.2">
      <c r="B5416" s="2">
        <f ca="1"/>
        <v>0.27697710769481998</v>
      </c>
      <c r="O5416" s="2">
        <f ca="1"/>
        <v>-0.13842414346127849</v>
      </c>
      <c r="X5416" s="2">
        <f ca="1"/>
        <v>36.869819013380713</v>
      </c>
      <c r="AG5416" s="2">
        <f ca="1"/>
        <v>0.62989009734993084</v>
      </c>
      <c r="AH5416" s="2" t="str">
        <f ca="1"/>
        <v>Bad</v>
      </c>
    </row>
    <row r="5417" spans="2:34" x14ac:dyDescent="0.2">
      <c r="B5417" s="2">
        <f ca="1"/>
        <v>0.12880824801927937</v>
      </c>
      <c r="O5417" s="2">
        <f ca="1"/>
        <v>0.90368192830170402</v>
      </c>
      <c r="X5417" s="2">
        <f ca="1"/>
        <v>23.161630238209113</v>
      </c>
      <c r="AG5417" s="2">
        <f ca="1"/>
        <v>0.35078729987901314</v>
      </c>
      <c r="AH5417" s="2" t="str">
        <f ca="1"/>
        <v>OK</v>
      </c>
    </row>
    <row r="5418" spans="2:34" x14ac:dyDescent="0.2">
      <c r="B5418" s="2">
        <f ca="1"/>
        <v>0.55966116074695549</v>
      </c>
      <c r="O5418" s="2">
        <f ca="1"/>
        <v>-0.40634082636226498</v>
      </c>
      <c r="X5418" s="2">
        <f ca="1"/>
        <v>64.30972380132657</v>
      </c>
      <c r="AG5418" s="2">
        <f ca="1"/>
        <v>0.8003196770247647</v>
      </c>
      <c r="AH5418" s="2" t="str">
        <f ca="1"/>
        <v>Bad</v>
      </c>
    </row>
    <row r="5419" spans="2:34" x14ac:dyDescent="0.2">
      <c r="B5419" s="2">
        <f ca="1"/>
        <v>0.92888175267711048</v>
      </c>
      <c r="O5419" s="2">
        <f ca="1"/>
        <v>-0.43001803096532831</v>
      </c>
      <c r="X5419" s="2">
        <f ca="1"/>
        <v>53.343240387977517</v>
      </c>
      <c r="AG5419" s="2">
        <f ca="1"/>
        <v>0.16101557018855561</v>
      </c>
      <c r="AH5419" s="2" t="str">
        <f ca="1"/>
        <v>OK</v>
      </c>
    </row>
    <row r="5420" spans="2:34" x14ac:dyDescent="0.2">
      <c r="B5420" s="2">
        <f ca="1"/>
        <v>0.16524414611061111</v>
      </c>
      <c r="O5420" s="2">
        <f ca="1"/>
        <v>-0.67909728530044233</v>
      </c>
      <c r="X5420" s="2">
        <f ca="1"/>
        <v>68.509446542018168</v>
      </c>
      <c r="AG5420" s="2">
        <f ca="1"/>
        <v>0.51263465762141025</v>
      </c>
      <c r="AH5420" s="2" t="str">
        <f ca="1"/>
        <v>Bad</v>
      </c>
    </row>
    <row r="5421" spans="2:34" x14ac:dyDescent="0.2">
      <c r="B5421" s="2">
        <f ca="1"/>
        <v>0.59919066399127563</v>
      </c>
      <c r="O5421" s="2">
        <f ca="1"/>
        <v>0.16713947111329397</v>
      </c>
      <c r="X5421" s="2">
        <f ca="1"/>
        <v>74.651206321474064</v>
      </c>
      <c r="AG5421" s="2">
        <f ca="1"/>
        <v>6.0133485634538797E-2</v>
      </c>
      <c r="AH5421" s="2" t="str">
        <f ca="1"/>
        <v>OK</v>
      </c>
    </row>
    <row r="5422" spans="2:34" x14ac:dyDescent="0.2">
      <c r="B5422" s="2">
        <f ca="1"/>
        <v>0.88054055069188575</v>
      </c>
      <c r="O5422" s="2">
        <f ca="1"/>
        <v>0.51253670767272497</v>
      </c>
      <c r="X5422" s="2">
        <f ca="1"/>
        <v>63.861072398083813</v>
      </c>
      <c r="AG5422" s="2">
        <f ca="1"/>
        <v>0.93838933828944282</v>
      </c>
      <c r="AH5422" s="2" t="str">
        <f ca="1"/>
        <v>Bad</v>
      </c>
    </row>
    <row r="5423" spans="2:34" x14ac:dyDescent="0.2">
      <c r="B5423" s="2">
        <f ca="1"/>
        <v>0.35231269554519162</v>
      </c>
      <c r="O5423" s="2">
        <f ca="1"/>
        <v>1.0908146293860481</v>
      </c>
      <c r="X5423" s="2">
        <f ca="1"/>
        <v>63.500880034028697</v>
      </c>
      <c r="AG5423" s="2">
        <f ca="1"/>
        <v>0.24391227311293862</v>
      </c>
      <c r="AH5423" s="2" t="str">
        <f ca="1"/>
        <v>OK</v>
      </c>
    </row>
    <row r="5424" spans="2:34" x14ac:dyDescent="0.2">
      <c r="B5424" s="2">
        <f ca="1"/>
        <v>0.54367370611773125</v>
      </c>
      <c r="O5424" s="2">
        <f ca="1"/>
        <v>6.0201967461467713E-2</v>
      </c>
      <c r="X5424" s="2">
        <f ca="1"/>
        <v>40.384896701811698</v>
      </c>
      <c r="AG5424" s="2">
        <f ca="1"/>
        <v>0.84746747940393785</v>
      </c>
      <c r="AH5424" s="2" t="str">
        <f ca="1"/>
        <v>Bad</v>
      </c>
    </row>
    <row r="5425" spans="2:34" x14ac:dyDescent="0.2">
      <c r="B5425" s="2">
        <f ca="1"/>
        <v>0.48973528350790718</v>
      </c>
      <c r="O5425" s="2">
        <f ca="1"/>
        <v>1.9670702370886737</v>
      </c>
      <c r="X5425" s="2">
        <f ca="1"/>
        <v>61.781951454096991</v>
      </c>
      <c r="AG5425" s="2">
        <f ca="1"/>
        <v>0.95051099202184597</v>
      </c>
      <c r="AH5425" s="2" t="str">
        <f ca="1"/>
        <v>Bad</v>
      </c>
    </row>
    <row r="5426" spans="2:34" x14ac:dyDescent="0.2">
      <c r="B5426" s="2">
        <f ca="1"/>
        <v>0.23494150718610696</v>
      </c>
      <c r="O5426" s="2">
        <f ca="1"/>
        <v>-0.14385889146052325</v>
      </c>
      <c r="X5426" s="2">
        <f ca="1"/>
        <v>72.608000480204112</v>
      </c>
      <c r="AG5426" s="2">
        <f ca="1"/>
        <v>0.21539240655333947</v>
      </c>
      <c r="AH5426" s="2" t="str">
        <f ca="1"/>
        <v>OK</v>
      </c>
    </row>
    <row r="5427" spans="2:34" x14ac:dyDescent="0.2">
      <c r="B5427" s="2">
        <f ca="1"/>
        <v>0.75757583488628488</v>
      </c>
      <c r="O5427" s="2">
        <f ca="1"/>
        <v>1.5898249885418791</v>
      </c>
      <c r="X5427" s="2">
        <f ca="1"/>
        <v>70.607948832514936</v>
      </c>
      <c r="AG5427" s="2">
        <f ca="1"/>
        <v>1.5516936137464521E-2</v>
      </c>
      <c r="AH5427" s="2" t="str">
        <f ca="1"/>
        <v>Good</v>
      </c>
    </row>
    <row r="5428" spans="2:34" x14ac:dyDescent="0.2">
      <c r="B5428" s="2">
        <f ca="1"/>
        <v>0.66061335306126945</v>
      </c>
      <c r="O5428" s="2">
        <f ca="1"/>
        <v>-0.75864376408391132</v>
      </c>
      <c r="X5428" s="2">
        <f ca="1"/>
        <v>33.286719836615227</v>
      </c>
      <c r="AG5428" s="2">
        <f ca="1"/>
        <v>0.57130964315965516</v>
      </c>
      <c r="AH5428" s="2" t="str">
        <f ca="1"/>
        <v>Bad</v>
      </c>
    </row>
    <row r="5429" spans="2:34" x14ac:dyDescent="0.2">
      <c r="B5429" s="2">
        <f ca="1"/>
        <v>0.75200434242161318</v>
      </c>
      <c r="O5429" s="2">
        <f ca="1"/>
        <v>-0.32114907500658696</v>
      </c>
      <c r="X5429" s="2">
        <f ca="1"/>
        <v>33.392937699289334</v>
      </c>
      <c r="AG5429" s="2">
        <f ca="1"/>
        <v>0.45498303219537384</v>
      </c>
      <c r="AH5429" s="2" t="str">
        <f ca="1"/>
        <v>Bad</v>
      </c>
    </row>
    <row r="5430" spans="2:34" x14ac:dyDescent="0.2">
      <c r="B5430" s="2">
        <f ca="1"/>
        <v>0.41244635903553539</v>
      </c>
      <c r="O5430" s="2">
        <f ca="1"/>
        <v>1.0301636194972708</v>
      </c>
      <c r="X5430" s="2">
        <f ca="1"/>
        <v>84.835316042634119</v>
      </c>
      <c r="AG5430" s="2">
        <f ca="1"/>
        <v>6.9273839258714665E-2</v>
      </c>
      <c r="AH5430" s="2" t="str">
        <f ca="1"/>
        <v>OK</v>
      </c>
    </row>
    <row r="5431" spans="2:34" x14ac:dyDescent="0.2">
      <c r="B5431" s="2">
        <f ca="1"/>
        <v>5.3806306031811024E-2</v>
      </c>
      <c r="O5431" s="2">
        <f ca="1"/>
        <v>-4.6834025351037707E-2</v>
      </c>
      <c r="X5431" s="2">
        <f ca="1"/>
        <v>41.331386237719762</v>
      </c>
      <c r="AG5431" s="2">
        <f ca="1"/>
        <v>0.54484029928966593</v>
      </c>
      <c r="AH5431" s="2" t="str">
        <f ca="1"/>
        <v>Bad</v>
      </c>
    </row>
    <row r="5432" spans="2:34" x14ac:dyDescent="0.2">
      <c r="B5432" s="2">
        <f ca="1"/>
        <v>0.53719391914191572</v>
      </c>
      <c r="O5432" s="2">
        <f ca="1"/>
        <v>8.7751437015078371E-2</v>
      </c>
      <c r="X5432" s="2">
        <f ca="1"/>
        <v>68.464079587986589</v>
      </c>
      <c r="AG5432" s="2">
        <f ca="1"/>
        <v>0.16724422444230647</v>
      </c>
      <c r="AH5432" s="2" t="str">
        <f ca="1"/>
        <v>OK</v>
      </c>
    </row>
    <row r="5433" spans="2:34" x14ac:dyDescent="0.2">
      <c r="B5433" s="2">
        <f ca="1"/>
        <v>0.46806400317053654</v>
      </c>
      <c r="O5433" s="2">
        <f ca="1"/>
        <v>-1.3786266076143752</v>
      </c>
      <c r="X5433" s="2">
        <f ca="1"/>
        <v>39.63957212807032</v>
      </c>
      <c r="AG5433" s="2">
        <f ca="1"/>
        <v>0.8511951804437663</v>
      </c>
      <c r="AH5433" s="2" t="str">
        <f ca="1"/>
        <v>Bad</v>
      </c>
    </row>
    <row r="5434" spans="2:34" x14ac:dyDescent="0.2">
      <c r="B5434" s="2">
        <f ca="1"/>
        <v>0.63150203768440316</v>
      </c>
      <c r="O5434" s="2">
        <f ca="1"/>
        <v>-0.7276008304384084</v>
      </c>
      <c r="X5434" s="2">
        <f ca="1"/>
        <v>73.892719944075665</v>
      </c>
      <c r="AG5434" s="2">
        <f ca="1"/>
        <v>0.64519381798168696</v>
      </c>
      <c r="AH5434" s="2" t="str">
        <f ca="1"/>
        <v>Bad</v>
      </c>
    </row>
    <row r="5435" spans="2:34" x14ac:dyDescent="0.2">
      <c r="B5435" s="2">
        <f ca="1"/>
        <v>0.16454735878157956</v>
      </c>
      <c r="O5435" s="2">
        <f ca="1"/>
        <v>6.374963247528212E-2</v>
      </c>
      <c r="X5435" s="2">
        <f ca="1"/>
        <v>54.67353738287364</v>
      </c>
      <c r="AG5435" s="2">
        <f ca="1"/>
        <v>0.39832423580155019</v>
      </c>
      <c r="AH5435" s="2" t="str">
        <f ca="1"/>
        <v>OK</v>
      </c>
    </row>
    <row r="5436" spans="2:34" x14ac:dyDescent="0.2">
      <c r="B5436" s="2">
        <f ca="1"/>
        <v>0.64027684171352317</v>
      </c>
      <c r="O5436" s="2">
        <f ca="1"/>
        <v>-0.52512047926006122</v>
      </c>
      <c r="X5436" s="2">
        <f ca="1"/>
        <v>86.201051883557014</v>
      </c>
      <c r="AG5436" s="2">
        <f ca="1"/>
        <v>0.78999290580135284</v>
      </c>
      <c r="AH5436" s="2" t="str">
        <f ca="1"/>
        <v>Bad</v>
      </c>
    </row>
    <row r="5437" spans="2:34" x14ac:dyDescent="0.2">
      <c r="B5437" s="2">
        <f ca="1"/>
        <v>0.42430584022670259</v>
      </c>
      <c r="O5437" s="2">
        <f ca="1"/>
        <v>-1.072588938181616</v>
      </c>
      <c r="X5437" s="2">
        <f ca="1"/>
        <v>41.961531750076787</v>
      </c>
      <c r="AG5437" s="2">
        <f ca="1"/>
        <v>0.94767842742468167</v>
      </c>
      <c r="AH5437" s="2" t="str">
        <f ca="1"/>
        <v>Bad</v>
      </c>
    </row>
    <row r="5438" spans="2:34" x14ac:dyDescent="0.2">
      <c r="B5438" s="2">
        <f ca="1"/>
        <v>0.42000716756150647</v>
      </c>
      <c r="O5438" s="2">
        <f ca="1"/>
        <v>-0.42622211397104703</v>
      </c>
      <c r="X5438" s="2">
        <f ca="1"/>
        <v>55.793619517606878</v>
      </c>
      <c r="AG5438" s="2">
        <f ca="1"/>
        <v>0.79306718479832949</v>
      </c>
      <c r="AH5438" s="2" t="str">
        <f ca="1"/>
        <v>Bad</v>
      </c>
    </row>
    <row r="5439" spans="2:34" x14ac:dyDescent="0.2">
      <c r="B5439" s="2">
        <f ca="1"/>
        <v>0.49478259980827821</v>
      </c>
      <c r="O5439" s="2">
        <f ca="1"/>
        <v>0.25196810867046426</v>
      </c>
      <c r="X5439" s="2">
        <f ca="1"/>
        <v>49.182560640411516</v>
      </c>
      <c r="AG5439" s="2">
        <f ca="1"/>
        <v>0.73989467223236516</v>
      </c>
      <c r="AH5439" s="2" t="str">
        <f ca="1"/>
        <v>Bad</v>
      </c>
    </row>
    <row r="5440" spans="2:34" x14ac:dyDescent="0.2">
      <c r="B5440" s="2">
        <f ca="1"/>
        <v>0.8334489590279921</v>
      </c>
      <c r="O5440" s="2">
        <f ca="1"/>
        <v>2.6822016423401993</v>
      </c>
      <c r="X5440" s="2">
        <f ca="1"/>
        <v>19.970225375284862</v>
      </c>
      <c r="AG5440" s="2">
        <f ca="1"/>
        <v>0.43712743988101366</v>
      </c>
      <c r="AH5440" s="2" t="str">
        <f ca="1"/>
        <v>Bad</v>
      </c>
    </row>
    <row r="5441" spans="2:34" x14ac:dyDescent="0.2">
      <c r="B5441" s="2">
        <f ca="1"/>
        <v>0.34710600879409381</v>
      </c>
      <c r="O5441" s="2">
        <f ca="1"/>
        <v>-0.43301623912318765</v>
      </c>
      <c r="X5441" s="2">
        <f ca="1"/>
        <v>72.788945316909377</v>
      </c>
      <c r="AG5441" s="2">
        <f ca="1"/>
        <v>0.75850394825650458</v>
      </c>
      <c r="AH5441" s="2" t="str">
        <f ca="1"/>
        <v>Bad</v>
      </c>
    </row>
    <row r="5442" spans="2:34" x14ac:dyDescent="0.2">
      <c r="B5442" s="2">
        <f ca="1"/>
        <v>0.82851744226011803</v>
      </c>
      <c r="O5442" s="2">
        <f ca="1"/>
        <v>1.7077254421747585</v>
      </c>
      <c r="X5442" s="2">
        <f ca="1"/>
        <v>54.455145855810379</v>
      </c>
      <c r="AG5442" s="2">
        <f ca="1"/>
        <v>0.66773123162216286</v>
      </c>
      <c r="AH5442" s="2" t="str">
        <f ca="1"/>
        <v>Bad</v>
      </c>
    </row>
    <row r="5443" spans="2:34" x14ac:dyDescent="0.2">
      <c r="B5443" s="2">
        <f ca="1"/>
        <v>0.33868009273607469</v>
      </c>
      <c r="O5443" s="2">
        <f ca="1"/>
        <v>0.7459552395934882</v>
      </c>
      <c r="X5443" s="2">
        <f ca="1"/>
        <v>55.9237090045849</v>
      </c>
      <c r="AG5443" s="2">
        <f ca="1"/>
        <v>0.34491303686823271</v>
      </c>
      <c r="AH5443" s="2" t="str">
        <f ca="1"/>
        <v>OK</v>
      </c>
    </row>
    <row r="5444" spans="2:34" x14ac:dyDescent="0.2">
      <c r="B5444" s="2">
        <f ca="1"/>
        <v>0.56585060542419741</v>
      </c>
      <c r="O5444" s="2">
        <f ca="1"/>
        <v>-1.1861305552533674</v>
      </c>
      <c r="X5444" s="2">
        <f ca="1"/>
        <v>52.731106022392936</v>
      </c>
      <c r="AG5444" s="2">
        <f ca="1"/>
        <v>0.14294618653409441</v>
      </c>
      <c r="AH5444" s="2" t="str">
        <f ca="1"/>
        <v>OK</v>
      </c>
    </row>
    <row r="5445" spans="2:34" x14ac:dyDescent="0.2">
      <c r="B5445" s="2">
        <f ca="1"/>
        <v>0.65332151781962211</v>
      </c>
      <c r="O5445" s="2">
        <f ca="1"/>
        <v>0.77695666971962585</v>
      </c>
      <c r="X5445" s="2">
        <f ca="1"/>
        <v>36.46881322721638</v>
      </c>
      <c r="AG5445" s="2">
        <f ca="1"/>
        <v>0.38195914675038178</v>
      </c>
      <c r="AH5445" s="2" t="str">
        <f ca="1"/>
        <v>OK</v>
      </c>
    </row>
    <row r="5446" spans="2:34" x14ac:dyDescent="0.2">
      <c r="B5446" s="2">
        <f ca="1"/>
        <v>0.45624109669387902</v>
      </c>
      <c r="O5446" s="2">
        <f ca="1"/>
        <v>1.4235253311138889</v>
      </c>
      <c r="X5446" s="2">
        <f ca="1"/>
        <v>61.120440432799832</v>
      </c>
      <c r="AG5446" s="2">
        <f ca="1"/>
        <v>0.74419797500256202</v>
      </c>
      <c r="AH5446" s="2" t="str">
        <f ca="1"/>
        <v>Bad</v>
      </c>
    </row>
    <row r="5447" spans="2:34" x14ac:dyDescent="0.2">
      <c r="B5447" s="2">
        <f ca="1"/>
        <v>0.52838910078740042</v>
      </c>
      <c r="O5447" s="2">
        <f ca="1"/>
        <v>0.39597504878857082</v>
      </c>
      <c r="X5447" s="2">
        <f ca="1"/>
        <v>41.42403259437814</v>
      </c>
      <c r="AG5447" s="2">
        <f ca="1"/>
        <v>0.56348224693049476</v>
      </c>
      <c r="AH5447" s="2" t="str">
        <f ca="1"/>
        <v>Bad</v>
      </c>
    </row>
    <row r="5448" spans="2:34" x14ac:dyDescent="0.2">
      <c r="B5448" s="2">
        <f ca="1"/>
        <v>0.14159295051929766</v>
      </c>
      <c r="O5448" s="2">
        <f ca="1"/>
        <v>-0.1344378997131819</v>
      </c>
      <c r="X5448" s="2">
        <f ca="1"/>
        <v>53.533589226084636</v>
      </c>
      <c r="AG5448" s="2">
        <f ca="1"/>
        <v>0.66797137395449946</v>
      </c>
      <c r="AH5448" s="2" t="str">
        <f ca="1"/>
        <v>Bad</v>
      </c>
    </row>
    <row r="5449" spans="2:34" x14ac:dyDescent="0.2">
      <c r="B5449" s="2">
        <f ca="1"/>
        <v>0.13537729615093941</v>
      </c>
      <c r="O5449" s="2">
        <f ca="1"/>
        <v>-0.39902423254114505</v>
      </c>
      <c r="X5449" s="2">
        <f ca="1"/>
        <v>46.520386681780785</v>
      </c>
      <c r="AG5449" s="2">
        <f ca="1"/>
        <v>0.60039243770933148</v>
      </c>
      <c r="AH5449" s="2" t="str">
        <f ca="1"/>
        <v>Bad</v>
      </c>
    </row>
    <row r="5450" spans="2:34" x14ac:dyDescent="0.2">
      <c r="B5450" s="2">
        <f ca="1"/>
        <v>0.81743085038881014</v>
      </c>
      <c r="O5450" s="2">
        <f ca="1"/>
        <v>-0.46580761053531777</v>
      </c>
      <c r="X5450" s="2">
        <f ca="1"/>
        <v>39.113495709481462</v>
      </c>
      <c r="AG5450" s="2">
        <f ca="1"/>
        <v>0.53853095766744019</v>
      </c>
      <c r="AH5450" s="2" t="str">
        <f ca="1"/>
        <v>Bad</v>
      </c>
    </row>
    <row r="5451" spans="2:34" x14ac:dyDescent="0.2">
      <c r="B5451" s="2">
        <f ca="1"/>
        <v>0.81225740823623704</v>
      </c>
      <c r="O5451" s="2">
        <f ca="1"/>
        <v>-0.27166581833444825</v>
      </c>
      <c r="X5451" s="2">
        <f ca="1"/>
        <v>44.908971104807492</v>
      </c>
      <c r="AG5451" s="2">
        <f ca="1"/>
        <v>0.30314546259429176</v>
      </c>
      <c r="AH5451" s="2" t="str">
        <f ca="1"/>
        <v>OK</v>
      </c>
    </row>
    <row r="5452" spans="2:34" x14ac:dyDescent="0.2">
      <c r="B5452" s="2">
        <f ca="1"/>
        <v>2.9787149569328264E-2</v>
      </c>
      <c r="O5452" s="2">
        <f ca="1"/>
        <v>-1.1619565394563824</v>
      </c>
      <c r="X5452" s="2">
        <f ca="1"/>
        <v>58.451110610318466</v>
      </c>
      <c r="AG5452" s="2">
        <f ca="1"/>
        <v>0.95036419899697</v>
      </c>
      <c r="AH5452" s="2" t="str">
        <f ca="1"/>
        <v>Bad</v>
      </c>
    </row>
    <row r="5453" spans="2:34" x14ac:dyDescent="0.2">
      <c r="B5453" s="2">
        <f ca="1"/>
        <v>0.56294720099580164</v>
      </c>
      <c r="O5453" s="2">
        <f ca="1"/>
        <v>-0.90179671226505598</v>
      </c>
      <c r="X5453" s="2">
        <f ca="1"/>
        <v>55.478817931112204</v>
      </c>
      <c r="AG5453" s="2">
        <f ca="1"/>
        <v>0.81498797555670399</v>
      </c>
      <c r="AH5453" s="2" t="str">
        <f ca="1"/>
        <v>Bad</v>
      </c>
    </row>
    <row r="5454" spans="2:34" x14ac:dyDescent="0.2">
      <c r="B5454" s="2">
        <f ca="1"/>
        <v>0.6209369950408381</v>
      </c>
      <c r="O5454" s="2">
        <f ca="1"/>
        <v>-0.67862098159263251</v>
      </c>
      <c r="X5454" s="2">
        <f ca="1"/>
        <v>85.507528681753655</v>
      </c>
      <c r="AG5454" s="2">
        <f ca="1"/>
        <v>0.14292936063584505</v>
      </c>
      <c r="AH5454" s="2" t="str">
        <f ca="1"/>
        <v>OK</v>
      </c>
    </row>
    <row r="5455" spans="2:34" x14ac:dyDescent="0.2">
      <c r="B5455" s="2">
        <f ca="1"/>
        <v>0.96741711933906349</v>
      </c>
      <c r="O5455" s="2">
        <f ca="1"/>
        <v>0.59066501256805615</v>
      </c>
      <c r="X5455" s="2">
        <f ca="1"/>
        <v>39.715243642886968</v>
      </c>
      <c r="AG5455" s="2">
        <f ca="1"/>
        <v>4.6670981782740872E-2</v>
      </c>
      <c r="AH5455" s="2" t="str">
        <f ca="1"/>
        <v>Good</v>
      </c>
    </row>
    <row r="5456" spans="2:34" x14ac:dyDescent="0.2">
      <c r="B5456" s="2">
        <f ca="1"/>
        <v>3.4750696298380568E-2</v>
      </c>
      <c r="O5456" s="2">
        <f ca="1"/>
        <v>0.80440487980470776</v>
      </c>
      <c r="X5456" s="2">
        <f ca="1"/>
        <v>53.804889916936567</v>
      </c>
      <c r="AG5456" s="2">
        <f ca="1"/>
        <v>0.83372527112455352</v>
      </c>
      <c r="AH5456" s="2" t="str">
        <f ca="1"/>
        <v>Bad</v>
      </c>
    </row>
    <row r="5457" spans="2:34" x14ac:dyDescent="0.2">
      <c r="B5457" s="2">
        <f ca="1"/>
        <v>0.14396045603706087</v>
      </c>
      <c r="O5457" s="2">
        <f ca="1"/>
        <v>-0.63603154605193413</v>
      </c>
      <c r="X5457" s="2">
        <f ca="1"/>
        <v>18.041752755705865</v>
      </c>
      <c r="AG5457" s="2">
        <f ca="1"/>
        <v>0.15034165927057397</v>
      </c>
      <c r="AH5457" s="2" t="str">
        <f ca="1"/>
        <v>OK</v>
      </c>
    </row>
    <row r="5458" spans="2:34" x14ac:dyDescent="0.2">
      <c r="B5458" s="2">
        <f ca="1"/>
        <v>0.88634314622050181</v>
      </c>
      <c r="O5458" s="2">
        <f ca="1"/>
        <v>-1.414864141708547</v>
      </c>
      <c r="X5458" s="2">
        <f ca="1"/>
        <v>92.640062991542166</v>
      </c>
      <c r="AG5458" s="2">
        <f ca="1"/>
        <v>0.73044263154246258</v>
      </c>
      <c r="AH5458" s="2" t="str">
        <f ca="1"/>
        <v>Bad</v>
      </c>
    </row>
    <row r="5459" spans="2:34" x14ac:dyDescent="0.2">
      <c r="B5459" s="2">
        <f ca="1"/>
        <v>0.54952967784331741</v>
      </c>
      <c r="O5459" s="2">
        <f ca="1"/>
        <v>-0.12083584844644113</v>
      </c>
      <c r="X5459" s="2">
        <f ca="1"/>
        <v>42.793734212270763</v>
      </c>
      <c r="AG5459" s="2">
        <f ca="1"/>
        <v>0.93975547250491998</v>
      </c>
      <c r="AH5459" s="2" t="str">
        <f ca="1"/>
        <v>Bad</v>
      </c>
    </row>
    <row r="5460" spans="2:34" x14ac:dyDescent="0.2">
      <c r="B5460" s="2">
        <f ca="1"/>
        <v>3.057308512539092E-2</v>
      </c>
      <c r="O5460" s="2">
        <f ca="1"/>
        <v>1.0575734515301267</v>
      </c>
      <c r="X5460" s="2">
        <f ca="1"/>
        <v>47.819969025737699</v>
      </c>
      <c r="AG5460" s="2">
        <f ca="1"/>
        <v>0.21386128979996988</v>
      </c>
      <c r="AH5460" s="2" t="str">
        <f ca="1"/>
        <v>OK</v>
      </c>
    </row>
    <row r="5461" spans="2:34" x14ac:dyDescent="0.2">
      <c r="B5461" s="2">
        <f ca="1"/>
        <v>0.55327539924212066</v>
      </c>
      <c r="O5461" s="2">
        <f ca="1"/>
        <v>1.3396202037259646</v>
      </c>
      <c r="X5461" s="2">
        <f ca="1"/>
        <v>26.179286071219437</v>
      </c>
      <c r="AG5461" s="2">
        <f ca="1"/>
        <v>0.39174582808912461</v>
      </c>
      <c r="AH5461" s="2" t="str">
        <f ca="1"/>
        <v>OK</v>
      </c>
    </row>
    <row r="5462" spans="2:34" x14ac:dyDescent="0.2">
      <c r="B5462" s="2">
        <f ca="1"/>
        <v>0.21660709052094407</v>
      </c>
      <c r="O5462" s="2">
        <f ca="1"/>
        <v>0.30122992466568538</v>
      </c>
      <c r="X5462" s="2">
        <f ca="1"/>
        <v>34.113847286647569</v>
      </c>
      <c r="AG5462" s="2">
        <f ca="1"/>
        <v>0.49796590887751235</v>
      </c>
      <c r="AH5462" s="2" t="str">
        <f ca="1"/>
        <v>Bad</v>
      </c>
    </row>
    <row r="5463" spans="2:34" x14ac:dyDescent="0.2">
      <c r="B5463" s="2">
        <f ca="1"/>
        <v>9.5093092169251658E-2</v>
      </c>
      <c r="O5463" s="2">
        <f ca="1"/>
        <v>-1.1556236582580885</v>
      </c>
      <c r="X5463" s="2">
        <f ca="1"/>
        <v>43.994843268743836</v>
      </c>
      <c r="AG5463" s="2">
        <f ca="1"/>
        <v>0.95005647684436001</v>
      </c>
      <c r="AH5463" s="2" t="str">
        <f ca="1"/>
        <v>Bad</v>
      </c>
    </row>
    <row r="5464" spans="2:34" x14ac:dyDescent="0.2">
      <c r="B5464" s="2">
        <f ca="1"/>
        <v>0.98836535086017441</v>
      </c>
      <c r="O5464" s="2">
        <f ca="1"/>
        <v>-1.3326495880713569</v>
      </c>
      <c r="X5464" s="2">
        <f ca="1"/>
        <v>67.748349175928581</v>
      </c>
      <c r="AG5464" s="2">
        <f ca="1"/>
        <v>0.76362944820721768</v>
      </c>
      <c r="AH5464" s="2" t="str">
        <f ca="1"/>
        <v>Bad</v>
      </c>
    </row>
    <row r="5465" spans="2:34" x14ac:dyDescent="0.2">
      <c r="B5465" s="2">
        <f ca="1"/>
        <v>0.75399291813874325</v>
      </c>
      <c r="O5465" s="2">
        <f ca="1"/>
        <v>-9.8445889315530943E-2</v>
      </c>
      <c r="X5465" s="2">
        <f ca="1"/>
        <v>41.603515337677564</v>
      </c>
      <c r="AG5465" s="2">
        <f ca="1"/>
        <v>0.12024328416719188</v>
      </c>
      <c r="AH5465" s="2" t="str">
        <f ca="1"/>
        <v>OK</v>
      </c>
    </row>
    <row r="5466" spans="2:34" x14ac:dyDescent="0.2">
      <c r="B5466" s="2">
        <f ca="1"/>
        <v>0.20022911556306777</v>
      </c>
      <c r="O5466" s="2">
        <f ca="1"/>
        <v>-0.79838888096585336</v>
      </c>
      <c r="X5466" s="2">
        <f ca="1"/>
        <v>59.794964112651613</v>
      </c>
      <c r="AG5466" s="2">
        <f ca="1"/>
        <v>0.80035404376487529</v>
      </c>
      <c r="AH5466" s="2" t="str">
        <f ca="1"/>
        <v>Bad</v>
      </c>
    </row>
    <row r="5467" spans="2:34" x14ac:dyDescent="0.2">
      <c r="B5467" s="2">
        <f ca="1"/>
        <v>0.8165989294492626</v>
      </c>
      <c r="O5467" s="2">
        <f ca="1"/>
        <v>0.58326586990293872</v>
      </c>
      <c r="X5467" s="2">
        <f ca="1"/>
        <v>84.556958816531846</v>
      </c>
      <c r="AG5467" s="2">
        <f ca="1"/>
        <v>0.46379132337637152</v>
      </c>
      <c r="AH5467" s="2" t="str">
        <f ca="1"/>
        <v>Bad</v>
      </c>
    </row>
    <row r="5468" spans="2:34" x14ac:dyDescent="0.2">
      <c r="B5468" s="2">
        <f ca="1"/>
        <v>0.79329150373706958</v>
      </c>
      <c r="O5468" s="2">
        <f ca="1"/>
        <v>-0.49074859881394328</v>
      </c>
      <c r="X5468" s="2">
        <f ca="1"/>
        <v>31.205652063578988</v>
      </c>
      <c r="AG5468" s="2">
        <f ca="1"/>
        <v>0.45576111136724329</v>
      </c>
      <c r="AH5468" s="2" t="str">
        <f ca="1"/>
        <v>Bad</v>
      </c>
    </row>
    <row r="5469" spans="2:34" x14ac:dyDescent="0.2">
      <c r="B5469" s="2">
        <f ca="1"/>
        <v>0.51108932991655442</v>
      </c>
      <c r="O5469" s="2">
        <f ca="1"/>
        <v>0.31369665193146523</v>
      </c>
      <c r="X5469" s="2">
        <f ca="1"/>
        <v>38.074932510480423</v>
      </c>
      <c r="AG5469" s="2">
        <f ca="1"/>
        <v>0.16413726708429066</v>
      </c>
      <c r="AH5469" s="2" t="str">
        <f ca="1"/>
        <v>OK</v>
      </c>
    </row>
    <row r="5470" spans="2:34" x14ac:dyDescent="0.2">
      <c r="B5470" s="2">
        <f ca="1"/>
        <v>0.3391765211469715</v>
      </c>
      <c r="O5470" s="2">
        <f ca="1"/>
        <v>2.1185738992960768</v>
      </c>
      <c r="X5470" s="2">
        <f ca="1"/>
        <v>37.441274473051635</v>
      </c>
      <c r="AG5470" s="2">
        <f ca="1"/>
        <v>0.53413665601822014</v>
      </c>
      <c r="AH5470" s="2" t="str">
        <f ca="1"/>
        <v>Bad</v>
      </c>
    </row>
    <row r="5471" spans="2:34" x14ac:dyDescent="0.2">
      <c r="B5471" s="2">
        <f ca="1"/>
        <v>0.14959602882026846</v>
      </c>
      <c r="O5471" s="2">
        <f ca="1"/>
        <v>-1.1757214468546406</v>
      </c>
      <c r="X5471" s="2">
        <f ca="1"/>
        <v>34.717648209210985</v>
      </c>
      <c r="AG5471" s="2">
        <f ca="1"/>
        <v>0.56533816480980259</v>
      </c>
      <c r="AH5471" s="2" t="str">
        <f ca="1"/>
        <v>Bad</v>
      </c>
    </row>
    <row r="5472" spans="2:34" x14ac:dyDescent="0.2">
      <c r="B5472" s="2">
        <f ca="1"/>
        <v>0.85816744785616494</v>
      </c>
      <c r="O5472" s="2">
        <f ca="1"/>
        <v>-1.7221420449457638</v>
      </c>
      <c r="X5472" s="2">
        <f ca="1"/>
        <v>43.157634781849438</v>
      </c>
      <c r="AG5472" s="2">
        <f ca="1"/>
        <v>0.61182999956304651</v>
      </c>
      <c r="AH5472" s="2" t="str">
        <f ca="1"/>
        <v>Bad</v>
      </c>
    </row>
    <row r="5473" spans="2:34" x14ac:dyDescent="0.2">
      <c r="B5473" s="2">
        <f ca="1"/>
        <v>0.63099915173812549</v>
      </c>
      <c r="O5473" s="2">
        <f ca="1"/>
        <v>-0.85416550354738052</v>
      </c>
      <c r="X5473" s="2">
        <f ca="1"/>
        <v>56.285499974035488</v>
      </c>
      <c r="AG5473" s="2">
        <f ca="1"/>
        <v>3.6948162169111454E-2</v>
      </c>
      <c r="AH5473" s="2" t="str">
        <f ca="1"/>
        <v>Good</v>
      </c>
    </row>
    <row r="5474" spans="2:34" x14ac:dyDescent="0.2">
      <c r="B5474" s="2">
        <f ca="1"/>
        <v>0.17877493187228111</v>
      </c>
      <c r="O5474" s="2">
        <f ca="1"/>
        <v>0.63993559331093319</v>
      </c>
      <c r="X5474" s="2">
        <f ca="1"/>
        <v>40.014846963822166</v>
      </c>
      <c r="AG5474" s="2">
        <f ca="1"/>
        <v>6.312840022765176E-2</v>
      </c>
      <c r="AH5474" s="2" t="str">
        <f ca="1"/>
        <v>OK</v>
      </c>
    </row>
    <row r="5475" spans="2:34" x14ac:dyDescent="0.2">
      <c r="B5475" s="2">
        <f ca="1"/>
        <v>0.94488583929511494</v>
      </c>
      <c r="O5475" s="2">
        <f ca="1"/>
        <v>-0.20613054770934505</v>
      </c>
      <c r="X5475" s="2">
        <f ca="1"/>
        <v>32.307957109646154</v>
      </c>
      <c r="AG5475" s="2">
        <f ca="1"/>
        <v>0.50053504015890504</v>
      </c>
      <c r="AH5475" s="2" t="str">
        <f ca="1"/>
        <v>Bad</v>
      </c>
    </row>
    <row r="5476" spans="2:34" x14ac:dyDescent="0.2">
      <c r="B5476" s="2">
        <f ca="1"/>
        <v>0.41054556560655553</v>
      </c>
      <c r="O5476" s="2">
        <f ca="1"/>
        <v>-1.0066276892466197</v>
      </c>
      <c r="X5476" s="2">
        <f ca="1"/>
        <v>66.841111790482017</v>
      </c>
      <c r="AG5476" s="2">
        <f ca="1"/>
        <v>0.50210542774172251</v>
      </c>
      <c r="AH5476" s="2" t="str">
        <f ca="1"/>
        <v>Bad</v>
      </c>
    </row>
    <row r="5477" spans="2:34" x14ac:dyDescent="0.2">
      <c r="B5477" s="2">
        <f ca="1"/>
        <v>0.50211334707402533</v>
      </c>
      <c r="O5477" s="2">
        <f ca="1"/>
        <v>-0.71459474632886666</v>
      </c>
      <c r="X5477" s="2">
        <f ca="1"/>
        <v>52.907859644602866</v>
      </c>
      <c r="AG5477" s="2">
        <f ca="1"/>
        <v>0.86936722710056502</v>
      </c>
      <c r="AH5477" s="2" t="str">
        <f ca="1"/>
        <v>Bad</v>
      </c>
    </row>
    <row r="5478" spans="2:34" x14ac:dyDescent="0.2">
      <c r="B5478" s="2">
        <f ca="1"/>
        <v>0.99806300508070112</v>
      </c>
      <c r="O5478" s="2">
        <f ca="1"/>
        <v>-0.26496950787407192</v>
      </c>
      <c r="X5478" s="2">
        <f ca="1"/>
        <v>68.230271701405414</v>
      </c>
      <c r="AG5478" s="2">
        <f ca="1"/>
        <v>0.75537399020552876</v>
      </c>
      <c r="AH5478" s="2" t="str">
        <f ca="1"/>
        <v>Bad</v>
      </c>
    </row>
    <row r="5479" spans="2:34" x14ac:dyDescent="0.2">
      <c r="B5479" s="2">
        <f ca="1"/>
        <v>0.50254403419847393</v>
      </c>
      <c r="O5479" s="2">
        <f ca="1"/>
        <v>0.43830065741266722</v>
      </c>
      <c r="X5479" s="2">
        <f ca="1"/>
        <v>60.823716963125413</v>
      </c>
      <c r="AG5479" s="2">
        <f ca="1"/>
        <v>8.4578499974514942E-2</v>
      </c>
      <c r="AH5479" s="2" t="str">
        <f ca="1"/>
        <v>OK</v>
      </c>
    </row>
    <row r="5480" spans="2:34" x14ac:dyDescent="0.2">
      <c r="B5480" s="2">
        <f ca="1"/>
        <v>0.9016492206402511</v>
      </c>
      <c r="O5480" s="2">
        <f ca="1"/>
        <v>-0.25675581288523608</v>
      </c>
      <c r="X5480" s="2">
        <f ca="1"/>
        <v>35.658676923130372</v>
      </c>
      <c r="AG5480" s="2">
        <f ca="1"/>
        <v>0.66637909578894083</v>
      </c>
      <c r="AH5480" s="2" t="str">
        <f ca="1"/>
        <v>Bad</v>
      </c>
    </row>
    <row r="5481" spans="2:34" x14ac:dyDescent="0.2">
      <c r="B5481" s="2">
        <f ca="1"/>
        <v>0.66881710326888522</v>
      </c>
      <c r="O5481" s="2">
        <f ca="1"/>
        <v>-0.55474607074733295</v>
      </c>
      <c r="X5481" s="2">
        <f ca="1"/>
        <v>66.850929698720833</v>
      </c>
      <c r="AG5481" s="2">
        <f ca="1"/>
        <v>0.2029912843925743</v>
      </c>
      <c r="AH5481" s="2" t="str">
        <f ca="1"/>
        <v>OK</v>
      </c>
    </row>
    <row r="5482" spans="2:34" x14ac:dyDescent="0.2">
      <c r="B5482" s="2">
        <f ca="1"/>
        <v>9.0851784695809901E-2</v>
      </c>
      <c r="O5482" s="2">
        <f ca="1"/>
        <v>0.59050898642997696</v>
      </c>
      <c r="X5482" s="2">
        <f ca="1"/>
        <v>86.682821550139394</v>
      </c>
      <c r="AG5482" s="2">
        <f ca="1"/>
        <v>0.91772999091813934</v>
      </c>
      <c r="AH5482" s="2" t="str">
        <f ca="1"/>
        <v>Bad</v>
      </c>
    </row>
    <row r="5483" spans="2:34" x14ac:dyDescent="0.2">
      <c r="B5483" s="2">
        <f ca="1"/>
        <v>0.28455790217646904</v>
      </c>
      <c r="O5483" s="2">
        <f ca="1"/>
        <v>8.9503764136409994E-2</v>
      </c>
      <c r="X5483" s="2">
        <f ca="1"/>
        <v>52.221538155506344</v>
      </c>
      <c r="AG5483" s="2">
        <f ca="1"/>
        <v>0.95802884312654601</v>
      </c>
      <c r="AH5483" s="2" t="str">
        <f ca="1"/>
        <v>Bad</v>
      </c>
    </row>
    <row r="5484" spans="2:34" x14ac:dyDescent="0.2">
      <c r="B5484" s="2">
        <f ca="1"/>
        <v>0.56449418722304134</v>
      </c>
      <c r="O5484" s="2">
        <f ca="1"/>
        <v>-0.3861720348185449</v>
      </c>
      <c r="X5484" s="2">
        <f ca="1"/>
        <v>68.658810215798184</v>
      </c>
      <c r="AG5484" s="2">
        <f ca="1"/>
        <v>0.80229519697607832</v>
      </c>
      <c r="AH5484" s="2" t="str">
        <f ca="1"/>
        <v>Bad</v>
      </c>
    </row>
    <row r="5485" spans="2:34" x14ac:dyDescent="0.2">
      <c r="B5485" s="2">
        <f ca="1"/>
        <v>0.97641471389314671</v>
      </c>
      <c r="O5485" s="2">
        <f ca="1"/>
        <v>1.6926633818205825</v>
      </c>
      <c r="X5485" s="2">
        <f ca="1"/>
        <v>52.663326130675436</v>
      </c>
      <c r="AG5485" s="2">
        <f ca="1"/>
        <v>0.44691503939850175</v>
      </c>
      <c r="AH5485" s="2" t="str">
        <f ca="1"/>
        <v>Bad</v>
      </c>
    </row>
    <row r="5486" spans="2:34" x14ac:dyDescent="0.2">
      <c r="B5486" s="2">
        <f ca="1"/>
        <v>0.35020681832483391</v>
      </c>
      <c r="O5486" s="2">
        <f ca="1"/>
        <v>-0.89238960699181979</v>
      </c>
      <c r="X5486" s="2">
        <f ca="1"/>
        <v>53.81113111252656</v>
      </c>
      <c r="AG5486" s="2">
        <f ca="1"/>
        <v>0.88239953468103804</v>
      </c>
      <c r="AH5486" s="2" t="str">
        <f ca="1"/>
        <v>Bad</v>
      </c>
    </row>
    <row r="5487" spans="2:34" x14ac:dyDescent="0.2">
      <c r="B5487" s="2">
        <f ca="1"/>
        <v>0.41178263559649086</v>
      </c>
      <c r="O5487" s="2">
        <f ca="1"/>
        <v>-1.1442386125014812</v>
      </c>
      <c r="X5487" s="2">
        <f ca="1"/>
        <v>39.365063756364236</v>
      </c>
      <c r="AG5487" s="2">
        <f ca="1"/>
        <v>0.93640283118971812</v>
      </c>
      <c r="AH5487" s="2" t="str">
        <f ca="1"/>
        <v>Bad</v>
      </c>
    </row>
    <row r="5488" spans="2:34" x14ac:dyDescent="0.2">
      <c r="B5488" s="2">
        <f ca="1"/>
        <v>0.35232169863359353</v>
      </c>
      <c r="O5488" s="2">
        <f ca="1"/>
        <v>-2.5456310107334987</v>
      </c>
      <c r="X5488" s="2">
        <f ca="1"/>
        <v>40.516244843876905</v>
      </c>
      <c r="AG5488" s="2">
        <f ca="1"/>
        <v>0.22508127426832458</v>
      </c>
      <c r="AH5488" s="2" t="str">
        <f ca="1"/>
        <v>OK</v>
      </c>
    </row>
    <row r="5489" spans="2:34" x14ac:dyDescent="0.2">
      <c r="B5489" s="2">
        <f ca="1"/>
        <v>0.45029304807242876</v>
      </c>
      <c r="O5489" s="2">
        <f ca="1"/>
        <v>1.4761083597637519</v>
      </c>
      <c r="X5489" s="2">
        <f ca="1"/>
        <v>46.660645013628297</v>
      </c>
      <c r="AG5489" s="2">
        <f ca="1"/>
        <v>0.7556514342106988</v>
      </c>
      <c r="AH5489" s="2" t="str">
        <f ca="1"/>
        <v>Bad</v>
      </c>
    </row>
    <row r="5490" spans="2:34" x14ac:dyDescent="0.2">
      <c r="B5490" s="2">
        <f ca="1"/>
        <v>0.86616444838666284</v>
      </c>
      <c r="O5490" s="2">
        <f ca="1"/>
        <v>-0.42997597758813066</v>
      </c>
      <c r="X5490" s="2">
        <f ca="1"/>
        <v>26.548759785526386</v>
      </c>
      <c r="AG5490" s="2">
        <f ca="1"/>
        <v>0.34064725274934826</v>
      </c>
      <c r="AH5490" s="2" t="str">
        <f ca="1"/>
        <v>OK</v>
      </c>
    </row>
    <row r="5491" spans="2:34" x14ac:dyDescent="0.2">
      <c r="B5491" s="2">
        <f ca="1"/>
        <v>5.9869726550453528E-2</v>
      </c>
      <c r="O5491" s="2">
        <f ca="1"/>
        <v>-0.7351252527186829</v>
      </c>
      <c r="X5491" s="2">
        <f ca="1"/>
        <v>82.988083016106557</v>
      </c>
      <c r="AG5491" s="2">
        <f ca="1"/>
        <v>0.38693699626907629</v>
      </c>
      <c r="AH5491" s="2" t="str">
        <f ca="1"/>
        <v>OK</v>
      </c>
    </row>
    <row r="5492" spans="2:34" x14ac:dyDescent="0.2">
      <c r="B5492" s="2">
        <f ca="1"/>
        <v>0.6229785161321566</v>
      </c>
      <c r="O5492" s="2">
        <f ca="1"/>
        <v>0.46914113464221258</v>
      </c>
      <c r="X5492" s="2">
        <f ca="1"/>
        <v>84.082196316573189</v>
      </c>
      <c r="AG5492" s="2">
        <f ca="1"/>
        <v>0.2515992792347379</v>
      </c>
      <c r="AH5492" s="2" t="str">
        <f ca="1"/>
        <v>OK</v>
      </c>
    </row>
    <row r="5493" spans="2:34" x14ac:dyDescent="0.2">
      <c r="B5493" s="2">
        <f ca="1"/>
        <v>4.1486178235347504E-2</v>
      </c>
      <c r="O5493" s="2">
        <f ca="1"/>
        <v>-2.0455950232145814</v>
      </c>
      <c r="X5493" s="2">
        <f ca="1"/>
        <v>48.365194953668592</v>
      </c>
      <c r="AG5493" s="2">
        <f ca="1"/>
        <v>0.81681524142356277</v>
      </c>
      <c r="AH5493" s="2" t="str">
        <f ca="1"/>
        <v>Bad</v>
      </c>
    </row>
    <row r="5494" spans="2:34" x14ac:dyDescent="0.2">
      <c r="B5494" s="2">
        <f ca="1"/>
        <v>0.54951791959283591</v>
      </c>
      <c r="O5494" s="2">
        <f ca="1"/>
        <v>0.72532202152886127</v>
      </c>
      <c r="X5494" s="2">
        <f ca="1"/>
        <v>40.179707421444022</v>
      </c>
      <c r="AG5494" s="2">
        <f ca="1"/>
        <v>0.72794265093806776</v>
      </c>
      <c r="AH5494" s="2" t="str">
        <f ca="1"/>
        <v>Bad</v>
      </c>
    </row>
    <row r="5495" spans="2:34" x14ac:dyDescent="0.2">
      <c r="B5495" s="2">
        <f ca="1"/>
        <v>0.85506728434240009</v>
      </c>
      <c r="O5495" s="2">
        <f ca="1"/>
        <v>1.0969554986277985</v>
      </c>
      <c r="X5495" s="2">
        <f ca="1"/>
        <v>45.901871911402907</v>
      </c>
      <c r="AG5495" s="2">
        <f ca="1"/>
        <v>0.78579745796947553</v>
      </c>
      <c r="AH5495" s="2" t="str">
        <f ca="1"/>
        <v>Bad</v>
      </c>
    </row>
    <row r="5496" spans="2:34" x14ac:dyDescent="0.2">
      <c r="B5496" s="2">
        <f ca="1"/>
        <v>0.86929443254994254</v>
      </c>
      <c r="O5496" s="2">
        <f ca="1"/>
        <v>1.5312777685332242</v>
      </c>
      <c r="X5496" s="2">
        <f ca="1"/>
        <v>72.494633233155852</v>
      </c>
      <c r="AG5496" s="2">
        <f ca="1"/>
        <v>0.41716944035013093</v>
      </c>
      <c r="AH5496" s="2" t="str">
        <f ca="1"/>
        <v>Bad</v>
      </c>
    </row>
    <row r="5497" spans="2:34" x14ac:dyDescent="0.2">
      <c r="B5497" s="2">
        <f ca="1"/>
        <v>0.44295246538973099</v>
      </c>
      <c r="O5497" s="2">
        <f ca="1"/>
        <v>0.62610295345333977</v>
      </c>
      <c r="X5497" s="2">
        <f ca="1"/>
        <v>51.006081296983716</v>
      </c>
      <c r="AG5497" s="2">
        <f ca="1"/>
        <v>0.11110886869432246</v>
      </c>
      <c r="AH5497" s="2" t="str">
        <f ca="1"/>
        <v>OK</v>
      </c>
    </row>
    <row r="5498" spans="2:34" x14ac:dyDescent="0.2">
      <c r="B5498" s="2">
        <f ca="1"/>
        <v>0.82164847340013991</v>
      </c>
      <c r="O5498" s="2">
        <f ca="1"/>
        <v>1.2866341656684726</v>
      </c>
      <c r="X5498" s="2">
        <f ca="1"/>
        <v>43.033518209123102</v>
      </c>
      <c r="AG5498" s="2">
        <f ca="1"/>
        <v>0.4261170599690669</v>
      </c>
      <c r="AH5498" s="2" t="str">
        <f ca="1"/>
        <v>Bad</v>
      </c>
    </row>
    <row r="5499" spans="2:34" x14ac:dyDescent="0.2">
      <c r="B5499" s="2">
        <f ca="1"/>
        <v>0.70771575327643821</v>
      </c>
      <c r="O5499" s="2">
        <f ca="1"/>
        <v>0.36287901135363837</v>
      </c>
      <c r="X5499" s="2">
        <f ca="1"/>
        <v>48.131531193701406</v>
      </c>
      <c r="AG5499" s="2">
        <f ca="1"/>
        <v>0.4876213438215371</v>
      </c>
      <c r="AH5499" s="2" t="str">
        <f ca="1"/>
        <v>Bad</v>
      </c>
    </row>
    <row r="5500" spans="2:34" x14ac:dyDescent="0.2">
      <c r="B5500" s="2">
        <f ca="1"/>
        <v>0.92416012319552143</v>
      </c>
      <c r="O5500" s="2">
        <f ca="1"/>
        <v>-0.34565097306788251</v>
      </c>
      <c r="X5500" s="2">
        <f ca="1"/>
        <v>55.835952806186185</v>
      </c>
      <c r="AG5500" s="2">
        <f ca="1"/>
        <v>0.87601499245430037</v>
      </c>
      <c r="AH5500" s="2" t="str">
        <f ca="1"/>
        <v>Bad</v>
      </c>
    </row>
    <row r="5501" spans="2:34" x14ac:dyDescent="0.2">
      <c r="B5501" s="2">
        <f ca="1"/>
        <v>0.59322167904013012</v>
      </c>
      <c r="O5501" s="2">
        <f ca="1"/>
        <v>0.34400140416348257</v>
      </c>
      <c r="X5501" s="2">
        <f ca="1"/>
        <v>41.390527515593647</v>
      </c>
      <c r="AG5501" s="2">
        <f ca="1"/>
        <v>0.14585562210457659</v>
      </c>
      <c r="AH5501" s="2" t="str">
        <f ca="1"/>
        <v>OK</v>
      </c>
    </row>
    <row r="5502" spans="2:34" x14ac:dyDescent="0.2">
      <c r="B5502" s="2">
        <f ca="1"/>
        <v>0.24230078407277489</v>
      </c>
      <c r="O5502" s="2">
        <f ca="1"/>
        <v>-1.1237966446005765</v>
      </c>
      <c r="X5502" s="2">
        <f ca="1"/>
        <v>56.596121313782149</v>
      </c>
      <c r="AG5502" s="2">
        <f ca="1"/>
        <v>0.82386359549611465</v>
      </c>
      <c r="AH5502" s="2" t="str">
        <f ca="1"/>
        <v>Bad</v>
      </c>
    </row>
    <row r="5503" spans="2:34" x14ac:dyDescent="0.2">
      <c r="B5503" s="2">
        <f ca="1"/>
        <v>0.67970594792197114</v>
      </c>
      <c r="O5503" s="2">
        <f ca="1"/>
        <v>-0.23017244400112208</v>
      </c>
      <c r="X5503" s="2">
        <f ca="1"/>
        <v>32.447015171309104</v>
      </c>
      <c r="AG5503" s="2">
        <f ca="1"/>
        <v>0.12183960324484477</v>
      </c>
      <c r="AH5503" s="2" t="str">
        <f ca="1"/>
        <v>OK</v>
      </c>
    </row>
    <row r="5504" spans="2:34" x14ac:dyDescent="0.2">
      <c r="B5504" s="2">
        <f ca="1"/>
        <v>5.1626906182830279E-2</v>
      </c>
      <c r="O5504" s="2">
        <f ca="1"/>
        <v>-0.29117461553831608</v>
      </c>
      <c r="X5504" s="2">
        <f ca="1"/>
        <v>66.051885070469211</v>
      </c>
      <c r="AG5504" s="2">
        <f ca="1"/>
        <v>0.76042123533472261</v>
      </c>
      <c r="AH5504" s="2" t="str">
        <f ca="1"/>
        <v>Bad</v>
      </c>
    </row>
    <row r="5505" spans="2:34" x14ac:dyDescent="0.2">
      <c r="B5505" s="2">
        <f ca="1"/>
        <v>0.65763543832473492</v>
      </c>
      <c r="O5505" s="2">
        <f ca="1"/>
        <v>1.5415809808536225</v>
      </c>
      <c r="X5505" s="2">
        <f ca="1"/>
        <v>53.05213478708815</v>
      </c>
      <c r="AG5505" s="2">
        <f ca="1"/>
        <v>0.29302770241065801</v>
      </c>
      <c r="AH5505" s="2" t="str">
        <f ca="1"/>
        <v>OK</v>
      </c>
    </row>
    <row r="5506" spans="2:34" x14ac:dyDescent="0.2">
      <c r="B5506" s="2">
        <f ca="1"/>
        <v>5.0189636511378755E-2</v>
      </c>
      <c r="O5506" s="2">
        <f ca="1"/>
        <v>-0.75561214047453329</v>
      </c>
      <c r="X5506" s="2">
        <f ca="1"/>
        <v>51.451250535740172</v>
      </c>
      <c r="AG5506" s="2">
        <f ca="1"/>
        <v>0.61824996070089488</v>
      </c>
      <c r="AH5506" s="2" t="str">
        <f ca="1"/>
        <v>Bad</v>
      </c>
    </row>
    <row r="5507" spans="2:34" x14ac:dyDescent="0.2">
      <c r="B5507" s="2">
        <f ca="1"/>
        <v>0.60212291443982413</v>
      </c>
      <c r="O5507" s="2">
        <f ca="1"/>
        <v>0.98386781967154291</v>
      </c>
      <c r="X5507" s="2">
        <f ca="1"/>
        <v>81.014495611072022</v>
      </c>
      <c r="AG5507" s="2">
        <f ca="1"/>
        <v>0.20699290428563888</v>
      </c>
      <c r="AH5507" s="2" t="str">
        <f ca="1"/>
        <v>OK</v>
      </c>
    </row>
    <row r="5508" spans="2:34" x14ac:dyDescent="0.2">
      <c r="B5508" s="2">
        <f ca="1"/>
        <v>0.55755276182835267</v>
      </c>
      <c r="O5508" s="2">
        <f ca="1"/>
        <v>1.0671082853351535</v>
      </c>
      <c r="X5508" s="2">
        <f ca="1"/>
        <v>47.986552079243268</v>
      </c>
      <c r="AG5508" s="2">
        <f ca="1"/>
        <v>0.50127634634393647</v>
      </c>
      <c r="AH5508" s="2" t="str">
        <f ca="1"/>
        <v>Bad</v>
      </c>
    </row>
    <row r="5509" spans="2:34" x14ac:dyDescent="0.2">
      <c r="B5509" s="2">
        <f ca="1"/>
        <v>0.70268090462674437</v>
      </c>
      <c r="O5509" s="2">
        <f ca="1"/>
        <v>1.8393391477767962</v>
      </c>
      <c r="X5509" s="2">
        <f ca="1"/>
        <v>43.900607630726554</v>
      </c>
      <c r="AG5509" s="2">
        <f ca="1"/>
        <v>0.63739853229409293</v>
      </c>
      <c r="AH5509" s="2" t="str">
        <f ca="1"/>
        <v>Bad</v>
      </c>
    </row>
    <row r="5510" spans="2:34" x14ac:dyDescent="0.2">
      <c r="B5510" s="2">
        <f ca="1"/>
        <v>0.627812087994992</v>
      </c>
      <c r="O5510" s="2">
        <f ca="1"/>
        <v>-0.56620018742307132</v>
      </c>
      <c r="X5510" s="2">
        <f ca="1"/>
        <v>47.150623135455383</v>
      </c>
      <c r="AG5510" s="2">
        <f ca="1"/>
        <v>0.55560135137814481</v>
      </c>
      <c r="AH5510" s="2" t="str">
        <f ca="1"/>
        <v>Bad</v>
      </c>
    </row>
    <row r="5511" spans="2:34" x14ac:dyDescent="0.2">
      <c r="B5511" s="2">
        <f ca="1"/>
        <v>0.7088223538297973</v>
      </c>
      <c r="O5511" s="2">
        <f ca="1"/>
        <v>-0.69607847805481615</v>
      </c>
      <c r="X5511" s="2">
        <f ca="1"/>
        <v>66.6908642057478</v>
      </c>
      <c r="AG5511" s="2">
        <f ca="1"/>
        <v>0.66157003564539529</v>
      </c>
      <c r="AH5511" s="2" t="str">
        <f ca="1"/>
        <v>Bad</v>
      </c>
    </row>
    <row r="5512" spans="2:34" x14ac:dyDescent="0.2">
      <c r="B5512" s="2">
        <f ca="1"/>
        <v>0.11931092372384344</v>
      </c>
      <c r="O5512" s="2">
        <f ca="1"/>
        <v>0.81851395069847588</v>
      </c>
      <c r="X5512" s="2">
        <f ca="1"/>
        <v>55.846453622001263</v>
      </c>
      <c r="AG5512" s="2">
        <f ca="1"/>
        <v>0.14455095614341285</v>
      </c>
      <c r="AH5512" s="2" t="str">
        <f ca="1"/>
        <v>OK</v>
      </c>
    </row>
    <row r="5513" spans="2:34" x14ac:dyDescent="0.2">
      <c r="B5513" s="2">
        <f ca="1"/>
        <v>0.69157138169630361</v>
      </c>
      <c r="O5513" s="2">
        <f ca="1"/>
        <v>-0.61231736813588677</v>
      </c>
      <c r="X5513" s="2">
        <f ca="1"/>
        <v>53.741268541227846</v>
      </c>
      <c r="AG5513" s="2">
        <f ca="1"/>
        <v>0.58409615747957933</v>
      </c>
      <c r="AH5513" s="2" t="str">
        <f ca="1"/>
        <v>Bad</v>
      </c>
    </row>
    <row r="5514" spans="2:34" x14ac:dyDescent="0.2">
      <c r="B5514" s="2">
        <f ca="1"/>
        <v>0.61281778880801374</v>
      </c>
      <c r="O5514" s="2">
        <f ca="1"/>
        <v>-0.65402794107832274</v>
      </c>
      <c r="X5514" s="2">
        <f ca="1"/>
        <v>52.790870400411322</v>
      </c>
      <c r="AG5514" s="2">
        <f ca="1"/>
        <v>0.22641122040147255</v>
      </c>
      <c r="AH5514" s="2" t="str">
        <f ca="1"/>
        <v>OK</v>
      </c>
    </row>
    <row r="5515" spans="2:34" x14ac:dyDescent="0.2">
      <c r="B5515" s="2">
        <f ca="1"/>
        <v>0.98528216357155296</v>
      </c>
      <c r="O5515" s="2">
        <f ca="1"/>
        <v>-0.86883390119491788</v>
      </c>
      <c r="X5515" s="2">
        <f ca="1"/>
        <v>44.70503819652297</v>
      </c>
      <c r="AG5515" s="2">
        <f ca="1"/>
        <v>0.79192689182447107</v>
      </c>
      <c r="AH5515" s="2" t="str">
        <f ca="1"/>
        <v>Bad</v>
      </c>
    </row>
    <row r="5516" spans="2:34" x14ac:dyDescent="0.2">
      <c r="B5516" s="2">
        <f ca="1"/>
        <v>0.30880362554782859</v>
      </c>
      <c r="O5516" s="2">
        <f ca="1"/>
        <v>1.3978627781566189</v>
      </c>
      <c r="X5516" s="2">
        <f ca="1"/>
        <v>46.677086165954044</v>
      </c>
      <c r="AG5516" s="2">
        <f ca="1"/>
        <v>6.3129173247163051E-2</v>
      </c>
      <c r="AH5516" s="2" t="str">
        <f ca="1"/>
        <v>OK</v>
      </c>
    </row>
    <row r="5517" spans="2:34" x14ac:dyDescent="0.2">
      <c r="B5517" s="2">
        <f ca="1"/>
        <v>0.25608240672862714</v>
      </c>
      <c r="O5517" s="2">
        <f ca="1"/>
        <v>0.47473063053239678</v>
      </c>
      <c r="X5517" s="2">
        <f ca="1"/>
        <v>38.833943564469031</v>
      </c>
      <c r="AG5517" s="2">
        <f ca="1"/>
        <v>0.17147430719137402</v>
      </c>
      <c r="AH5517" s="2" t="str">
        <f ca="1"/>
        <v>OK</v>
      </c>
    </row>
    <row r="5518" spans="2:34" x14ac:dyDescent="0.2">
      <c r="B5518" s="2">
        <f ca="1"/>
        <v>0.64210062756747188</v>
      </c>
      <c r="O5518" s="2">
        <f ca="1"/>
        <v>-1.0109951675425186</v>
      </c>
      <c r="X5518" s="2">
        <f ca="1"/>
        <v>63.618509894888426</v>
      </c>
      <c r="AG5518" s="2">
        <f ca="1"/>
        <v>0.87957669418106854</v>
      </c>
      <c r="AH5518" s="2" t="str">
        <f ca="1"/>
        <v>Bad</v>
      </c>
    </row>
    <row r="5519" spans="2:34" x14ac:dyDescent="0.2">
      <c r="B5519" s="2">
        <f ca="1"/>
        <v>0.40632794655918936</v>
      </c>
      <c r="O5519" s="2">
        <f ca="1"/>
        <v>0.40813230881873153</v>
      </c>
      <c r="X5519" s="2">
        <f ca="1"/>
        <v>45.817417616964164</v>
      </c>
      <c r="AG5519" s="2">
        <f ca="1"/>
        <v>0.28401328843423634</v>
      </c>
      <c r="AH5519" s="2" t="str">
        <f ca="1"/>
        <v>OK</v>
      </c>
    </row>
    <row r="5520" spans="2:34" x14ac:dyDescent="0.2">
      <c r="B5520" s="2">
        <f ca="1"/>
        <v>0.62703070143897066</v>
      </c>
      <c r="O5520" s="2">
        <f ca="1"/>
        <v>-1.7436451269179216</v>
      </c>
      <c r="X5520" s="2">
        <f ca="1"/>
        <v>59.241309280851937</v>
      </c>
      <c r="AG5520" s="2">
        <f ca="1"/>
        <v>0.22961343658047562</v>
      </c>
      <c r="AH5520" s="2" t="str">
        <f ca="1"/>
        <v>OK</v>
      </c>
    </row>
    <row r="5521" spans="2:34" x14ac:dyDescent="0.2">
      <c r="B5521" s="2">
        <f ca="1"/>
        <v>8.0864459285870938E-2</v>
      </c>
      <c r="O5521" s="2">
        <f ca="1"/>
        <v>4.0593622558256014E-2</v>
      </c>
      <c r="X5521" s="2">
        <f ca="1"/>
        <v>43.120459150764475</v>
      </c>
      <c r="AG5521" s="2">
        <f ca="1"/>
        <v>0.67106657683844628</v>
      </c>
      <c r="AH5521" s="2" t="str">
        <f ca="1"/>
        <v>Bad</v>
      </c>
    </row>
    <row r="5522" spans="2:34" x14ac:dyDescent="0.2">
      <c r="B5522" s="2">
        <f ca="1"/>
        <v>0.48759113372876151</v>
      </c>
      <c r="O5522" s="2">
        <f ca="1"/>
        <v>2.1054737830026263E-2</v>
      </c>
      <c r="X5522" s="2">
        <f ca="1"/>
        <v>45.014782361107336</v>
      </c>
      <c r="AG5522" s="2">
        <f ca="1"/>
        <v>5.2187724779045874E-2</v>
      </c>
      <c r="AH5522" s="2" t="str">
        <f ca="1"/>
        <v>OK</v>
      </c>
    </row>
    <row r="5523" spans="2:34" x14ac:dyDescent="0.2">
      <c r="B5523" s="2">
        <f ca="1"/>
        <v>0.90731573553505296</v>
      </c>
      <c r="O5523" s="2">
        <f ca="1"/>
        <v>-1.5726090756384252</v>
      </c>
      <c r="X5523" s="2">
        <f ca="1"/>
        <v>39.065939323183919</v>
      </c>
      <c r="AG5523" s="2">
        <f ca="1"/>
        <v>0.3619518126885195</v>
      </c>
      <c r="AH5523" s="2" t="str">
        <f ca="1"/>
        <v>OK</v>
      </c>
    </row>
    <row r="5524" spans="2:34" x14ac:dyDescent="0.2">
      <c r="B5524" s="2">
        <f ca="1"/>
        <v>0.16781101318239755</v>
      </c>
      <c r="O5524" s="2">
        <f ca="1"/>
        <v>-8.1760565233737606E-2</v>
      </c>
      <c r="X5524" s="2">
        <f ca="1"/>
        <v>36.627655176344987</v>
      </c>
      <c r="AG5524" s="2">
        <f ca="1"/>
        <v>5.3408319157393969E-2</v>
      </c>
      <c r="AH5524" s="2" t="str">
        <f ca="1"/>
        <v>OK</v>
      </c>
    </row>
    <row r="5525" spans="2:34" x14ac:dyDescent="0.2">
      <c r="B5525" s="2">
        <f ca="1"/>
        <v>0.14786115285937074</v>
      </c>
      <c r="O5525" s="2">
        <f ca="1"/>
        <v>-0.1039262066213308</v>
      </c>
      <c r="X5525" s="2">
        <f ca="1"/>
        <v>51.201852382358972</v>
      </c>
      <c r="AG5525" s="2">
        <f ca="1"/>
        <v>0.98134690159941385</v>
      </c>
      <c r="AH5525" s="2" t="str">
        <f ca="1"/>
        <v>Bad</v>
      </c>
    </row>
    <row r="5526" spans="2:34" x14ac:dyDescent="0.2">
      <c r="B5526" s="2">
        <f ca="1"/>
        <v>0.68829092008516213</v>
      </c>
      <c r="O5526" s="2">
        <f ca="1"/>
        <v>-0.16998659729821419</v>
      </c>
      <c r="X5526" s="2">
        <f ca="1"/>
        <v>42.902209593026598</v>
      </c>
      <c r="AG5526" s="2">
        <f ca="1"/>
        <v>0.58920497031266983</v>
      </c>
      <c r="AH5526" s="2" t="str">
        <f ca="1"/>
        <v>Bad</v>
      </c>
    </row>
    <row r="5527" spans="2:34" x14ac:dyDescent="0.2">
      <c r="B5527" s="2">
        <f ca="1"/>
        <v>0.5880485907918267</v>
      </c>
      <c r="O5527" s="2">
        <f ca="1"/>
        <v>0.52359805607795795</v>
      </c>
      <c r="X5527" s="2">
        <f ca="1"/>
        <v>65.86952781979744</v>
      </c>
      <c r="AG5527" s="2">
        <f ca="1"/>
        <v>0.85182256236727882</v>
      </c>
      <c r="AH5527" s="2" t="str">
        <f ca="1"/>
        <v>Bad</v>
      </c>
    </row>
    <row r="5528" spans="2:34" x14ac:dyDescent="0.2">
      <c r="B5528" s="2">
        <f ca="1"/>
        <v>0.86581793204539381</v>
      </c>
      <c r="O5528" s="2">
        <f ca="1"/>
        <v>1.9558114470478289</v>
      </c>
      <c r="X5528" s="2">
        <f ca="1"/>
        <v>19.477431001914663</v>
      </c>
      <c r="AG5528" s="2">
        <f ca="1"/>
        <v>4.6435181007072224E-2</v>
      </c>
      <c r="AH5528" s="2" t="str">
        <f ca="1"/>
        <v>Good</v>
      </c>
    </row>
    <row r="5529" spans="2:34" x14ac:dyDescent="0.2">
      <c r="B5529" s="2">
        <f ca="1"/>
        <v>0.51949610667084278</v>
      </c>
      <c r="O5529" s="2">
        <f ca="1"/>
        <v>1.3018131177187051</v>
      </c>
      <c r="X5529" s="2">
        <f ca="1"/>
        <v>37.88978552304836</v>
      </c>
      <c r="AG5529" s="2">
        <f ca="1"/>
        <v>0.71850289009149915</v>
      </c>
      <c r="AH5529" s="2" t="str">
        <f ca="1"/>
        <v>Bad</v>
      </c>
    </row>
    <row r="5530" spans="2:34" x14ac:dyDescent="0.2">
      <c r="B5530" s="2">
        <f ca="1"/>
        <v>0.63014982571896394</v>
      </c>
      <c r="O5530" s="2">
        <f ca="1"/>
        <v>0.64082964249143026</v>
      </c>
      <c r="X5530" s="2">
        <f ca="1"/>
        <v>53.78392254974419</v>
      </c>
      <c r="AG5530" s="2">
        <f ca="1"/>
        <v>0.76766014217141665</v>
      </c>
      <c r="AH5530" s="2" t="str">
        <f ca="1"/>
        <v>Bad</v>
      </c>
    </row>
    <row r="5531" spans="2:34" x14ac:dyDescent="0.2">
      <c r="B5531" s="2">
        <f ca="1"/>
        <v>0.48742101990189068</v>
      </c>
      <c r="O5531" s="2">
        <f ca="1"/>
        <v>-1.4952690085407994</v>
      </c>
      <c r="X5531" s="2">
        <f ca="1"/>
        <v>50.025449942278954</v>
      </c>
      <c r="AG5531" s="2">
        <f ca="1"/>
        <v>0.55536496758896847</v>
      </c>
      <c r="AH5531" s="2" t="str">
        <f ca="1"/>
        <v>Bad</v>
      </c>
    </row>
    <row r="5532" spans="2:34" x14ac:dyDescent="0.2">
      <c r="B5532" s="2">
        <f ca="1"/>
        <v>0.19815985543764358</v>
      </c>
      <c r="O5532" s="2">
        <f ca="1"/>
        <v>-0.65555954944310901</v>
      </c>
      <c r="X5532" s="2">
        <f ca="1"/>
        <v>43.384404484050663</v>
      </c>
      <c r="AG5532" s="2">
        <f ca="1"/>
        <v>0.82407251600419862</v>
      </c>
      <c r="AH5532" s="2" t="str">
        <f ca="1"/>
        <v>Bad</v>
      </c>
    </row>
    <row r="5533" spans="2:34" x14ac:dyDescent="0.2">
      <c r="B5533" s="2">
        <f ca="1"/>
        <v>0.38787334890766312</v>
      </c>
      <c r="O5533" s="2">
        <f ca="1"/>
        <v>0.61715028670995942</v>
      </c>
      <c r="X5533" s="2">
        <f ca="1"/>
        <v>62.035008741179823</v>
      </c>
      <c r="AG5533" s="2">
        <f ca="1"/>
        <v>0.48035593023194867</v>
      </c>
      <c r="AH5533" s="2" t="str">
        <f ca="1"/>
        <v>Bad</v>
      </c>
    </row>
    <row r="5534" spans="2:34" x14ac:dyDescent="0.2">
      <c r="B5534" s="2">
        <f ca="1"/>
        <v>0.85581043185141992</v>
      </c>
      <c r="O5534" s="2">
        <f ca="1"/>
        <v>-1.2932247435060609</v>
      </c>
      <c r="X5534" s="2">
        <f ca="1"/>
        <v>39.922181109366413</v>
      </c>
      <c r="AG5534" s="2">
        <f ca="1"/>
        <v>8.6789382575815921E-2</v>
      </c>
      <c r="AH5534" s="2" t="str">
        <f ca="1"/>
        <v>OK</v>
      </c>
    </row>
    <row r="5535" spans="2:34" x14ac:dyDescent="0.2">
      <c r="B5535" s="2">
        <f ca="1"/>
        <v>0.18065033142936615</v>
      </c>
      <c r="O5535" s="2">
        <f ca="1"/>
        <v>1.2316204016613428</v>
      </c>
      <c r="X5535" s="2">
        <f ca="1"/>
        <v>15.56919467745702</v>
      </c>
      <c r="AG5535" s="2">
        <f ca="1"/>
        <v>0.15901965983894795</v>
      </c>
      <c r="AH5535" s="2" t="str">
        <f ca="1"/>
        <v>OK</v>
      </c>
    </row>
    <row r="5536" spans="2:34" x14ac:dyDescent="0.2">
      <c r="B5536" s="2">
        <f ca="1"/>
        <v>0.20824660930651451</v>
      </c>
      <c r="O5536" s="2">
        <f ca="1"/>
        <v>-0.26945744466268501</v>
      </c>
      <c r="X5536" s="2">
        <f ca="1"/>
        <v>48.510861839650914</v>
      </c>
      <c r="AG5536" s="2">
        <f ca="1"/>
        <v>0.83915582156678936</v>
      </c>
      <c r="AH5536" s="2" t="str">
        <f ca="1"/>
        <v>Bad</v>
      </c>
    </row>
    <row r="5537" spans="2:34" x14ac:dyDescent="0.2">
      <c r="B5537" s="2">
        <f ca="1"/>
        <v>0.2219621355350101</v>
      </c>
      <c r="O5537" s="2">
        <f ca="1"/>
        <v>0.58755087420910501</v>
      </c>
      <c r="X5537" s="2">
        <f ca="1"/>
        <v>53.317690225050313</v>
      </c>
      <c r="AG5537" s="2">
        <f ca="1"/>
        <v>0.65557280547135344</v>
      </c>
      <c r="AH5537" s="2" t="str">
        <f ca="1"/>
        <v>Bad</v>
      </c>
    </row>
    <row r="5538" spans="2:34" x14ac:dyDescent="0.2">
      <c r="B5538" s="2">
        <f ca="1"/>
        <v>0.68788594798606972</v>
      </c>
      <c r="O5538" s="2">
        <f ca="1"/>
        <v>-0.4734953778778288</v>
      </c>
      <c r="X5538" s="2">
        <f ca="1"/>
        <v>32.14482531309956</v>
      </c>
      <c r="AG5538" s="2">
        <f ca="1"/>
        <v>0.33286599609878076</v>
      </c>
      <c r="AH5538" s="2" t="str">
        <f ca="1"/>
        <v>OK</v>
      </c>
    </row>
    <row r="5539" spans="2:34" x14ac:dyDescent="0.2">
      <c r="B5539" s="2">
        <f ca="1"/>
        <v>0.35442039249843083</v>
      </c>
      <c r="O5539" s="2">
        <f ca="1"/>
        <v>-0.47194111163770719</v>
      </c>
      <c r="X5539" s="2">
        <f ca="1"/>
        <v>32.345704758973191</v>
      </c>
      <c r="AG5539" s="2">
        <f ca="1"/>
        <v>0.30362434853667053</v>
      </c>
      <c r="AH5539" s="2" t="str">
        <f ca="1"/>
        <v>OK</v>
      </c>
    </row>
    <row r="5540" spans="2:34" x14ac:dyDescent="0.2">
      <c r="B5540" s="2">
        <f ca="1"/>
        <v>0.45306762877569517</v>
      </c>
      <c r="O5540" s="2">
        <f ca="1"/>
        <v>-0.49704189360862161</v>
      </c>
      <c r="X5540" s="2">
        <f ca="1"/>
        <v>67.894542850143708</v>
      </c>
      <c r="AG5540" s="2">
        <f ca="1"/>
        <v>6.6332362134085221E-2</v>
      </c>
      <c r="AH5540" s="2" t="str">
        <f ca="1"/>
        <v>OK</v>
      </c>
    </row>
    <row r="5541" spans="2:34" x14ac:dyDescent="0.2">
      <c r="B5541" s="2">
        <f ca="1"/>
        <v>0.62355691841925021</v>
      </c>
      <c r="O5541" s="2">
        <f ca="1"/>
        <v>-8.2106616275609737E-2</v>
      </c>
      <c r="X5541" s="2">
        <f ca="1"/>
        <v>54.669133947207584</v>
      </c>
      <c r="AG5541" s="2">
        <f ca="1"/>
        <v>0.71340148375417978</v>
      </c>
      <c r="AH5541" s="2" t="str">
        <f ca="1"/>
        <v>Bad</v>
      </c>
    </row>
    <row r="5542" spans="2:34" x14ac:dyDescent="0.2">
      <c r="B5542" s="2">
        <f ca="1"/>
        <v>0.7955262389663178</v>
      </c>
      <c r="O5542" s="2">
        <f ca="1"/>
        <v>0.31556576100049971</v>
      </c>
      <c r="X5542" s="2">
        <f ca="1"/>
        <v>84.490405692226858</v>
      </c>
      <c r="AG5542" s="2">
        <f ca="1"/>
        <v>0.25694750643934294</v>
      </c>
      <c r="AH5542" s="2" t="str">
        <f ca="1"/>
        <v>OK</v>
      </c>
    </row>
    <row r="5543" spans="2:34" x14ac:dyDescent="0.2">
      <c r="B5543" s="2">
        <f ca="1"/>
        <v>0.81257881138130861</v>
      </c>
      <c r="O5543" s="2">
        <f ca="1"/>
        <v>0.37147065438130644</v>
      </c>
      <c r="X5543" s="2">
        <f ca="1"/>
        <v>34.936406970795836</v>
      </c>
      <c r="AG5543" s="2">
        <f ca="1"/>
        <v>0.29319344445997686</v>
      </c>
      <c r="AH5543" s="2" t="str">
        <f ca="1"/>
        <v>OK</v>
      </c>
    </row>
    <row r="5544" spans="2:34" x14ac:dyDescent="0.2">
      <c r="B5544" s="2">
        <f ca="1"/>
        <v>0.56259556504884545</v>
      </c>
      <c r="O5544" s="2">
        <f ca="1"/>
        <v>1.1513678691179439</v>
      </c>
      <c r="X5544" s="2">
        <f ca="1"/>
        <v>37.00541136191022</v>
      </c>
      <c r="AG5544" s="2">
        <f ca="1"/>
        <v>0.83451485400979086</v>
      </c>
      <c r="AH5544" s="2" t="str">
        <f ca="1"/>
        <v>Bad</v>
      </c>
    </row>
    <row r="5545" spans="2:34" x14ac:dyDescent="0.2">
      <c r="B5545" s="2">
        <f ca="1"/>
        <v>0.56936144279737322</v>
      </c>
      <c r="O5545" s="2">
        <f ca="1"/>
        <v>-5.5865584051026276E-2</v>
      </c>
      <c r="X5545" s="2">
        <f ca="1"/>
        <v>45.68013393545197</v>
      </c>
      <c r="AG5545" s="2">
        <f ca="1"/>
        <v>0.13424668866959766</v>
      </c>
      <c r="AH5545" s="2" t="str">
        <f ca="1"/>
        <v>OK</v>
      </c>
    </row>
    <row r="5546" spans="2:34" x14ac:dyDescent="0.2">
      <c r="B5546" s="2">
        <f ca="1"/>
        <v>6.9641007802682786E-2</v>
      </c>
      <c r="O5546" s="2">
        <f ca="1"/>
        <v>0.80385532481113797</v>
      </c>
      <c r="X5546" s="2">
        <f ca="1"/>
        <v>21.289433221717911</v>
      </c>
      <c r="AG5546" s="2">
        <f ca="1"/>
        <v>0.2057668058794424</v>
      </c>
      <c r="AH5546" s="2" t="str">
        <f ca="1"/>
        <v>OK</v>
      </c>
    </row>
    <row r="5547" spans="2:34" x14ac:dyDescent="0.2">
      <c r="B5547" s="2">
        <f ca="1"/>
        <v>0.72668737594184907</v>
      </c>
      <c r="O5547" s="2">
        <f ca="1"/>
        <v>-0.28950121998825717</v>
      </c>
      <c r="X5547" s="2">
        <f ca="1"/>
        <v>61.714272249424255</v>
      </c>
      <c r="AG5547" s="2">
        <f ca="1"/>
        <v>0.5216426373192895</v>
      </c>
      <c r="AH5547" s="2" t="str">
        <f ca="1"/>
        <v>Bad</v>
      </c>
    </row>
    <row r="5548" spans="2:34" x14ac:dyDescent="0.2">
      <c r="B5548" s="2">
        <f ca="1"/>
        <v>0.38913069037659453</v>
      </c>
      <c r="O5548" s="2">
        <f ca="1"/>
        <v>0.47090941600950609</v>
      </c>
      <c r="X5548" s="2">
        <f ca="1"/>
        <v>39.999566985702884</v>
      </c>
      <c r="AG5548" s="2">
        <f ca="1"/>
        <v>0.28662090323713829</v>
      </c>
      <c r="AH5548" s="2" t="str">
        <f ca="1"/>
        <v>OK</v>
      </c>
    </row>
    <row r="5549" spans="2:34" x14ac:dyDescent="0.2">
      <c r="B5549" s="2">
        <f ca="1"/>
        <v>0.79189037731498968</v>
      </c>
      <c r="O5549" s="2">
        <f ca="1"/>
        <v>9.0955474645787304E-3</v>
      </c>
      <c r="X5549" s="2">
        <f ca="1"/>
        <v>33.152384360595256</v>
      </c>
      <c r="AG5549" s="2">
        <f ca="1"/>
        <v>0.59834790786268321</v>
      </c>
      <c r="AH5549" s="2" t="str">
        <f ca="1"/>
        <v>Bad</v>
      </c>
    </row>
    <row r="5550" spans="2:34" x14ac:dyDescent="0.2">
      <c r="B5550" s="2">
        <f ca="1"/>
        <v>0.95509058160848048</v>
      </c>
      <c r="O5550" s="2">
        <f ca="1"/>
        <v>0.28833891223774849</v>
      </c>
      <c r="X5550" s="2">
        <f ca="1"/>
        <v>51.88930084975847</v>
      </c>
      <c r="AG5550" s="2">
        <f ca="1"/>
        <v>0.55412045698015167</v>
      </c>
      <c r="AH5550" s="2" t="str">
        <f ca="1"/>
        <v>Bad</v>
      </c>
    </row>
    <row r="5551" spans="2:34" x14ac:dyDescent="0.2">
      <c r="B5551" s="2">
        <f ca="1"/>
        <v>0.23496805771350182</v>
      </c>
      <c r="O5551" s="2">
        <f ca="1"/>
        <v>2.2663129459838212</v>
      </c>
      <c r="X5551" s="2">
        <f ca="1"/>
        <v>60.48440970653634</v>
      </c>
      <c r="AG5551" s="2">
        <f ca="1"/>
        <v>0.94174470671463051</v>
      </c>
      <c r="AH5551" s="2" t="str">
        <f ca="1"/>
        <v>Bad</v>
      </c>
    </row>
    <row r="5552" spans="2:34" x14ac:dyDescent="0.2">
      <c r="B5552" s="2">
        <f ca="1"/>
        <v>0.99147300298346397</v>
      </c>
      <c r="O5552" s="2">
        <f ca="1"/>
        <v>-1.3965170663818827</v>
      </c>
      <c r="X5552" s="2">
        <f ca="1"/>
        <v>54.942646348610694</v>
      </c>
      <c r="AG5552" s="2">
        <f ca="1"/>
        <v>0.89193977840982264</v>
      </c>
      <c r="AH5552" s="2" t="str">
        <f ca="1"/>
        <v>Bad</v>
      </c>
    </row>
    <row r="5553" spans="2:34" x14ac:dyDescent="0.2">
      <c r="B5553" s="2">
        <f ca="1"/>
        <v>0.28026178039481953</v>
      </c>
      <c r="O5553" s="2">
        <f ca="1"/>
        <v>-1.678037523953168</v>
      </c>
      <c r="X5553" s="2">
        <f ca="1"/>
        <v>36.930251075137058</v>
      </c>
      <c r="AG5553" s="2">
        <f ca="1"/>
        <v>0.37801347161452781</v>
      </c>
      <c r="AH5553" s="2" t="str">
        <f ca="1"/>
        <v>OK</v>
      </c>
    </row>
    <row r="5554" spans="2:34" x14ac:dyDescent="0.2">
      <c r="B5554" s="2">
        <f ca="1"/>
        <v>0.71577159133172219</v>
      </c>
      <c r="O5554" s="2">
        <f ca="1"/>
        <v>-0.76206103816083615</v>
      </c>
      <c r="X5554" s="2">
        <f ca="1"/>
        <v>45.002805917992568</v>
      </c>
      <c r="AG5554" s="2">
        <f ca="1"/>
        <v>0.77353211234674846</v>
      </c>
      <c r="AH5554" s="2" t="str">
        <f ca="1"/>
        <v>Bad</v>
      </c>
    </row>
    <row r="5555" spans="2:34" x14ac:dyDescent="0.2">
      <c r="B5555" s="2">
        <f ca="1"/>
        <v>0.80675343980363245</v>
      </c>
      <c r="O5555" s="2">
        <f ca="1"/>
        <v>-0.48835529282392803</v>
      </c>
      <c r="X5555" s="2">
        <f ca="1"/>
        <v>43.061619970166625</v>
      </c>
      <c r="AG5555" s="2">
        <f ca="1"/>
        <v>0.86437036207825524</v>
      </c>
      <c r="AH5555" s="2" t="str">
        <f ca="1"/>
        <v>Bad</v>
      </c>
    </row>
    <row r="5556" spans="2:34" x14ac:dyDescent="0.2">
      <c r="B5556" s="2">
        <f ca="1"/>
        <v>0.53973422872529597</v>
      </c>
      <c r="O5556" s="2">
        <f ca="1"/>
        <v>-0.75571029407775525</v>
      </c>
      <c r="X5556" s="2">
        <f ca="1"/>
        <v>64.300557118625122</v>
      </c>
      <c r="AG5556" s="2">
        <f ca="1"/>
        <v>0.59930538510246989</v>
      </c>
      <c r="AH5556" s="2" t="str">
        <f ca="1"/>
        <v>Bad</v>
      </c>
    </row>
    <row r="5557" spans="2:34" x14ac:dyDescent="0.2">
      <c r="B5557" s="2">
        <f ca="1"/>
        <v>0.81584179441396465</v>
      </c>
      <c r="O5557" s="2">
        <f ca="1"/>
        <v>-0.76887710794165331</v>
      </c>
      <c r="X5557" s="2">
        <f ca="1"/>
        <v>114.82274113157551</v>
      </c>
      <c r="AG5557" s="2">
        <f ca="1"/>
        <v>0.31385118541898893</v>
      </c>
      <c r="AH5557" s="2" t="str">
        <f ca="1"/>
        <v>OK</v>
      </c>
    </row>
    <row r="5558" spans="2:34" x14ac:dyDescent="0.2">
      <c r="B5558" s="2">
        <f ca="1"/>
        <v>0.22019381706163688</v>
      </c>
      <c r="O5558" s="2">
        <f ca="1"/>
        <v>2.121377742051886</v>
      </c>
      <c r="X5558" s="2">
        <f ca="1"/>
        <v>41.923155389968343</v>
      </c>
      <c r="AG5558" s="2">
        <f ca="1"/>
        <v>0.93161546517610128</v>
      </c>
      <c r="AH5558" s="2" t="str">
        <f ca="1"/>
        <v>Bad</v>
      </c>
    </row>
    <row r="5559" spans="2:34" x14ac:dyDescent="0.2">
      <c r="B5559" s="2">
        <f ca="1"/>
        <v>0.78216364866898336</v>
      </c>
      <c r="O5559" s="2">
        <f ca="1"/>
        <v>0.9002390400642245</v>
      </c>
      <c r="X5559" s="2">
        <f ca="1"/>
        <v>94.047000272432101</v>
      </c>
      <c r="AG5559" s="2">
        <f ca="1"/>
        <v>0.51636455750299581</v>
      </c>
      <c r="AH5559" s="2" t="str">
        <f ca="1"/>
        <v>Bad</v>
      </c>
    </row>
    <row r="5560" spans="2:34" x14ac:dyDescent="0.2">
      <c r="B5560" s="2">
        <f ca="1"/>
        <v>0.7738238283650678</v>
      </c>
      <c r="O5560" s="2">
        <f ca="1"/>
        <v>0.61935841117040791</v>
      </c>
      <c r="X5560" s="2">
        <f ca="1"/>
        <v>45.426289759567958</v>
      </c>
      <c r="AG5560" s="2">
        <f ca="1"/>
        <v>0.50955917028819053</v>
      </c>
      <c r="AH5560" s="2" t="str">
        <f ca="1"/>
        <v>Bad</v>
      </c>
    </row>
    <row r="5561" spans="2:34" x14ac:dyDescent="0.2">
      <c r="B5561" s="2">
        <f ca="1"/>
        <v>0.37482478068394554</v>
      </c>
      <c r="O5561" s="2">
        <f ca="1"/>
        <v>-1.5167843018512517</v>
      </c>
      <c r="X5561" s="2">
        <f ca="1"/>
        <v>59.854333741866697</v>
      </c>
      <c r="AG5561" s="2">
        <f ca="1"/>
        <v>0.32513427186520549</v>
      </c>
      <c r="AH5561" s="2" t="str">
        <f ca="1"/>
        <v>OK</v>
      </c>
    </row>
    <row r="5562" spans="2:34" x14ac:dyDescent="0.2">
      <c r="B5562" s="2">
        <f ca="1"/>
        <v>0.80191587681328214</v>
      </c>
      <c r="O5562" s="2">
        <f ca="1"/>
        <v>1.7237956975435995</v>
      </c>
      <c r="X5562" s="2">
        <f ca="1"/>
        <v>18.901657838335971</v>
      </c>
      <c r="AG5562" s="2">
        <f ca="1"/>
        <v>0.90355162152341029</v>
      </c>
      <c r="AH5562" s="2" t="str">
        <f ca="1"/>
        <v>Bad</v>
      </c>
    </row>
    <row r="5563" spans="2:34" x14ac:dyDescent="0.2">
      <c r="B5563" s="2">
        <f ca="1"/>
        <v>0.78429575664551088</v>
      </c>
      <c r="O5563" s="2">
        <f ca="1"/>
        <v>0.42949037983456206</v>
      </c>
      <c r="X5563" s="2">
        <f ca="1"/>
        <v>46.02471938771771</v>
      </c>
      <c r="AG5563" s="2">
        <f ca="1"/>
        <v>0.40703605249056785</v>
      </c>
      <c r="AH5563" s="2" t="str">
        <f ca="1"/>
        <v>Bad</v>
      </c>
    </row>
    <row r="5564" spans="2:34" x14ac:dyDescent="0.2">
      <c r="B5564" s="2">
        <f ca="1"/>
        <v>5.9770415265370413E-2</v>
      </c>
      <c r="O5564" s="2">
        <f ca="1"/>
        <v>1.165709169388061</v>
      </c>
      <c r="X5564" s="2">
        <f ca="1"/>
        <v>47.599183539814248</v>
      </c>
      <c r="AG5564" s="2">
        <f ca="1"/>
        <v>0.50661048029227351</v>
      </c>
      <c r="AH5564" s="2" t="str">
        <f ca="1"/>
        <v>Bad</v>
      </c>
    </row>
    <row r="5565" spans="2:34" x14ac:dyDescent="0.2">
      <c r="B5565" s="2">
        <f ca="1"/>
        <v>0.25670551835242872</v>
      </c>
      <c r="O5565" s="2">
        <f ca="1"/>
        <v>-2.3579694113014273</v>
      </c>
      <c r="X5565" s="2">
        <f ca="1"/>
        <v>23.11152195454072</v>
      </c>
      <c r="AG5565" s="2">
        <f ca="1"/>
        <v>0.46758314509784871</v>
      </c>
      <c r="AH5565" s="2" t="str">
        <f ca="1"/>
        <v>Bad</v>
      </c>
    </row>
    <row r="5566" spans="2:34" x14ac:dyDescent="0.2">
      <c r="B5566" s="2">
        <f ca="1"/>
        <v>0.95162491256422244</v>
      </c>
      <c r="O5566" s="2">
        <f ca="1"/>
        <v>1.3473342648113276</v>
      </c>
      <c r="X5566" s="2">
        <f ca="1"/>
        <v>74.037848233196172</v>
      </c>
      <c r="AG5566" s="2">
        <f ca="1"/>
        <v>0.4604669239971908</v>
      </c>
      <c r="AH5566" s="2" t="str">
        <f ca="1"/>
        <v>Bad</v>
      </c>
    </row>
    <row r="5567" spans="2:34" x14ac:dyDescent="0.2">
      <c r="B5567" s="2">
        <f ca="1"/>
        <v>0.54606101014765218</v>
      </c>
      <c r="O5567" s="2">
        <f ca="1"/>
        <v>0.20037505834510599</v>
      </c>
      <c r="X5567" s="2">
        <f ca="1"/>
        <v>65.958834577911944</v>
      </c>
      <c r="AG5567" s="2">
        <f ca="1"/>
        <v>0.266733436897022</v>
      </c>
      <c r="AH5567" s="2" t="str">
        <f ca="1"/>
        <v>OK</v>
      </c>
    </row>
    <row r="5568" spans="2:34" x14ac:dyDescent="0.2">
      <c r="B5568" s="2">
        <f ca="1"/>
        <v>0.38923393100554038</v>
      </c>
      <c r="O5568" s="2">
        <f ca="1"/>
        <v>-0.74060204391228135</v>
      </c>
      <c r="X5568" s="2">
        <f ca="1"/>
        <v>28.895573230278352</v>
      </c>
      <c r="AG5568" s="2">
        <f ca="1"/>
        <v>0.26479515660816721</v>
      </c>
      <c r="AH5568" s="2" t="str">
        <f ca="1"/>
        <v>OK</v>
      </c>
    </row>
    <row r="5569" spans="2:34" x14ac:dyDescent="0.2">
      <c r="B5569" s="2">
        <f ca="1"/>
        <v>0.14722222442643451</v>
      </c>
      <c r="O5569" s="2">
        <f ca="1"/>
        <v>0.16090739611908014</v>
      </c>
      <c r="X5569" s="2">
        <f ca="1"/>
        <v>67.14097126519944</v>
      </c>
      <c r="AG5569" s="2">
        <f ca="1"/>
        <v>0.35532208404221199</v>
      </c>
      <c r="AH5569" s="2" t="str">
        <f ca="1"/>
        <v>OK</v>
      </c>
    </row>
    <row r="5570" spans="2:34" x14ac:dyDescent="0.2">
      <c r="B5570" s="2">
        <f ca="1"/>
        <v>0.7477336096938636</v>
      </c>
      <c r="O5570" s="2">
        <f ca="1"/>
        <v>0.22054985152682288</v>
      </c>
      <c r="X5570" s="2">
        <f ca="1"/>
        <v>75.164743701453062</v>
      </c>
      <c r="AG5570" s="2">
        <f ca="1"/>
        <v>0.57032635350173022</v>
      </c>
      <c r="AH5570" s="2" t="str">
        <f ca="1"/>
        <v>Bad</v>
      </c>
    </row>
    <row r="5571" spans="2:34" x14ac:dyDescent="0.2">
      <c r="B5571" s="2">
        <f ca="1"/>
        <v>0.94064936968537594</v>
      </c>
      <c r="O5571" s="2">
        <f ca="1"/>
        <v>-0.91772443495887057</v>
      </c>
      <c r="X5571" s="2">
        <f ca="1"/>
        <v>33.017067534235515</v>
      </c>
      <c r="AG5571" s="2">
        <f ca="1"/>
        <v>0.95509927926926341</v>
      </c>
      <c r="AH5571" s="2" t="str">
        <f ca="1"/>
        <v>Bad</v>
      </c>
    </row>
    <row r="5572" spans="2:34" x14ac:dyDescent="0.2">
      <c r="B5572" s="2">
        <f ca="1"/>
        <v>0.74591627851136488</v>
      </c>
      <c r="O5572" s="2">
        <f ca="1"/>
        <v>0.71908046136631443</v>
      </c>
      <c r="X5572" s="2">
        <f ca="1"/>
        <v>48.748481775598691</v>
      </c>
      <c r="AG5572" s="2">
        <f ca="1"/>
        <v>0.36974710938996336</v>
      </c>
      <c r="AH5572" s="2" t="str">
        <f ca="1"/>
        <v>OK</v>
      </c>
    </row>
    <row r="5573" spans="2:34" x14ac:dyDescent="0.2">
      <c r="B5573" s="2">
        <f ca="1"/>
        <v>0.43990657291479596</v>
      </c>
      <c r="O5573" s="2">
        <f ca="1"/>
        <v>0.28124430454271415</v>
      </c>
      <c r="X5573" s="2">
        <f ca="1"/>
        <v>38.143753794155266</v>
      </c>
      <c r="AG5573" s="2">
        <f ca="1"/>
        <v>0.53662822493420625</v>
      </c>
      <c r="AH5573" s="2" t="str">
        <f ca="1"/>
        <v>Bad</v>
      </c>
    </row>
    <row r="5574" spans="2:34" x14ac:dyDescent="0.2">
      <c r="B5574" s="2">
        <f ca="1"/>
        <v>0.64327532765048878</v>
      </c>
      <c r="O5574" s="2">
        <f ca="1"/>
        <v>-1.3481162697539422</v>
      </c>
      <c r="X5574" s="2">
        <f ca="1"/>
        <v>56.767302125211728</v>
      </c>
      <c r="AG5574" s="2">
        <f ca="1"/>
        <v>0.92804694246565012</v>
      </c>
      <c r="AH5574" s="2" t="str">
        <f ca="1"/>
        <v>Bad</v>
      </c>
    </row>
    <row r="5575" spans="2:34" x14ac:dyDescent="0.2">
      <c r="B5575" s="2">
        <f ca="1"/>
        <v>0.52926675662970846</v>
      </c>
      <c r="O5575" s="2">
        <f ca="1"/>
        <v>2.5992908854679428</v>
      </c>
      <c r="X5575" s="2">
        <f ca="1"/>
        <v>46.346625968262032</v>
      </c>
      <c r="AG5575" s="2">
        <f ca="1"/>
        <v>0.96108068118384904</v>
      </c>
      <c r="AH5575" s="2" t="str">
        <f ca="1"/>
        <v>Bad</v>
      </c>
    </row>
    <row r="5576" spans="2:34" x14ac:dyDescent="0.2">
      <c r="B5576" s="2">
        <f ca="1"/>
        <v>5.986723977877495E-2</v>
      </c>
      <c r="O5576" s="2">
        <f ca="1"/>
        <v>-0.36267033519982889</v>
      </c>
      <c r="X5576" s="2">
        <f ca="1"/>
        <v>41.216889100793843</v>
      </c>
      <c r="AG5576" s="2">
        <f ca="1"/>
        <v>0.77047812163706419</v>
      </c>
      <c r="AH5576" s="2" t="str">
        <f ca="1"/>
        <v>Bad</v>
      </c>
    </row>
    <row r="5577" spans="2:34" x14ac:dyDescent="0.2">
      <c r="B5577" s="2">
        <f ca="1"/>
        <v>0.86519732565784513</v>
      </c>
      <c r="O5577" s="2">
        <f ca="1"/>
        <v>0.4626524130489747</v>
      </c>
      <c r="X5577" s="2">
        <f ca="1"/>
        <v>39.845230423506173</v>
      </c>
      <c r="AG5577" s="2">
        <f ca="1"/>
        <v>0.84255553653180071</v>
      </c>
      <c r="AH5577" s="2" t="str">
        <f ca="1"/>
        <v>Bad</v>
      </c>
    </row>
    <row r="5578" spans="2:34" x14ac:dyDescent="0.2">
      <c r="B5578" s="2">
        <f ca="1"/>
        <v>0.11790115415786118</v>
      </c>
      <c r="O5578" s="2">
        <f ca="1"/>
        <v>0.86139390874048993</v>
      </c>
      <c r="X5578" s="2">
        <f ca="1"/>
        <v>48.509926476550234</v>
      </c>
      <c r="AG5578" s="2">
        <f ca="1"/>
        <v>0.88388353991113844</v>
      </c>
      <c r="AH5578" s="2" t="str">
        <f ca="1"/>
        <v>Bad</v>
      </c>
    </row>
    <row r="5579" spans="2:34" x14ac:dyDescent="0.2">
      <c r="B5579" s="2">
        <f ca="1"/>
        <v>0.91017669171054916</v>
      </c>
      <c r="O5579" s="2">
        <f ca="1"/>
        <v>7.159258900196154E-2</v>
      </c>
      <c r="X5579" s="2">
        <f ca="1"/>
        <v>73.758800272707347</v>
      </c>
      <c r="AG5579" s="2">
        <f ca="1"/>
        <v>0.20002624021338833</v>
      </c>
      <c r="AH5579" s="2" t="str">
        <f ca="1"/>
        <v>OK</v>
      </c>
    </row>
    <row r="5580" spans="2:34" x14ac:dyDescent="0.2">
      <c r="B5580" s="2">
        <f ca="1"/>
        <v>4.4905300153576633E-2</v>
      </c>
      <c r="O5580" s="2">
        <f ca="1"/>
        <v>0.78289804859163181</v>
      </c>
      <c r="X5580" s="2">
        <f ca="1"/>
        <v>41.045844843470583</v>
      </c>
      <c r="AG5580" s="2">
        <f ca="1"/>
        <v>0.51106467091460095</v>
      </c>
      <c r="AH5580" s="2" t="str">
        <f ca="1"/>
        <v>Bad</v>
      </c>
    </row>
    <row r="5581" spans="2:34" x14ac:dyDescent="0.2">
      <c r="B5581" s="2">
        <f ca="1"/>
        <v>0.71578992341843217</v>
      </c>
      <c r="O5581" s="2">
        <f ca="1"/>
        <v>0.73652689025824247</v>
      </c>
      <c r="X5581" s="2">
        <f ca="1"/>
        <v>80.760610803190488</v>
      </c>
      <c r="AG5581" s="2">
        <f ca="1"/>
        <v>0.90002039674641221</v>
      </c>
      <c r="AH5581" s="2" t="str">
        <f ca="1"/>
        <v>Bad</v>
      </c>
    </row>
    <row r="5582" spans="2:34" x14ac:dyDescent="0.2">
      <c r="B5582" s="2">
        <f ca="1"/>
        <v>0.82054131557605992</v>
      </c>
      <c r="O5582" s="2">
        <f ca="1"/>
        <v>-0.40859401503324372</v>
      </c>
      <c r="X5582" s="2">
        <f ca="1"/>
        <v>26.984120582425668</v>
      </c>
      <c r="AG5582" s="2">
        <f ca="1"/>
        <v>0.62732200258225101</v>
      </c>
      <c r="AH5582" s="2" t="str">
        <f ca="1"/>
        <v>Bad</v>
      </c>
    </row>
    <row r="5583" spans="2:34" x14ac:dyDescent="0.2">
      <c r="B5583" s="2">
        <f ca="1"/>
        <v>0.23729246063622567</v>
      </c>
      <c r="O5583" s="2">
        <f ca="1"/>
        <v>0.19464340879245234</v>
      </c>
      <c r="X5583" s="2">
        <f ca="1"/>
        <v>39.876703650441392</v>
      </c>
      <c r="AG5583" s="2">
        <f ca="1"/>
        <v>0.29098811372215838</v>
      </c>
      <c r="AH5583" s="2" t="str">
        <f ca="1"/>
        <v>OK</v>
      </c>
    </row>
    <row r="5584" spans="2:34" x14ac:dyDescent="0.2">
      <c r="B5584" s="2">
        <f ca="1"/>
        <v>0.22334786449947397</v>
      </c>
      <c r="O5584" s="2">
        <f ca="1"/>
        <v>-0.72296908955664041</v>
      </c>
      <c r="X5584" s="2">
        <f ca="1"/>
        <v>39.72518131160632</v>
      </c>
      <c r="AG5584" s="2">
        <f ca="1"/>
        <v>0.24943691811745361</v>
      </c>
      <c r="AH5584" s="2" t="str">
        <f ca="1"/>
        <v>OK</v>
      </c>
    </row>
    <row r="5585" spans="2:34" x14ac:dyDescent="0.2">
      <c r="B5585" s="2">
        <f ca="1"/>
        <v>0.22606122993662581</v>
      </c>
      <c r="O5585" s="2">
        <f ca="1"/>
        <v>0.81548905828304663</v>
      </c>
      <c r="X5585" s="2">
        <f ca="1"/>
        <v>83.137431922076303</v>
      </c>
      <c r="AG5585" s="2">
        <f ca="1"/>
        <v>0.25538486805603355</v>
      </c>
      <c r="AH5585" s="2" t="str">
        <f ca="1"/>
        <v>OK</v>
      </c>
    </row>
    <row r="5586" spans="2:34" x14ac:dyDescent="0.2">
      <c r="B5586" s="2">
        <f ca="1"/>
        <v>6.5884058930929967E-2</v>
      </c>
      <c r="O5586" s="2">
        <f ca="1"/>
        <v>-2.3985591586615138</v>
      </c>
      <c r="X5586" s="2">
        <f ca="1"/>
        <v>32.72171749455093</v>
      </c>
      <c r="AG5586" s="2">
        <f ca="1"/>
        <v>0.36768405192641684</v>
      </c>
      <c r="AH5586" s="2" t="str">
        <f ca="1"/>
        <v>OK</v>
      </c>
    </row>
    <row r="5587" spans="2:34" x14ac:dyDescent="0.2">
      <c r="B5587" s="2">
        <f ca="1"/>
        <v>0.11310903568195729</v>
      </c>
      <c r="O5587" s="2">
        <f ca="1"/>
        <v>-0.53886836375682545</v>
      </c>
      <c r="X5587" s="2">
        <f ca="1"/>
        <v>44.994275973150948</v>
      </c>
      <c r="AG5587" s="2">
        <f ca="1"/>
        <v>0.62547265805555319</v>
      </c>
      <c r="AH5587" s="2" t="str">
        <f ca="1"/>
        <v>Bad</v>
      </c>
    </row>
    <row r="5588" spans="2:34" x14ac:dyDescent="0.2">
      <c r="B5588" s="2">
        <f ca="1"/>
        <v>0.12571569889325174</v>
      </c>
      <c r="O5588" s="2">
        <f ca="1"/>
        <v>0.77413963323803525</v>
      </c>
      <c r="X5588" s="2">
        <f ca="1"/>
        <v>43.278538608007047</v>
      </c>
      <c r="AG5588" s="2">
        <f ca="1"/>
        <v>0.36904066302043437</v>
      </c>
      <c r="AH5588" s="2" t="str">
        <f ca="1"/>
        <v>OK</v>
      </c>
    </row>
    <row r="5589" spans="2:34" x14ac:dyDescent="0.2">
      <c r="B5589" s="2">
        <f ca="1"/>
        <v>0.26483077282041889</v>
      </c>
      <c r="O5589" s="2">
        <f ca="1"/>
        <v>-1.3226675748610983</v>
      </c>
      <c r="X5589" s="2">
        <f ca="1"/>
        <v>62.615971227066282</v>
      </c>
      <c r="AG5589" s="2">
        <f ca="1"/>
        <v>0.36704914456394877</v>
      </c>
      <c r="AH5589" s="2" t="str">
        <f ca="1"/>
        <v>OK</v>
      </c>
    </row>
    <row r="5590" spans="2:34" x14ac:dyDescent="0.2">
      <c r="B5590" s="2">
        <f ca="1"/>
        <v>0.9777405988979071</v>
      </c>
      <c r="O5590" s="2">
        <f ca="1"/>
        <v>0.55701427660380032</v>
      </c>
      <c r="X5590" s="2">
        <f ca="1"/>
        <v>54.534439106673396</v>
      </c>
      <c r="AG5590" s="2">
        <f ca="1"/>
        <v>0.93259936542420552</v>
      </c>
      <c r="AH5590" s="2" t="str">
        <f ca="1"/>
        <v>Bad</v>
      </c>
    </row>
    <row r="5591" spans="2:34" x14ac:dyDescent="0.2">
      <c r="B5591" s="2">
        <f ca="1"/>
        <v>0.5433064946309405</v>
      </c>
      <c r="O5591" s="2">
        <f ca="1"/>
        <v>-1.416524978237087</v>
      </c>
      <c r="X5591" s="2">
        <f ca="1"/>
        <v>48.286223126335194</v>
      </c>
      <c r="AG5591" s="2">
        <f ca="1"/>
        <v>0.97936237563971984</v>
      </c>
      <c r="AH5591" s="2" t="str">
        <f ca="1"/>
        <v>Bad</v>
      </c>
    </row>
    <row r="5592" spans="2:34" x14ac:dyDescent="0.2">
      <c r="B5592" s="2">
        <f ca="1"/>
        <v>0.33360584331631471</v>
      </c>
      <c r="O5592" s="2">
        <f ca="1"/>
        <v>0.6241678778316555</v>
      </c>
      <c r="X5592" s="2">
        <f ca="1"/>
        <v>25.277216614008793</v>
      </c>
      <c r="AG5592" s="2">
        <f ca="1"/>
        <v>0.60176401864384088</v>
      </c>
      <c r="AH5592" s="2" t="str">
        <f ca="1"/>
        <v>Bad</v>
      </c>
    </row>
    <row r="5593" spans="2:34" x14ac:dyDescent="0.2">
      <c r="B5593" s="2">
        <f ca="1"/>
        <v>0.20519934121889016</v>
      </c>
      <c r="O5593" s="2">
        <f ca="1"/>
        <v>-0.16985806444150256</v>
      </c>
      <c r="X5593" s="2">
        <f ca="1"/>
        <v>51.057792778641684</v>
      </c>
      <c r="AG5593" s="2">
        <f ca="1"/>
        <v>0.68725383845868193</v>
      </c>
      <c r="AH5593" s="2" t="str">
        <f ca="1"/>
        <v>Bad</v>
      </c>
    </row>
    <row r="5594" spans="2:34" x14ac:dyDescent="0.2">
      <c r="B5594" s="2">
        <f ca="1"/>
        <v>0.27448261714947475</v>
      </c>
      <c r="O5594" s="2">
        <f ca="1"/>
        <v>-0.50902185705971337</v>
      </c>
      <c r="X5594" s="2">
        <f ca="1"/>
        <v>26.10958578874309</v>
      </c>
      <c r="AG5594" s="2">
        <f ca="1"/>
        <v>0.41042493751692311</v>
      </c>
      <c r="AH5594" s="2" t="str">
        <f ca="1"/>
        <v>Bad</v>
      </c>
    </row>
    <row r="5595" spans="2:34" x14ac:dyDescent="0.2">
      <c r="B5595" s="2">
        <f ca="1"/>
        <v>0.74170272769728207</v>
      </c>
      <c r="O5595" s="2">
        <f ca="1"/>
        <v>-0.6731997930607605</v>
      </c>
      <c r="X5595" s="2">
        <f ca="1"/>
        <v>33.808743205881882</v>
      </c>
      <c r="AG5595" s="2">
        <f ca="1"/>
        <v>3.6999731818116333E-2</v>
      </c>
      <c r="AH5595" s="2" t="str">
        <f ca="1"/>
        <v>Good</v>
      </c>
    </row>
    <row r="5596" spans="2:34" x14ac:dyDescent="0.2">
      <c r="B5596" s="2">
        <f ca="1"/>
        <v>0.20543594837784895</v>
      </c>
      <c r="O5596" s="2">
        <f ca="1"/>
        <v>-1.2511500590020446</v>
      </c>
      <c r="X5596" s="2">
        <f ca="1"/>
        <v>72.195769172356123</v>
      </c>
      <c r="AG5596" s="2">
        <f ca="1"/>
        <v>0.84005044445641897</v>
      </c>
      <c r="AH5596" s="2" t="str">
        <f ca="1"/>
        <v>Bad</v>
      </c>
    </row>
    <row r="5597" spans="2:34" x14ac:dyDescent="0.2">
      <c r="B5597" s="2">
        <f ca="1"/>
        <v>0.66331532628126832</v>
      </c>
      <c r="O5597" s="2">
        <f ca="1"/>
        <v>-0.35460064812069864</v>
      </c>
      <c r="X5597" s="2">
        <f ca="1"/>
        <v>72.420729839449493</v>
      </c>
      <c r="AG5597" s="2">
        <f ca="1"/>
        <v>0.99719202858637401</v>
      </c>
      <c r="AH5597" s="2" t="str">
        <f ca="1"/>
        <v>Bad</v>
      </c>
    </row>
    <row r="5598" spans="2:34" x14ac:dyDescent="0.2">
      <c r="B5598" s="2">
        <f ca="1"/>
        <v>0.47512717496181645</v>
      </c>
      <c r="O5598" s="2">
        <f ca="1"/>
        <v>0.77373594316334116</v>
      </c>
      <c r="X5598" s="2">
        <f ca="1"/>
        <v>86.574113529923949</v>
      </c>
      <c r="AG5598" s="2">
        <f ca="1"/>
        <v>0.47594007536942007</v>
      </c>
      <c r="AH5598" s="2" t="str">
        <f ca="1"/>
        <v>Bad</v>
      </c>
    </row>
    <row r="5599" spans="2:34" x14ac:dyDescent="0.2">
      <c r="B5599" s="2">
        <f ca="1"/>
        <v>0.46495998499704427</v>
      </c>
      <c r="O5599" s="2">
        <f ca="1"/>
        <v>0.16005772303721003</v>
      </c>
      <c r="X5599" s="2">
        <f ca="1"/>
        <v>65.475996979948775</v>
      </c>
      <c r="AG5599" s="2">
        <f ca="1"/>
        <v>0.18367551819765882</v>
      </c>
      <c r="AH5599" s="2" t="str">
        <f ca="1"/>
        <v>OK</v>
      </c>
    </row>
    <row r="5600" spans="2:34" x14ac:dyDescent="0.2">
      <c r="B5600" s="2">
        <f ca="1"/>
        <v>0.52347494484545964</v>
      </c>
      <c r="O5600" s="2">
        <f ca="1"/>
        <v>-0.19975842293995807</v>
      </c>
      <c r="X5600" s="2">
        <f ca="1"/>
        <v>64.490972022217449</v>
      </c>
      <c r="AG5600" s="2">
        <f ca="1"/>
        <v>0.77791618270353546</v>
      </c>
      <c r="AH5600" s="2" t="str">
        <f ca="1"/>
        <v>Bad</v>
      </c>
    </row>
    <row r="5601" spans="2:34" x14ac:dyDescent="0.2">
      <c r="B5601" s="2">
        <f ca="1"/>
        <v>0.71715580013286773</v>
      </c>
      <c r="O5601" s="2">
        <f ca="1"/>
        <v>0.18795999916553269</v>
      </c>
      <c r="X5601" s="2">
        <f ca="1"/>
        <v>78.892008300237805</v>
      </c>
      <c r="AG5601" s="2">
        <f ca="1"/>
        <v>0.87847234880009384</v>
      </c>
      <c r="AH5601" s="2" t="str">
        <f ca="1"/>
        <v>Bad</v>
      </c>
    </row>
    <row r="5602" spans="2:34" x14ac:dyDescent="0.2">
      <c r="B5602" s="2">
        <f ca="1"/>
        <v>0.7469288340924467</v>
      </c>
      <c r="O5602" s="2">
        <f ca="1"/>
        <v>-0.71436027959349335</v>
      </c>
      <c r="X5602" s="2">
        <f ca="1"/>
        <v>52.288494616616326</v>
      </c>
      <c r="AG5602" s="2">
        <f ca="1"/>
        <v>0.25858342762277586</v>
      </c>
      <c r="AH5602" s="2" t="str">
        <f ca="1"/>
        <v>OK</v>
      </c>
    </row>
    <row r="5603" spans="2:34" x14ac:dyDescent="0.2">
      <c r="B5603" s="2">
        <f ca="1"/>
        <v>0.68675806920681692</v>
      </c>
      <c r="O5603" s="2">
        <f ca="1"/>
        <v>0.99869205934866168</v>
      </c>
      <c r="X5603" s="2">
        <f ca="1"/>
        <v>42.342197067699239</v>
      </c>
      <c r="AG5603" s="2">
        <f ca="1"/>
        <v>0.8805931727497307</v>
      </c>
      <c r="AH5603" s="2" t="str">
        <f ca="1"/>
        <v>Bad</v>
      </c>
    </row>
    <row r="5604" spans="2:34" x14ac:dyDescent="0.2">
      <c r="B5604" s="2">
        <f ca="1"/>
        <v>0.51292724014881874</v>
      </c>
      <c r="O5604" s="2">
        <f ca="1"/>
        <v>0.10915217051449096</v>
      </c>
      <c r="X5604" s="2">
        <f ca="1"/>
        <v>43.845662150851126</v>
      </c>
      <c r="AG5604" s="2">
        <f ca="1"/>
        <v>0.5929610778081329</v>
      </c>
      <c r="AH5604" s="2" t="str">
        <f ca="1"/>
        <v>Bad</v>
      </c>
    </row>
    <row r="5605" spans="2:34" x14ac:dyDescent="0.2">
      <c r="B5605" s="2">
        <f ca="1"/>
        <v>0.67856676310084141</v>
      </c>
      <c r="O5605" s="2">
        <f ca="1"/>
        <v>0.30904594201317631</v>
      </c>
      <c r="X5605" s="2">
        <f ca="1"/>
        <v>31.292302052202864</v>
      </c>
      <c r="AG5605" s="2">
        <f ca="1"/>
        <v>0.28494085593180141</v>
      </c>
      <c r="AH5605" s="2" t="str">
        <f ca="1"/>
        <v>OK</v>
      </c>
    </row>
    <row r="5606" spans="2:34" x14ac:dyDescent="0.2">
      <c r="B5606" s="2">
        <f ca="1"/>
        <v>0.42803350877543545</v>
      </c>
      <c r="O5606" s="2">
        <f ca="1"/>
        <v>-1.5461711722429894</v>
      </c>
      <c r="X5606" s="2">
        <f ca="1"/>
        <v>38.873746860017121</v>
      </c>
      <c r="AG5606" s="2">
        <f ca="1"/>
        <v>0.48485587054897961</v>
      </c>
      <c r="AH5606" s="2" t="str">
        <f ca="1"/>
        <v>Bad</v>
      </c>
    </row>
    <row r="5607" spans="2:34" x14ac:dyDescent="0.2">
      <c r="B5607" s="2">
        <f ca="1"/>
        <v>0.69796561884554875</v>
      </c>
      <c r="O5607" s="2">
        <f ca="1"/>
        <v>2.2082404866335787</v>
      </c>
      <c r="X5607" s="2">
        <f ca="1"/>
        <v>52.424427363815049</v>
      </c>
      <c r="AG5607" s="2">
        <f ca="1"/>
        <v>0.99911931832740586</v>
      </c>
      <c r="AH5607" s="2" t="str">
        <f ca="1"/>
        <v>Bad</v>
      </c>
    </row>
    <row r="5608" spans="2:34" x14ac:dyDescent="0.2">
      <c r="B5608" s="2">
        <f ca="1"/>
        <v>0.46574892857598993</v>
      </c>
      <c r="O5608" s="2">
        <f ca="1"/>
        <v>-0.42346507671237282</v>
      </c>
      <c r="X5608" s="2">
        <f ca="1"/>
        <v>45.607112342191499</v>
      </c>
      <c r="AG5608" s="2">
        <f ca="1"/>
        <v>0.59999916986343327</v>
      </c>
      <c r="AH5608" s="2" t="str">
        <f ca="1"/>
        <v>Bad</v>
      </c>
    </row>
    <row r="5609" spans="2:34" x14ac:dyDescent="0.2">
      <c r="B5609" s="2">
        <f ca="1"/>
        <v>0.44167986313156216</v>
      </c>
      <c r="O5609" s="2">
        <f ca="1"/>
        <v>0.13732041722696878</v>
      </c>
      <c r="X5609" s="2">
        <f ca="1"/>
        <v>49.248583459757882</v>
      </c>
      <c r="AG5609" s="2">
        <f ca="1"/>
        <v>0.7495863858566707</v>
      </c>
      <c r="AH5609" s="2" t="str">
        <f ca="1"/>
        <v>Bad</v>
      </c>
    </row>
    <row r="5610" spans="2:34" x14ac:dyDescent="0.2">
      <c r="B5610" s="2">
        <f ca="1"/>
        <v>0.17487806403675421</v>
      </c>
      <c r="O5610" s="2">
        <f ca="1"/>
        <v>-0.42626599211178878</v>
      </c>
      <c r="X5610" s="2">
        <f ca="1"/>
        <v>54.236890801838641</v>
      </c>
      <c r="AG5610" s="2">
        <f ca="1"/>
        <v>0.87729122924307923</v>
      </c>
      <c r="AH5610" s="2" t="str">
        <f ca="1"/>
        <v>Bad</v>
      </c>
    </row>
    <row r="5611" spans="2:34" x14ac:dyDescent="0.2">
      <c r="B5611" s="2">
        <f ca="1"/>
        <v>9.9676769523254105E-2</v>
      </c>
      <c r="O5611" s="2">
        <f ca="1"/>
        <v>-0.39474481033508863</v>
      </c>
      <c r="X5611" s="2">
        <f ca="1"/>
        <v>33.133869875286905</v>
      </c>
      <c r="AG5611" s="2">
        <f ca="1"/>
        <v>0.16788179412544002</v>
      </c>
      <c r="AH5611" s="2" t="str">
        <f ca="1"/>
        <v>OK</v>
      </c>
    </row>
    <row r="5612" spans="2:34" x14ac:dyDescent="0.2">
      <c r="B5612" s="2">
        <f ca="1"/>
        <v>0.31048313097435742</v>
      </c>
      <c r="O5612" s="2">
        <f ca="1"/>
        <v>0.92447260354516103</v>
      </c>
      <c r="X5612" s="2">
        <f ca="1"/>
        <v>44.412632983546381</v>
      </c>
      <c r="AG5612" s="2">
        <f ca="1"/>
        <v>0.99108302669663995</v>
      </c>
      <c r="AH5612" s="2" t="str">
        <f ca="1"/>
        <v>Bad</v>
      </c>
    </row>
    <row r="5613" spans="2:34" x14ac:dyDescent="0.2">
      <c r="B5613" s="2">
        <f ca="1"/>
        <v>0.57965939268614486</v>
      </c>
      <c r="O5613" s="2">
        <f ca="1"/>
        <v>1.7429374804022166E-2</v>
      </c>
      <c r="X5613" s="2">
        <f ca="1"/>
        <v>39.546485191297982</v>
      </c>
      <c r="AG5613" s="2">
        <f ca="1"/>
        <v>0.41812144608399815</v>
      </c>
      <c r="AH5613" s="2" t="str">
        <f ca="1"/>
        <v>Bad</v>
      </c>
    </row>
    <row r="5614" spans="2:34" x14ac:dyDescent="0.2">
      <c r="B5614" s="2">
        <f ca="1"/>
        <v>4.1650448912279314E-2</v>
      </c>
      <c r="O5614" s="2">
        <f ca="1"/>
        <v>-6.3524012270449959E-2</v>
      </c>
      <c r="X5614" s="2">
        <f ca="1"/>
        <v>34.174834515389755</v>
      </c>
      <c r="AG5614" s="2">
        <f ca="1"/>
        <v>0.19866799619376119</v>
      </c>
      <c r="AH5614" s="2" t="str">
        <f ca="1"/>
        <v>OK</v>
      </c>
    </row>
    <row r="5615" spans="2:34" x14ac:dyDescent="0.2">
      <c r="B5615" s="2">
        <f ca="1"/>
        <v>0.9612377535111194</v>
      </c>
      <c r="O5615" s="2">
        <f ca="1"/>
        <v>-1.4394505021344335</v>
      </c>
      <c r="X5615" s="2">
        <f ca="1"/>
        <v>61.106682664920349</v>
      </c>
      <c r="AG5615" s="2">
        <f ca="1"/>
        <v>0.35645315343925854</v>
      </c>
      <c r="AH5615" s="2" t="str">
        <f ca="1"/>
        <v>OK</v>
      </c>
    </row>
    <row r="5616" spans="2:34" x14ac:dyDescent="0.2">
      <c r="B5616" s="2">
        <f ca="1"/>
        <v>0.87630362273303675</v>
      </c>
      <c r="O5616" s="2">
        <f ca="1"/>
        <v>-0.16130747218280844</v>
      </c>
      <c r="X5616" s="2">
        <f ca="1"/>
        <v>44.4941718169813</v>
      </c>
      <c r="AG5616" s="2">
        <f ca="1"/>
        <v>0.73014084882017549</v>
      </c>
      <c r="AH5616" s="2" t="str">
        <f ca="1"/>
        <v>Bad</v>
      </c>
    </row>
    <row r="5617" spans="2:34" x14ac:dyDescent="0.2">
      <c r="B5617" s="2">
        <f ca="1"/>
        <v>0.90643124757726445</v>
      </c>
      <c r="O5617" s="2">
        <f ca="1"/>
        <v>1.0959728025935316</v>
      </c>
      <c r="X5617" s="2">
        <f ca="1"/>
        <v>46.392578766877207</v>
      </c>
      <c r="AG5617" s="2">
        <f ca="1"/>
        <v>0.52851599154922679</v>
      </c>
      <c r="AH5617" s="2" t="str">
        <f ca="1"/>
        <v>Bad</v>
      </c>
    </row>
    <row r="5618" spans="2:34" x14ac:dyDescent="0.2">
      <c r="B5618" s="2">
        <f ca="1"/>
        <v>0.52109389237364367</v>
      </c>
      <c r="O5618" s="2">
        <f ca="1"/>
        <v>2.0829423943951566</v>
      </c>
      <c r="X5618" s="2">
        <f ca="1"/>
        <v>33.941290117054969</v>
      </c>
      <c r="AG5618" s="2">
        <f ca="1"/>
        <v>7.4730351389002969E-3</v>
      </c>
      <c r="AH5618" s="2" t="str">
        <f ca="1"/>
        <v>Good</v>
      </c>
    </row>
    <row r="5619" spans="2:34" x14ac:dyDescent="0.2">
      <c r="B5619" s="2">
        <f ca="1"/>
        <v>0.82873879879694634</v>
      </c>
      <c r="O5619" s="2">
        <f ca="1"/>
        <v>-1.6940783980704557</v>
      </c>
      <c r="X5619" s="2">
        <f ca="1"/>
        <v>86.56131161508614</v>
      </c>
      <c r="AG5619" s="2">
        <f ca="1"/>
        <v>0.17863037744603827</v>
      </c>
      <c r="AH5619" s="2" t="str">
        <f ca="1"/>
        <v>OK</v>
      </c>
    </row>
    <row r="5620" spans="2:34" x14ac:dyDescent="0.2">
      <c r="B5620" s="2">
        <f ca="1"/>
        <v>0.99215438053603244</v>
      </c>
      <c r="O5620" s="2">
        <f ca="1"/>
        <v>-1.1405879548788929</v>
      </c>
      <c r="X5620" s="2">
        <f ca="1"/>
        <v>50.114905640378041</v>
      </c>
      <c r="AG5620" s="2">
        <f ca="1"/>
        <v>0.26489849713023483</v>
      </c>
      <c r="AH5620" s="2" t="str">
        <f ca="1"/>
        <v>OK</v>
      </c>
    </row>
    <row r="5621" spans="2:34" x14ac:dyDescent="0.2">
      <c r="B5621" s="2">
        <f ca="1"/>
        <v>4.2222470982635762E-3</v>
      </c>
      <c r="O5621" s="2">
        <f ca="1"/>
        <v>1.2967010270731434</v>
      </c>
      <c r="X5621" s="2">
        <f ca="1"/>
        <v>34.522343348707622</v>
      </c>
      <c r="AG5621" s="2">
        <f ca="1"/>
        <v>0.39114477350476795</v>
      </c>
      <c r="AH5621" s="2" t="str">
        <f ca="1"/>
        <v>OK</v>
      </c>
    </row>
    <row r="5622" spans="2:34" x14ac:dyDescent="0.2">
      <c r="B5622" s="2">
        <f ca="1"/>
        <v>0.66693061646555551</v>
      </c>
      <c r="O5622" s="2">
        <f ca="1"/>
        <v>0.87690740735892914</v>
      </c>
      <c r="X5622" s="2">
        <f ca="1"/>
        <v>65.717395782535718</v>
      </c>
      <c r="AG5622" s="2">
        <f ca="1"/>
        <v>0.60332229203751297</v>
      </c>
      <c r="AH5622" s="2" t="str">
        <f ca="1"/>
        <v>Bad</v>
      </c>
    </row>
    <row r="5623" spans="2:34" x14ac:dyDescent="0.2">
      <c r="B5623" s="2">
        <f ca="1"/>
        <v>0.24782218684330237</v>
      </c>
      <c r="O5623" s="2">
        <f ca="1"/>
        <v>1.1289211642853616</v>
      </c>
      <c r="X5623" s="2">
        <f ca="1"/>
        <v>51.672430086108733</v>
      </c>
      <c r="AG5623" s="2">
        <f ca="1"/>
        <v>0.64767803895055098</v>
      </c>
      <c r="AH5623" s="2" t="str">
        <f ca="1"/>
        <v>Bad</v>
      </c>
    </row>
    <row r="5624" spans="2:34" x14ac:dyDescent="0.2">
      <c r="B5624" s="2">
        <f ca="1"/>
        <v>0.80091609520380036</v>
      </c>
      <c r="O5624" s="2">
        <f ca="1"/>
        <v>-0.60832029787080089</v>
      </c>
      <c r="X5624" s="2">
        <f ca="1"/>
        <v>43.301969325836332</v>
      </c>
      <c r="AG5624" s="2">
        <f ca="1"/>
        <v>0.49940532862168374</v>
      </c>
      <c r="AH5624" s="2" t="str">
        <f ca="1"/>
        <v>Bad</v>
      </c>
    </row>
    <row r="5625" spans="2:34" x14ac:dyDescent="0.2">
      <c r="B5625" s="2">
        <f ca="1"/>
        <v>0.56794622614233159</v>
      </c>
      <c r="O5625" s="2">
        <f ca="1"/>
        <v>-0.1283498073987446</v>
      </c>
      <c r="X5625" s="2">
        <f ca="1"/>
        <v>69.814017397238885</v>
      </c>
      <c r="AG5625" s="2">
        <f ca="1"/>
        <v>0.33959064984631548</v>
      </c>
      <c r="AH5625" s="2" t="str">
        <f ca="1"/>
        <v>OK</v>
      </c>
    </row>
    <row r="5626" spans="2:34" x14ac:dyDescent="0.2">
      <c r="B5626" s="2">
        <f ca="1"/>
        <v>0.29850083337157418</v>
      </c>
      <c r="O5626" s="2">
        <f ca="1"/>
        <v>-0.95546695197594622</v>
      </c>
      <c r="X5626" s="2">
        <f ca="1"/>
        <v>28.5599585539712</v>
      </c>
      <c r="AG5626" s="2">
        <f ca="1"/>
        <v>0.85342408754263022</v>
      </c>
      <c r="AH5626" s="2" t="str">
        <f ca="1"/>
        <v>Bad</v>
      </c>
    </row>
    <row r="5627" spans="2:34" x14ac:dyDescent="0.2">
      <c r="B5627" s="2">
        <f ca="1"/>
        <v>7.0095140580086035E-2</v>
      </c>
      <c r="O5627" s="2">
        <f ca="1"/>
        <v>-0.25154514229307601</v>
      </c>
      <c r="X5627" s="2">
        <f ca="1"/>
        <v>30.980844486563733</v>
      </c>
      <c r="AG5627" s="2">
        <f ca="1"/>
        <v>0.49599452605930483</v>
      </c>
      <c r="AH5627" s="2" t="str">
        <f ca="1"/>
        <v>Bad</v>
      </c>
    </row>
    <row r="5628" spans="2:34" x14ac:dyDescent="0.2">
      <c r="B5628" s="2">
        <f ca="1"/>
        <v>0.12764892475651823</v>
      </c>
      <c r="O5628" s="2">
        <f ca="1"/>
        <v>-0.89935925484728785</v>
      </c>
      <c r="X5628" s="2">
        <f ca="1"/>
        <v>43.965389657878731</v>
      </c>
      <c r="AG5628" s="2">
        <f ca="1"/>
        <v>0.90376239370745326</v>
      </c>
      <c r="AH5628" s="2" t="str">
        <f ca="1"/>
        <v>Bad</v>
      </c>
    </row>
    <row r="5629" spans="2:34" x14ac:dyDescent="0.2">
      <c r="B5629" s="2">
        <f ca="1"/>
        <v>0.24592094573572254</v>
      </c>
      <c r="O5629" s="2">
        <f ca="1"/>
        <v>0.87659485819039507</v>
      </c>
      <c r="X5629" s="2">
        <f ca="1"/>
        <v>50.338242796126089</v>
      </c>
      <c r="AG5629" s="2">
        <f ca="1"/>
        <v>0.16794198211351863</v>
      </c>
      <c r="AH5629" s="2" t="str">
        <f ca="1"/>
        <v>OK</v>
      </c>
    </row>
    <row r="5630" spans="2:34" x14ac:dyDescent="0.2">
      <c r="B5630" s="2">
        <f ca="1"/>
        <v>0.64782373580368002</v>
      </c>
      <c r="O5630" s="2">
        <f ca="1"/>
        <v>0.96308187609116658</v>
      </c>
      <c r="X5630" s="2">
        <f ca="1"/>
        <v>46.369341013468492</v>
      </c>
      <c r="AG5630" s="2">
        <f ca="1"/>
        <v>0.25530281191184701</v>
      </c>
      <c r="AH5630" s="2" t="str">
        <f ca="1"/>
        <v>OK</v>
      </c>
    </row>
    <row r="5631" spans="2:34" x14ac:dyDescent="0.2">
      <c r="B5631" s="2">
        <f ca="1"/>
        <v>0.72082036906785274</v>
      </c>
      <c r="O5631" s="2">
        <f ca="1"/>
        <v>-0.80560047415828073</v>
      </c>
      <c r="X5631" s="2">
        <f ca="1"/>
        <v>48.024024634383423</v>
      </c>
      <c r="AG5631" s="2">
        <f ca="1"/>
        <v>0.60403186224434058</v>
      </c>
      <c r="AH5631" s="2" t="str">
        <f ca="1"/>
        <v>Bad</v>
      </c>
    </row>
    <row r="5632" spans="2:34" x14ac:dyDescent="0.2">
      <c r="B5632" s="2">
        <f ca="1"/>
        <v>0.26144594857221137</v>
      </c>
      <c r="O5632" s="2">
        <f ca="1"/>
        <v>-0.86938980375351416</v>
      </c>
      <c r="X5632" s="2">
        <f ca="1"/>
        <v>56.613826099940496</v>
      </c>
      <c r="AG5632" s="2">
        <f ca="1"/>
        <v>0.35493060418148525</v>
      </c>
      <c r="AH5632" s="2" t="str">
        <f ca="1"/>
        <v>OK</v>
      </c>
    </row>
    <row r="5633" spans="2:34" x14ac:dyDescent="0.2">
      <c r="B5633" s="2">
        <f ca="1"/>
        <v>0.72183049839554081</v>
      </c>
      <c r="O5633" s="2">
        <f ca="1"/>
        <v>-1.0472799524673313</v>
      </c>
      <c r="X5633" s="2">
        <f ca="1"/>
        <v>40.389212992422941</v>
      </c>
      <c r="AG5633" s="2">
        <f ca="1"/>
        <v>8.2325932973541516E-3</v>
      </c>
      <c r="AH5633" s="2" t="str">
        <f ca="1"/>
        <v>Good</v>
      </c>
    </row>
    <row r="5634" spans="2:34" x14ac:dyDescent="0.2">
      <c r="B5634" s="2">
        <f ca="1"/>
        <v>0.68548630399743748</v>
      </c>
      <c r="O5634" s="2">
        <f ca="1"/>
        <v>0.25050179486686963</v>
      </c>
      <c r="X5634" s="2">
        <f ca="1"/>
        <v>67.524927882399709</v>
      </c>
      <c r="AG5634" s="2">
        <f ca="1"/>
        <v>0.81683799755490916</v>
      </c>
      <c r="AH5634" s="2" t="str">
        <f ca="1"/>
        <v>Bad</v>
      </c>
    </row>
    <row r="5635" spans="2:34" x14ac:dyDescent="0.2">
      <c r="B5635" s="2">
        <f ca="1"/>
        <v>7.0421297006227901E-2</v>
      </c>
      <c r="O5635" s="2">
        <f ca="1"/>
        <v>0.84165426471807425</v>
      </c>
      <c r="X5635" s="2">
        <f ca="1"/>
        <v>52.118991727121355</v>
      </c>
      <c r="AG5635" s="2">
        <f ca="1"/>
        <v>0.62261069606147035</v>
      </c>
      <c r="AH5635" s="2" t="str">
        <f ca="1"/>
        <v>Bad</v>
      </c>
    </row>
    <row r="5636" spans="2:34" x14ac:dyDescent="0.2">
      <c r="B5636" s="2">
        <f ca="1"/>
        <v>0.39694961742544299</v>
      </c>
      <c r="O5636" s="2">
        <f ca="1"/>
        <v>0.62177312936240536</v>
      </c>
      <c r="X5636" s="2">
        <f ca="1"/>
        <v>47.23918413324337</v>
      </c>
      <c r="AG5636" s="2">
        <f ca="1"/>
        <v>0.367055414030383</v>
      </c>
      <c r="AH5636" s="2" t="str">
        <f ca="1"/>
        <v>OK</v>
      </c>
    </row>
    <row r="5637" spans="2:34" x14ac:dyDescent="0.2">
      <c r="B5637" s="2">
        <f ca="1"/>
        <v>0.3825464685234039</v>
      </c>
      <c r="O5637" s="2">
        <f ca="1"/>
        <v>-0.44021633570949542</v>
      </c>
      <c r="X5637" s="2">
        <f ca="1"/>
        <v>36.346235569531338</v>
      </c>
      <c r="AG5637" s="2">
        <f ca="1"/>
        <v>0.21523524456152621</v>
      </c>
      <c r="AH5637" s="2" t="str">
        <f ca="1"/>
        <v>OK</v>
      </c>
    </row>
    <row r="5638" spans="2:34" x14ac:dyDescent="0.2">
      <c r="B5638" s="2">
        <f ca="1"/>
        <v>0.50078347612723295</v>
      </c>
      <c r="O5638" s="2">
        <f ca="1"/>
        <v>-0.23702807480658469</v>
      </c>
      <c r="X5638" s="2">
        <f ca="1"/>
        <v>24.849868569779755</v>
      </c>
      <c r="AG5638" s="2">
        <f ca="1"/>
        <v>0.82687011997837345</v>
      </c>
      <c r="AH5638" s="2" t="str">
        <f ca="1"/>
        <v>Bad</v>
      </c>
    </row>
    <row r="5639" spans="2:34" x14ac:dyDescent="0.2">
      <c r="B5639" s="2">
        <f ca="1"/>
        <v>0.30662091053837037</v>
      </c>
      <c r="O5639" s="2">
        <f ca="1"/>
        <v>-0.20552426002468893</v>
      </c>
      <c r="X5639" s="2">
        <f ca="1"/>
        <v>62.293044893434306</v>
      </c>
      <c r="AG5639" s="2">
        <f ca="1"/>
        <v>0.70143383885941746</v>
      </c>
      <c r="AH5639" s="2" t="str">
        <f ca="1"/>
        <v>Bad</v>
      </c>
    </row>
    <row r="5640" spans="2:34" x14ac:dyDescent="0.2">
      <c r="B5640" s="2">
        <f ca="1"/>
        <v>0.91454976815192746</v>
      </c>
      <c r="O5640" s="2">
        <f ca="1"/>
        <v>1.1889931970917911</v>
      </c>
      <c r="X5640" s="2">
        <f ca="1"/>
        <v>29.218435621369871</v>
      </c>
      <c r="AG5640" s="2">
        <f ca="1"/>
        <v>9.8883768009006001E-3</v>
      </c>
      <c r="AH5640" s="2" t="str">
        <f ca="1"/>
        <v>Good</v>
      </c>
    </row>
    <row r="5641" spans="2:34" x14ac:dyDescent="0.2">
      <c r="B5641" s="2">
        <f ca="1"/>
        <v>0.38066784697784972</v>
      </c>
      <c r="O5641" s="2">
        <f ca="1"/>
        <v>0.68767481928388563</v>
      </c>
      <c r="X5641" s="2">
        <f ca="1"/>
        <v>25.953891202251519</v>
      </c>
      <c r="AG5641" s="2">
        <f ca="1"/>
        <v>0.88278741665104121</v>
      </c>
      <c r="AH5641" s="2" t="str">
        <f ca="1"/>
        <v>Bad</v>
      </c>
    </row>
    <row r="5642" spans="2:34" x14ac:dyDescent="0.2">
      <c r="B5642" s="2">
        <f ca="1"/>
        <v>0.15614599701315957</v>
      </c>
      <c r="O5642" s="2">
        <f ca="1"/>
        <v>-1.6777827015719144</v>
      </c>
      <c r="X5642" s="2">
        <f ca="1"/>
        <v>50.131069875710395</v>
      </c>
      <c r="AG5642" s="2">
        <f ca="1"/>
        <v>0.12967842565393428</v>
      </c>
      <c r="AH5642" s="2" t="str">
        <f ca="1"/>
        <v>OK</v>
      </c>
    </row>
    <row r="5643" spans="2:34" x14ac:dyDescent="0.2">
      <c r="B5643" s="2">
        <f ca="1"/>
        <v>0.72505624252851542</v>
      </c>
      <c r="O5643" s="2">
        <f ca="1"/>
        <v>1.2177402462183373</v>
      </c>
      <c r="X5643" s="2">
        <f ca="1"/>
        <v>66.266145682446776</v>
      </c>
      <c r="AG5643" s="2">
        <f ca="1"/>
        <v>0.33504926733139273</v>
      </c>
      <c r="AH5643" s="2" t="str">
        <f ca="1"/>
        <v>OK</v>
      </c>
    </row>
    <row r="5644" spans="2:34" x14ac:dyDescent="0.2">
      <c r="B5644" s="2">
        <f ca="1"/>
        <v>0.84151270790185917</v>
      </c>
      <c r="O5644" s="2">
        <f ca="1"/>
        <v>-0.42489961814277938</v>
      </c>
      <c r="X5644" s="2">
        <f ca="1"/>
        <v>67.613588800809268</v>
      </c>
      <c r="AG5644" s="2">
        <f ca="1"/>
        <v>0.47158377230732884</v>
      </c>
      <c r="AH5644" s="2" t="str">
        <f ca="1"/>
        <v>Bad</v>
      </c>
    </row>
    <row r="5645" spans="2:34" x14ac:dyDescent="0.2">
      <c r="B5645" s="2">
        <f ca="1"/>
        <v>0.46264394480391702</v>
      </c>
      <c r="O5645" s="2">
        <f ca="1"/>
        <v>-0.25944169649905124</v>
      </c>
      <c r="X5645" s="2">
        <f ca="1"/>
        <v>58.397572968382661</v>
      </c>
      <c r="AG5645" s="2">
        <f ca="1"/>
        <v>0.90303472698359455</v>
      </c>
      <c r="AH5645" s="2" t="str">
        <f ca="1"/>
        <v>Bad</v>
      </c>
    </row>
    <row r="5646" spans="2:34" x14ac:dyDescent="0.2">
      <c r="B5646" s="2">
        <f ca="1"/>
        <v>0.26107194008010626</v>
      </c>
      <c r="O5646" s="2">
        <f ca="1"/>
        <v>2.5252815854610642</v>
      </c>
      <c r="X5646" s="2">
        <f ca="1"/>
        <v>41.906235869533489</v>
      </c>
      <c r="AG5646" s="2">
        <f ca="1"/>
        <v>0.43309898795434787</v>
      </c>
      <c r="AH5646" s="2" t="str">
        <f ca="1"/>
        <v>Bad</v>
      </c>
    </row>
    <row r="5647" spans="2:34" x14ac:dyDescent="0.2">
      <c r="B5647" s="2">
        <f ca="1"/>
        <v>0.15375403050365666</v>
      </c>
      <c r="O5647" s="2">
        <f ca="1"/>
        <v>-1.4678720226540061</v>
      </c>
      <c r="X5647" s="2">
        <f ca="1"/>
        <v>37.950567640527588</v>
      </c>
      <c r="AG5647" s="2">
        <f ca="1"/>
        <v>0.76430812945870907</v>
      </c>
      <c r="AH5647" s="2" t="str">
        <f ca="1"/>
        <v>Bad</v>
      </c>
    </row>
    <row r="5648" spans="2:34" x14ac:dyDescent="0.2">
      <c r="B5648" s="2">
        <f ca="1"/>
        <v>0.39990716551533567</v>
      </c>
      <c r="O5648" s="2">
        <f ca="1"/>
        <v>1.1627822968132386</v>
      </c>
      <c r="X5648" s="2">
        <f ca="1"/>
        <v>65.009834001053747</v>
      </c>
      <c r="AG5648" s="2">
        <f ca="1"/>
        <v>0.67241226829515077</v>
      </c>
      <c r="AH5648" s="2" t="str">
        <f ca="1"/>
        <v>Bad</v>
      </c>
    </row>
    <row r="5649" spans="2:34" x14ac:dyDescent="0.2">
      <c r="B5649" s="2">
        <f ca="1"/>
        <v>2.8344611279510046E-2</v>
      </c>
      <c r="O5649" s="2">
        <f ca="1"/>
        <v>1.277765975171016</v>
      </c>
      <c r="X5649" s="2">
        <f ca="1"/>
        <v>64.194157833748108</v>
      </c>
      <c r="AG5649" s="2">
        <f ca="1"/>
        <v>0.52736516231179253</v>
      </c>
      <c r="AH5649" s="2" t="str">
        <f ca="1"/>
        <v>Bad</v>
      </c>
    </row>
    <row r="5650" spans="2:34" x14ac:dyDescent="0.2">
      <c r="B5650" s="2">
        <f ca="1"/>
        <v>0.35994879919682377</v>
      </c>
      <c r="O5650" s="2">
        <f ca="1"/>
        <v>0.34005017257682063</v>
      </c>
      <c r="X5650" s="2">
        <f ca="1"/>
        <v>20.509498734479784</v>
      </c>
      <c r="AG5650" s="2">
        <f ca="1"/>
        <v>0.38086241372678731</v>
      </c>
      <c r="AH5650" s="2" t="str">
        <f ca="1"/>
        <v>OK</v>
      </c>
    </row>
    <row r="5651" spans="2:34" x14ac:dyDescent="0.2">
      <c r="B5651" s="2">
        <f ca="1"/>
        <v>0.85082702482683681</v>
      </c>
      <c r="O5651" s="2">
        <f ca="1"/>
        <v>0.77754744982219826</v>
      </c>
      <c r="X5651" s="2">
        <f ca="1"/>
        <v>36.721847227681494</v>
      </c>
      <c r="AG5651" s="2">
        <f ca="1"/>
        <v>0.38530368232415801</v>
      </c>
      <c r="AH5651" s="2" t="str">
        <f ca="1"/>
        <v>OK</v>
      </c>
    </row>
    <row r="5652" spans="2:34" x14ac:dyDescent="0.2">
      <c r="B5652" s="2">
        <f ca="1"/>
        <v>0.9283879223280147</v>
      </c>
      <c r="O5652" s="2">
        <f ca="1"/>
        <v>0.88990630862171616</v>
      </c>
      <c r="X5652" s="2">
        <f ca="1"/>
        <v>44.471844704137247</v>
      </c>
      <c r="AG5652" s="2">
        <f ca="1"/>
        <v>0.90282087801052091</v>
      </c>
      <c r="AH5652" s="2" t="str">
        <f ca="1"/>
        <v>Bad</v>
      </c>
    </row>
    <row r="5653" spans="2:34" x14ac:dyDescent="0.2">
      <c r="B5653" s="2">
        <f ca="1"/>
        <v>0.32765844549091616</v>
      </c>
      <c r="O5653" s="2">
        <f ca="1"/>
        <v>0.49894704553843855</v>
      </c>
      <c r="X5653" s="2">
        <f ca="1"/>
        <v>74.82882411960577</v>
      </c>
      <c r="AG5653" s="2">
        <f ca="1"/>
        <v>0.49483993097435852</v>
      </c>
      <c r="AH5653" s="2" t="str">
        <f ca="1"/>
        <v>Bad</v>
      </c>
    </row>
    <row r="5654" spans="2:34" x14ac:dyDescent="0.2">
      <c r="B5654" s="2">
        <f ca="1"/>
        <v>0.13116527014133883</v>
      </c>
      <c r="O5654" s="2">
        <f ca="1"/>
        <v>0.39967054797867418</v>
      </c>
      <c r="X5654" s="2">
        <f ca="1"/>
        <v>38.395050970806047</v>
      </c>
      <c r="AG5654" s="2">
        <f ca="1"/>
        <v>4.7363073067103967E-2</v>
      </c>
      <c r="AH5654" s="2" t="str">
        <f ca="1"/>
        <v>Good</v>
      </c>
    </row>
    <row r="5655" spans="2:34" x14ac:dyDescent="0.2">
      <c r="B5655" s="2">
        <f ca="1"/>
        <v>0.55752181359252018</v>
      </c>
      <c r="O5655" s="2">
        <f ca="1"/>
        <v>1.3207238528103367</v>
      </c>
      <c r="X5655" s="2">
        <f ca="1"/>
        <v>38.116716612755269</v>
      </c>
      <c r="AG5655" s="2">
        <f ca="1"/>
        <v>0.58537155980608846</v>
      </c>
      <c r="AH5655" s="2" t="str">
        <f ca="1"/>
        <v>Bad</v>
      </c>
    </row>
    <row r="5656" spans="2:34" x14ac:dyDescent="0.2">
      <c r="B5656" s="2">
        <f ca="1"/>
        <v>7.4306314328747014E-2</v>
      </c>
      <c r="O5656" s="2">
        <f ca="1"/>
        <v>1.2465033726390315</v>
      </c>
      <c r="X5656" s="2">
        <f ca="1"/>
        <v>53.505790732462515</v>
      </c>
      <c r="AG5656" s="2">
        <f ca="1"/>
        <v>0.18246198547407455</v>
      </c>
      <c r="AH5656" s="2" t="str">
        <f ca="1"/>
        <v>OK</v>
      </c>
    </row>
    <row r="5657" spans="2:34" x14ac:dyDescent="0.2">
      <c r="B5657" s="2">
        <f ca="1"/>
        <v>0.8001226721163468</v>
      </c>
      <c r="O5657" s="2">
        <f ca="1"/>
        <v>0.37772290586607277</v>
      </c>
      <c r="X5657" s="2">
        <f ca="1"/>
        <v>64.997005389783183</v>
      </c>
      <c r="AG5657" s="2">
        <f ca="1"/>
        <v>0.60458132056828173</v>
      </c>
      <c r="AH5657" s="2" t="str">
        <f ca="1"/>
        <v>Bad</v>
      </c>
    </row>
    <row r="5658" spans="2:34" x14ac:dyDescent="0.2">
      <c r="B5658" s="2">
        <f ca="1"/>
        <v>0.46072639321498277</v>
      </c>
      <c r="O5658" s="2">
        <f ca="1"/>
        <v>1.8052307886286598</v>
      </c>
      <c r="X5658" s="2">
        <f ca="1"/>
        <v>64.081404313592543</v>
      </c>
      <c r="AG5658" s="2">
        <f ca="1"/>
        <v>6.4142073971067415E-3</v>
      </c>
      <c r="AH5658" s="2" t="str">
        <f ca="1"/>
        <v>Good</v>
      </c>
    </row>
    <row r="5659" spans="2:34" x14ac:dyDescent="0.2">
      <c r="B5659" s="2">
        <f ca="1"/>
        <v>0.65954628561008932</v>
      </c>
      <c r="O5659" s="2">
        <f ca="1"/>
        <v>-0.68498675469474046</v>
      </c>
      <c r="X5659" s="2">
        <f ca="1"/>
        <v>43.056616040637053</v>
      </c>
      <c r="AG5659" s="2">
        <f ca="1"/>
        <v>0.85273430991924859</v>
      </c>
      <c r="AH5659" s="2" t="str">
        <f ca="1"/>
        <v>Bad</v>
      </c>
    </row>
    <row r="5660" spans="2:34" x14ac:dyDescent="0.2">
      <c r="B5660" s="2">
        <f ca="1"/>
        <v>0.93536869280738144</v>
      </c>
      <c r="O5660" s="2">
        <f ca="1"/>
        <v>1.1715163689953814</v>
      </c>
      <c r="X5660" s="2">
        <f ca="1"/>
        <v>51.897568169591828</v>
      </c>
      <c r="AG5660" s="2">
        <f ca="1"/>
        <v>0.28715183128810362</v>
      </c>
      <c r="AH5660" s="2" t="str">
        <f ca="1"/>
        <v>OK</v>
      </c>
    </row>
    <row r="5661" spans="2:34" x14ac:dyDescent="0.2">
      <c r="B5661" s="2">
        <f ca="1"/>
        <v>0.41668817249464141</v>
      </c>
      <c r="O5661" s="2">
        <f ca="1"/>
        <v>1.3508482453218102</v>
      </c>
      <c r="X5661" s="2">
        <f ca="1"/>
        <v>46.512664337708721</v>
      </c>
      <c r="AG5661" s="2">
        <f ca="1"/>
        <v>0.74912877915369802</v>
      </c>
      <c r="AH5661" s="2" t="str">
        <f ca="1"/>
        <v>Bad</v>
      </c>
    </row>
    <row r="5662" spans="2:34" x14ac:dyDescent="0.2">
      <c r="B5662" s="2">
        <f ca="1"/>
        <v>0.57528496772221094</v>
      </c>
      <c r="O5662" s="2">
        <f ca="1"/>
        <v>8.5049379280554248E-4</v>
      </c>
      <c r="X5662" s="2">
        <f ca="1"/>
        <v>44.574375419092348</v>
      </c>
      <c r="AG5662" s="2">
        <f ca="1"/>
        <v>0.38287144591945554</v>
      </c>
      <c r="AH5662" s="2" t="str">
        <f ca="1"/>
        <v>OK</v>
      </c>
    </row>
    <row r="5663" spans="2:34" x14ac:dyDescent="0.2">
      <c r="B5663" s="2">
        <f ca="1"/>
        <v>0.38682505686557755</v>
      </c>
      <c r="O5663" s="2">
        <f ca="1"/>
        <v>-0.17166649571428058</v>
      </c>
      <c r="X5663" s="2">
        <f ca="1"/>
        <v>39.819365174309823</v>
      </c>
      <c r="AG5663" s="2">
        <f ca="1"/>
        <v>6.9494620886929592E-3</v>
      </c>
      <c r="AH5663" s="2" t="str">
        <f ca="1"/>
        <v>Good</v>
      </c>
    </row>
    <row r="5664" spans="2:34" x14ac:dyDescent="0.2">
      <c r="B5664" s="2">
        <f ca="1"/>
        <v>2.7173366202029703E-2</v>
      </c>
      <c r="O5664" s="2">
        <f ca="1"/>
        <v>-1.623051503583741</v>
      </c>
      <c r="X5664" s="2">
        <f ca="1"/>
        <v>25.449083994434076</v>
      </c>
      <c r="AG5664" s="2">
        <f ca="1"/>
        <v>0.66659506983920735</v>
      </c>
      <c r="AH5664" s="2" t="str">
        <f ca="1"/>
        <v>Bad</v>
      </c>
    </row>
    <row r="5665" spans="2:34" x14ac:dyDescent="0.2">
      <c r="B5665" s="2">
        <f ca="1"/>
        <v>0.84167862155667406</v>
      </c>
      <c r="O5665" s="2">
        <f ca="1"/>
        <v>1.1909870421299711</v>
      </c>
      <c r="X5665" s="2">
        <f ca="1"/>
        <v>30.90295069787221</v>
      </c>
      <c r="AG5665" s="2">
        <f ca="1"/>
        <v>0.92351866798036553</v>
      </c>
      <c r="AH5665" s="2" t="str">
        <f ca="1"/>
        <v>Bad</v>
      </c>
    </row>
    <row r="5666" spans="2:34" x14ac:dyDescent="0.2">
      <c r="B5666" s="2">
        <f ca="1"/>
        <v>0.18097810150684057</v>
      </c>
      <c r="O5666" s="2">
        <f ca="1"/>
        <v>-0.89559061548344499</v>
      </c>
      <c r="X5666" s="2">
        <f ca="1"/>
        <v>47.927156367840134</v>
      </c>
      <c r="AG5666" s="2">
        <f ca="1"/>
        <v>0.69322742841571094</v>
      </c>
      <c r="AH5666" s="2" t="str">
        <f ca="1"/>
        <v>Bad</v>
      </c>
    </row>
    <row r="5667" spans="2:34" x14ac:dyDescent="0.2">
      <c r="B5667" s="2">
        <f ca="1"/>
        <v>0.55555492979589483</v>
      </c>
      <c r="O5667" s="2">
        <f ca="1"/>
        <v>1.6521886261741241</v>
      </c>
      <c r="X5667" s="2">
        <f ca="1"/>
        <v>81.049185100029092</v>
      </c>
      <c r="AG5667" s="2">
        <f ca="1"/>
        <v>0.45185900337272478</v>
      </c>
      <c r="AH5667" s="2" t="str">
        <f ca="1"/>
        <v>Bad</v>
      </c>
    </row>
    <row r="5668" spans="2:34" x14ac:dyDescent="0.2">
      <c r="B5668" s="2">
        <f ca="1"/>
        <v>0.14175185333000484</v>
      </c>
      <c r="O5668" s="2">
        <f ca="1"/>
        <v>2.8522608869786441</v>
      </c>
      <c r="X5668" s="2">
        <f ca="1"/>
        <v>25.080973638076493</v>
      </c>
      <c r="AG5668" s="2">
        <f ca="1"/>
        <v>0.98192897489258257</v>
      </c>
      <c r="AH5668" s="2" t="str">
        <f ca="1"/>
        <v>Bad</v>
      </c>
    </row>
    <row r="5669" spans="2:34" x14ac:dyDescent="0.2">
      <c r="B5669" s="2">
        <f ca="1"/>
        <v>0.61328791049131581</v>
      </c>
      <c r="O5669" s="2">
        <f ca="1"/>
        <v>-0.21641610498996544</v>
      </c>
      <c r="X5669" s="2">
        <f ca="1"/>
        <v>45.353718544522749</v>
      </c>
      <c r="AG5669" s="2">
        <f ca="1"/>
        <v>0.92090310173392509</v>
      </c>
      <c r="AH5669" s="2" t="str">
        <f ca="1"/>
        <v>Bad</v>
      </c>
    </row>
    <row r="5670" spans="2:34" x14ac:dyDescent="0.2">
      <c r="B5670" s="2">
        <f ca="1"/>
        <v>0.80323053463006255</v>
      </c>
      <c r="O5670" s="2">
        <f ca="1"/>
        <v>-0.67713125921874451</v>
      </c>
      <c r="X5670" s="2">
        <f ca="1"/>
        <v>29.019708391599281</v>
      </c>
      <c r="AG5670" s="2">
        <f ca="1"/>
        <v>0.36727102660119582</v>
      </c>
      <c r="AH5670" s="2" t="str">
        <f ca="1"/>
        <v>OK</v>
      </c>
    </row>
    <row r="5671" spans="2:34" x14ac:dyDescent="0.2">
      <c r="B5671" s="2">
        <f ca="1"/>
        <v>0.83834129988004458</v>
      </c>
      <c r="O5671" s="2">
        <f ca="1"/>
        <v>1.0199321263157999</v>
      </c>
      <c r="X5671" s="2">
        <f ca="1"/>
        <v>30.837250781409125</v>
      </c>
      <c r="AG5671" s="2">
        <f ca="1"/>
        <v>0.88972757209665931</v>
      </c>
      <c r="AH5671" s="2" t="str">
        <f ca="1"/>
        <v>Bad</v>
      </c>
    </row>
    <row r="5672" spans="2:34" x14ac:dyDescent="0.2">
      <c r="B5672" s="2">
        <f ca="1"/>
        <v>0.28180044380140856</v>
      </c>
      <c r="O5672" s="2">
        <f ca="1"/>
        <v>-1.1457631527353602</v>
      </c>
      <c r="X5672" s="2">
        <f ca="1"/>
        <v>42.840261637034388</v>
      </c>
      <c r="AG5672" s="2">
        <f ca="1"/>
        <v>0.70912706430800121</v>
      </c>
      <c r="AH5672" s="2" t="str">
        <f ca="1"/>
        <v>Bad</v>
      </c>
    </row>
    <row r="5673" spans="2:34" x14ac:dyDescent="0.2">
      <c r="B5673" s="2">
        <f ca="1"/>
        <v>2.937122905831302E-2</v>
      </c>
      <c r="O5673" s="2">
        <f ca="1"/>
        <v>-0.86784957421322617</v>
      </c>
      <c r="X5673" s="2">
        <f ca="1"/>
        <v>29.908749758274013</v>
      </c>
      <c r="AG5673" s="2">
        <f ca="1"/>
        <v>0.54758517074357127</v>
      </c>
      <c r="AH5673" s="2" t="str">
        <f ca="1"/>
        <v>Bad</v>
      </c>
    </row>
    <row r="5674" spans="2:34" x14ac:dyDescent="0.2">
      <c r="B5674" s="2">
        <f ca="1"/>
        <v>0.89906300440684106</v>
      </c>
      <c r="O5674" s="2">
        <f ca="1"/>
        <v>-1.5007133580184813</v>
      </c>
      <c r="X5674" s="2">
        <f ca="1"/>
        <v>64.166158594937713</v>
      </c>
      <c r="AG5674" s="2">
        <f ca="1"/>
        <v>0.27852425877400133</v>
      </c>
      <c r="AH5674" s="2" t="str">
        <f ca="1"/>
        <v>OK</v>
      </c>
    </row>
    <row r="5675" spans="2:34" x14ac:dyDescent="0.2">
      <c r="B5675" s="2">
        <f ca="1"/>
        <v>0.13052348900861688</v>
      </c>
      <c r="O5675" s="2">
        <f ca="1"/>
        <v>-1.0773738223127804</v>
      </c>
      <c r="X5675" s="2">
        <f ca="1"/>
        <v>52.440489263849742</v>
      </c>
      <c r="AG5675" s="2">
        <f ca="1"/>
        <v>0.36925371258741757</v>
      </c>
      <c r="AH5675" s="2" t="str">
        <f ca="1"/>
        <v>OK</v>
      </c>
    </row>
    <row r="5676" spans="2:34" x14ac:dyDescent="0.2">
      <c r="B5676" s="2">
        <f ca="1"/>
        <v>0.14938237643134911</v>
      </c>
      <c r="O5676" s="2">
        <f ca="1"/>
        <v>1.9761100981636566</v>
      </c>
      <c r="X5676" s="2">
        <f ca="1"/>
        <v>43.560716245563896</v>
      </c>
      <c r="AG5676" s="2">
        <f ca="1"/>
        <v>0.90117746146672628</v>
      </c>
      <c r="AH5676" s="2" t="str">
        <f ca="1"/>
        <v>Bad</v>
      </c>
    </row>
    <row r="5677" spans="2:34" x14ac:dyDescent="0.2">
      <c r="B5677" s="2">
        <f ca="1"/>
        <v>0.45314439412403962</v>
      </c>
      <c r="O5677" s="2">
        <f ca="1"/>
        <v>1.0931167511326003</v>
      </c>
      <c r="X5677" s="2">
        <f ca="1"/>
        <v>31.943403345970868</v>
      </c>
      <c r="AG5677" s="2">
        <f ca="1"/>
        <v>0.43785046351264123</v>
      </c>
      <c r="AH5677" s="2" t="str">
        <f ca="1"/>
        <v>Bad</v>
      </c>
    </row>
    <row r="5678" spans="2:34" x14ac:dyDescent="0.2">
      <c r="B5678" s="2">
        <f ca="1"/>
        <v>0.52474224103016964</v>
      </c>
      <c r="O5678" s="2">
        <f ca="1"/>
        <v>2.8488304829312971</v>
      </c>
      <c r="X5678" s="2">
        <f ca="1"/>
        <v>70.217955878186402</v>
      </c>
      <c r="AG5678" s="2">
        <f ca="1"/>
        <v>0.64799347053317247</v>
      </c>
      <c r="AH5678" s="2" t="str">
        <f ca="1"/>
        <v>Bad</v>
      </c>
    </row>
    <row r="5679" spans="2:34" x14ac:dyDescent="0.2">
      <c r="B5679" s="2">
        <f ca="1"/>
        <v>0.57342583479802256</v>
      </c>
      <c r="O5679" s="2">
        <f ca="1"/>
        <v>-2.9293508914020001</v>
      </c>
      <c r="X5679" s="2">
        <f ca="1"/>
        <v>56.705650882554608</v>
      </c>
      <c r="AG5679" s="2">
        <f ca="1"/>
        <v>0.2579179225326873</v>
      </c>
      <c r="AH5679" s="2" t="str">
        <f ca="1"/>
        <v>OK</v>
      </c>
    </row>
    <row r="5680" spans="2:34" x14ac:dyDescent="0.2">
      <c r="B5680" s="2">
        <f ca="1"/>
        <v>0.16368023869953374</v>
      </c>
      <c r="O5680" s="2">
        <f ca="1"/>
        <v>0.93456874066795592</v>
      </c>
      <c r="X5680" s="2">
        <f ca="1"/>
        <v>53.881584422625608</v>
      </c>
      <c r="AG5680" s="2">
        <f ca="1"/>
        <v>0.64971434208542989</v>
      </c>
      <c r="AH5680" s="2" t="str">
        <f ca="1"/>
        <v>Bad</v>
      </c>
    </row>
    <row r="5681" spans="2:34" x14ac:dyDescent="0.2">
      <c r="B5681" s="2">
        <f ca="1"/>
        <v>1.8240406962557687E-2</v>
      </c>
      <c r="O5681" s="2">
        <f ca="1"/>
        <v>0.47580639209902148</v>
      </c>
      <c r="X5681" s="2">
        <f ca="1"/>
        <v>73.932070716413946</v>
      </c>
      <c r="AG5681" s="2">
        <f ca="1"/>
        <v>0.83320835509677416</v>
      </c>
      <c r="AH5681" s="2" t="str">
        <f ca="1"/>
        <v>Bad</v>
      </c>
    </row>
    <row r="5682" spans="2:34" x14ac:dyDescent="0.2">
      <c r="B5682" s="2">
        <f ca="1"/>
        <v>0.94883504445141464</v>
      </c>
      <c r="O5682" s="2">
        <f ca="1"/>
        <v>0.13402768159399644</v>
      </c>
      <c r="X5682" s="2">
        <f ca="1"/>
        <v>35.510790377803204</v>
      </c>
      <c r="AG5682" s="2">
        <f ca="1"/>
        <v>0.96646000580498592</v>
      </c>
      <c r="AH5682" s="2" t="str">
        <f ca="1"/>
        <v>Bad</v>
      </c>
    </row>
    <row r="5683" spans="2:34" x14ac:dyDescent="0.2">
      <c r="B5683" s="2">
        <f ca="1"/>
        <v>0.70287946627914977</v>
      </c>
      <c r="O5683" s="2">
        <f ca="1"/>
        <v>-0.52855358279122455</v>
      </c>
      <c r="X5683" s="2">
        <f ca="1"/>
        <v>93.492680166214086</v>
      </c>
      <c r="AG5683" s="2">
        <f ca="1"/>
        <v>0.46756147146892824</v>
      </c>
      <c r="AH5683" s="2" t="str">
        <f ca="1"/>
        <v>Bad</v>
      </c>
    </row>
    <row r="5684" spans="2:34" x14ac:dyDescent="0.2">
      <c r="B5684" s="2">
        <f ca="1"/>
        <v>0.93023873511063049</v>
      </c>
      <c r="O5684" s="2">
        <f ca="1"/>
        <v>0.59696360007353244</v>
      </c>
      <c r="X5684" s="2">
        <f ca="1"/>
        <v>48.631449753107709</v>
      </c>
      <c r="AG5684" s="2">
        <f ca="1"/>
        <v>6.0810035031935161E-2</v>
      </c>
      <c r="AH5684" s="2" t="str">
        <f ca="1"/>
        <v>OK</v>
      </c>
    </row>
    <row r="5685" spans="2:34" x14ac:dyDescent="0.2">
      <c r="B5685" s="2">
        <f ca="1"/>
        <v>0.50629337915052885</v>
      </c>
      <c r="O5685" s="2">
        <f ca="1"/>
        <v>-0.56533749327969662</v>
      </c>
      <c r="X5685" s="2">
        <f ca="1"/>
        <v>55.809629646516797</v>
      </c>
      <c r="AG5685" s="2">
        <f ca="1"/>
        <v>0.18488126333529897</v>
      </c>
      <c r="AH5685" s="2" t="str">
        <f ca="1"/>
        <v>OK</v>
      </c>
    </row>
    <row r="5686" spans="2:34" x14ac:dyDescent="0.2">
      <c r="B5686" s="2">
        <f ca="1"/>
        <v>0.3714066815062671</v>
      </c>
      <c r="O5686" s="2">
        <f ca="1"/>
        <v>0.65738266773000753</v>
      </c>
      <c r="X5686" s="2">
        <f ca="1"/>
        <v>50.374351313908612</v>
      </c>
      <c r="AG5686" s="2">
        <f ca="1"/>
        <v>0.19115558416353107</v>
      </c>
      <c r="AH5686" s="2" t="str">
        <f ca="1"/>
        <v>OK</v>
      </c>
    </row>
    <row r="5687" spans="2:34" x14ac:dyDescent="0.2">
      <c r="B5687" s="2">
        <f ca="1"/>
        <v>0.690137163971001</v>
      </c>
      <c r="O5687" s="2">
        <f ca="1"/>
        <v>1.2110618897077696</v>
      </c>
      <c r="X5687" s="2">
        <f ca="1"/>
        <v>72.311937556679368</v>
      </c>
      <c r="AG5687" s="2">
        <f ca="1"/>
        <v>2.3107043364033242E-2</v>
      </c>
      <c r="AH5687" s="2" t="str">
        <f ca="1"/>
        <v>Good</v>
      </c>
    </row>
    <row r="5688" spans="2:34" x14ac:dyDescent="0.2">
      <c r="B5688" s="2">
        <f ca="1"/>
        <v>0.13840143310823971</v>
      </c>
      <c r="O5688" s="2">
        <f ca="1"/>
        <v>2.1506282753145385</v>
      </c>
      <c r="X5688" s="2">
        <f ca="1"/>
        <v>52.190293387627733</v>
      </c>
      <c r="AG5688" s="2">
        <f ca="1"/>
        <v>0.98203093904242178</v>
      </c>
      <c r="AH5688" s="2" t="str">
        <f ca="1"/>
        <v>Bad</v>
      </c>
    </row>
    <row r="5689" spans="2:34" x14ac:dyDescent="0.2">
      <c r="B5689" s="2">
        <f ca="1"/>
        <v>0.57783385645008867</v>
      </c>
      <c r="O5689" s="2">
        <f ca="1"/>
        <v>-1.2320068036626524</v>
      </c>
      <c r="X5689" s="2">
        <f ca="1"/>
        <v>50.179828645358846</v>
      </c>
      <c r="AG5689" s="2">
        <f ca="1"/>
        <v>0.33469284928484444</v>
      </c>
      <c r="AH5689" s="2" t="str">
        <f ca="1"/>
        <v>OK</v>
      </c>
    </row>
    <row r="5690" spans="2:34" x14ac:dyDescent="0.2">
      <c r="B5690" s="2">
        <f ca="1"/>
        <v>0.43856962113475317</v>
      </c>
      <c r="O5690" s="2">
        <f ca="1"/>
        <v>2.1964377119037333</v>
      </c>
      <c r="X5690" s="2">
        <f ca="1"/>
        <v>39.150502327082371</v>
      </c>
      <c r="AG5690" s="2">
        <f ca="1"/>
        <v>0.97406541224743104</v>
      </c>
      <c r="AH5690" s="2" t="str">
        <f ca="1"/>
        <v>Bad</v>
      </c>
    </row>
    <row r="5691" spans="2:34" x14ac:dyDescent="0.2">
      <c r="B5691" s="2">
        <f ca="1"/>
        <v>0.30364675004565145</v>
      </c>
      <c r="O5691" s="2">
        <f ca="1"/>
        <v>-0.30667294557488606</v>
      </c>
      <c r="X5691" s="2">
        <f ca="1"/>
        <v>38.815382504625092</v>
      </c>
      <c r="AG5691" s="2">
        <f ca="1"/>
        <v>0.9357765952433339</v>
      </c>
      <c r="AH5691" s="2" t="str">
        <f ca="1"/>
        <v>Bad</v>
      </c>
    </row>
    <row r="5692" spans="2:34" x14ac:dyDescent="0.2">
      <c r="B5692" s="2">
        <f ca="1"/>
        <v>4.4739831610396186E-2</v>
      </c>
      <c r="O5692" s="2">
        <f ca="1"/>
        <v>-1.8761087627050623</v>
      </c>
      <c r="X5692" s="2">
        <f ca="1"/>
        <v>48.721149920566383</v>
      </c>
      <c r="AG5692" s="2">
        <f ca="1"/>
        <v>0.43331257505111487</v>
      </c>
      <c r="AH5692" s="2" t="str">
        <f ca="1"/>
        <v>Bad</v>
      </c>
    </row>
    <row r="5693" spans="2:34" x14ac:dyDescent="0.2">
      <c r="B5693" s="2">
        <f ca="1"/>
        <v>0.94662494989335566</v>
      </c>
      <c r="O5693" s="2">
        <f ca="1"/>
        <v>1.0279579393974654</v>
      </c>
      <c r="X5693" s="2">
        <f ca="1"/>
        <v>49.73641730390316</v>
      </c>
      <c r="AG5693" s="2">
        <f ca="1"/>
        <v>0.21504784497060037</v>
      </c>
      <c r="AH5693" s="2" t="str">
        <f ca="1"/>
        <v>OK</v>
      </c>
    </row>
    <row r="5694" spans="2:34" x14ac:dyDescent="0.2">
      <c r="B5694" s="2">
        <f ca="1"/>
        <v>0.73303520634137298</v>
      </c>
      <c r="O5694" s="2">
        <f ca="1"/>
        <v>-1.4583982941954372E-3</v>
      </c>
      <c r="X5694" s="2">
        <f ca="1"/>
        <v>26.818109991898574</v>
      </c>
      <c r="AG5694" s="2">
        <f ca="1"/>
        <v>0.11427234879198345</v>
      </c>
      <c r="AH5694" s="2" t="str">
        <f ca="1"/>
        <v>OK</v>
      </c>
    </row>
    <row r="5695" spans="2:34" x14ac:dyDescent="0.2">
      <c r="B5695" s="2">
        <f ca="1"/>
        <v>0.3724859414145274</v>
      </c>
      <c r="O5695" s="2">
        <f ca="1"/>
        <v>-7.7452472373344093E-3</v>
      </c>
      <c r="X5695" s="2">
        <f ca="1"/>
        <v>40.199757129490692</v>
      </c>
      <c r="AG5695" s="2">
        <f ca="1"/>
        <v>0.15349618178665114</v>
      </c>
      <c r="AH5695" s="2" t="str">
        <f ca="1"/>
        <v>OK</v>
      </c>
    </row>
    <row r="5696" spans="2:34" x14ac:dyDescent="0.2">
      <c r="B5696" s="2">
        <f ca="1"/>
        <v>0.44924157969989231</v>
      </c>
      <c r="O5696" s="2">
        <f ca="1"/>
        <v>-2.4869057377717487</v>
      </c>
      <c r="X5696" s="2">
        <f ca="1"/>
        <v>52.842116130188813</v>
      </c>
      <c r="AG5696" s="2">
        <f ca="1"/>
        <v>0.88486633855444596</v>
      </c>
      <c r="AH5696" s="2" t="str">
        <f ca="1"/>
        <v>Bad</v>
      </c>
    </row>
    <row r="5697" spans="2:34" x14ac:dyDescent="0.2">
      <c r="B5697" s="2">
        <f ca="1"/>
        <v>0.74625877338160418</v>
      </c>
      <c r="O5697" s="2">
        <f ca="1"/>
        <v>0.86139333648197658</v>
      </c>
      <c r="X5697" s="2">
        <f ca="1"/>
        <v>69.011924368634638</v>
      </c>
      <c r="AG5697" s="2">
        <f ca="1"/>
        <v>0.31175038827330859</v>
      </c>
      <c r="AH5697" s="2" t="str">
        <f ca="1"/>
        <v>OK</v>
      </c>
    </row>
    <row r="5698" spans="2:34" x14ac:dyDescent="0.2">
      <c r="B5698" s="2">
        <f ca="1"/>
        <v>0.9203266754909698</v>
      </c>
      <c r="O5698" s="2">
        <f ca="1"/>
        <v>-0.83460118923145987</v>
      </c>
      <c r="X5698" s="2">
        <f ca="1"/>
        <v>43.845528908080368</v>
      </c>
      <c r="AG5698" s="2">
        <f ca="1"/>
        <v>0.13329269591536308</v>
      </c>
      <c r="AH5698" s="2" t="str">
        <f ca="1"/>
        <v>OK</v>
      </c>
    </row>
    <row r="5699" spans="2:34" x14ac:dyDescent="0.2">
      <c r="B5699" s="2">
        <f ca="1"/>
        <v>0.20366035390677673</v>
      </c>
      <c r="O5699" s="2">
        <f ca="1"/>
        <v>0.11696387155908831</v>
      </c>
      <c r="X5699" s="2">
        <f ca="1"/>
        <v>44.377879852518817</v>
      </c>
      <c r="AG5699" s="2">
        <f ca="1"/>
        <v>0.59754094103496125</v>
      </c>
      <c r="AH5699" s="2" t="str">
        <f ca="1"/>
        <v>Bad</v>
      </c>
    </row>
    <row r="5700" spans="2:34" x14ac:dyDescent="0.2">
      <c r="B5700" s="2">
        <f ca="1"/>
        <v>0.99570115402105586</v>
      </c>
      <c r="O5700" s="2">
        <f ca="1"/>
        <v>-0.42767569209880679</v>
      </c>
      <c r="X5700" s="2">
        <f ca="1"/>
        <v>67.400678554443616</v>
      </c>
      <c r="AG5700" s="2">
        <f ca="1"/>
        <v>0.84264853698019793</v>
      </c>
      <c r="AH5700" s="2" t="str">
        <f ca="1"/>
        <v>Bad</v>
      </c>
    </row>
    <row r="5701" spans="2:34" x14ac:dyDescent="0.2">
      <c r="B5701" s="2">
        <f ca="1"/>
        <v>0.79136724726758034</v>
      </c>
      <c r="O5701" s="2">
        <f ca="1"/>
        <v>0.9242992619070538</v>
      </c>
      <c r="X5701" s="2">
        <f ca="1"/>
        <v>39.597186925022115</v>
      </c>
      <c r="AG5701" s="2">
        <f ca="1"/>
        <v>0.51678571094474424</v>
      </c>
      <c r="AH5701" s="2" t="str">
        <f ca="1"/>
        <v>Bad</v>
      </c>
    </row>
    <row r="5702" spans="2:34" x14ac:dyDescent="0.2">
      <c r="B5702" s="2">
        <f ca="1"/>
        <v>0.17061947377264941</v>
      </c>
      <c r="O5702" s="2">
        <f ca="1"/>
        <v>1.33515875274773</v>
      </c>
      <c r="X5702" s="2">
        <f ca="1"/>
        <v>65.118129424617507</v>
      </c>
      <c r="AG5702" s="2">
        <f ca="1"/>
        <v>0.30032719566366728</v>
      </c>
      <c r="AH5702" s="2" t="str">
        <f ca="1"/>
        <v>OK</v>
      </c>
    </row>
    <row r="5703" spans="2:34" x14ac:dyDescent="0.2">
      <c r="B5703" s="2">
        <f ca="1"/>
        <v>0.79461348402418719</v>
      </c>
      <c r="O5703" s="2">
        <f ca="1"/>
        <v>-0.324555731115452</v>
      </c>
      <c r="X5703" s="2">
        <f ca="1"/>
        <v>31.572632371520651</v>
      </c>
      <c r="AG5703" s="2">
        <f ca="1"/>
        <v>0.66751027464055901</v>
      </c>
      <c r="AH5703" s="2" t="str">
        <f ca="1"/>
        <v>Bad</v>
      </c>
    </row>
    <row r="5704" spans="2:34" x14ac:dyDescent="0.2">
      <c r="B5704" s="2">
        <f ca="1"/>
        <v>0.68668346351960396</v>
      </c>
      <c r="O5704" s="2">
        <f ca="1"/>
        <v>1.044335782644819</v>
      </c>
      <c r="X5704" s="2">
        <f ca="1"/>
        <v>55.241687815026467</v>
      </c>
      <c r="AG5704" s="2">
        <f ca="1"/>
        <v>0.73804506062533237</v>
      </c>
      <c r="AH5704" s="2" t="str">
        <f ca="1"/>
        <v>Bad</v>
      </c>
    </row>
    <row r="5705" spans="2:34" x14ac:dyDescent="0.2">
      <c r="B5705" s="2">
        <f ca="1"/>
        <v>5.6510116074544259E-2</v>
      </c>
      <c r="O5705" s="2">
        <f ca="1"/>
        <v>-1.0670906925261152</v>
      </c>
      <c r="X5705" s="2">
        <f ca="1"/>
        <v>26.817239388790128</v>
      </c>
      <c r="AG5705" s="2">
        <f ca="1"/>
        <v>0.27833759456116081</v>
      </c>
      <c r="AH5705" s="2" t="str">
        <f ca="1"/>
        <v>OK</v>
      </c>
    </row>
    <row r="5706" spans="2:34" x14ac:dyDescent="0.2">
      <c r="B5706" s="2">
        <f ca="1"/>
        <v>0.97722189997092834</v>
      </c>
      <c r="O5706" s="2">
        <f ca="1"/>
        <v>-0.87842334385336451</v>
      </c>
      <c r="X5706" s="2">
        <f ca="1"/>
        <v>51.388757966522938</v>
      </c>
      <c r="AG5706" s="2">
        <f ca="1"/>
        <v>0.69090271486323473</v>
      </c>
      <c r="AH5706" s="2" t="str">
        <f ca="1"/>
        <v>Bad</v>
      </c>
    </row>
    <row r="5707" spans="2:34" x14ac:dyDescent="0.2">
      <c r="B5707" s="2">
        <f ca="1"/>
        <v>0.78537552856426651</v>
      </c>
      <c r="O5707" s="2">
        <f ca="1"/>
        <v>1.1918532190038749</v>
      </c>
      <c r="X5707" s="2">
        <f ca="1"/>
        <v>46.283412709758693</v>
      </c>
      <c r="AG5707" s="2">
        <f ca="1"/>
        <v>0.26147780906601592</v>
      </c>
      <c r="AH5707" s="2" t="str">
        <f ca="1"/>
        <v>OK</v>
      </c>
    </row>
    <row r="5708" spans="2:34" x14ac:dyDescent="0.2">
      <c r="B5708" s="2">
        <f ca="1"/>
        <v>0.20596676859083929</v>
      </c>
      <c r="O5708" s="2">
        <f ca="1"/>
        <v>-0.36053254765957127</v>
      </c>
      <c r="X5708" s="2">
        <f ca="1"/>
        <v>36.794128166681418</v>
      </c>
      <c r="AG5708" s="2">
        <f ca="1"/>
        <v>0.76276652216552154</v>
      </c>
      <c r="AH5708" s="2" t="str">
        <f ca="1"/>
        <v>Bad</v>
      </c>
    </row>
    <row r="5709" spans="2:34" x14ac:dyDescent="0.2">
      <c r="B5709" s="2">
        <f ca="1"/>
        <v>0.29215083314606205</v>
      </c>
      <c r="O5709" s="2">
        <f ca="1"/>
        <v>-3.038455328667284</v>
      </c>
      <c r="X5709" s="2">
        <f ca="1"/>
        <v>80.78737143874605</v>
      </c>
      <c r="AG5709" s="2">
        <f ca="1"/>
        <v>0.37355914081467434</v>
      </c>
      <c r="AH5709" s="2" t="str">
        <f ca="1"/>
        <v>OK</v>
      </c>
    </row>
    <row r="5710" spans="2:34" x14ac:dyDescent="0.2">
      <c r="B5710" s="2">
        <f ca="1"/>
        <v>0.34051986766331277</v>
      </c>
      <c r="O5710" s="2">
        <f ca="1"/>
        <v>-1.4159739543194996</v>
      </c>
      <c r="X5710" s="2">
        <f ca="1"/>
        <v>66.325020155740773</v>
      </c>
      <c r="AG5710" s="2">
        <f ca="1"/>
        <v>0.733540170693048</v>
      </c>
      <c r="AH5710" s="2" t="str">
        <f ca="1"/>
        <v>Bad</v>
      </c>
    </row>
    <row r="5711" spans="2:34" x14ac:dyDescent="0.2">
      <c r="B5711" s="2">
        <f ca="1"/>
        <v>0.43768236693855855</v>
      </c>
      <c r="O5711" s="2">
        <f ca="1"/>
        <v>-0.85318820408189433</v>
      </c>
      <c r="X5711" s="2">
        <f ca="1"/>
        <v>47.449522203247795</v>
      </c>
      <c r="AG5711" s="2">
        <f ca="1"/>
        <v>0.81557349721150807</v>
      </c>
      <c r="AH5711" s="2" t="str">
        <f ca="1"/>
        <v>Bad</v>
      </c>
    </row>
    <row r="5712" spans="2:34" x14ac:dyDescent="0.2">
      <c r="B5712" s="2">
        <f ca="1"/>
        <v>0.86545108874479793</v>
      </c>
      <c r="O5712" s="2">
        <f ca="1"/>
        <v>1.3932699536366941</v>
      </c>
      <c r="X5712" s="2">
        <f ca="1"/>
        <v>31.507250533831765</v>
      </c>
      <c r="AG5712" s="2">
        <f ca="1"/>
        <v>7.3769969935791879E-2</v>
      </c>
      <c r="AH5712" s="2" t="str">
        <f ca="1"/>
        <v>OK</v>
      </c>
    </row>
    <row r="5713" spans="2:34" x14ac:dyDescent="0.2">
      <c r="B5713" s="2">
        <f ca="1"/>
        <v>0.7185275940028415</v>
      </c>
      <c r="O5713" s="2">
        <f ca="1"/>
        <v>0.86412203025617762</v>
      </c>
      <c r="X5713" s="2">
        <f ca="1"/>
        <v>89.024563064318471</v>
      </c>
      <c r="AG5713" s="2">
        <f ca="1"/>
        <v>0.50321982024361489</v>
      </c>
      <c r="AH5713" s="2" t="str">
        <f ca="1"/>
        <v>Bad</v>
      </c>
    </row>
    <row r="5714" spans="2:34" x14ac:dyDescent="0.2">
      <c r="B5714" s="2">
        <f ca="1"/>
        <v>0.5673996443424052</v>
      </c>
      <c r="O5714" s="2">
        <f ca="1"/>
        <v>-0.51710792553673712</v>
      </c>
      <c r="X5714" s="2">
        <f ca="1"/>
        <v>67.090200068209342</v>
      </c>
      <c r="AG5714" s="2">
        <f ca="1"/>
        <v>0.32327619160557974</v>
      </c>
      <c r="AH5714" s="2" t="str">
        <f ca="1"/>
        <v>OK</v>
      </c>
    </row>
    <row r="5715" spans="2:34" x14ac:dyDescent="0.2">
      <c r="B5715" s="2">
        <f ca="1"/>
        <v>0.35630527602223516</v>
      </c>
      <c r="O5715" s="2">
        <f ca="1"/>
        <v>-0.41291117392554905</v>
      </c>
      <c r="X5715" s="2">
        <f ca="1"/>
        <v>31.78422186952103</v>
      </c>
      <c r="AG5715" s="2">
        <f ca="1"/>
        <v>0.39111963927654747</v>
      </c>
      <c r="AH5715" s="2" t="str">
        <f ca="1"/>
        <v>OK</v>
      </c>
    </row>
    <row r="5716" spans="2:34" x14ac:dyDescent="0.2">
      <c r="B5716" s="2">
        <f ca="1"/>
        <v>0.98263805241044966</v>
      </c>
      <c r="O5716" s="2">
        <f ca="1"/>
        <v>-0.89714938848337955</v>
      </c>
      <c r="X5716" s="2">
        <f ca="1"/>
        <v>63.41056401032867</v>
      </c>
      <c r="AG5716" s="2">
        <f ca="1"/>
        <v>0.60687781699727705</v>
      </c>
      <c r="AH5716" s="2" t="str">
        <f ca="1"/>
        <v>Bad</v>
      </c>
    </row>
    <row r="5717" spans="2:34" x14ac:dyDescent="0.2">
      <c r="B5717" s="2">
        <f ca="1"/>
        <v>0.45155563458939385</v>
      </c>
      <c r="O5717" s="2">
        <f ca="1"/>
        <v>-2.3787734470776471E-2</v>
      </c>
      <c r="X5717" s="2">
        <f ca="1"/>
        <v>73.689684379766547</v>
      </c>
      <c r="AG5717" s="2">
        <f ca="1"/>
        <v>0.84575422607070183</v>
      </c>
      <c r="AH5717" s="2" t="str">
        <f ca="1"/>
        <v>Bad</v>
      </c>
    </row>
    <row r="5718" spans="2:34" x14ac:dyDescent="0.2">
      <c r="B5718" s="2">
        <f ca="1"/>
        <v>0.72080968834722658</v>
      </c>
      <c r="O5718" s="2">
        <f ca="1"/>
        <v>-1.8297298717587078</v>
      </c>
      <c r="X5718" s="2">
        <f ca="1"/>
        <v>40.742739915364787</v>
      </c>
      <c r="AG5718" s="2">
        <f ca="1"/>
        <v>0.56305611340124351</v>
      </c>
      <c r="AH5718" s="2" t="str">
        <f ca="1"/>
        <v>Bad</v>
      </c>
    </row>
    <row r="5719" spans="2:34" x14ac:dyDescent="0.2">
      <c r="B5719" s="2">
        <f ca="1"/>
        <v>0.92013972975620906</v>
      </c>
      <c r="O5719" s="2">
        <f ca="1"/>
        <v>1.6817448299290614</v>
      </c>
      <c r="X5719" s="2">
        <f ca="1"/>
        <v>57.717532047345401</v>
      </c>
      <c r="AG5719" s="2">
        <f ca="1"/>
        <v>0.7902771945661613</v>
      </c>
      <c r="AH5719" s="2" t="str">
        <f ca="1"/>
        <v>Bad</v>
      </c>
    </row>
    <row r="5720" spans="2:34" x14ac:dyDescent="0.2">
      <c r="B5720" s="2">
        <f ca="1"/>
        <v>1.1228049139692997E-2</v>
      </c>
      <c r="O5720" s="2">
        <f ca="1"/>
        <v>1.481597598112818</v>
      </c>
      <c r="X5720" s="2">
        <f ca="1"/>
        <v>48.855782237726444</v>
      </c>
      <c r="AG5720" s="2">
        <f ca="1"/>
        <v>0.30107919216103785</v>
      </c>
      <c r="AH5720" s="2" t="str">
        <f ca="1"/>
        <v>OK</v>
      </c>
    </row>
    <row r="5721" spans="2:34" x14ac:dyDescent="0.2">
      <c r="B5721" s="2">
        <f ca="1"/>
        <v>0.21306242502996642</v>
      </c>
      <c r="O5721" s="2">
        <f ca="1"/>
        <v>0.14707012027553795</v>
      </c>
      <c r="X5721" s="2">
        <f ca="1"/>
        <v>57.170942028886273</v>
      </c>
      <c r="AG5721" s="2">
        <f ca="1"/>
        <v>0.61886024081854951</v>
      </c>
      <c r="AH5721" s="2" t="str">
        <f ca="1"/>
        <v>Bad</v>
      </c>
    </row>
    <row r="5722" spans="2:34" x14ac:dyDescent="0.2">
      <c r="B5722" s="2">
        <f ca="1"/>
        <v>0.50516538373174602</v>
      </c>
      <c r="O5722" s="2">
        <f ca="1"/>
        <v>-0.21804229543374262</v>
      </c>
      <c r="X5722" s="2">
        <f ca="1"/>
        <v>29.668094217970683</v>
      </c>
      <c r="AG5722" s="2">
        <f ca="1"/>
        <v>0.49539906701670744</v>
      </c>
      <c r="AH5722" s="2" t="str">
        <f ca="1"/>
        <v>Bad</v>
      </c>
    </row>
    <row r="5723" spans="2:34" x14ac:dyDescent="0.2">
      <c r="B5723" s="2">
        <f ca="1"/>
        <v>0.55850487450714681</v>
      </c>
      <c r="O5723" s="2">
        <f ca="1"/>
        <v>0.31695224378209186</v>
      </c>
      <c r="X5723" s="2">
        <f ca="1"/>
        <v>67.055785277477497</v>
      </c>
      <c r="AG5723" s="2">
        <f ca="1"/>
        <v>0.44803607809086277</v>
      </c>
      <c r="AH5723" s="2" t="str">
        <f ca="1"/>
        <v>Bad</v>
      </c>
    </row>
    <row r="5724" spans="2:34" x14ac:dyDescent="0.2">
      <c r="B5724" s="2">
        <f ca="1"/>
        <v>0.31950426340796612</v>
      </c>
      <c r="O5724" s="2">
        <f ca="1"/>
        <v>0.78208760894646923</v>
      </c>
      <c r="X5724" s="2">
        <f ca="1"/>
        <v>45.464459957699745</v>
      </c>
      <c r="AG5724" s="2">
        <f ca="1"/>
        <v>0.23911506906510005</v>
      </c>
      <c r="AH5724" s="2" t="str">
        <f ca="1"/>
        <v>OK</v>
      </c>
    </row>
    <row r="5725" spans="2:34" x14ac:dyDescent="0.2">
      <c r="B5725" s="2">
        <f ca="1"/>
        <v>0.4505559436975195</v>
      </c>
      <c r="O5725" s="2">
        <f ca="1"/>
        <v>-1.3520218006937459</v>
      </c>
      <c r="X5725" s="2">
        <f ca="1"/>
        <v>26.010605647346907</v>
      </c>
      <c r="AG5725" s="2">
        <f ca="1"/>
        <v>0.98282185723986015</v>
      </c>
      <c r="AH5725" s="2" t="str">
        <f ca="1"/>
        <v>Bad</v>
      </c>
    </row>
    <row r="5726" spans="2:34" x14ac:dyDescent="0.2">
      <c r="B5726" s="2">
        <f ca="1"/>
        <v>0.15555939894010606</v>
      </c>
      <c r="O5726" s="2">
        <f ca="1"/>
        <v>0.2697462573235021</v>
      </c>
      <c r="X5726" s="2">
        <f ca="1"/>
        <v>44.532678555957155</v>
      </c>
      <c r="AG5726" s="2">
        <f ca="1"/>
        <v>0.13510059444242906</v>
      </c>
      <c r="AH5726" s="2" t="str">
        <f ca="1"/>
        <v>OK</v>
      </c>
    </row>
    <row r="5727" spans="2:34" x14ac:dyDescent="0.2">
      <c r="B5727" s="2">
        <f ca="1"/>
        <v>0.66318809695522396</v>
      </c>
      <c r="O5727" s="2">
        <f ca="1"/>
        <v>-0.63244782899498331</v>
      </c>
      <c r="X5727" s="2">
        <f ca="1"/>
        <v>50.246663321160611</v>
      </c>
      <c r="AG5727" s="2">
        <f ca="1"/>
        <v>0.8363970634607083</v>
      </c>
      <c r="AH5727" s="2" t="str">
        <f ca="1"/>
        <v>Bad</v>
      </c>
    </row>
    <row r="5728" spans="2:34" x14ac:dyDescent="0.2">
      <c r="B5728" s="2">
        <f ca="1"/>
        <v>0.36043429868934096</v>
      </c>
      <c r="O5728" s="2">
        <f ca="1"/>
        <v>-0.12088905494004945</v>
      </c>
      <c r="X5728" s="2">
        <f ca="1"/>
        <v>21.411985165500774</v>
      </c>
      <c r="AG5728" s="2">
        <f ca="1"/>
        <v>0.84387804271827171</v>
      </c>
      <c r="AH5728" s="2" t="str">
        <f ca="1"/>
        <v>Bad</v>
      </c>
    </row>
    <row r="5729" spans="2:34" x14ac:dyDescent="0.2">
      <c r="B5729" s="2">
        <f ca="1"/>
        <v>3.5985526587836159E-3</v>
      </c>
      <c r="O5729" s="2">
        <f ca="1"/>
        <v>1.7086933194379035</v>
      </c>
      <c r="X5729" s="2">
        <f ca="1"/>
        <v>36.711227621136388</v>
      </c>
      <c r="AG5729" s="2">
        <f ca="1"/>
        <v>0.39045069166821111</v>
      </c>
      <c r="AH5729" s="2" t="str">
        <f ca="1"/>
        <v>OK</v>
      </c>
    </row>
    <row r="5730" spans="2:34" x14ac:dyDescent="0.2">
      <c r="B5730" s="2">
        <f ca="1"/>
        <v>0.20183632707570287</v>
      </c>
      <c r="O5730" s="2">
        <f ca="1"/>
        <v>0.13454709521075489</v>
      </c>
      <c r="X5730" s="2">
        <f ca="1"/>
        <v>67.250904416030494</v>
      </c>
      <c r="AG5730" s="2">
        <f ca="1"/>
        <v>0.56653758684769095</v>
      </c>
      <c r="AH5730" s="2" t="str">
        <f ca="1"/>
        <v>Bad</v>
      </c>
    </row>
    <row r="5731" spans="2:34" x14ac:dyDescent="0.2">
      <c r="B5731" s="2">
        <f ca="1"/>
        <v>0.8805250453579998</v>
      </c>
      <c r="O5731" s="2">
        <f ca="1"/>
        <v>-0.87593371843270473</v>
      </c>
      <c r="X5731" s="2">
        <f ca="1"/>
        <v>64.486441734902314</v>
      </c>
      <c r="AG5731" s="2">
        <f ca="1"/>
        <v>4.2045521795248231E-2</v>
      </c>
      <c r="AH5731" s="2" t="str">
        <f ca="1"/>
        <v>Good</v>
      </c>
    </row>
    <row r="5732" spans="2:34" x14ac:dyDescent="0.2">
      <c r="B5732" s="2">
        <f ca="1"/>
        <v>0.93151093562408227</v>
      </c>
      <c r="O5732" s="2">
        <f ca="1"/>
        <v>-1.2993304498602316</v>
      </c>
      <c r="X5732" s="2">
        <f ca="1"/>
        <v>40.248078057127543</v>
      </c>
      <c r="AG5732" s="2">
        <f ca="1"/>
        <v>0.11432932942156082</v>
      </c>
      <c r="AH5732" s="2" t="str">
        <f ca="1"/>
        <v>OK</v>
      </c>
    </row>
    <row r="5733" spans="2:34" x14ac:dyDescent="0.2">
      <c r="B5733" s="2">
        <f ca="1"/>
        <v>0.55667399336580536</v>
      </c>
      <c r="O5733" s="2">
        <f ca="1"/>
        <v>-0.50129709194855387</v>
      </c>
      <c r="X5733" s="2">
        <f ca="1"/>
        <v>40.601337295564377</v>
      </c>
      <c r="AG5733" s="2">
        <f ca="1"/>
        <v>0.18087687869972724</v>
      </c>
      <c r="AH5733" s="2" t="str">
        <f ca="1"/>
        <v>OK</v>
      </c>
    </row>
    <row r="5734" spans="2:34" x14ac:dyDescent="0.2">
      <c r="B5734" s="2">
        <f ca="1"/>
        <v>0.97234861839878817</v>
      </c>
      <c r="O5734" s="2">
        <f ca="1"/>
        <v>-1.6289390613689183</v>
      </c>
      <c r="X5734" s="2">
        <f ca="1"/>
        <v>49.210952332377012</v>
      </c>
      <c r="AG5734" s="2">
        <f ca="1"/>
        <v>0.10877807867195366</v>
      </c>
      <c r="AH5734" s="2" t="str">
        <f ca="1"/>
        <v>OK</v>
      </c>
    </row>
    <row r="5735" spans="2:34" x14ac:dyDescent="0.2">
      <c r="B5735" s="2">
        <f ca="1"/>
        <v>0.66049244477686053</v>
      </c>
      <c r="O5735" s="2">
        <f ca="1"/>
        <v>-2.7053568687944379E-2</v>
      </c>
      <c r="X5735" s="2">
        <f ca="1"/>
        <v>38.153863318921182</v>
      </c>
      <c r="AG5735" s="2">
        <f ca="1"/>
        <v>0.19541474204697895</v>
      </c>
      <c r="AH5735" s="2" t="str">
        <f ca="1"/>
        <v>OK</v>
      </c>
    </row>
    <row r="5736" spans="2:34" x14ac:dyDescent="0.2">
      <c r="B5736" s="2">
        <f ca="1"/>
        <v>0.75192641805367422</v>
      </c>
      <c r="O5736" s="2">
        <f ca="1"/>
        <v>0.61203874226827759</v>
      </c>
      <c r="X5736" s="2">
        <f ca="1"/>
        <v>35.63682852251447</v>
      </c>
      <c r="AG5736" s="2">
        <f ca="1"/>
        <v>0.19874877629155452</v>
      </c>
      <c r="AH5736" s="2" t="str">
        <f ca="1"/>
        <v>OK</v>
      </c>
    </row>
    <row r="5737" spans="2:34" x14ac:dyDescent="0.2">
      <c r="B5737" s="2">
        <f ca="1"/>
        <v>8.9727510246697895E-2</v>
      </c>
      <c r="O5737" s="2">
        <f ca="1"/>
        <v>0.40806014290415099</v>
      </c>
      <c r="X5737" s="2">
        <f ca="1"/>
        <v>54.83692757106968</v>
      </c>
      <c r="AG5737" s="2">
        <f ca="1"/>
        <v>0.11684054748759243</v>
      </c>
      <c r="AH5737" s="2" t="str">
        <f ca="1"/>
        <v>OK</v>
      </c>
    </row>
    <row r="5738" spans="2:34" x14ac:dyDescent="0.2">
      <c r="B5738" s="2">
        <f ca="1"/>
        <v>0.4900177135029562</v>
      </c>
      <c r="O5738" s="2">
        <f ca="1"/>
        <v>1.8093688729370396</v>
      </c>
      <c r="X5738" s="2">
        <f ca="1"/>
        <v>50.074235421421278</v>
      </c>
      <c r="AG5738" s="2">
        <f ca="1"/>
        <v>0.56613880463787947</v>
      </c>
      <c r="AH5738" s="2" t="str">
        <f ca="1"/>
        <v>Bad</v>
      </c>
    </row>
    <row r="5739" spans="2:34" x14ac:dyDescent="0.2">
      <c r="B5739" s="2">
        <f ca="1"/>
        <v>0.42403499072635764</v>
      </c>
      <c r="O5739" s="2">
        <f ca="1"/>
        <v>1.2117794517783322</v>
      </c>
      <c r="X5739" s="2">
        <f ca="1"/>
        <v>60.046876694104242</v>
      </c>
      <c r="AG5739" s="2">
        <f ca="1"/>
        <v>0.69630975188680133</v>
      </c>
      <c r="AH5739" s="2" t="str">
        <f ca="1"/>
        <v>Bad</v>
      </c>
    </row>
    <row r="5740" spans="2:34" x14ac:dyDescent="0.2">
      <c r="B5740" s="2">
        <f ca="1"/>
        <v>0.78430657174183094</v>
      </c>
      <c r="O5740" s="2">
        <f ca="1"/>
        <v>0.77703321758220989</v>
      </c>
      <c r="X5740" s="2">
        <f ca="1"/>
        <v>48.430910581272606</v>
      </c>
      <c r="AG5740" s="2">
        <f ca="1"/>
        <v>0.1208816237292536</v>
      </c>
      <c r="AH5740" s="2" t="str">
        <f ca="1"/>
        <v>OK</v>
      </c>
    </row>
    <row r="5741" spans="2:34" x14ac:dyDescent="0.2">
      <c r="B5741" s="2">
        <f ca="1"/>
        <v>0.82066434096247876</v>
      </c>
      <c r="O5741" s="2">
        <f ca="1"/>
        <v>0.17948889828813441</v>
      </c>
      <c r="X5741" s="2">
        <f ca="1"/>
        <v>48.158245175314207</v>
      </c>
      <c r="AG5741" s="2">
        <f ca="1"/>
        <v>0.3057835489362033</v>
      </c>
      <c r="AH5741" s="2" t="str">
        <f ca="1"/>
        <v>OK</v>
      </c>
    </row>
    <row r="5742" spans="2:34" x14ac:dyDescent="0.2">
      <c r="B5742" s="2">
        <f ca="1"/>
        <v>0.53060978449200302</v>
      </c>
      <c r="O5742" s="2">
        <f ca="1"/>
        <v>0.40568966283503505</v>
      </c>
      <c r="X5742" s="2">
        <f ca="1"/>
        <v>25.872645552636847</v>
      </c>
      <c r="AG5742" s="2">
        <f ca="1"/>
        <v>5.7024630839175749E-2</v>
      </c>
      <c r="AH5742" s="2" t="str">
        <f ca="1"/>
        <v>OK</v>
      </c>
    </row>
    <row r="5743" spans="2:34" x14ac:dyDescent="0.2">
      <c r="B5743" s="2">
        <f ca="1"/>
        <v>0.76329281690764184</v>
      </c>
      <c r="O5743" s="2">
        <f ca="1"/>
        <v>0.34846347959214419</v>
      </c>
      <c r="X5743" s="2">
        <f ca="1"/>
        <v>54.938318401423068</v>
      </c>
      <c r="AG5743" s="2">
        <f ca="1"/>
        <v>0.98156390237895552</v>
      </c>
      <c r="AH5743" s="2" t="str">
        <f ca="1"/>
        <v>Bad</v>
      </c>
    </row>
    <row r="5744" spans="2:34" x14ac:dyDescent="0.2">
      <c r="B5744" s="2">
        <f ca="1"/>
        <v>0.95139270475294935</v>
      </c>
      <c r="O5744" s="2">
        <f ca="1"/>
        <v>-5.4938146391864499E-2</v>
      </c>
      <c r="X5744" s="2">
        <f ca="1"/>
        <v>53.95336186403653</v>
      </c>
      <c r="AG5744" s="2">
        <f ca="1"/>
        <v>0.88558195331478218</v>
      </c>
      <c r="AH5744" s="2" t="str">
        <f ca="1"/>
        <v>Bad</v>
      </c>
    </row>
    <row r="5745" spans="2:34" x14ac:dyDescent="0.2">
      <c r="B5745" s="2">
        <f ca="1"/>
        <v>0.39788451791692903</v>
      </c>
      <c r="O5745" s="2">
        <f ca="1"/>
        <v>-1.0725976801262023</v>
      </c>
      <c r="X5745" s="2">
        <f ca="1"/>
        <v>78.394888628973462</v>
      </c>
      <c r="AG5745" s="2">
        <f ca="1"/>
        <v>0.78513946263380796</v>
      </c>
      <c r="AH5745" s="2" t="str">
        <f ca="1"/>
        <v>Bad</v>
      </c>
    </row>
    <row r="5746" spans="2:34" x14ac:dyDescent="0.2">
      <c r="B5746" s="2">
        <f ca="1"/>
        <v>0.69680567158884954</v>
      </c>
      <c r="O5746" s="2">
        <f ca="1"/>
        <v>2.2703999057454016E-2</v>
      </c>
      <c r="X5746" s="2">
        <f ca="1"/>
        <v>52.129902176964904</v>
      </c>
      <c r="AG5746" s="2">
        <f ca="1"/>
        <v>0.40827649312270364</v>
      </c>
      <c r="AH5746" s="2" t="str">
        <f ca="1"/>
        <v>Bad</v>
      </c>
    </row>
    <row r="5747" spans="2:34" x14ac:dyDescent="0.2">
      <c r="B5747" s="2">
        <f ca="1"/>
        <v>2.7253773078419474E-3</v>
      </c>
      <c r="O5747" s="2">
        <f ca="1"/>
        <v>-0.78085996708486249</v>
      </c>
      <c r="X5747" s="2">
        <f ca="1"/>
        <v>43.315265165002344</v>
      </c>
      <c r="AG5747" s="2">
        <f ca="1"/>
        <v>0.56051396174655643</v>
      </c>
      <c r="AH5747" s="2" t="str">
        <f ca="1"/>
        <v>Bad</v>
      </c>
    </row>
    <row r="5748" spans="2:34" x14ac:dyDescent="0.2">
      <c r="B5748" s="2">
        <f ca="1"/>
        <v>0.28329943527158807</v>
      </c>
      <c r="O5748" s="2">
        <f ca="1"/>
        <v>-0.39368634440874822</v>
      </c>
      <c r="X5748" s="2">
        <f ca="1"/>
        <v>78.263170770210905</v>
      </c>
      <c r="AG5748" s="2">
        <f ca="1"/>
        <v>1.5490125013828626E-2</v>
      </c>
      <c r="AH5748" s="2" t="str">
        <f ca="1"/>
        <v>Good</v>
      </c>
    </row>
    <row r="5749" spans="2:34" x14ac:dyDescent="0.2">
      <c r="B5749" s="2">
        <f ca="1"/>
        <v>0.97359852976594419</v>
      </c>
      <c r="O5749" s="2">
        <f ca="1"/>
        <v>0.26357055919682071</v>
      </c>
      <c r="X5749" s="2">
        <f ca="1"/>
        <v>65.494484586526013</v>
      </c>
      <c r="AG5749" s="2">
        <f ca="1"/>
        <v>0.22619061846766786</v>
      </c>
      <c r="AH5749" s="2" t="str">
        <f ca="1"/>
        <v>OK</v>
      </c>
    </row>
    <row r="5750" spans="2:34" x14ac:dyDescent="0.2">
      <c r="B5750" s="2">
        <f ca="1"/>
        <v>6.4275574609035102E-2</v>
      </c>
      <c r="O5750" s="2">
        <f ca="1"/>
        <v>-0.85419779356985037</v>
      </c>
      <c r="X5750" s="2">
        <f ca="1"/>
        <v>65.587593421529363</v>
      </c>
      <c r="AG5750" s="2">
        <f ca="1"/>
        <v>0.4298507594768779</v>
      </c>
      <c r="AH5750" s="2" t="str">
        <f ca="1"/>
        <v>Bad</v>
      </c>
    </row>
    <row r="5751" spans="2:34" x14ac:dyDescent="0.2">
      <c r="B5751" s="2">
        <f ca="1"/>
        <v>0.45513131198057755</v>
      </c>
      <c r="O5751" s="2">
        <f ca="1"/>
        <v>0.43533797418997189</v>
      </c>
      <c r="X5751" s="2">
        <f ca="1"/>
        <v>50.286375801296302</v>
      </c>
      <c r="AG5751" s="2">
        <f ca="1"/>
        <v>0.13434773283227863</v>
      </c>
      <c r="AH5751" s="2" t="str">
        <f ca="1"/>
        <v>OK</v>
      </c>
    </row>
    <row r="5752" spans="2:34" x14ac:dyDescent="0.2">
      <c r="B5752" s="2">
        <f ca="1"/>
        <v>0.12504247105872324</v>
      </c>
      <c r="O5752" s="2">
        <f ca="1"/>
        <v>-1.6707535076480222</v>
      </c>
      <c r="X5752" s="2">
        <f ca="1"/>
        <v>77.154093594113718</v>
      </c>
      <c r="AG5752" s="2">
        <f ca="1"/>
        <v>0.60061554124275363</v>
      </c>
      <c r="AH5752" s="2" t="str">
        <f ca="1"/>
        <v>Bad</v>
      </c>
    </row>
    <row r="5753" spans="2:34" x14ac:dyDescent="0.2">
      <c r="B5753" s="2">
        <f ca="1"/>
        <v>0.58473453917276497</v>
      </c>
      <c r="O5753" s="2">
        <f ca="1"/>
        <v>0.29455735778857561</v>
      </c>
      <c r="X5753" s="2">
        <f ca="1"/>
        <v>33.790086109928424</v>
      </c>
      <c r="AG5753" s="2">
        <f ca="1"/>
        <v>4.0011971660496304E-3</v>
      </c>
      <c r="AH5753" s="2" t="str">
        <f ca="1"/>
        <v>Good</v>
      </c>
    </row>
    <row r="5754" spans="2:34" x14ac:dyDescent="0.2">
      <c r="B5754" s="2">
        <f ca="1"/>
        <v>7.2825557332285573E-2</v>
      </c>
      <c r="O5754" s="2">
        <f ca="1"/>
        <v>1.3768247461766812</v>
      </c>
      <c r="X5754" s="2">
        <f ca="1"/>
        <v>50.010697381512671</v>
      </c>
      <c r="AG5754" s="2">
        <f ca="1"/>
        <v>1.2281773776574578E-3</v>
      </c>
      <c r="AH5754" s="2" t="str">
        <f ca="1"/>
        <v>Good</v>
      </c>
    </row>
    <row r="5755" spans="2:34" x14ac:dyDescent="0.2">
      <c r="B5755" s="2">
        <f ca="1"/>
        <v>0.17160030541068916</v>
      </c>
      <c r="O5755" s="2">
        <f ca="1"/>
        <v>0.94779364432367763</v>
      </c>
      <c r="X5755" s="2">
        <f ca="1"/>
        <v>39.308374824105044</v>
      </c>
      <c r="AG5755" s="2">
        <f ca="1"/>
        <v>0.76802394585660183</v>
      </c>
      <c r="AH5755" s="2" t="str">
        <f ca="1"/>
        <v>Bad</v>
      </c>
    </row>
    <row r="5756" spans="2:34" x14ac:dyDescent="0.2">
      <c r="B5756" s="2">
        <f ca="1"/>
        <v>0.16725062138223601</v>
      </c>
      <c r="O5756" s="2">
        <f ca="1"/>
        <v>0.66525941505118202</v>
      </c>
      <c r="X5756" s="2">
        <f ca="1"/>
        <v>45.756405109944687</v>
      </c>
      <c r="AG5756" s="2">
        <f ca="1"/>
        <v>0.4879623353480389</v>
      </c>
      <c r="AH5756" s="2" t="str">
        <f ca="1"/>
        <v>Bad</v>
      </c>
    </row>
    <row r="5757" spans="2:34" x14ac:dyDescent="0.2">
      <c r="B5757" s="2">
        <f ca="1"/>
        <v>0.54112068420988058</v>
      </c>
      <c r="O5757" s="2">
        <f ca="1"/>
        <v>0.33702867669086173</v>
      </c>
      <c r="X5757" s="2">
        <f ca="1"/>
        <v>36.879331717154585</v>
      </c>
      <c r="AG5757" s="2">
        <f ca="1"/>
        <v>0.81767422880560026</v>
      </c>
      <c r="AH5757" s="2" t="str">
        <f ca="1"/>
        <v>Bad</v>
      </c>
    </row>
    <row r="5758" spans="2:34" x14ac:dyDescent="0.2">
      <c r="B5758" s="2">
        <f ca="1"/>
        <v>5.7054234729800424E-2</v>
      </c>
      <c r="O5758" s="2">
        <f ca="1"/>
        <v>-1.2318141010300725</v>
      </c>
      <c r="X5758" s="2">
        <f ca="1"/>
        <v>72.867240592149273</v>
      </c>
      <c r="AG5758" s="2">
        <f ca="1"/>
        <v>0.58364785000334307</v>
      </c>
      <c r="AH5758" s="2" t="str">
        <f ca="1"/>
        <v>Bad</v>
      </c>
    </row>
    <row r="5759" spans="2:34" x14ac:dyDescent="0.2">
      <c r="B5759" s="2">
        <f ca="1"/>
        <v>0.25487960563582845</v>
      </c>
      <c r="O5759" s="2">
        <f ca="1"/>
        <v>-1.2063714296660211</v>
      </c>
      <c r="X5759" s="2">
        <f ca="1"/>
        <v>53.995245858699448</v>
      </c>
      <c r="AG5759" s="2">
        <f ca="1"/>
        <v>0.73531510901009556</v>
      </c>
      <c r="AH5759" s="2" t="str">
        <f ca="1"/>
        <v>Bad</v>
      </c>
    </row>
    <row r="5760" spans="2:34" x14ac:dyDescent="0.2">
      <c r="B5760" s="2">
        <f ca="1"/>
        <v>0.83672519962747205</v>
      </c>
      <c r="O5760" s="2">
        <f ca="1"/>
        <v>-0.34557312906903775</v>
      </c>
      <c r="X5760" s="2">
        <f ca="1"/>
        <v>41.300976754638725</v>
      </c>
      <c r="AG5760" s="2">
        <f ca="1"/>
        <v>0.55317364787035883</v>
      </c>
      <c r="AH5760" s="2" t="str">
        <f ca="1"/>
        <v>Bad</v>
      </c>
    </row>
    <row r="5761" spans="2:34" x14ac:dyDescent="0.2">
      <c r="B5761" s="2">
        <f ca="1"/>
        <v>0.82926367969931691</v>
      </c>
      <c r="O5761" s="2">
        <f ca="1"/>
        <v>-0.16995865938965565</v>
      </c>
      <c r="X5761" s="2">
        <f ca="1"/>
        <v>33.569627852192447</v>
      </c>
      <c r="AG5761" s="2">
        <f ca="1"/>
        <v>0.63079622370009214</v>
      </c>
      <c r="AH5761" s="2" t="str">
        <f ca="1"/>
        <v>Bad</v>
      </c>
    </row>
    <row r="5762" spans="2:34" x14ac:dyDescent="0.2">
      <c r="B5762" s="2">
        <f ca="1"/>
        <v>0.69649611269607936</v>
      </c>
      <c r="O5762" s="2">
        <f ca="1"/>
        <v>0.5127216950255975</v>
      </c>
      <c r="X5762" s="2">
        <f ca="1"/>
        <v>22.438273577365464</v>
      </c>
      <c r="AG5762" s="2">
        <f ca="1"/>
        <v>7.7680777374685039E-2</v>
      </c>
      <c r="AH5762" s="2" t="str">
        <f ca="1"/>
        <v>OK</v>
      </c>
    </row>
    <row r="5763" spans="2:34" x14ac:dyDescent="0.2">
      <c r="B5763" s="2">
        <f ca="1"/>
        <v>0.13774585322618083</v>
      </c>
      <c r="O5763" s="2">
        <f ca="1"/>
        <v>0.32928796303836455</v>
      </c>
      <c r="X5763" s="2">
        <f ca="1"/>
        <v>41.501143979004851</v>
      </c>
      <c r="AG5763" s="2">
        <f ca="1"/>
        <v>1.9489015750528971E-2</v>
      </c>
      <c r="AH5763" s="2" t="str">
        <f ca="1"/>
        <v>Good</v>
      </c>
    </row>
    <row r="5764" spans="2:34" x14ac:dyDescent="0.2">
      <c r="B5764" s="2">
        <f ca="1"/>
        <v>0.48527348432316142</v>
      </c>
      <c r="O5764" s="2">
        <f ca="1"/>
        <v>-0.47844098327885926</v>
      </c>
      <c r="X5764" s="2">
        <f ca="1"/>
        <v>91.531419429234063</v>
      </c>
      <c r="AG5764" s="2">
        <f ca="1"/>
        <v>0.29851709631323486</v>
      </c>
      <c r="AH5764" s="2" t="str">
        <f ca="1"/>
        <v>OK</v>
      </c>
    </row>
    <row r="5765" spans="2:34" x14ac:dyDescent="0.2">
      <c r="B5765" s="2">
        <f ca="1"/>
        <v>0.58488316082197489</v>
      </c>
      <c r="O5765" s="2">
        <f ca="1"/>
        <v>0.35843867817830205</v>
      </c>
      <c r="X5765" s="2">
        <f ca="1"/>
        <v>50.520300292204787</v>
      </c>
      <c r="AG5765" s="2">
        <f ca="1"/>
        <v>0.59961768689627082</v>
      </c>
      <c r="AH5765" s="2" t="str">
        <f ca="1"/>
        <v>Bad</v>
      </c>
    </row>
    <row r="5766" spans="2:34" x14ac:dyDescent="0.2">
      <c r="B5766" s="2">
        <f ca="1"/>
        <v>8.5159316845145216E-2</v>
      </c>
      <c r="O5766" s="2">
        <f ca="1"/>
        <v>1.022364777167583</v>
      </c>
      <c r="X5766" s="2">
        <f ca="1"/>
        <v>94.448841574917438</v>
      </c>
      <c r="AG5766" s="2">
        <f ca="1"/>
        <v>3.9457101030359487E-2</v>
      </c>
      <c r="AH5766" s="2" t="str">
        <f ca="1"/>
        <v>Good</v>
      </c>
    </row>
    <row r="5767" spans="2:34" x14ac:dyDescent="0.2">
      <c r="B5767" s="2">
        <f ca="1"/>
        <v>0.84656880980426408</v>
      </c>
      <c r="O5767" s="2">
        <f ca="1"/>
        <v>-9.7093113246313117E-2</v>
      </c>
      <c r="X5767" s="2">
        <f ca="1"/>
        <v>68.391842342945324</v>
      </c>
      <c r="AG5767" s="2">
        <f ca="1"/>
        <v>0.88137958983621356</v>
      </c>
      <c r="AH5767" s="2" t="str">
        <f ca="1"/>
        <v>Bad</v>
      </c>
    </row>
    <row r="5768" spans="2:34" x14ac:dyDescent="0.2">
      <c r="B5768" s="2">
        <f ca="1"/>
        <v>0.13486225773091998</v>
      </c>
      <c r="O5768" s="2">
        <f ca="1"/>
        <v>5.9464095770881971E-2</v>
      </c>
      <c r="X5768" s="2">
        <f ca="1"/>
        <v>40.861363764799066</v>
      </c>
      <c r="AG5768" s="2">
        <f ca="1"/>
        <v>0.55439273308367221</v>
      </c>
      <c r="AH5768" s="2" t="str">
        <f ca="1"/>
        <v>Bad</v>
      </c>
    </row>
    <row r="5769" spans="2:34" x14ac:dyDescent="0.2">
      <c r="B5769" s="2">
        <f ca="1"/>
        <v>0.87794413166796947</v>
      </c>
      <c r="O5769" s="2">
        <f ca="1"/>
        <v>-2.3805318498042332</v>
      </c>
      <c r="X5769" s="2">
        <f ca="1"/>
        <v>69.448523110322384</v>
      </c>
      <c r="AG5769" s="2">
        <f ca="1"/>
        <v>0.48038274017502025</v>
      </c>
      <c r="AH5769" s="2" t="str">
        <f ca="1"/>
        <v>Bad</v>
      </c>
    </row>
    <row r="5770" spans="2:34" x14ac:dyDescent="0.2">
      <c r="B5770" s="2">
        <f ca="1"/>
        <v>0.7575127171074052</v>
      </c>
      <c r="O5770" s="2">
        <f ca="1"/>
        <v>-0.24456649064715644</v>
      </c>
      <c r="X5770" s="2">
        <f ca="1"/>
        <v>36.695726014711319</v>
      </c>
      <c r="AG5770" s="2">
        <f ca="1"/>
        <v>0.3692103155313029</v>
      </c>
      <c r="AH5770" s="2" t="str">
        <f ca="1"/>
        <v>OK</v>
      </c>
    </row>
    <row r="5771" spans="2:34" x14ac:dyDescent="0.2">
      <c r="B5771" s="2">
        <f ca="1"/>
        <v>0.57762331259647426</v>
      </c>
      <c r="O5771" s="2">
        <f ca="1"/>
        <v>0.16909517618280515</v>
      </c>
      <c r="X5771" s="2">
        <f ca="1"/>
        <v>48.270911232708144</v>
      </c>
      <c r="AG5771" s="2">
        <f ca="1"/>
        <v>0.80156780444341469</v>
      </c>
      <c r="AH5771" s="2" t="str">
        <f ca="1"/>
        <v>Bad</v>
      </c>
    </row>
    <row r="5772" spans="2:34" x14ac:dyDescent="0.2">
      <c r="B5772" s="2">
        <f ca="1"/>
        <v>0.32699880609826781</v>
      </c>
      <c r="O5772" s="2">
        <f ca="1"/>
        <v>1.9140600463157029</v>
      </c>
      <c r="X5772" s="2">
        <f ca="1"/>
        <v>39.364408105199637</v>
      </c>
      <c r="AG5772" s="2">
        <f ca="1"/>
        <v>0.5347757711875103</v>
      </c>
      <c r="AH5772" s="2" t="str">
        <f ca="1"/>
        <v>Bad</v>
      </c>
    </row>
    <row r="5773" spans="2:34" x14ac:dyDescent="0.2">
      <c r="B5773" s="2">
        <f ca="1"/>
        <v>4.4377662930738637E-2</v>
      </c>
      <c r="O5773" s="2">
        <f ca="1"/>
        <v>1.1050524746807822</v>
      </c>
      <c r="X5773" s="2">
        <f ca="1"/>
        <v>54.673739525064356</v>
      </c>
      <c r="AG5773" s="2">
        <f ca="1"/>
        <v>0.67062186056294504</v>
      </c>
      <c r="AH5773" s="2" t="str">
        <f ca="1"/>
        <v>Bad</v>
      </c>
    </row>
    <row r="5774" spans="2:34" x14ac:dyDescent="0.2">
      <c r="B5774" s="2">
        <f ca="1"/>
        <v>0.4359390912663812</v>
      </c>
      <c r="O5774" s="2">
        <f ca="1"/>
        <v>-2.0006039158319164</v>
      </c>
      <c r="X5774" s="2">
        <f ca="1"/>
        <v>61.755341102351281</v>
      </c>
      <c r="AG5774" s="2">
        <f ca="1"/>
        <v>3.7281601279526511E-2</v>
      </c>
      <c r="AH5774" s="2" t="str">
        <f ca="1"/>
        <v>Good</v>
      </c>
    </row>
    <row r="5775" spans="2:34" x14ac:dyDescent="0.2">
      <c r="B5775" s="2">
        <f ca="1"/>
        <v>0.56343907768814661</v>
      </c>
      <c r="O5775" s="2">
        <f ca="1"/>
        <v>-0.81995802810319196</v>
      </c>
      <c r="X5775" s="2">
        <f ca="1"/>
        <v>54.339857347383102</v>
      </c>
      <c r="AG5775" s="2">
        <f ca="1"/>
        <v>0.86087339728194645</v>
      </c>
      <c r="AH5775" s="2" t="str">
        <f ca="1"/>
        <v>Bad</v>
      </c>
    </row>
    <row r="5776" spans="2:34" x14ac:dyDescent="0.2">
      <c r="B5776" s="2">
        <f ca="1"/>
        <v>0.39930259113313826</v>
      </c>
      <c r="O5776" s="2">
        <f ca="1"/>
        <v>-5.4687668308388067E-2</v>
      </c>
      <c r="X5776" s="2">
        <f ca="1"/>
        <v>56.96923930556413</v>
      </c>
      <c r="AG5776" s="2">
        <f ca="1"/>
        <v>0.94705071114109352</v>
      </c>
      <c r="AH5776" s="2" t="str">
        <f ca="1"/>
        <v>Bad</v>
      </c>
    </row>
    <row r="5777" spans="2:34" x14ac:dyDescent="0.2">
      <c r="B5777" s="2">
        <f ca="1"/>
        <v>0.81540858621687096</v>
      </c>
      <c r="O5777" s="2">
        <f ca="1"/>
        <v>-0.66088104658187086</v>
      </c>
      <c r="X5777" s="2">
        <f ca="1"/>
        <v>91.269439208053512</v>
      </c>
      <c r="AG5777" s="2">
        <f ca="1"/>
        <v>0.58500487517048105</v>
      </c>
      <c r="AH5777" s="2" t="str">
        <f ca="1"/>
        <v>Bad</v>
      </c>
    </row>
    <row r="5778" spans="2:34" x14ac:dyDescent="0.2">
      <c r="B5778" s="2">
        <f ca="1"/>
        <v>1.4661878566372799E-2</v>
      </c>
      <c r="O5778" s="2">
        <f ca="1"/>
        <v>-1.8106027336398649</v>
      </c>
      <c r="X5778" s="2">
        <f ca="1"/>
        <v>49.436424615697582</v>
      </c>
      <c r="AG5778" s="2">
        <f ca="1"/>
        <v>0.9555327649123142</v>
      </c>
      <c r="AH5778" s="2" t="str">
        <f ca="1"/>
        <v>Bad</v>
      </c>
    </row>
    <row r="5779" spans="2:34" x14ac:dyDescent="0.2">
      <c r="B5779" s="2">
        <f ca="1"/>
        <v>4.8012541764914429E-2</v>
      </c>
      <c r="O5779" s="2">
        <f ca="1"/>
        <v>0.93056151326289671</v>
      </c>
      <c r="X5779" s="2">
        <f ca="1"/>
        <v>56.817280344814719</v>
      </c>
      <c r="AG5779" s="2">
        <f ca="1"/>
        <v>0.57028531336977295</v>
      </c>
      <c r="AH5779" s="2" t="str">
        <f ca="1"/>
        <v>Bad</v>
      </c>
    </row>
    <row r="5780" spans="2:34" x14ac:dyDescent="0.2">
      <c r="B5780" s="2">
        <f ca="1"/>
        <v>0.96513610579822329</v>
      </c>
      <c r="O5780" s="2">
        <f ca="1"/>
        <v>1.6375694506619958</v>
      </c>
      <c r="X5780" s="2">
        <f ca="1"/>
        <v>40.433953165705752</v>
      </c>
      <c r="AG5780" s="2">
        <f ca="1"/>
        <v>0.87094293617730667</v>
      </c>
      <c r="AH5780" s="2" t="str">
        <f ca="1"/>
        <v>Bad</v>
      </c>
    </row>
    <row r="5781" spans="2:34" x14ac:dyDescent="0.2">
      <c r="B5781" s="2">
        <f ca="1"/>
        <v>0.69067370481387602</v>
      </c>
      <c r="O5781" s="2">
        <f ca="1"/>
        <v>0.48034151306125222</v>
      </c>
      <c r="X5781" s="2">
        <f ca="1"/>
        <v>43.867142429354224</v>
      </c>
      <c r="AG5781" s="2">
        <f ca="1"/>
        <v>0.26143907164739821</v>
      </c>
      <c r="AH5781" s="2" t="str">
        <f ca="1"/>
        <v>OK</v>
      </c>
    </row>
    <row r="5782" spans="2:34" x14ac:dyDescent="0.2">
      <c r="B5782" s="2">
        <f ca="1"/>
        <v>0.66779230287643498</v>
      </c>
      <c r="O5782" s="2">
        <f ca="1"/>
        <v>1.3213778183856928</v>
      </c>
      <c r="X5782" s="2">
        <f ca="1"/>
        <v>58.295257019987844</v>
      </c>
      <c r="AG5782" s="2">
        <f ca="1"/>
        <v>0.9388207764037575</v>
      </c>
      <c r="AH5782" s="2" t="str">
        <f ca="1"/>
        <v>Bad</v>
      </c>
    </row>
    <row r="5783" spans="2:34" x14ac:dyDescent="0.2">
      <c r="B5783" s="2">
        <f ca="1"/>
        <v>0.56908305511107216</v>
      </c>
      <c r="O5783" s="2">
        <f ca="1"/>
        <v>-1.7981816237940911</v>
      </c>
      <c r="X5783" s="2">
        <f ca="1"/>
        <v>74.976166292328031</v>
      </c>
      <c r="AG5783" s="2">
        <f ca="1"/>
        <v>0.79825808717903701</v>
      </c>
      <c r="AH5783" s="2" t="str">
        <f ca="1"/>
        <v>Bad</v>
      </c>
    </row>
    <row r="5784" spans="2:34" x14ac:dyDescent="0.2">
      <c r="B5784" s="2">
        <f ca="1"/>
        <v>0.77541957162875064</v>
      </c>
      <c r="O5784" s="2">
        <f ca="1"/>
        <v>0.40416118304383514</v>
      </c>
      <c r="X5784" s="2">
        <f ca="1"/>
        <v>68.809682114226263</v>
      </c>
      <c r="AG5784" s="2">
        <f ca="1"/>
        <v>0.81961774286054023</v>
      </c>
      <c r="AH5784" s="2" t="str">
        <f ca="1"/>
        <v>Bad</v>
      </c>
    </row>
    <row r="5785" spans="2:34" x14ac:dyDescent="0.2">
      <c r="B5785" s="2">
        <f ca="1"/>
        <v>0.9866823508997522</v>
      </c>
      <c r="O5785" s="2">
        <f ca="1"/>
        <v>0.38452205880453844</v>
      </c>
      <c r="X5785" s="2">
        <f ca="1"/>
        <v>64.760771374668934</v>
      </c>
      <c r="AG5785" s="2">
        <f ca="1"/>
        <v>0.57170746107980408</v>
      </c>
      <c r="AH5785" s="2" t="str">
        <f ca="1"/>
        <v>Bad</v>
      </c>
    </row>
    <row r="5786" spans="2:34" x14ac:dyDescent="0.2">
      <c r="B5786" s="2">
        <f ca="1"/>
        <v>0.26327215335475418</v>
      </c>
      <c r="O5786" s="2">
        <f ca="1"/>
        <v>-1.0850589417229268</v>
      </c>
      <c r="X5786" s="2">
        <f ca="1"/>
        <v>45.705987053031414</v>
      </c>
      <c r="AG5786" s="2">
        <f ca="1"/>
        <v>0.21846248069580843</v>
      </c>
      <c r="AH5786" s="2" t="str">
        <f ca="1"/>
        <v>OK</v>
      </c>
    </row>
    <row r="5787" spans="2:34" x14ac:dyDescent="0.2">
      <c r="B5787" s="2">
        <f ca="1"/>
        <v>0.75914069449974608</v>
      </c>
      <c r="O5787" s="2">
        <f ca="1"/>
        <v>-0.44895076779711068</v>
      </c>
      <c r="X5787" s="2">
        <f ca="1"/>
        <v>51.440325101380459</v>
      </c>
      <c r="AG5787" s="2">
        <f ca="1"/>
        <v>0.92831112322710552</v>
      </c>
      <c r="AH5787" s="2" t="str">
        <f ca="1"/>
        <v>Bad</v>
      </c>
    </row>
    <row r="5788" spans="2:34" x14ac:dyDescent="0.2">
      <c r="B5788" s="2">
        <f ca="1"/>
        <v>0.75067478648561115</v>
      </c>
      <c r="O5788" s="2">
        <f ca="1"/>
        <v>-0.17835974676719135</v>
      </c>
      <c r="X5788" s="2">
        <f ca="1"/>
        <v>68.680272384199284</v>
      </c>
      <c r="AG5788" s="2">
        <f ca="1"/>
        <v>0.44830223993783513</v>
      </c>
      <c r="AH5788" s="2" t="str">
        <f ca="1"/>
        <v>Bad</v>
      </c>
    </row>
    <row r="5789" spans="2:34" x14ac:dyDescent="0.2">
      <c r="B5789" s="2">
        <f ca="1"/>
        <v>0.91826677626709419</v>
      </c>
      <c r="O5789" s="2">
        <f ca="1"/>
        <v>6.8838593727523892E-2</v>
      </c>
      <c r="X5789" s="2">
        <f ca="1"/>
        <v>28.058530420199034</v>
      </c>
      <c r="AG5789" s="2">
        <f ca="1"/>
        <v>0.32636308476518305</v>
      </c>
      <c r="AH5789" s="2" t="str">
        <f ca="1"/>
        <v>OK</v>
      </c>
    </row>
    <row r="5790" spans="2:34" x14ac:dyDescent="0.2">
      <c r="B5790" s="2">
        <f ca="1"/>
        <v>0.50012968725722828</v>
      </c>
      <c r="O5790" s="2">
        <f ca="1"/>
        <v>-0.20097315381335995</v>
      </c>
      <c r="X5790" s="2">
        <f ca="1"/>
        <v>69.061252763116016</v>
      </c>
      <c r="AG5790" s="2">
        <f ca="1"/>
        <v>0.47626732178089259</v>
      </c>
      <c r="AH5790" s="2" t="str">
        <f ca="1"/>
        <v>Bad</v>
      </c>
    </row>
    <row r="5791" spans="2:34" x14ac:dyDescent="0.2">
      <c r="B5791" s="2">
        <f ca="1"/>
        <v>0.39756999945073201</v>
      </c>
      <c r="O5791" s="2">
        <f ca="1"/>
        <v>-2.1259695474621916</v>
      </c>
      <c r="X5791" s="2">
        <f ca="1"/>
        <v>88.128128460151856</v>
      </c>
      <c r="AG5791" s="2">
        <f ca="1"/>
        <v>0.70441088638630145</v>
      </c>
      <c r="AH5791" s="2" t="str">
        <f ca="1"/>
        <v>Bad</v>
      </c>
    </row>
    <row r="5792" spans="2:34" x14ac:dyDescent="0.2">
      <c r="B5792" s="2">
        <f ca="1"/>
        <v>0.51100613323610888</v>
      </c>
      <c r="O5792" s="2">
        <f ca="1"/>
        <v>-0.53486353002223319</v>
      </c>
      <c r="X5792" s="2">
        <f ca="1"/>
        <v>52.266213105215797</v>
      </c>
      <c r="AG5792" s="2">
        <f ca="1"/>
        <v>0.71756244831793548</v>
      </c>
      <c r="AH5792" s="2" t="str">
        <f ca="1"/>
        <v>Bad</v>
      </c>
    </row>
    <row r="5793" spans="2:34" x14ac:dyDescent="0.2">
      <c r="B5793" s="2">
        <f ca="1"/>
        <v>0.96465358122270572</v>
      </c>
      <c r="O5793" s="2">
        <f ca="1"/>
        <v>1.0693944392157677</v>
      </c>
      <c r="X5793" s="2">
        <f ca="1"/>
        <v>81.257976542899485</v>
      </c>
      <c r="AG5793" s="2">
        <f ca="1"/>
        <v>0.36057944959968347</v>
      </c>
      <c r="AH5793" s="2" t="str">
        <f ca="1"/>
        <v>OK</v>
      </c>
    </row>
    <row r="5794" spans="2:34" x14ac:dyDescent="0.2">
      <c r="B5794" s="2">
        <f ca="1"/>
        <v>0.1687753307380282</v>
      </c>
      <c r="O5794" s="2">
        <f ca="1"/>
        <v>1.1899469031742267</v>
      </c>
      <c r="X5794" s="2">
        <f ca="1"/>
        <v>34.031859013307567</v>
      </c>
      <c r="AG5794" s="2">
        <f ca="1"/>
        <v>0.43820069135687145</v>
      </c>
      <c r="AH5794" s="2" t="str">
        <f ca="1"/>
        <v>Bad</v>
      </c>
    </row>
    <row r="5795" spans="2:34" x14ac:dyDescent="0.2">
      <c r="B5795" s="2">
        <f ca="1"/>
        <v>3.8697896476595606E-2</v>
      </c>
      <c r="O5795" s="2">
        <f ca="1"/>
        <v>-1.0367070130473095</v>
      </c>
      <c r="X5795" s="2">
        <f ca="1"/>
        <v>52.624077381466435</v>
      </c>
      <c r="AG5795" s="2">
        <f ca="1"/>
        <v>0.52324359066789428</v>
      </c>
      <c r="AH5795" s="2" t="str">
        <f ca="1"/>
        <v>Bad</v>
      </c>
    </row>
    <row r="5796" spans="2:34" x14ac:dyDescent="0.2">
      <c r="B5796" s="2">
        <f ca="1"/>
        <v>0.95936235367118083</v>
      </c>
      <c r="O5796" s="2">
        <f ca="1"/>
        <v>-0.98012118916763646</v>
      </c>
      <c r="X5796" s="2">
        <f ca="1"/>
        <v>42.65646563890364</v>
      </c>
      <c r="AG5796" s="2">
        <f ca="1"/>
        <v>0.54608533774121182</v>
      </c>
      <c r="AH5796" s="2" t="str">
        <f ca="1"/>
        <v>Bad</v>
      </c>
    </row>
    <row r="5797" spans="2:34" x14ac:dyDescent="0.2">
      <c r="B5797" s="2">
        <f ca="1"/>
        <v>0.42649624489779603</v>
      </c>
      <c r="O5797" s="2">
        <f ca="1"/>
        <v>-0.14358940692950525</v>
      </c>
      <c r="X5797" s="2">
        <f ca="1"/>
        <v>38.539116817079048</v>
      </c>
      <c r="AG5797" s="2">
        <f ca="1"/>
        <v>0.7420408877521496</v>
      </c>
      <c r="AH5797" s="2" t="str">
        <f ca="1"/>
        <v>Bad</v>
      </c>
    </row>
    <row r="5798" spans="2:34" x14ac:dyDescent="0.2">
      <c r="B5798" s="2">
        <f ca="1"/>
        <v>0.69159119105239042</v>
      </c>
      <c r="O5798" s="2">
        <f ca="1"/>
        <v>-1.1579024694008693</v>
      </c>
      <c r="X5798" s="2">
        <f ca="1"/>
        <v>65.145750892251272</v>
      </c>
      <c r="AG5798" s="2">
        <f ca="1"/>
        <v>0.51705790945229491</v>
      </c>
      <c r="AH5798" s="2" t="str">
        <f ca="1"/>
        <v>Bad</v>
      </c>
    </row>
    <row r="5799" spans="2:34" x14ac:dyDescent="0.2">
      <c r="B5799" s="2">
        <f ca="1"/>
        <v>0.12849226997041385</v>
      </c>
      <c r="O5799" s="2">
        <f ca="1"/>
        <v>-1.4834114295038492</v>
      </c>
      <c r="X5799" s="2">
        <f ca="1"/>
        <v>47.864014654188537</v>
      </c>
      <c r="AG5799" s="2">
        <f ca="1"/>
        <v>0.22826484971521532</v>
      </c>
      <c r="AH5799" s="2" t="str">
        <f ca="1"/>
        <v>OK</v>
      </c>
    </row>
    <row r="5800" spans="2:34" x14ac:dyDescent="0.2">
      <c r="B5800" s="2">
        <f ca="1"/>
        <v>1.0102422152699297E-2</v>
      </c>
      <c r="O5800" s="2">
        <f ca="1"/>
        <v>-1.4003968966699892E-2</v>
      </c>
      <c r="X5800" s="2">
        <f ca="1"/>
        <v>28.660521229182287</v>
      </c>
      <c r="AG5800" s="2">
        <f ca="1"/>
        <v>0.89490860355510637</v>
      </c>
      <c r="AH5800" s="2" t="str">
        <f ca="1"/>
        <v>Bad</v>
      </c>
    </row>
    <row r="5801" spans="2:34" x14ac:dyDescent="0.2">
      <c r="B5801" s="2">
        <f ca="1"/>
        <v>0.9517351450248932</v>
      </c>
      <c r="O5801" s="2">
        <f ca="1"/>
        <v>7.5911698027391755E-2</v>
      </c>
      <c r="X5801" s="2">
        <f ca="1"/>
        <v>52.50106876259261</v>
      </c>
      <c r="AG5801" s="2">
        <f ca="1"/>
        <v>0.17486629466943771</v>
      </c>
      <c r="AH5801" s="2" t="str">
        <f ca="1"/>
        <v>OK</v>
      </c>
    </row>
    <row r="5802" spans="2:34" x14ac:dyDescent="0.2">
      <c r="B5802" s="2">
        <f ca="1"/>
        <v>0.99138406708610272</v>
      </c>
      <c r="O5802" s="2">
        <f ca="1"/>
        <v>-7.1049800078278685E-2</v>
      </c>
      <c r="X5802" s="2">
        <f ca="1"/>
        <v>55.159207947515924</v>
      </c>
      <c r="AG5802" s="2">
        <f ca="1"/>
        <v>0.3702733981340498</v>
      </c>
      <c r="AH5802" s="2" t="str">
        <f ca="1"/>
        <v>OK</v>
      </c>
    </row>
    <row r="5803" spans="2:34" x14ac:dyDescent="0.2">
      <c r="B5803" s="2">
        <f ca="1"/>
        <v>0.30002935645030737</v>
      </c>
      <c r="O5803" s="2">
        <f ca="1"/>
        <v>-0.37196030555087767</v>
      </c>
      <c r="X5803" s="2">
        <f ca="1"/>
        <v>38.865190029813363</v>
      </c>
      <c r="AG5803" s="2">
        <f ca="1"/>
        <v>0.24434681105073675</v>
      </c>
      <c r="AH5803" s="2" t="str">
        <f ca="1"/>
        <v>OK</v>
      </c>
    </row>
    <row r="5804" spans="2:34" x14ac:dyDescent="0.2">
      <c r="B5804" s="2">
        <f ca="1"/>
        <v>9.8683327283570099E-2</v>
      </c>
      <c r="O5804" s="2">
        <f ca="1"/>
        <v>6.7219381621789857E-3</v>
      </c>
      <c r="X5804" s="2">
        <f ca="1"/>
        <v>52.627000607880731</v>
      </c>
      <c r="AG5804" s="2">
        <f ca="1"/>
        <v>0.42532057330202577</v>
      </c>
      <c r="AH5804" s="2" t="str">
        <f ca="1"/>
        <v>Bad</v>
      </c>
    </row>
    <row r="5805" spans="2:34" x14ac:dyDescent="0.2">
      <c r="B5805" s="2">
        <f ca="1"/>
        <v>0.31041621077893322</v>
      </c>
      <c r="O5805" s="2">
        <f ca="1"/>
        <v>0.46197232180760422</v>
      </c>
      <c r="X5805" s="2">
        <f ca="1"/>
        <v>62.705311672594348</v>
      </c>
      <c r="AG5805" s="2">
        <f ca="1"/>
        <v>0.99485776172544549</v>
      </c>
      <c r="AH5805" s="2" t="str">
        <f ca="1"/>
        <v>Bad</v>
      </c>
    </row>
    <row r="5806" spans="2:34" x14ac:dyDescent="0.2">
      <c r="B5806" s="2">
        <f ca="1"/>
        <v>0.10804854144994236</v>
      </c>
      <c r="O5806" s="2">
        <f ca="1"/>
        <v>-0.56448615216591025</v>
      </c>
      <c r="X5806" s="2">
        <f ca="1"/>
        <v>26.410555297086731</v>
      </c>
      <c r="AG5806" s="2">
        <f ca="1"/>
        <v>0.84395152729309553</v>
      </c>
      <c r="AH5806" s="2" t="str">
        <f ca="1"/>
        <v>Bad</v>
      </c>
    </row>
    <row r="5807" spans="2:34" x14ac:dyDescent="0.2">
      <c r="B5807" s="2">
        <f ca="1"/>
        <v>0.63679630727483061</v>
      </c>
      <c r="O5807" s="2">
        <f ca="1"/>
        <v>-0.91503132004178234</v>
      </c>
      <c r="X5807" s="2">
        <f ca="1"/>
        <v>30.096575036737367</v>
      </c>
      <c r="AG5807" s="2">
        <f ca="1"/>
        <v>0.54081648014539252</v>
      </c>
      <c r="AH5807" s="2" t="str">
        <f ca="1"/>
        <v>Bad</v>
      </c>
    </row>
    <row r="5808" spans="2:34" x14ac:dyDescent="0.2">
      <c r="B5808" s="2">
        <f ca="1"/>
        <v>0.12685913352104783</v>
      </c>
      <c r="O5808" s="2">
        <f ca="1"/>
        <v>0.93694091676539215</v>
      </c>
      <c r="X5808" s="2">
        <f ca="1"/>
        <v>56.640865317374463</v>
      </c>
      <c r="AG5808" s="2">
        <f ca="1"/>
        <v>0.51535843076122956</v>
      </c>
      <c r="AH5808" s="2" t="str">
        <f ca="1"/>
        <v>Bad</v>
      </c>
    </row>
    <row r="5809" spans="2:34" x14ac:dyDescent="0.2">
      <c r="B5809" s="2">
        <f ca="1"/>
        <v>0.39399816137092913</v>
      </c>
      <c r="O5809" s="2">
        <f ca="1"/>
        <v>0.8656198265258026</v>
      </c>
      <c r="X5809" s="2">
        <f ca="1"/>
        <v>49.690291136043719</v>
      </c>
      <c r="AG5809" s="2">
        <f ca="1"/>
        <v>0.53852065671213145</v>
      </c>
      <c r="AH5809" s="2" t="str">
        <f ca="1"/>
        <v>Bad</v>
      </c>
    </row>
    <row r="5810" spans="2:34" x14ac:dyDescent="0.2">
      <c r="B5810" s="2">
        <f ca="1"/>
        <v>0.2912790410517696</v>
      </c>
      <c r="O5810" s="2">
        <f ca="1"/>
        <v>9.729922857493864E-2</v>
      </c>
      <c r="X5810" s="2">
        <f ca="1"/>
        <v>48.4980282227299</v>
      </c>
      <c r="AG5810" s="2">
        <f ca="1"/>
        <v>0.81798341113294626</v>
      </c>
      <c r="AH5810" s="2" t="str">
        <f ca="1"/>
        <v>Bad</v>
      </c>
    </row>
    <row r="5811" spans="2:34" x14ac:dyDescent="0.2">
      <c r="B5811" s="2">
        <f ca="1"/>
        <v>0.81126656926228535</v>
      </c>
      <c r="O5811" s="2">
        <f ca="1"/>
        <v>-0.62072701644913986</v>
      </c>
      <c r="X5811" s="2">
        <f ca="1"/>
        <v>63.438080676249498</v>
      </c>
      <c r="AG5811" s="2">
        <f ca="1"/>
        <v>0.76922334449756447</v>
      </c>
      <c r="AH5811" s="2" t="str">
        <f ca="1"/>
        <v>Bad</v>
      </c>
    </row>
    <row r="5812" spans="2:34" x14ac:dyDescent="0.2">
      <c r="B5812" s="2">
        <f ca="1"/>
        <v>0.2084955333844758</v>
      </c>
      <c r="O5812" s="2">
        <f ca="1"/>
        <v>0.94323348340914137</v>
      </c>
      <c r="X5812" s="2">
        <f ca="1"/>
        <v>57.100899496226958</v>
      </c>
      <c r="AG5812" s="2">
        <f ca="1"/>
        <v>0.96885352264883307</v>
      </c>
      <c r="AH5812" s="2" t="str">
        <f ca="1"/>
        <v>Bad</v>
      </c>
    </row>
    <row r="5813" spans="2:34" x14ac:dyDescent="0.2">
      <c r="B5813" s="2">
        <f ca="1"/>
        <v>0.48909668820229912</v>
      </c>
      <c r="O5813" s="2">
        <f ca="1"/>
        <v>-9.6025804632873218E-2</v>
      </c>
      <c r="X5813" s="2">
        <f ca="1"/>
        <v>53.954616333721113</v>
      </c>
      <c r="AG5813" s="2">
        <f ca="1"/>
        <v>0.4656938471355383</v>
      </c>
      <c r="AH5813" s="2" t="str">
        <f ca="1"/>
        <v>Bad</v>
      </c>
    </row>
    <row r="5814" spans="2:34" x14ac:dyDescent="0.2">
      <c r="B5814" s="2">
        <f ca="1"/>
        <v>0.79276133703563167</v>
      </c>
      <c r="O5814" s="2">
        <f ca="1"/>
        <v>-0.3018828337704752</v>
      </c>
      <c r="X5814" s="2">
        <f ca="1"/>
        <v>57.254244129700488</v>
      </c>
      <c r="AG5814" s="2">
        <f ca="1"/>
        <v>0.41452453696337543</v>
      </c>
      <c r="AH5814" s="2" t="str">
        <f ca="1"/>
        <v>Bad</v>
      </c>
    </row>
    <row r="5815" spans="2:34" x14ac:dyDescent="0.2">
      <c r="B5815" s="2">
        <f ca="1"/>
        <v>0.85909860174139041</v>
      </c>
      <c r="O5815" s="2">
        <f ca="1"/>
        <v>0.19911045960675128</v>
      </c>
      <c r="X5815" s="2">
        <f ca="1"/>
        <v>92.515589656186592</v>
      </c>
      <c r="AG5815" s="2">
        <f ca="1"/>
        <v>0.55606446193254877</v>
      </c>
      <c r="AH5815" s="2" t="str">
        <f ca="1"/>
        <v>Bad</v>
      </c>
    </row>
    <row r="5816" spans="2:34" x14ac:dyDescent="0.2">
      <c r="B5816" s="2">
        <f ca="1"/>
        <v>0.68004452662513515</v>
      </c>
      <c r="O5816" s="2">
        <f ca="1"/>
        <v>1.3801831306857055</v>
      </c>
      <c r="X5816" s="2">
        <f ca="1"/>
        <v>38.725279499027977</v>
      </c>
      <c r="AG5816" s="2">
        <f ca="1"/>
        <v>0.97923812584387648</v>
      </c>
      <c r="AH5816" s="2" t="str">
        <f ca="1"/>
        <v>Bad</v>
      </c>
    </row>
    <row r="5817" spans="2:34" x14ac:dyDescent="0.2">
      <c r="B5817" s="2">
        <f ca="1"/>
        <v>0.75238458146041554</v>
      </c>
      <c r="O5817" s="2">
        <f ca="1"/>
        <v>-0.69887854228849133</v>
      </c>
      <c r="X5817" s="2">
        <f ca="1"/>
        <v>53.641604235676567</v>
      </c>
      <c r="AG5817" s="2">
        <f ca="1"/>
        <v>0.99405053790881337</v>
      </c>
      <c r="AH5817" s="2" t="str">
        <f ca="1"/>
        <v>Bad</v>
      </c>
    </row>
    <row r="5818" spans="2:34" x14ac:dyDescent="0.2">
      <c r="B5818" s="2">
        <f ca="1"/>
        <v>0.93822744687266479</v>
      </c>
      <c r="O5818" s="2">
        <f ca="1"/>
        <v>-1.226401284718091</v>
      </c>
      <c r="X5818" s="2">
        <f ca="1"/>
        <v>66.028404126200343</v>
      </c>
      <c r="AG5818" s="2">
        <f ca="1"/>
        <v>0.97371587255747927</v>
      </c>
      <c r="AH5818" s="2" t="str">
        <f ca="1"/>
        <v>Bad</v>
      </c>
    </row>
    <row r="5819" spans="2:34" x14ac:dyDescent="0.2">
      <c r="B5819" s="2">
        <f ca="1"/>
        <v>0.20219772190576157</v>
      </c>
      <c r="O5819" s="2">
        <f ca="1"/>
        <v>-0.68021196363580272</v>
      </c>
      <c r="X5819" s="2">
        <f ca="1"/>
        <v>34.00433502037162</v>
      </c>
      <c r="AG5819" s="2">
        <f ca="1"/>
        <v>0.43588650272684615</v>
      </c>
      <c r="AH5819" s="2" t="str">
        <f ca="1"/>
        <v>Bad</v>
      </c>
    </row>
    <row r="5820" spans="2:34" x14ac:dyDescent="0.2">
      <c r="B5820" s="2">
        <f ca="1"/>
        <v>0.9672948619111672</v>
      </c>
      <c r="O5820" s="2">
        <f ca="1"/>
        <v>-1.2067604740111351</v>
      </c>
      <c r="X5820" s="2">
        <f ca="1"/>
        <v>74.846987765746803</v>
      </c>
      <c r="AG5820" s="2">
        <f ca="1"/>
        <v>0.56539040014837405</v>
      </c>
      <c r="AH5820" s="2" t="str">
        <f ca="1"/>
        <v>Bad</v>
      </c>
    </row>
    <row r="5821" spans="2:34" x14ac:dyDescent="0.2">
      <c r="B5821" s="2">
        <f ca="1"/>
        <v>0.25525513647181652</v>
      </c>
      <c r="O5821" s="2">
        <f ca="1"/>
        <v>-0.83795509560860704</v>
      </c>
      <c r="X5821" s="2">
        <f ca="1"/>
        <v>82.238105564763259</v>
      </c>
      <c r="AG5821" s="2">
        <f ca="1"/>
        <v>0.4144750924548477</v>
      </c>
      <c r="AH5821" s="2" t="str">
        <f ca="1"/>
        <v>Bad</v>
      </c>
    </row>
    <row r="5822" spans="2:34" x14ac:dyDescent="0.2">
      <c r="B5822" s="2">
        <f ca="1"/>
        <v>0.31179678077172568</v>
      </c>
      <c r="O5822" s="2">
        <f ca="1"/>
        <v>2.1944778356933567</v>
      </c>
      <c r="X5822" s="2">
        <f ca="1"/>
        <v>65.80180201280001</v>
      </c>
      <c r="AG5822" s="2">
        <f ca="1"/>
        <v>0.93421700036287558</v>
      </c>
      <c r="AH5822" s="2" t="str">
        <f ca="1"/>
        <v>Bad</v>
      </c>
    </row>
    <row r="5823" spans="2:34" x14ac:dyDescent="0.2">
      <c r="B5823" s="2">
        <f ca="1"/>
        <v>0.16403597875648246</v>
      </c>
      <c r="O5823" s="2">
        <f ca="1"/>
        <v>0.2192820792694089</v>
      </c>
      <c r="X5823" s="2">
        <f ca="1"/>
        <v>29.153284039274784</v>
      </c>
      <c r="AG5823" s="2">
        <f ca="1"/>
        <v>0.15226742984748132</v>
      </c>
      <c r="AH5823" s="2" t="str">
        <f ca="1"/>
        <v>OK</v>
      </c>
    </row>
    <row r="5824" spans="2:34" x14ac:dyDescent="0.2">
      <c r="B5824" s="2">
        <f ca="1"/>
        <v>0.45526181306572067</v>
      </c>
      <c r="O5824" s="2">
        <f ca="1"/>
        <v>2.1363410190798082</v>
      </c>
      <c r="X5824" s="2">
        <f ca="1"/>
        <v>51.733539518469279</v>
      </c>
      <c r="AG5824" s="2">
        <f ca="1"/>
        <v>0.50856187613544424</v>
      </c>
      <c r="AH5824" s="2" t="str">
        <f ca="1"/>
        <v>Bad</v>
      </c>
    </row>
    <row r="5825" spans="2:34" x14ac:dyDescent="0.2">
      <c r="B5825" s="2">
        <f ca="1"/>
        <v>0.61544098684973036</v>
      </c>
      <c r="O5825" s="2">
        <f ca="1"/>
        <v>0.83153679356178711</v>
      </c>
      <c r="X5825" s="2">
        <f ca="1"/>
        <v>38.785989658459229</v>
      </c>
      <c r="AG5825" s="2">
        <f ca="1"/>
        <v>0.41190669897797161</v>
      </c>
      <c r="AH5825" s="2" t="str">
        <f ca="1"/>
        <v>Bad</v>
      </c>
    </row>
    <row r="5826" spans="2:34" x14ac:dyDescent="0.2">
      <c r="B5826" s="2">
        <f ca="1"/>
        <v>0.8642920504901952</v>
      </c>
      <c r="O5826" s="2">
        <f ca="1"/>
        <v>0.10928969980807136</v>
      </c>
      <c r="X5826" s="2">
        <f ca="1"/>
        <v>64.370261165456213</v>
      </c>
      <c r="AG5826" s="2">
        <f ca="1"/>
        <v>0.94898206175372235</v>
      </c>
      <c r="AH5826" s="2" t="str">
        <f ca="1"/>
        <v>Bad</v>
      </c>
    </row>
    <row r="5827" spans="2:34" x14ac:dyDescent="0.2">
      <c r="B5827" s="2">
        <f ca="1"/>
        <v>0.2570771044784792</v>
      </c>
      <c r="O5827" s="2">
        <f ca="1"/>
        <v>-0.33002040103383312</v>
      </c>
      <c r="X5827" s="2">
        <f ca="1"/>
        <v>50.609126293652082</v>
      </c>
      <c r="AG5827" s="2">
        <f ca="1"/>
        <v>0.3614923742263747</v>
      </c>
      <c r="AH5827" s="2" t="str">
        <f ca="1"/>
        <v>OK</v>
      </c>
    </row>
    <row r="5828" spans="2:34" x14ac:dyDescent="0.2">
      <c r="B5828" s="2">
        <f ca="1"/>
        <v>0.90441052151208234</v>
      </c>
      <c r="O5828" s="2">
        <f ca="1"/>
        <v>-0.17241124927866006</v>
      </c>
      <c r="X5828" s="2">
        <f ca="1"/>
        <v>52.059434148880612</v>
      </c>
      <c r="AG5828" s="2">
        <f ca="1"/>
        <v>0.89558336278090778</v>
      </c>
      <c r="AH5828" s="2" t="str">
        <f ca="1"/>
        <v>Bad</v>
      </c>
    </row>
    <row r="5829" spans="2:34" x14ac:dyDescent="0.2">
      <c r="B5829" s="2">
        <f ca="1"/>
        <v>0.70651435249407335</v>
      </c>
      <c r="O5829" s="2">
        <f ca="1"/>
        <v>-0.47279472707776499</v>
      </c>
      <c r="X5829" s="2">
        <f ca="1"/>
        <v>64.846105784956279</v>
      </c>
      <c r="AG5829" s="2">
        <f ca="1"/>
        <v>0.71400653625084121</v>
      </c>
      <c r="AH5829" s="2" t="str">
        <f ca="1"/>
        <v>Bad</v>
      </c>
    </row>
    <row r="5830" spans="2:34" x14ac:dyDescent="0.2">
      <c r="B5830" s="2">
        <f ca="1"/>
        <v>0.65311852030695627</v>
      </c>
      <c r="O5830" s="2">
        <f ca="1"/>
        <v>-0.13711663133724089</v>
      </c>
      <c r="X5830" s="2">
        <f ca="1"/>
        <v>48.148307282344582</v>
      </c>
      <c r="AG5830" s="2">
        <f ca="1"/>
        <v>0.97617580844683749</v>
      </c>
      <c r="AH5830" s="2" t="str">
        <f ca="1"/>
        <v>Bad</v>
      </c>
    </row>
    <row r="5831" spans="2:34" x14ac:dyDescent="0.2">
      <c r="B5831" s="2">
        <f ca="1"/>
        <v>0.32719058411627255</v>
      </c>
      <c r="O5831" s="2">
        <f ca="1"/>
        <v>0.74514155415983618</v>
      </c>
      <c r="X5831" s="2">
        <f ca="1"/>
        <v>67.044872208134009</v>
      </c>
      <c r="AG5831" s="2">
        <f ca="1"/>
        <v>0.54894036548838221</v>
      </c>
      <c r="AH5831" s="2" t="str">
        <f ca="1"/>
        <v>Bad</v>
      </c>
    </row>
    <row r="5832" spans="2:34" x14ac:dyDescent="0.2">
      <c r="B5832" s="2">
        <f ca="1"/>
        <v>0.22374949958521673</v>
      </c>
      <c r="O5832" s="2">
        <f ca="1"/>
        <v>-0.53477987187324272</v>
      </c>
      <c r="X5832" s="2">
        <f ca="1"/>
        <v>32.92966120359835</v>
      </c>
      <c r="AG5832" s="2">
        <f ca="1"/>
        <v>0.39272955191125392</v>
      </c>
      <c r="AH5832" s="2" t="str">
        <f ca="1"/>
        <v>OK</v>
      </c>
    </row>
    <row r="5833" spans="2:34" x14ac:dyDescent="0.2">
      <c r="B5833" s="2">
        <f ca="1"/>
        <v>0.6520668360256292</v>
      </c>
      <c r="O5833" s="2">
        <f ca="1"/>
        <v>-0.91409554868367393</v>
      </c>
      <c r="X5833" s="2">
        <f ca="1"/>
        <v>34.006026518866079</v>
      </c>
      <c r="AG5833" s="2">
        <f ca="1"/>
        <v>0.45641786138886165</v>
      </c>
      <c r="AH5833" s="2" t="str">
        <f ca="1"/>
        <v>Bad</v>
      </c>
    </row>
    <row r="5834" spans="2:34" x14ac:dyDescent="0.2">
      <c r="B5834" s="2">
        <f ca="1"/>
        <v>0.49007915178397621</v>
      </c>
      <c r="O5834" s="2">
        <f ca="1"/>
        <v>-1.4451552536761025</v>
      </c>
      <c r="X5834" s="2">
        <f ca="1"/>
        <v>61.793185720560267</v>
      </c>
      <c r="AG5834" s="2">
        <f ca="1"/>
        <v>0.82156607790173042</v>
      </c>
      <c r="AH5834" s="2" t="str">
        <f ca="1"/>
        <v>Bad</v>
      </c>
    </row>
    <row r="5835" spans="2:34" x14ac:dyDescent="0.2">
      <c r="B5835" s="2">
        <f ca="1"/>
        <v>0.56902290895007512</v>
      </c>
      <c r="O5835" s="2">
        <f ca="1"/>
        <v>-1.2569489929602218</v>
      </c>
      <c r="X5835" s="2">
        <f ca="1"/>
        <v>50.774004674236572</v>
      </c>
      <c r="AG5835" s="2">
        <f ca="1"/>
        <v>0.158719634484495</v>
      </c>
      <c r="AH5835" s="2" t="str">
        <f ca="1"/>
        <v>OK</v>
      </c>
    </row>
    <row r="5836" spans="2:34" x14ac:dyDescent="0.2">
      <c r="B5836" s="2">
        <f ca="1"/>
        <v>0.33283262618865872</v>
      </c>
      <c r="O5836" s="2">
        <f ca="1"/>
        <v>1.2623953652627966</v>
      </c>
      <c r="X5836" s="2">
        <f ca="1"/>
        <v>41.017609747655221</v>
      </c>
      <c r="AG5836" s="2">
        <f ca="1"/>
        <v>0.57306497132160406</v>
      </c>
      <c r="AH5836" s="2" t="str">
        <f ca="1"/>
        <v>Bad</v>
      </c>
    </row>
    <row r="5837" spans="2:34" x14ac:dyDescent="0.2">
      <c r="B5837" s="2">
        <f ca="1"/>
        <v>0.37210403772922329</v>
      </c>
      <c r="O5837" s="2">
        <f ca="1"/>
        <v>0.50473260752969118</v>
      </c>
      <c r="X5837" s="2">
        <f ca="1"/>
        <v>40.306874322909195</v>
      </c>
      <c r="AG5837" s="2">
        <f ca="1"/>
        <v>0.6640501629480855</v>
      </c>
      <c r="AH5837" s="2" t="str">
        <f ca="1"/>
        <v>Bad</v>
      </c>
    </row>
    <row r="5838" spans="2:34" x14ac:dyDescent="0.2">
      <c r="B5838" s="2">
        <f ca="1"/>
        <v>9.1034160798214359E-2</v>
      </c>
      <c r="O5838" s="2">
        <f ca="1"/>
        <v>0.66523186252479016</v>
      </c>
      <c r="X5838" s="2">
        <f ca="1"/>
        <v>42.339874710755367</v>
      </c>
      <c r="AG5838" s="2">
        <f ca="1"/>
        <v>0.11118009442656485</v>
      </c>
      <c r="AH5838" s="2" t="str">
        <f ca="1"/>
        <v>OK</v>
      </c>
    </row>
    <row r="5839" spans="2:34" x14ac:dyDescent="0.2">
      <c r="B5839" s="2">
        <f ca="1"/>
        <v>0.23365486345737319</v>
      </c>
      <c r="O5839" s="2">
        <f ca="1"/>
        <v>1.4295931712065173</v>
      </c>
      <c r="X5839" s="2">
        <f ca="1"/>
        <v>54.184017078979565</v>
      </c>
      <c r="AG5839" s="2">
        <f ca="1"/>
        <v>8.7119646760021485E-2</v>
      </c>
      <c r="AH5839" s="2" t="str">
        <f ca="1"/>
        <v>OK</v>
      </c>
    </row>
    <row r="5840" spans="2:34" x14ac:dyDescent="0.2">
      <c r="B5840" s="2">
        <f ca="1"/>
        <v>0.68335747550289994</v>
      </c>
      <c r="O5840" s="2">
        <f ca="1"/>
        <v>-2.6338480000035309</v>
      </c>
      <c r="X5840" s="2">
        <f ca="1"/>
        <v>34.712397501354388</v>
      </c>
      <c r="AG5840" s="2">
        <f ca="1"/>
        <v>0.84174155757231195</v>
      </c>
      <c r="AH5840" s="2" t="str">
        <f ca="1"/>
        <v>Bad</v>
      </c>
    </row>
    <row r="5841" spans="2:34" x14ac:dyDescent="0.2">
      <c r="B5841" s="2">
        <f ca="1"/>
        <v>0.11812460346078035</v>
      </c>
      <c r="O5841" s="2">
        <f ca="1"/>
        <v>1.0105405207139424</v>
      </c>
      <c r="X5841" s="2">
        <f ca="1"/>
        <v>64.938169363965102</v>
      </c>
      <c r="AG5841" s="2">
        <f ca="1"/>
        <v>0.63259349819699073</v>
      </c>
      <c r="AH5841" s="2" t="str">
        <f ca="1"/>
        <v>Bad</v>
      </c>
    </row>
    <row r="5842" spans="2:34" x14ac:dyDescent="0.2">
      <c r="B5842" s="2">
        <f ca="1"/>
        <v>6.7367594655306728E-2</v>
      </c>
      <c r="O5842" s="2">
        <f ca="1"/>
        <v>-1.2225129200401463</v>
      </c>
      <c r="X5842" s="2">
        <f ca="1"/>
        <v>102.9552069591472</v>
      </c>
      <c r="AG5842" s="2">
        <f ca="1"/>
        <v>0.58198694800217776</v>
      </c>
      <c r="AH5842" s="2" t="str">
        <f ca="1"/>
        <v>Bad</v>
      </c>
    </row>
    <row r="5843" spans="2:34" x14ac:dyDescent="0.2">
      <c r="B5843" s="2">
        <f ca="1"/>
        <v>0.29474208730030682</v>
      </c>
      <c r="O5843" s="2">
        <f ca="1"/>
        <v>0.94777172952463873</v>
      </c>
      <c r="X5843" s="2">
        <f ca="1"/>
        <v>42.702028479916159</v>
      </c>
      <c r="AG5843" s="2">
        <f ca="1"/>
        <v>0.11488238399847872</v>
      </c>
      <c r="AH5843" s="2" t="str">
        <f ca="1"/>
        <v>OK</v>
      </c>
    </row>
    <row r="5844" spans="2:34" x14ac:dyDescent="0.2">
      <c r="B5844" s="2">
        <f ca="1"/>
        <v>0.75050274611556</v>
      </c>
      <c r="O5844" s="2">
        <f ca="1"/>
        <v>-1.2484878962791497</v>
      </c>
      <c r="X5844" s="2">
        <f ca="1"/>
        <v>57.575365276204806</v>
      </c>
      <c r="AG5844" s="2">
        <f ca="1"/>
        <v>0.10019786683136478</v>
      </c>
      <c r="AH5844" s="2" t="str">
        <f ca="1"/>
        <v>OK</v>
      </c>
    </row>
    <row r="5845" spans="2:34" x14ac:dyDescent="0.2">
      <c r="B5845" s="2">
        <f ca="1"/>
        <v>0.65310483093220939</v>
      </c>
      <c r="O5845" s="2">
        <f ca="1"/>
        <v>1.9739907660677039</v>
      </c>
      <c r="X5845" s="2">
        <f ca="1"/>
        <v>26.754458134114888</v>
      </c>
      <c r="AG5845" s="2">
        <f ca="1"/>
        <v>0.72460555170687768</v>
      </c>
      <c r="AH5845" s="2" t="str">
        <f ca="1"/>
        <v>Bad</v>
      </c>
    </row>
    <row r="5846" spans="2:34" x14ac:dyDescent="0.2">
      <c r="B5846" s="2">
        <f ca="1"/>
        <v>0.59920492441642126</v>
      </c>
      <c r="O5846" s="2">
        <f ca="1"/>
        <v>-1.6612755779469961</v>
      </c>
      <c r="X5846" s="2">
        <f ca="1"/>
        <v>78.822918775482947</v>
      </c>
      <c r="AG5846" s="2">
        <f ca="1"/>
        <v>1.827977748606191E-2</v>
      </c>
      <c r="AH5846" s="2" t="str">
        <f ca="1"/>
        <v>Good</v>
      </c>
    </row>
    <row r="5847" spans="2:34" x14ac:dyDescent="0.2">
      <c r="B5847" s="2">
        <f ca="1"/>
        <v>0.3455142464751868</v>
      </c>
      <c r="O5847" s="2">
        <f ca="1"/>
        <v>0.67799862052447202</v>
      </c>
      <c r="X5847" s="2">
        <f ca="1"/>
        <v>27.763439510512882</v>
      </c>
      <c r="AG5847" s="2">
        <f ca="1"/>
        <v>0.35927697328098263</v>
      </c>
      <c r="AH5847" s="2" t="str">
        <f ca="1"/>
        <v>OK</v>
      </c>
    </row>
    <row r="5848" spans="2:34" x14ac:dyDescent="0.2">
      <c r="B5848" s="2">
        <f ca="1"/>
        <v>0.37925151324267592</v>
      </c>
      <c r="O5848" s="2">
        <f ca="1"/>
        <v>-1.6865283068188743</v>
      </c>
      <c r="X5848" s="2">
        <f ca="1"/>
        <v>88.52897084359671</v>
      </c>
      <c r="AG5848" s="2">
        <f ca="1"/>
        <v>0.40085425327406754</v>
      </c>
      <c r="AH5848" s="2" t="str">
        <f ca="1"/>
        <v>Bad</v>
      </c>
    </row>
    <row r="5849" spans="2:34" x14ac:dyDescent="0.2">
      <c r="B5849" s="2">
        <f ca="1"/>
        <v>0.72507271328078793</v>
      </c>
      <c r="O5849" s="2">
        <f ca="1"/>
        <v>-0.6609018534491572</v>
      </c>
      <c r="X5849" s="2">
        <f ca="1"/>
        <v>34.681477301384625</v>
      </c>
      <c r="AG5849" s="2">
        <f ca="1"/>
        <v>0.40166176721229863</v>
      </c>
      <c r="AH5849" s="2" t="str">
        <f ca="1"/>
        <v>Bad</v>
      </c>
    </row>
    <row r="5850" spans="2:34" x14ac:dyDescent="0.2">
      <c r="B5850" s="2">
        <f ca="1"/>
        <v>0.21637510550635697</v>
      </c>
      <c r="O5850" s="2">
        <f ca="1"/>
        <v>0.84532254058780731</v>
      </c>
      <c r="X5850" s="2">
        <f ca="1"/>
        <v>51.962343028247766</v>
      </c>
      <c r="AG5850" s="2">
        <f ca="1"/>
        <v>0.68228281861013018</v>
      </c>
      <c r="AH5850" s="2" t="str">
        <f ca="1"/>
        <v>Bad</v>
      </c>
    </row>
    <row r="5851" spans="2:34" x14ac:dyDescent="0.2">
      <c r="B5851" s="2">
        <f ca="1"/>
        <v>0.48378480036425153</v>
      </c>
      <c r="O5851" s="2">
        <f ca="1"/>
        <v>-0.62237668867185136</v>
      </c>
      <c r="X5851" s="2">
        <f ca="1"/>
        <v>55.89107408717895</v>
      </c>
      <c r="AG5851" s="2">
        <f ca="1"/>
        <v>0.21922369627111649</v>
      </c>
      <c r="AH5851" s="2" t="str">
        <f ca="1"/>
        <v>OK</v>
      </c>
    </row>
    <row r="5852" spans="2:34" x14ac:dyDescent="0.2">
      <c r="B5852" s="2">
        <f ca="1"/>
        <v>0.61834464609064166</v>
      </c>
      <c r="O5852" s="2">
        <f ca="1"/>
        <v>-0.52947165614057001</v>
      </c>
      <c r="X5852" s="2">
        <f ca="1"/>
        <v>38.226124560516908</v>
      </c>
      <c r="AG5852" s="2">
        <f ca="1"/>
        <v>0.38891168005309473</v>
      </c>
      <c r="AH5852" s="2" t="str">
        <f ca="1"/>
        <v>OK</v>
      </c>
    </row>
    <row r="5853" spans="2:34" x14ac:dyDescent="0.2">
      <c r="B5853" s="2">
        <f ca="1"/>
        <v>0.34530810673889722</v>
      </c>
      <c r="O5853" s="2">
        <f ca="1"/>
        <v>-0.75855436508583163</v>
      </c>
      <c r="X5853" s="2">
        <f ca="1"/>
        <v>28.737257298655265</v>
      </c>
      <c r="AG5853" s="2">
        <f ca="1"/>
        <v>1.687590301703068E-3</v>
      </c>
      <c r="AH5853" s="2" t="str">
        <f ca="1"/>
        <v>Good</v>
      </c>
    </row>
    <row r="5854" spans="2:34" x14ac:dyDescent="0.2">
      <c r="B5854" s="2">
        <f ca="1"/>
        <v>0.23184111363674753</v>
      </c>
      <c r="O5854" s="2">
        <f ca="1"/>
        <v>-0.92398396256641802</v>
      </c>
      <c r="X5854" s="2">
        <f ca="1"/>
        <v>54.219627776127375</v>
      </c>
      <c r="AG5854" s="2">
        <f ca="1"/>
        <v>7.3577050268539335E-2</v>
      </c>
      <c r="AH5854" s="2" t="str">
        <f ca="1"/>
        <v>OK</v>
      </c>
    </row>
    <row r="5855" spans="2:34" x14ac:dyDescent="0.2">
      <c r="B5855" s="2">
        <f ca="1"/>
        <v>0.9312088704262107</v>
      </c>
      <c r="O5855" s="2">
        <f ca="1"/>
        <v>1.4666391256413318</v>
      </c>
      <c r="X5855" s="2">
        <f ca="1"/>
        <v>23.228132505885398</v>
      </c>
      <c r="AG5855" s="2">
        <f ca="1"/>
        <v>0.74992770494359173</v>
      </c>
      <c r="AH5855" s="2" t="str">
        <f ca="1"/>
        <v>Bad</v>
      </c>
    </row>
    <row r="5856" spans="2:34" x14ac:dyDescent="0.2">
      <c r="B5856" s="2">
        <f ca="1"/>
        <v>0.94632437269827818</v>
      </c>
      <c r="O5856" s="2">
        <f ca="1"/>
        <v>1.1264816048568296</v>
      </c>
      <c r="X5856" s="2">
        <f ca="1"/>
        <v>43.155590668103933</v>
      </c>
      <c r="AG5856" s="2">
        <f ca="1"/>
        <v>0.88972103500136335</v>
      </c>
      <c r="AH5856" s="2" t="str">
        <f ca="1"/>
        <v>Bad</v>
      </c>
    </row>
    <row r="5857" spans="2:34" x14ac:dyDescent="0.2">
      <c r="B5857" s="2">
        <f ca="1"/>
        <v>0.64799286621162011</v>
      </c>
      <c r="O5857" s="2">
        <f ca="1"/>
        <v>3.651649938437343E-2</v>
      </c>
      <c r="X5857" s="2">
        <f ca="1"/>
        <v>41.097996864765193</v>
      </c>
      <c r="AG5857" s="2">
        <f ca="1"/>
        <v>0.16861721083848469</v>
      </c>
      <c r="AH5857" s="2" t="str">
        <f ca="1"/>
        <v>OK</v>
      </c>
    </row>
    <row r="5858" spans="2:34" x14ac:dyDescent="0.2">
      <c r="B5858" s="2">
        <f ca="1"/>
        <v>0.90131873112743555</v>
      </c>
      <c r="O5858" s="2">
        <f ca="1"/>
        <v>1.3564086268128757</v>
      </c>
      <c r="X5858" s="2">
        <f ca="1"/>
        <v>32.351140755004756</v>
      </c>
      <c r="AG5858" s="2">
        <f ca="1"/>
        <v>0.73564434016861346</v>
      </c>
      <c r="AH5858" s="2" t="str">
        <f ca="1"/>
        <v>Bad</v>
      </c>
    </row>
    <row r="5859" spans="2:34" x14ac:dyDescent="0.2">
      <c r="B5859" s="2">
        <f ca="1"/>
        <v>0.52145028099748902</v>
      </c>
      <c r="O5859" s="2">
        <f ca="1"/>
        <v>0.53437432293584219</v>
      </c>
      <c r="X5859" s="2">
        <f ca="1"/>
        <v>39.268661657765243</v>
      </c>
      <c r="AG5859" s="2">
        <f ca="1"/>
        <v>0.64238312939973552</v>
      </c>
      <c r="AH5859" s="2" t="str">
        <f ca="1"/>
        <v>Bad</v>
      </c>
    </row>
    <row r="5860" spans="2:34" x14ac:dyDescent="0.2">
      <c r="B5860" s="2">
        <f ca="1"/>
        <v>0.46340845775339545</v>
      </c>
      <c r="O5860" s="2">
        <f ca="1"/>
        <v>0.98390611122244065</v>
      </c>
      <c r="X5860" s="2">
        <f ca="1"/>
        <v>39.989838223304154</v>
      </c>
      <c r="AG5860" s="2">
        <f ca="1"/>
        <v>5.3991463665019612E-3</v>
      </c>
      <c r="AH5860" s="2" t="str">
        <f ca="1"/>
        <v>Good</v>
      </c>
    </row>
    <row r="5861" spans="2:34" x14ac:dyDescent="0.2">
      <c r="B5861" s="2">
        <f ca="1"/>
        <v>0.90189531366805453</v>
      </c>
      <c r="O5861" s="2">
        <f ca="1"/>
        <v>0.6886135229251098</v>
      </c>
      <c r="X5861" s="2">
        <f ca="1"/>
        <v>46.117466751698714</v>
      </c>
      <c r="AG5861" s="2">
        <f ca="1"/>
        <v>0.45054234421097483</v>
      </c>
      <c r="AH5861" s="2" t="str">
        <f ca="1"/>
        <v>Bad</v>
      </c>
    </row>
    <row r="5862" spans="2:34" x14ac:dyDescent="0.2">
      <c r="B5862" s="2">
        <f ca="1"/>
        <v>0.7852318920575645</v>
      </c>
      <c r="O5862" s="2">
        <f ca="1"/>
        <v>-0.38080856069927699</v>
      </c>
      <c r="X5862" s="2">
        <f ca="1"/>
        <v>61.064302750503899</v>
      </c>
      <c r="AG5862" s="2">
        <f ca="1"/>
        <v>0.34834834596308828</v>
      </c>
      <c r="AH5862" s="2" t="str">
        <f ca="1"/>
        <v>OK</v>
      </c>
    </row>
    <row r="5863" spans="2:34" x14ac:dyDescent="0.2">
      <c r="B5863" s="2">
        <f ca="1"/>
        <v>0.78248788874422148</v>
      </c>
      <c r="O5863" s="2">
        <f ca="1"/>
        <v>-0.41229836232275618</v>
      </c>
      <c r="X5863" s="2">
        <f ca="1"/>
        <v>52.977793758505108</v>
      </c>
      <c r="AG5863" s="2">
        <f ca="1"/>
        <v>0.23172847364533311</v>
      </c>
      <c r="AH5863" s="2" t="str">
        <f ca="1"/>
        <v>OK</v>
      </c>
    </row>
    <row r="5864" spans="2:34" x14ac:dyDescent="0.2">
      <c r="B5864" s="2">
        <f ca="1"/>
        <v>0.12098253712351181</v>
      </c>
      <c r="O5864" s="2">
        <f ca="1"/>
        <v>-1.760779732676643</v>
      </c>
      <c r="X5864" s="2">
        <f ca="1"/>
        <v>68.853032986377841</v>
      </c>
      <c r="AG5864" s="2">
        <f ca="1"/>
        <v>0.60126805949987139</v>
      </c>
      <c r="AH5864" s="2" t="str">
        <f ca="1"/>
        <v>Bad</v>
      </c>
    </row>
    <row r="5865" spans="2:34" x14ac:dyDescent="0.2">
      <c r="B5865" s="2">
        <f ca="1"/>
        <v>0.37522403681927341</v>
      </c>
      <c r="O5865" s="2">
        <f ca="1"/>
        <v>0.10613805339043801</v>
      </c>
      <c r="X5865" s="2">
        <f ca="1"/>
        <v>38.879685196310334</v>
      </c>
      <c r="AG5865" s="2">
        <f ca="1"/>
        <v>0.79048161404476414</v>
      </c>
      <c r="AH5865" s="2" t="str">
        <f ca="1"/>
        <v>Bad</v>
      </c>
    </row>
    <row r="5866" spans="2:34" x14ac:dyDescent="0.2">
      <c r="B5866" s="2">
        <f ca="1"/>
        <v>0.96840059820544577</v>
      </c>
      <c r="O5866" s="2">
        <f ca="1"/>
        <v>-1.2824432997236517</v>
      </c>
      <c r="X5866" s="2">
        <f ca="1"/>
        <v>22.624958770615656</v>
      </c>
      <c r="AG5866" s="2">
        <f ca="1"/>
        <v>0.53017614175128558</v>
      </c>
      <c r="AH5866" s="2" t="str">
        <f ca="1"/>
        <v>Bad</v>
      </c>
    </row>
    <row r="5867" spans="2:34" x14ac:dyDescent="0.2">
      <c r="B5867" s="2">
        <f ca="1"/>
        <v>0.2743942530871839</v>
      </c>
      <c r="O5867" s="2">
        <f ca="1"/>
        <v>0.34407181716382162</v>
      </c>
      <c r="X5867" s="2">
        <f ca="1"/>
        <v>13.218360507813054</v>
      </c>
      <c r="AG5867" s="2">
        <f ca="1"/>
        <v>0.25697480792625194</v>
      </c>
      <c r="AH5867" s="2" t="str">
        <f ca="1"/>
        <v>OK</v>
      </c>
    </row>
    <row r="5868" spans="2:34" x14ac:dyDescent="0.2">
      <c r="B5868" s="2">
        <f ca="1"/>
        <v>4.7046108251006968E-2</v>
      </c>
      <c r="O5868" s="2">
        <f ca="1"/>
        <v>0.35850998147290425</v>
      </c>
      <c r="X5868" s="2">
        <f ca="1"/>
        <v>50.411244077171276</v>
      </c>
      <c r="AG5868" s="2">
        <f ca="1"/>
        <v>0.24592030824304834</v>
      </c>
      <c r="AH5868" s="2" t="str">
        <f ca="1"/>
        <v>OK</v>
      </c>
    </row>
    <row r="5869" spans="2:34" x14ac:dyDescent="0.2">
      <c r="B5869" s="2">
        <f ca="1"/>
        <v>2.8711082981949021E-2</v>
      </c>
      <c r="O5869" s="2">
        <f ca="1"/>
        <v>-7.3528560294837675E-2</v>
      </c>
      <c r="X5869" s="2">
        <f ca="1"/>
        <v>49.735072636527981</v>
      </c>
      <c r="AG5869" s="2">
        <f ca="1"/>
        <v>0.13750572222187385</v>
      </c>
      <c r="AH5869" s="2" t="str">
        <f ca="1"/>
        <v>OK</v>
      </c>
    </row>
    <row r="5870" spans="2:34" x14ac:dyDescent="0.2">
      <c r="B5870" s="2">
        <f ca="1"/>
        <v>0.94057383950454287</v>
      </c>
      <c r="O5870" s="2">
        <f ca="1"/>
        <v>-1.4968377444784502</v>
      </c>
      <c r="X5870" s="2">
        <f ca="1"/>
        <v>54.155225937659722</v>
      </c>
      <c r="AG5870" s="2">
        <f ca="1"/>
        <v>0.12614827214625657</v>
      </c>
      <c r="AH5870" s="2" t="str">
        <f ca="1"/>
        <v>OK</v>
      </c>
    </row>
    <row r="5871" spans="2:34" x14ac:dyDescent="0.2">
      <c r="B5871" s="2">
        <f ca="1"/>
        <v>0.17089957522672683</v>
      </c>
      <c r="O5871" s="2">
        <f ca="1"/>
        <v>0.83647829605148016</v>
      </c>
      <c r="X5871" s="2">
        <f ca="1"/>
        <v>36.337704445047159</v>
      </c>
      <c r="AG5871" s="2">
        <f ca="1"/>
        <v>0.6997062423064615</v>
      </c>
      <c r="AH5871" s="2" t="str">
        <f ca="1"/>
        <v>Bad</v>
      </c>
    </row>
    <row r="5872" spans="2:34" x14ac:dyDescent="0.2">
      <c r="B5872" s="2">
        <f ca="1"/>
        <v>0.56128599301086579</v>
      </c>
      <c r="O5872" s="2">
        <f ca="1"/>
        <v>-0.11502598961499726</v>
      </c>
      <c r="X5872" s="2">
        <f ca="1"/>
        <v>36.418840302192031</v>
      </c>
      <c r="AG5872" s="2">
        <f ca="1"/>
        <v>0.98057787480354541</v>
      </c>
      <c r="AH5872" s="2" t="str">
        <f ca="1"/>
        <v>Bad</v>
      </c>
    </row>
    <row r="5873" spans="2:34" x14ac:dyDescent="0.2">
      <c r="B5873" s="2">
        <f ca="1"/>
        <v>0.25734676074534635</v>
      </c>
      <c r="O5873" s="2">
        <f ca="1"/>
        <v>-0.95030071079077616</v>
      </c>
      <c r="X5873" s="2">
        <f ca="1"/>
        <v>65.035194275665646</v>
      </c>
      <c r="AG5873" s="2">
        <f ca="1"/>
        <v>0.30941289788737536</v>
      </c>
      <c r="AH5873" s="2" t="str">
        <f ca="1"/>
        <v>OK</v>
      </c>
    </row>
    <row r="5874" spans="2:34" x14ac:dyDescent="0.2">
      <c r="B5874" s="2">
        <f ca="1"/>
        <v>0.96647605899236089</v>
      </c>
      <c r="O5874" s="2">
        <f ca="1"/>
        <v>1.2345773396013526</v>
      </c>
      <c r="X5874" s="2">
        <f ca="1"/>
        <v>59.643431660724957</v>
      </c>
      <c r="AG5874" s="2">
        <f ca="1"/>
        <v>0.26383468850395397</v>
      </c>
      <c r="AH5874" s="2" t="str">
        <f ca="1"/>
        <v>OK</v>
      </c>
    </row>
    <row r="5875" spans="2:34" x14ac:dyDescent="0.2">
      <c r="B5875" s="2">
        <f ca="1"/>
        <v>0.15870213566563085</v>
      </c>
      <c r="O5875" s="2">
        <f ca="1"/>
        <v>-0.81805485332330763</v>
      </c>
      <c r="X5875" s="2">
        <f ca="1"/>
        <v>47.748932345668976</v>
      </c>
      <c r="AG5875" s="2">
        <f ca="1"/>
        <v>0.77395588379849611</v>
      </c>
      <c r="AH5875" s="2" t="str">
        <f ca="1"/>
        <v>Bad</v>
      </c>
    </row>
    <row r="5876" spans="2:34" x14ac:dyDescent="0.2">
      <c r="B5876" s="2">
        <f ca="1"/>
        <v>6.9418678167236347E-2</v>
      </c>
      <c r="O5876" s="2">
        <f ca="1"/>
        <v>-9.6541651969018372E-2</v>
      </c>
      <c r="X5876" s="2">
        <f ca="1"/>
        <v>60.375846352193825</v>
      </c>
      <c r="AG5876" s="2">
        <f ca="1"/>
        <v>0.87701138810303125</v>
      </c>
      <c r="AH5876" s="2" t="str">
        <f ca="1"/>
        <v>Bad</v>
      </c>
    </row>
    <row r="5877" spans="2:34" x14ac:dyDescent="0.2">
      <c r="B5877" s="2">
        <f ca="1"/>
        <v>0.52765614060397747</v>
      </c>
      <c r="O5877" s="2">
        <f ca="1"/>
        <v>-1.0176088978753821</v>
      </c>
      <c r="X5877" s="2">
        <f ca="1"/>
        <v>61.206450292812505</v>
      </c>
      <c r="AG5877" s="2">
        <f ca="1"/>
        <v>0.63966828526400166</v>
      </c>
      <c r="AH5877" s="2" t="str">
        <f ca="1"/>
        <v>Bad</v>
      </c>
    </row>
    <row r="5878" spans="2:34" x14ac:dyDescent="0.2">
      <c r="B5878" s="2">
        <f ca="1"/>
        <v>0.9674731048760139</v>
      </c>
      <c r="O5878" s="2">
        <f ca="1"/>
        <v>0.53722185210930762</v>
      </c>
      <c r="X5878" s="2">
        <f ca="1"/>
        <v>56.411485949410284</v>
      </c>
      <c r="AG5878" s="2">
        <f ca="1"/>
        <v>0.16181292131512537</v>
      </c>
      <c r="AH5878" s="2" t="str">
        <f ca="1"/>
        <v>OK</v>
      </c>
    </row>
    <row r="5879" spans="2:34" x14ac:dyDescent="0.2">
      <c r="B5879" s="2">
        <f ca="1"/>
        <v>0.52741139862000996</v>
      </c>
      <c r="O5879" s="2">
        <f ca="1"/>
        <v>-0.86227609624787471</v>
      </c>
      <c r="X5879" s="2">
        <f ca="1"/>
        <v>111.10129902724995</v>
      </c>
      <c r="AG5879" s="2">
        <f ca="1"/>
        <v>0.62417118463259391</v>
      </c>
      <c r="AH5879" s="2" t="str">
        <f ca="1"/>
        <v>Bad</v>
      </c>
    </row>
    <row r="5880" spans="2:34" x14ac:dyDescent="0.2">
      <c r="B5880" s="2">
        <f ca="1"/>
        <v>0.92737534213511275</v>
      </c>
      <c r="O5880" s="2">
        <f ca="1"/>
        <v>0.15092235576359506</v>
      </c>
      <c r="X5880" s="2">
        <f ca="1"/>
        <v>49.638771938213246</v>
      </c>
      <c r="AG5880" s="2">
        <f ca="1"/>
        <v>0.4966510423463546</v>
      </c>
      <c r="AH5880" s="2" t="str">
        <f ca="1"/>
        <v>Bad</v>
      </c>
    </row>
    <row r="5881" spans="2:34" x14ac:dyDescent="0.2">
      <c r="B5881" s="2">
        <f ca="1"/>
        <v>9.3900231181353488E-2</v>
      </c>
      <c r="O5881" s="2">
        <f ca="1"/>
        <v>0.3560669498834646</v>
      </c>
      <c r="X5881" s="2">
        <f ca="1"/>
        <v>57.292151711308094</v>
      </c>
      <c r="AG5881" s="2">
        <f ca="1"/>
        <v>0.76930149044097407</v>
      </c>
      <c r="AH5881" s="2" t="str">
        <f ca="1"/>
        <v>Bad</v>
      </c>
    </row>
    <row r="5882" spans="2:34" x14ac:dyDescent="0.2">
      <c r="B5882" s="2">
        <f ca="1"/>
        <v>0.39994613410334345</v>
      </c>
      <c r="O5882" s="2">
        <f ca="1"/>
        <v>-0.34314142288079436</v>
      </c>
      <c r="X5882" s="2">
        <f ca="1"/>
        <v>37.276072336071387</v>
      </c>
      <c r="AG5882" s="2">
        <f ca="1"/>
        <v>0.85387905175502965</v>
      </c>
      <c r="AH5882" s="2" t="str">
        <f ca="1"/>
        <v>Bad</v>
      </c>
    </row>
    <row r="5883" spans="2:34" x14ac:dyDescent="0.2">
      <c r="B5883" s="2">
        <f ca="1"/>
        <v>0.71457274767834411</v>
      </c>
      <c r="O5883" s="2">
        <f ca="1"/>
        <v>-1.3596781517689407</v>
      </c>
      <c r="X5883" s="2">
        <f ca="1"/>
        <v>29.212165192742599</v>
      </c>
      <c r="AG5883" s="2">
        <f ca="1"/>
        <v>0.58839092140188876</v>
      </c>
      <c r="AH5883" s="2" t="str">
        <f ca="1"/>
        <v>Bad</v>
      </c>
    </row>
    <row r="5884" spans="2:34" x14ac:dyDescent="0.2">
      <c r="B5884" s="2">
        <f ca="1"/>
        <v>0.66470841241805045</v>
      </c>
      <c r="O5884" s="2">
        <f ca="1"/>
        <v>-0.37630601967112937</v>
      </c>
      <c r="X5884" s="2">
        <f ca="1"/>
        <v>62.806524615677972</v>
      </c>
      <c r="AG5884" s="2">
        <f ca="1"/>
        <v>0.31347827668477879</v>
      </c>
      <c r="AH5884" s="2" t="str">
        <f ca="1"/>
        <v>OK</v>
      </c>
    </row>
    <row r="5885" spans="2:34" x14ac:dyDescent="0.2">
      <c r="B5885" s="2">
        <f ca="1"/>
        <v>0.11569483928253588</v>
      </c>
      <c r="O5885" s="2">
        <f ca="1"/>
        <v>0.30602267944433814</v>
      </c>
      <c r="X5885" s="2">
        <f ca="1"/>
        <v>22.555106697689094</v>
      </c>
      <c r="AG5885" s="2">
        <f ca="1"/>
        <v>0.67318422953089474</v>
      </c>
      <c r="AH5885" s="2" t="str">
        <f ca="1"/>
        <v>Bad</v>
      </c>
    </row>
    <row r="5886" spans="2:34" x14ac:dyDescent="0.2">
      <c r="B5886" s="2">
        <f ca="1"/>
        <v>5.5337109607791479E-3</v>
      </c>
      <c r="O5886" s="2">
        <f ca="1"/>
        <v>-0.1262464077926421</v>
      </c>
      <c r="X5886" s="2">
        <f ca="1"/>
        <v>18.886586650223411</v>
      </c>
      <c r="AG5886" s="2">
        <f ca="1"/>
        <v>0.21872200460128677</v>
      </c>
      <c r="AH5886" s="2" t="str">
        <f ca="1"/>
        <v>OK</v>
      </c>
    </row>
    <row r="5887" spans="2:34" x14ac:dyDescent="0.2">
      <c r="B5887" s="2">
        <f ca="1"/>
        <v>0.72747644564091751</v>
      </c>
      <c r="O5887" s="2">
        <f ca="1"/>
        <v>0.2492314048167811</v>
      </c>
      <c r="X5887" s="2">
        <f ca="1"/>
        <v>80.822138247517131</v>
      </c>
      <c r="AG5887" s="2">
        <f ca="1"/>
        <v>2.2578918959694105E-2</v>
      </c>
      <c r="AH5887" s="2" t="str">
        <f ca="1"/>
        <v>Good</v>
      </c>
    </row>
    <row r="5888" spans="2:34" x14ac:dyDescent="0.2">
      <c r="B5888" s="2">
        <f ca="1"/>
        <v>0.86281041847191497</v>
      </c>
      <c r="O5888" s="2">
        <f ca="1"/>
        <v>8.9975648382457585E-2</v>
      </c>
      <c r="X5888" s="2">
        <f ca="1"/>
        <v>47.764605285500245</v>
      </c>
      <c r="AG5888" s="2">
        <f ca="1"/>
        <v>0.15623912470387213</v>
      </c>
      <c r="AH5888" s="2" t="str">
        <f ca="1"/>
        <v>OK</v>
      </c>
    </row>
    <row r="5889" spans="2:34" x14ac:dyDescent="0.2">
      <c r="B5889" s="2">
        <f ca="1"/>
        <v>0.86100137448519365</v>
      </c>
      <c r="O5889" s="2">
        <f ca="1"/>
        <v>-2.4142135824335307E-2</v>
      </c>
      <c r="X5889" s="2">
        <f ca="1"/>
        <v>40.549948352174958</v>
      </c>
      <c r="AG5889" s="2">
        <f ca="1"/>
        <v>0.96233612294158055</v>
      </c>
      <c r="AH5889" s="2" t="str">
        <f ca="1"/>
        <v>Bad</v>
      </c>
    </row>
    <row r="5890" spans="2:34" x14ac:dyDescent="0.2">
      <c r="B5890" s="2">
        <f ca="1"/>
        <v>0.3778823855975344</v>
      </c>
      <c r="O5890" s="2">
        <f ca="1"/>
        <v>0.90595945093896135</v>
      </c>
      <c r="X5890" s="2">
        <f ca="1"/>
        <v>54.925129165801295</v>
      </c>
      <c r="AG5890" s="2">
        <f ca="1"/>
        <v>0.89988641106830936</v>
      </c>
      <c r="AH5890" s="2" t="str">
        <f ca="1"/>
        <v>Bad</v>
      </c>
    </row>
    <row r="5891" spans="2:34" x14ac:dyDescent="0.2">
      <c r="B5891" s="2">
        <f ca="1"/>
        <v>0.80098326642399686</v>
      </c>
      <c r="O5891" s="2">
        <f ca="1"/>
        <v>-1.3782589369152576</v>
      </c>
      <c r="X5891" s="2">
        <f ca="1"/>
        <v>56.472403039310564</v>
      </c>
      <c r="AG5891" s="2">
        <f ca="1"/>
        <v>0.80459447530573236</v>
      </c>
      <c r="AH5891" s="2" t="str">
        <f ca="1"/>
        <v>Bad</v>
      </c>
    </row>
    <row r="5892" spans="2:34" x14ac:dyDescent="0.2">
      <c r="B5892" s="2">
        <f ca="1"/>
        <v>2.3804238529990807E-2</v>
      </c>
      <c r="O5892" s="2">
        <f ca="1"/>
        <v>-1.6368640924147233</v>
      </c>
      <c r="X5892" s="2">
        <f ca="1"/>
        <v>48.551705402706148</v>
      </c>
      <c r="AG5892" s="2">
        <f ca="1"/>
        <v>0.41589905038808328</v>
      </c>
      <c r="AH5892" s="2" t="str">
        <f ca="1"/>
        <v>Bad</v>
      </c>
    </row>
    <row r="5893" spans="2:34" x14ac:dyDescent="0.2">
      <c r="B5893" s="2">
        <f ca="1"/>
        <v>6.6431069024311284E-2</v>
      </c>
      <c r="O5893" s="2">
        <f ca="1"/>
        <v>-1.7752203803402278</v>
      </c>
      <c r="X5893" s="2">
        <f ca="1"/>
        <v>36.371571952327024</v>
      </c>
      <c r="AG5893" s="2">
        <f ca="1"/>
        <v>0.80543113745035355</v>
      </c>
      <c r="AH5893" s="2" t="str">
        <f ca="1"/>
        <v>Bad</v>
      </c>
    </row>
    <row r="5894" spans="2:34" x14ac:dyDescent="0.2">
      <c r="B5894" s="2">
        <f ca="1"/>
        <v>0.17839014113414575</v>
      </c>
      <c r="O5894" s="2">
        <f ca="1"/>
        <v>2.4111875120877892E-3</v>
      </c>
      <c r="X5894" s="2">
        <f ca="1"/>
        <v>53.279624228508247</v>
      </c>
      <c r="AG5894" s="2">
        <f ca="1"/>
        <v>0.47552502166672661</v>
      </c>
      <c r="AH5894" s="2" t="str">
        <f ca="1"/>
        <v>Bad</v>
      </c>
    </row>
    <row r="5895" spans="2:34" x14ac:dyDescent="0.2">
      <c r="B5895" s="2">
        <f ca="1"/>
        <v>0.96960304794325647</v>
      </c>
      <c r="O5895" s="2">
        <f ca="1"/>
        <v>0.86283458774839561</v>
      </c>
      <c r="X5895" s="2">
        <f ca="1"/>
        <v>35.784457624383151</v>
      </c>
      <c r="AG5895" s="2">
        <f ca="1"/>
        <v>0.14750095046095835</v>
      </c>
      <c r="AH5895" s="2" t="str">
        <f ca="1"/>
        <v>OK</v>
      </c>
    </row>
    <row r="5896" spans="2:34" x14ac:dyDescent="0.2">
      <c r="B5896" s="2">
        <f ca="1"/>
        <v>0.4801626478542218</v>
      </c>
      <c r="O5896" s="2">
        <f ca="1"/>
        <v>0.34540132207076263</v>
      </c>
      <c r="X5896" s="2">
        <f ca="1"/>
        <v>71.607706949690211</v>
      </c>
      <c r="AG5896" s="2">
        <f ca="1"/>
        <v>0.16512012472566684</v>
      </c>
      <c r="AH5896" s="2" t="str">
        <f ca="1"/>
        <v>OK</v>
      </c>
    </row>
    <row r="5897" spans="2:34" x14ac:dyDescent="0.2">
      <c r="B5897" s="2">
        <f ca="1"/>
        <v>0.90128259717520121</v>
      </c>
      <c r="O5897" s="2">
        <f ca="1"/>
        <v>-5.4120765490786621E-2</v>
      </c>
      <c r="X5897" s="2">
        <f ca="1"/>
        <v>49.600728697272665</v>
      </c>
      <c r="AG5897" s="2">
        <f ca="1"/>
        <v>0.74478864982734638</v>
      </c>
      <c r="AH5897" s="2" t="str">
        <f ca="1"/>
        <v>Bad</v>
      </c>
    </row>
    <row r="5898" spans="2:34" x14ac:dyDescent="0.2">
      <c r="B5898" s="2">
        <f ca="1"/>
        <v>0.38823460591621428</v>
      </c>
      <c r="O5898" s="2">
        <f ca="1"/>
        <v>-0.55677414905808154</v>
      </c>
      <c r="X5898" s="2">
        <f ca="1"/>
        <v>55.290530042403304</v>
      </c>
      <c r="AG5898" s="2">
        <f ca="1"/>
        <v>0.81605847519407004</v>
      </c>
      <c r="AH5898" s="2" t="str">
        <f ca="1"/>
        <v>Bad</v>
      </c>
    </row>
    <row r="5899" spans="2:34" x14ac:dyDescent="0.2">
      <c r="B5899" s="2">
        <f ca="1"/>
        <v>0.92811082209370044</v>
      </c>
      <c r="O5899" s="2">
        <f ca="1"/>
        <v>-0.48716433660722208</v>
      </c>
      <c r="X5899" s="2">
        <f ca="1"/>
        <v>79.824469007586529</v>
      </c>
      <c r="AG5899" s="2">
        <f ca="1"/>
        <v>0.24980617181175035</v>
      </c>
      <c r="AH5899" s="2" t="str">
        <f ca="1"/>
        <v>OK</v>
      </c>
    </row>
    <row r="5900" spans="2:34" x14ac:dyDescent="0.2">
      <c r="B5900" s="2">
        <f ca="1"/>
        <v>0.72178487037773698</v>
      </c>
      <c r="O5900" s="2">
        <f ca="1"/>
        <v>-0.76011820386527684</v>
      </c>
      <c r="X5900" s="2">
        <f ca="1"/>
        <v>46.857293775275785</v>
      </c>
      <c r="AG5900" s="2">
        <f ca="1"/>
        <v>0.47841504359259934</v>
      </c>
      <c r="AH5900" s="2" t="str">
        <f ca="1"/>
        <v>Bad</v>
      </c>
    </row>
    <row r="5901" spans="2:34" x14ac:dyDescent="0.2">
      <c r="B5901" s="2">
        <f ca="1"/>
        <v>0.44457273693511445</v>
      </c>
      <c r="O5901" s="2">
        <f ca="1"/>
        <v>0.34605413672133623</v>
      </c>
      <c r="X5901" s="2">
        <f ca="1"/>
        <v>34.906917616945933</v>
      </c>
      <c r="AG5901" s="2">
        <f ca="1"/>
        <v>4.6415331537364324E-2</v>
      </c>
      <c r="AH5901" s="2" t="str">
        <f ca="1"/>
        <v>Good</v>
      </c>
    </row>
    <row r="5902" spans="2:34" x14ac:dyDescent="0.2">
      <c r="B5902" s="2">
        <f ca="1"/>
        <v>0.49336036966682051</v>
      </c>
      <c r="O5902" s="2">
        <f ca="1"/>
        <v>-0.87143682851754811</v>
      </c>
      <c r="X5902" s="2">
        <f ca="1"/>
        <v>55.164286174396651</v>
      </c>
      <c r="AG5902" s="2">
        <f ca="1"/>
        <v>0.61480609479946735</v>
      </c>
      <c r="AH5902" s="2" t="str">
        <f ca="1"/>
        <v>Bad</v>
      </c>
    </row>
    <row r="5903" spans="2:34" x14ac:dyDescent="0.2">
      <c r="B5903" s="2">
        <f ca="1"/>
        <v>4.0738435913293403E-2</v>
      </c>
      <c r="O5903" s="2">
        <f ca="1"/>
        <v>-0.44999142818505028</v>
      </c>
      <c r="X5903" s="2">
        <f ca="1"/>
        <v>21.658503901238916</v>
      </c>
      <c r="AG5903" s="2">
        <f ca="1"/>
        <v>0.94045913161364858</v>
      </c>
      <c r="AH5903" s="2" t="str">
        <f ca="1"/>
        <v>Bad</v>
      </c>
    </row>
    <row r="5904" spans="2:34" x14ac:dyDescent="0.2">
      <c r="B5904" s="2">
        <f ca="1"/>
        <v>0.54070122353982941</v>
      </c>
      <c r="O5904" s="2">
        <f ca="1"/>
        <v>-1.038660639697282</v>
      </c>
      <c r="X5904" s="2">
        <f ca="1"/>
        <v>92.931836348029492</v>
      </c>
      <c r="AG5904" s="2">
        <f ca="1"/>
        <v>0.34018055969021121</v>
      </c>
      <c r="AH5904" s="2" t="str">
        <f ca="1"/>
        <v>OK</v>
      </c>
    </row>
    <row r="5905" spans="2:34" x14ac:dyDescent="0.2">
      <c r="B5905" s="2">
        <f ca="1"/>
        <v>0.83321561439678926</v>
      </c>
      <c r="O5905" s="2">
        <f ca="1"/>
        <v>-0.4126614851605061</v>
      </c>
      <c r="X5905" s="2">
        <f ca="1"/>
        <v>59.140952986331932</v>
      </c>
      <c r="AG5905" s="2">
        <f ca="1"/>
        <v>0.86138485775114337</v>
      </c>
      <c r="AH5905" s="2" t="str">
        <f ca="1"/>
        <v>Bad</v>
      </c>
    </row>
    <row r="5906" spans="2:34" x14ac:dyDescent="0.2">
      <c r="B5906" s="2">
        <f ca="1"/>
        <v>0.64271481534786878</v>
      </c>
      <c r="O5906" s="2">
        <f ca="1"/>
        <v>-0.87001660778893863</v>
      </c>
      <c r="X5906" s="2">
        <f ca="1"/>
        <v>62.385878179008706</v>
      </c>
      <c r="AG5906" s="2">
        <f ca="1"/>
        <v>0.63275358473780119</v>
      </c>
      <c r="AH5906" s="2" t="str">
        <f ca="1"/>
        <v>Bad</v>
      </c>
    </row>
    <row r="5907" spans="2:34" x14ac:dyDescent="0.2">
      <c r="B5907" s="2">
        <f ca="1"/>
        <v>0.91488209418842037</v>
      </c>
      <c r="O5907" s="2">
        <f ca="1"/>
        <v>-1.1654236987605546</v>
      </c>
      <c r="X5907" s="2">
        <f ca="1"/>
        <v>37.036165277902235</v>
      </c>
      <c r="AG5907" s="2">
        <f ca="1"/>
        <v>0.86896028543027737</v>
      </c>
      <c r="AH5907" s="2" t="str">
        <f ca="1"/>
        <v>Bad</v>
      </c>
    </row>
    <row r="5908" spans="2:34" x14ac:dyDescent="0.2">
      <c r="B5908" s="2">
        <f ca="1"/>
        <v>0.31180772876471408</v>
      </c>
      <c r="O5908" s="2">
        <f ca="1"/>
        <v>-0.17523559847134321</v>
      </c>
      <c r="X5908" s="2">
        <f ca="1"/>
        <v>96.525764433451982</v>
      </c>
      <c r="AG5908" s="2">
        <f ca="1"/>
        <v>0.75255461840588134</v>
      </c>
      <c r="AH5908" s="2" t="str">
        <f ca="1"/>
        <v>Bad</v>
      </c>
    </row>
    <row r="5909" spans="2:34" x14ac:dyDescent="0.2">
      <c r="B5909" s="2">
        <f ca="1"/>
        <v>0.41999626562531822</v>
      </c>
      <c r="O5909" s="2">
        <f ca="1"/>
        <v>-1.3500597008591069</v>
      </c>
      <c r="X5909" s="2">
        <f ca="1"/>
        <v>43.825045941426822</v>
      </c>
      <c r="AG5909" s="2">
        <f ca="1"/>
        <v>0.54787945694375484</v>
      </c>
      <c r="AH5909" s="2" t="str">
        <f ca="1"/>
        <v>Bad</v>
      </c>
    </row>
    <row r="5910" spans="2:34" x14ac:dyDescent="0.2">
      <c r="B5910" s="2">
        <f ca="1"/>
        <v>0.11910087423480986</v>
      </c>
      <c r="O5910" s="2">
        <f ca="1"/>
        <v>6.1120309524996662E-2</v>
      </c>
      <c r="X5910" s="2">
        <f ca="1"/>
        <v>25.59143595869066</v>
      </c>
      <c r="AG5910" s="2">
        <f ca="1"/>
        <v>0.36513367376665729</v>
      </c>
      <c r="AH5910" s="2" t="str">
        <f ca="1"/>
        <v>OK</v>
      </c>
    </row>
    <row r="5911" spans="2:34" x14ac:dyDescent="0.2">
      <c r="B5911" s="2">
        <f ca="1"/>
        <v>0.92777246443494943</v>
      </c>
      <c r="O5911" s="2">
        <f ca="1"/>
        <v>-1.3331995547805773</v>
      </c>
      <c r="X5911" s="2">
        <f ca="1"/>
        <v>62.54087819541445</v>
      </c>
      <c r="AG5911" s="2">
        <f ca="1"/>
        <v>0.45761634316693534</v>
      </c>
      <c r="AH5911" s="2" t="str">
        <f ca="1"/>
        <v>Bad</v>
      </c>
    </row>
    <row r="5912" spans="2:34" x14ac:dyDescent="0.2">
      <c r="B5912" s="2">
        <f ca="1"/>
        <v>0.41026442449754019</v>
      </c>
      <c r="O5912" s="2">
        <f ca="1"/>
        <v>-0.24444880521828821</v>
      </c>
      <c r="X5912" s="2">
        <f ca="1"/>
        <v>49.537104109801867</v>
      </c>
      <c r="AG5912" s="2">
        <f ca="1"/>
        <v>0.6453748039855145</v>
      </c>
      <c r="AH5912" s="2" t="str">
        <f ca="1"/>
        <v>Bad</v>
      </c>
    </row>
    <row r="5913" spans="2:34" x14ac:dyDescent="0.2">
      <c r="B5913" s="2">
        <f ca="1"/>
        <v>0.73950950523293324</v>
      </c>
      <c r="O5913" s="2">
        <f ca="1"/>
        <v>0.84555907156559329</v>
      </c>
      <c r="X5913" s="2">
        <f ca="1"/>
        <v>47.246888269497433</v>
      </c>
      <c r="AG5913" s="2">
        <f ca="1"/>
        <v>0.32834905718895002</v>
      </c>
      <c r="AH5913" s="2" t="str">
        <f ca="1"/>
        <v>OK</v>
      </c>
    </row>
    <row r="5914" spans="2:34" x14ac:dyDescent="0.2">
      <c r="B5914" s="2">
        <f ca="1"/>
        <v>0.79909315745372278</v>
      </c>
      <c r="O5914" s="2">
        <f ca="1"/>
        <v>1.5397459508051856</v>
      </c>
      <c r="X5914" s="2">
        <f ca="1"/>
        <v>31.587113602439238</v>
      </c>
      <c r="AG5914" s="2">
        <f ca="1"/>
        <v>0.25227820033593495</v>
      </c>
      <c r="AH5914" s="2" t="str">
        <f ca="1"/>
        <v>OK</v>
      </c>
    </row>
    <row r="5915" spans="2:34" x14ac:dyDescent="0.2">
      <c r="B5915" s="2">
        <f ca="1"/>
        <v>0.48824730622195589</v>
      </c>
      <c r="O5915" s="2">
        <f ca="1"/>
        <v>-2.2976995265977909</v>
      </c>
      <c r="X5915" s="2">
        <f ca="1"/>
        <v>35.506534026458624</v>
      </c>
      <c r="AG5915" s="2">
        <f ca="1"/>
        <v>0.30009619268705312</v>
      </c>
      <c r="AH5915" s="2" t="str">
        <f ca="1"/>
        <v>OK</v>
      </c>
    </row>
    <row r="5916" spans="2:34" x14ac:dyDescent="0.2">
      <c r="B5916" s="2">
        <f ca="1"/>
        <v>0.91713122372284217</v>
      </c>
      <c r="O5916" s="2">
        <f ca="1"/>
        <v>0.47003025114902236</v>
      </c>
      <c r="X5916" s="2">
        <f ca="1"/>
        <v>68.227102436736388</v>
      </c>
      <c r="AG5916" s="2">
        <f ca="1"/>
        <v>0.15866099433474368</v>
      </c>
      <c r="AH5916" s="2" t="str">
        <f ca="1"/>
        <v>OK</v>
      </c>
    </row>
    <row r="5917" spans="2:34" x14ac:dyDescent="0.2">
      <c r="B5917" s="2">
        <f ca="1"/>
        <v>0.97782451407992976</v>
      </c>
      <c r="O5917" s="2">
        <f ca="1"/>
        <v>0.67057409014064695</v>
      </c>
      <c r="X5917" s="2">
        <f ca="1"/>
        <v>38.022974241105921</v>
      </c>
      <c r="AG5917" s="2">
        <f ca="1"/>
        <v>0.13971231503775705</v>
      </c>
      <c r="AH5917" s="2" t="str">
        <f ca="1"/>
        <v>OK</v>
      </c>
    </row>
    <row r="5918" spans="2:34" x14ac:dyDescent="0.2">
      <c r="B5918" s="2">
        <f ca="1"/>
        <v>5.7994141046132652E-2</v>
      </c>
      <c r="O5918" s="2">
        <f ca="1"/>
        <v>3.7588447070572059E-2</v>
      </c>
      <c r="X5918" s="2">
        <f ca="1"/>
        <v>21.652184100068208</v>
      </c>
      <c r="AG5918" s="2">
        <f ca="1"/>
        <v>0.99004076801842689</v>
      </c>
      <c r="AH5918" s="2" t="str">
        <f ca="1"/>
        <v>Bad</v>
      </c>
    </row>
    <row r="5919" spans="2:34" x14ac:dyDescent="0.2">
      <c r="B5919" s="2">
        <f ca="1"/>
        <v>0.55758089805995659</v>
      </c>
      <c r="O5919" s="2">
        <f ca="1"/>
        <v>0.64183483920936146</v>
      </c>
      <c r="X5919" s="2">
        <f ca="1"/>
        <v>45.192731520275416</v>
      </c>
      <c r="AG5919" s="2">
        <f ca="1"/>
        <v>0.41549084560425431</v>
      </c>
      <c r="AH5919" s="2" t="str">
        <f ca="1"/>
        <v>Bad</v>
      </c>
    </row>
    <row r="5920" spans="2:34" x14ac:dyDescent="0.2">
      <c r="B5920" s="2">
        <f ca="1"/>
        <v>0.39524062281848016</v>
      </c>
      <c r="O5920" s="2">
        <f ca="1"/>
        <v>1.2300401517537893</v>
      </c>
      <c r="X5920" s="2">
        <f ca="1"/>
        <v>77.739668901177026</v>
      </c>
      <c r="AG5920" s="2">
        <f ca="1"/>
        <v>0.6032810902561061</v>
      </c>
      <c r="AH5920" s="2" t="str">
        <f ca="1"/>
        <v>Bad</v>
      </c>
    </row>
    <row r="5921" spans="2:34" x14ac:dyDescent="0.2">
      <c r="B5921" s="2">
        <f ca="1"/>
        <v>0.70984323046740072</v>
      </c>
      <c r="O5921" s="2">
        <f ca="1"/>
        <v>-0.81818365166570872</v>
      </c>
      <c r="X5921" s="2">
        <f ca="1"/>
        <v>70.255393487846803</v>
      </c>
      <c r="AG5921" s="2">
        <f ca="1"/>
        <v>0.34584728088699412</v>
      </c>
      <c r="AH5921" s="2" t="str">
        <f ca="1"/>
        <v>OK</v>
      </c>
    </row>
    <row r="5922" spans="2:34" x14ac:dyDescent="0.2">
      <c r="B5922" s="2">
        <f ca="1"/>
        <v>0.1373590526077253</v>
      </c>
      <c r="O5922" s="2">
        <f ca="1"/>
        <v>-0.85701117284751438</v>
      </c>
      <c r="X5922" s="2">
        <f ca="1"/>
        <v>46.437819697348502</v>
      </c>
      <c r="AG5922" s="2">
        <f ca="1"/>
        <v>0.72780967495901128</v>
      </c>
      <c r="AH5922" s="2" t="str">
        <f ca="1"/>
        <v>Bad</v>
      </c>
    </row>
    <row r="5923" spans="2:34" x14ac:dyDescent="0.2">
      <c r="B5923" s="2">
        <f ca="1"/>
        <v>0.15713975327273122</v>
      </c>
      <c r="O5923" s="2">
        <f ca="1"/>
        <v>1.7631643564201054</v>
      </c>
      <c r="X5923" s="2">
        <f ca="1"/>
        <v>79.07784817564449</v>
      </c>
      <c r="AG5923" s="2">
        <f ca="1"/>
        <v>0.33972025635161551</v>
      </c>
      <c r="AH5923" s="2" t="str">
        <f ca="1"/>
        <v>OK</v>
      </c>
    </row>
    <row r="5924" spans="2:34" x14ac:dyDescent="0.2">
      <c r="B5924" s="2">
        <f ca="1"/>
        <v>0.11243117201515052</v>
      </c>
      <c r="O5924" s="2">
        <f ca="1"/>
        <v>0.48042982547668744</v>
      </c>
      <c r="X5924" s="2">
        <f ca="1"/>
        <v>52.208248404251947</v>
      </c>
      <c r="AG5924" s="2">
        <f ca="1"/>
        <v>0.6423934399980642</v>
      </c>
      <c r="AH5924" s="2" t="str">
        <f ca="1"/>
        <v>Bad</v>
      </c>
    </row>
    <row r="5925" spans="2:34" x14ac:dyDescent="0.2">
      <c r="B5925" s="2">
        <f ca="1"/>
        <v>0.53732257112906745</v>
      </c>
      <c r="O5925" s="2">
        <f ca="1"/>
        <v>-0.28389227577137754</v>
      </c>
      <c r="X5925" s="2">
        <f ca="1"/>
        <v>37.059515970185046</v>
      </c>
      <c r="AG5925" s="2">
        <f ca="1"/>
        <v>0.42400533532221663</v>
      </c>
      <c r="AH5925" s="2" t="str">
        <f ca="1"/>
        <v>Bad</v>
      </c>
    </row>
    <row r="5926" spans="2:34" x14ac:dyDescent="0.2">
      <c r="B5926" s="2">
        <f ca="1"/>
        <v>0.11859191429324456</v>
      </c>
      <c r="O5926" s="2">
        <f ca="1"/>
        <v>-0.52070925398971579</v>
      </c>
      <c r="X5926" s="2">
        <f ca="1"/>
        <v>58.806743453901674</v>
      </c>
      <c r="AG5926" s="2">
        <f ca="1"/>
        <v>0.68296101904850626</v>
      </c>
      <c r="AH5926" s="2" t="str">
        <f ca="1"/>
        <v>Bad</v>
      </c>
    </row>
    <row r="5927" spans="2:34" x14ac:dyDescent="0.2">
      <c r="B5927" s="2">
        <f ca="1"/>
        <v>0.4236227422990404</v>
      </c>
      <c r="O5927" s="2">
        <f ca="1"/>
        <v>0.75406606373169915</v>
      </c>
      <c r="X5927" s="2">
        <f ca="1"/>
        <v>30.208496956401799</v>
      </c>
      <c r="AG5927" s="2">
        <f ca="1"/>
        <v>0.75056714235590438</v>
      </c>
      <c r="AH5927" s="2" t="str">
        <f ca="1"/>
        <v>Bad</v>
      </c>
    </row>
    <row r="5928" spans="2:34" x14ac:dyDescent="0.2">
      <c r="B5928" s="2">
        <f ca="1"/>
        <v>0.98963477306481673</v>
      </c>
      <c r="O5928" s="2">
        <f ca="1"/>
        <v>-0.44797125095390128</v>
      </c>
      <c r="X5928" s="2">
        <f ca="1"/>
        <v>48.135592235123767</v>
      </c>
      <c r="AG5928" s="2">
        <f ca="1"/>
        <v>0.23879463992902727</v>
      </c>
      <c r="AH5928" s="2" t="str">
        <f ca="1"/>
        <v>OK</v>
      </c>
    </row>
    <row r="5929" spans="2:34" x14ac:dyDescent="0.2">
      <c r="B5929" s="2">
        <f ca="1"/>
        <v>2.9418460676581049E-2</v>
      </c>
      <c r="O5929" s="2">
        <f ca="1"/>
        <v>-1.0860652803405486</v>
      </c>
      <c r="X5929" s="2">
        <f ca="1"/>
        <v>56.539115087397676</v>
      </c>
      <c r="AG5929" s="2">
        <f ca="1"/>
        <v>0.65312102064930655</v>
      </c>
      <c r="AH5929" s="2" t="str">
        <f ca="1"/>
        <v>Bad</v>
      </c>
    </row>
    <row r="5930" spans="2:34" x14ac:dyDescent="0.2">
      <c r="B5930" s="2">
        <f ca="1"/>
        <v>0.93050592506300944</v>
      </c>
      <c r="O5930" s="2">
        <f ca="1"/>
        <v>1.0984289060326662</v>
      </c>
      <c r="X5930" s="2">
        <f ca="1"/>
        <v>77.568963561408182</v>
      </c>
      <c r="AG5930" s="2">
        <f ca="1"/>
        <v>0.62538626896789196</v>
      </c>
      <c r="AH5930" s="2" t="str">
        <f ca="1"/>
        <v>Bad</v>
      </c>
    </row>
    <row r="5931" spans="2:34" x14ac:dyDescent="0.2">
      <c r="B5931" s="2">
        <f ca="1"/>
        <v>0.73663036548183269</v>
      </c>
      <c r="O5931" s="2">
        <f ca="1"/>
        <v>-0.75928360424343089</v>
      </c>
      <c r="X5931" s="2">
        <f ca="1"/>
        <v>40.448338545572462</v>
      </c>
      <c r="AG5931" s="2">
        <f ca="1"/>
        <v>0.26523906125928298</v>
      </c>
      <c r="AH5931" s="2" t="str">
        <f ca="1"/>
        <v>OK</v>
      </c>
    </row>
    <row r="5932" spans="2:34" x14ac:dyDescent="0.2">
      <c r="B5932" s="2">
        <f ca="1"/>
        <v>7.4064174487200152E-2</v>
      </c>
      <c r="O5932" s="2">
        <f ca="1"/>
        <v>-0.85629342215394999</v>
      </c>
      <c r="X5932" s="2">
        <f ca="1"/>
        <v>60.603472115669447</v>
      </c>
      <c r="AG5932" s="2">
        <f ca="1"/>
        <v>0.2895442752826729</v>
      </c>
      <c r="AH5932" s="2" t="str">
        <f ca="1"/>
        <v>OK</v>
      </c>
    </row>
    <row r="5933" spans="2:34" x14ac:dyDescent="0.2">
      <c r="B5933" s="2">
        <f ca="1"/>
        <v>0.55640291666542652</v>
      </c>
      <c r="O5933" s="2">
        <f ca="1"/>
        <v>-1.5608317626112582</v>
      </c>
      <c r="X5933" s="2">
        <f ca="1"/>
        <v>71.728769460366721</v>
      </c>
      <c r="AG5933" s="2">
        <f ca="1"/>
        <v>0.31036290631951791</v>
      </c>
      <c r="AH5933" s="2" t="str">
        <f ca="1"/>
        <v>OK</v>
      </c>
    </row>
    <row r="5934" spans="2:34" x14ac:dyDescent="0.2">
      <c r="B5934" s="2">
        <f ca="1"/>
        <v>0.80493708603978353</v>
      </c>
      <c r="O5934" s="2">
        <f ca="1"/>
        <v>0.50785701791530269</v>
      </c>
      <c r="X5934" s="2">
        <f ca="1"/>
        <v>38.709221373703322</v>
      </c>
      <c r="AG5934" s="2">
        <f ca="1"/>
        <v>0.7528652595443146</v>
      </c>
      <c r="AH5934" s="2" t="str">
        <f ca="1"/>
        <v>Bad</v>
      </c>
    </row>
    <row r="5935" spans="2:34" x14ac:dyDescent="0.2">
      <c r="B5935" s="2">
        <f ca="1"/>
        <v>0.9432288574984613</v>
      </c>
      <c r="O5935" s="2">
        <f ca="1"/>
        <v>0.68438858554502757</v>
      </c>
      <c r="X5935" s="2">
        <f ca="1"/>
        <v>67.733052478073546</v>
      </c>
      <c r="AG5935" s="2">
        <f ca="1"/>
        <v>0.353023038786066</v>
      </c>
      <c r="AH5935" s="2" t="str">
        <f ca="1"/>
        <v>OK</v>
      </c>
    </row>
    <row r="5936" spans="2:34" x14ac:dyDescent="0.2">
      <c r="B5936" s="2">
        <f ca="1"/>
        <v>0.3226022700319735</v>
      </c>
      <c r="O5936" s="2">
        <f ca="1"/>
        <v>-0.39354631932702733</v>
      </c>
      <c r="X5936" s="2">
        <f ca="1"/>
        <v>38.46049562428815</v>
      </c>
      <c r="AG5936" s="2">
        <f ca="1"/>
        <v>0.68388074100519747</v>
      </c>
      <c r="AH5936" s="2" t="str">
        <f ca="1"/>
        <v>Bad</v>
      </c>
    </row>
    <row r="5937" spans="2:34" x14ac:dyDescent="0.2">
      <c r="B5937" s="2">
        <f ca="1"/>
        <v>4.5864769611796863E-2</v>
      </c>
      <c r="O5937" s="2">
        <f ca="1"/>
        <v>-1.3149475938087112</v>
      </c>
      <c r="X5937" s="2">
        <f ca="1"/>
        <v>61.330725985264152</v>
      </c>
      <c r="AG5937" s="2">
        <f ca="1"/>
        <v>0.13782763045654423</v>
      </c>
      <c r="AH5937" s="2" t="str">
        <f ca="1"/>
        <v>OK</v>
      </c>
    </row>
    <row r="5938" spans="2:34" x14ac:dyDescent="0.2">
      <c r="B5938" s="2">
        <f ca="1"/>
        <v>0.71917750239370259</v>
      </c>
      <c r="O5938" s="2">
        <f ca="1"/>
        <v>-0.52411594639655079</v>
      </c>
      <c r="X5938" s="2">
        <f ca="1"/>
        <v>18.864321163402117</v>
      </c>
      <c r="AG5938" s="2">
        <f ca="1"/>
        <v>4.2687979912535035E-2</v>
      </c>
      <c r="AH5938" s="2" t="str">
        <f ca="1"/>
        <v>Good</v>
      </c>
    </row>
    <row r="5939" spans="2:34" x14ac:dyDescent="0.2">
      <c r="B5939" s="2">
        <f ca="1"/>
        <v>0.21265176491388416</v>
      </c>
      <c r="O5939" s="2">
        <f ca="1"/>
        <v>9.2916152081710973E-2</v>
      </c>
      <c r="X5939" s="2">
        <f ca="1"/>
        <v>61.640471164757841</v>
      </c>
      <c r="AG5939" s="2">
        <f ca="1"/>
        <v>0.16849433131518676</v>
      </c>
      <c r="AH5939" s="2" t="str">
        <f ca="1"/>
        <v>OK</v>
      </c>
    </row>
    <row r="5940" spans="2:34" x14ac:dyDescent="0.2">
      <c r="B5940" s="2">
        <f ca="1"/>
        <v>0.68912519837516073</v>
      </c>
      <c r="O5940" s="2">
        <f ca="1"/>
        <v>1.9022741877072744</v>
      </c>
      <c r="X5940" s="2">
        <f ca="1"/>
        <v>60.923055933455103</v>
      </c>
      <c r="AG5940" s="2">
        <f ca="1"/>
        <v>0.59221586396670833</v>
      </c>
      <c r="AH5940" s="2" t="str">
        <f ca="1"/>
        <v>Bad</v>
      </c>
    </row>
    <row r="5941" spans="2:34" x14ac:dyDescent="0.2">
      <c r="B5941" s="2">
        <f ca="1"/>
        <v>0.73909033503169175</v>
      </c>
      <c r="O5941" s="2">
        <f ca="1"/>
        <v>0.39495426734126748</v>
      </c>
      <c r="X5941" s="2">
        <f ca="1"/>
        <v>59.371772320898586</v>
      </c>
      <c r="AG5941" s="2">
        <f ca="1"/>
        <v>0.70251457641269899</v>
      </c>
      <c r="AH5941" s="2" t="str">
        <f ca="1"/>
        <v>Bad</v>
      </c>
    </row>
    <row r="5942" spans="2:34" x14ac:dyDescent="0.2">
      <c r="B5942" s="2">
        <f ca="1"/>
        <v>0.59344047983617521</v>
      </c>
      <c r="O5942" s="2">
        <f ca="1"/>
        <v>-2.0109571183452188</v>
      </c>
      <c r="X5942" s="2">
        <f ca="1"/>
        <v>17.829513807201788</v>
      </c>
      <c r="AG5942" s="2">
        <f ca="1"/>
        <v>0.57082606291274196</v>
      </c>
      <c r="AH5942" s="2" t="str">
        <f ca="1"/>
        <v>Bad</v>
      </c>
    </row>
    <row r="5943" spans="2:34" x14ac:dyDescent="0.2">
      <c r="B5943" s="2">
        <f ca="1"/>
        <v>0.36188444100223083</v>
      </c>
      <c r="O5943" s="2">
        <f ca="1"/>
        <v>0.22748172108141371</v>
      </c>
      <c r="X5943" s="2">
        <f ca="1"/>
        <v>40.173947322342997</v>
      </c>
      <c r="AG5943" s="2">
        <f ca="1"/>
        <v>0.48101198784516064</v>
      </c>
      <c r="AH5943" s="2" t="str">
        <f ca="1"/>
        <v>Bad</v>
      </c>
    </row>
    <row r="5944" spans="2:34" x14ac:dyDescent="0.2">
      <c r="B5944" s="2">
        <f ca="1"/>
        <v>0.80375857515620575</v>
      </c>
      <c r="O5944" s="2">
        <f ca="1"/>
        <v>0.92109903385957326</v>
      </c>
      <c r="X5944" s="2">
        <f ca="1"/>
        <v>36.91200622412449</v>
      </c>
      <c r="AG5944" s="2">
        <f ca="1"/>
        <v>0.10004247112562359</v>
      </c>
      <c r="AH5944" s="2" t="str">
        <f ca="1"/>
        <v>OK</v>
      </c>
    </row>
    <row r="5945" spans="2:34" x14ac:dyDescent="0.2">
      <c r="B5945" s="2">
        <f ca="1"/>
        <v>0.68730807705127894</v>
      </c>
      <c r="O5945" s="2">
        <f ca="1"/>
        <v>-1.3185476536702281</v>
      </c>
      <c r="X5945" s="2">
        <f ca="1"/>
        <v>58.843110623903016</v>
      </c>
      <c r="AG5945" s="2">
        <f ca="1"/>
        <v>0.19320253069156679</v>
      </c>
      <c r="AH5945" s="2" t="str">
        <f ca="1"/>
        <v>OK</v>
      </c>
    </row>
    <row r="5946" spans="2:34" x14ac:dyDescent="0.2">
      <c r="B5946" s="2">
        <f ca="1"/>
        <v>0.42105304362546492</v>
      </c>
      <c r="O5946" s="2">
        <f ca="1"/>
        <v>0.27833153380950426</v>
      </c>
      <c r="X5946" s="2">
        <f ca="1"/>
        <v>75.550027746904732</v>
      </c>
      <c r="AG5946" s="2">
        <f ca="1"/>
        <v>0.84360337785532558</v>
      </c>
      <c r="AH5946" s="2" t="str">
        <f ca="1"/>
        <v>Bad</v>
      </c>
    </row>
    <row r="5947" spans="2:34" x14ac:dyDescent="0.2">
      <c r="B5947" s="2">
        <f ca="1"/>
        <v>0.48266732760764097</v>
      </c>
      <c r="O5947" s="2">
        <f ca="1"/>
        <v>1.508102903487363</v>
      </c>
      <c r="X5947" s="2">
        <f ca="1"/>
        <v>55.381290053519848</v>
      </c>
      <c r="AG5947" s="2">
        <f ca="1"/>
        <v>0.65162937492855599</v>
      </c>
      <c r="AH5947" s="2" t="str">
        <f ca="1"/>
        <v>Bad</v>
      </c>
    </row>
    <row r="5948" spans="2:34" x14ac:dyDescent="0.2">
      <c r="B5948" s="2">
        <f ca="1"/>
        <v>0.86825417509941505</v>
      </c>
      <c r="O5948" s="2">
        <f ca="1"/>
        <v>0.8682637812290519</v>
      </c>
      <c r="X5948" s="2">
        <f ca="1"/>
        <v>43.034501245981566</v>
      </c>
      <c r="AG5948" s="2">
        <f ca="1"/>
        <v>0.47170179672248325</v>
      </c>
      <c r="AH5948" s="2" t="str">
        <f ca="1"/>
        <v>Bad</v>
      </c>
    </row>
    <row r="5949" spans="2:34" x14ac:dyDescent="0.2">
      <c r="B5949" s="2">
        <f ca="1"/>
        <v>0.85862388934602119</v>
      </c>
      <c r="O5949" s="2">
        <f ca="1"/>
        <v>-0.82526934760530557</v>
      </c>
      <c r="X5949" s="2">
        <f ca="1"/>
        <v>33.851534460121279</v>
      </c>
      <c r="AG5949" s="2">
        <f ca="1"/>
        <v>5.7897814412883442E-2</v>
      </c>
      <c r="AH5949" s="2" t="str">
        <f ca="1"/>
        <v>OK</v>
      </c>
    </row>
    <row r="5950" spans="2:34" x14ac:dyDescent="0.2">
      <c r="B5950" s="2">
        <f ca="1"/>
        <v>0.24505652382627918</v>
      </c>
      <c r="O5950" s="2">
        <f ca="1"/>
        <v>0.66232273380622031</v>
      </c>
      <c r="X5950" s="2">
        <f ca="1"/>
        <v>58.758435674222909</v>
      </c>
      <c r="AG5950" s="2">
        <f ca="1"/>
        <v>0.74943758820405715</v>
      </c>
      <c r="AH5950" s="2" t="str">
        <f ca="1"/>
        <v>Bad</v>
      </c>
    </row>
    <row r="5951" spans="2:34" x14ac:dyDescent="0.2">
      <c r="B5951" s="2">
        <f ca="1"/>
        <v>0.17279848429633748</v>
      </c>
      <c r="O5951" s="2">
        <f ca="1"/>
        <v>-1.5262828660793195</v>
      </c>
      <c r="X5951" s="2">
        <f ca="1"/>
        <v>73.690197357221805</v>
      </c>
      <c r="AG5951" s="2">
        <f ca="1"/>
        <v>0.37455130729349917</v>
      </c>
      <c r="AH5951" s="2" t="str">
        <f ca="1"/>
        <v>OK</v>
      </c>
    </row>
    <row r="5952" spans="2:34" x14ac:dyDescent="0.2">
      <c r="B5952" s="2">
        <f ca="1"/>
        <v>0.91183279380533055</v>
      </c>
      <c r="O5952" s="2">
        <f ca="1"/>
        <v>-1.327878840580589</v>
      </c>
      <c r="X5952" s="2">
        <f ca="1"/>
        <v>44.610077940647543</v>
      </c>
      <c r="AG5952" s="2">
        <f ca="1"/>
        <v>0.96356991041917617</v>
      </c>
      <c r="AH5952" s="2" t="str">
        <f ca="1"/>
        <v>Bad</v>
      </c>
    </row>
    <row r="5953" spans="2:34" x14ac:dyDescent="0.2">
      <c r="B5953" s="2">
        <f ca="1"/>
        <v>0.8952350491140717</v>
      </c>
      <c r="O5953" s="2">
        <f ca="1"/>
        <v>0.52820625292202561</v>
      </c>
      <c r="X5953" s="2">
        <f ca="1"/>
        <v>37.508018888330795</v>
      </c>
      <c r="AG5953" s="2">
        <f ca="1"/>
        <v>0.1588040994214146</v>
      </c>
      <c r="AH5953" s="2" t="str">
        <f ca="1"/>
        <v>OK</v>
      </c>
    </row>
    <row r="5954" spans="2:34" x14ac:dyDescent="0.2">
      <c r="B5954" s="2">
        <f ca="1"/>
        <v>0.43755535858080741</v>
      </c>
      <c r="O5954" s="2">
        <f ca="1"/>
        <v>-1.9790913832669483</v>
      </c>
      <c r="X5954" s="2">
        <f ca="1"/>
        <v>36.917526336671514</v>
      </c>
      <c r="AG5954" s="2">
        <f ca="1"/>
        <v>0.72179630739598899</v>
      </c>
      <c r="AH5954" s="2" t="str">
        <f ca="1"/>
        <v>Bad</v>
      </c>
    </row>
    <row r="5955" spans="2:34" x14ac:dyDescent="0.2">
      <c r="B5955" s="2">
        <f ca="1"/>
        <v>0.16392925760635757</v>
      </c>
      <c r="O5955" s="2">
        <f ca="1"/>
        <v>-0.935963910166975</v>
      </c>
      <c r="X5955" s="2">
        <f ca="1"/>
        <v>71.938326946100858</v>
      </c>
      <c r="AG5955" s="2">
        <f ca="1"/>
        <v>0.59474973464287206</v>
      </c>
      <c r="AH5955" s="2" t="str">
        <f ca="1"/>
        <v>Bad</v>
      </c>
    </row>
    <row r="5956" spans="2:34" x14ac:dyDescent="0.2">
      <c r="B5956" s="2">
        <f ca="1"/>
        <v>0.34907881732087809</v>
      </c>
      <c r="O5956" s="2">
        <f ca="1"/>
        <v>0.22729186171072299</v>
      </c>
      <c r="X5956" s="2">
        <f ca="1"/>
        <v>49.193441335704485</v>
      </c>
      <c r="AG5956" s="2">
        <f ca="1"/>
        <v>0.71326074225382441</v>
      </c>
      <c r="AH5956" s="2" t="str">
        <f ca="1"/>
        <v>Bad</v>
      </c>
    </row>
    <row r="5957" spans="2:34" x14ac:dyDescent="0.2">
      <c r="B5957" s="2">
        <f ca="1"/>
        <v>0.6489382633244507</v>
      </c>
      <c r="O5957" s="2">
        <f ca="1"/>
        <v>-8.1343407938341255E-3</v>
      </c>
      <c r="X5957" s="2">
        <f ca="1"/>
        <v>80.76668377540436</v>
      </c>
      <c r="AG5957" s="2">
        <f ca="1"/>
        <v>0.55747090385162101</v>
      </c>
      <c r="AH5957" s="2" t="str">
        <f ca="1"/>
        <v>Bad</v>
      </c>
    </row>
    <row r="5958" spans="2:34" x14ac:dyDescent="0.2">
      <c r="B5958" s="2">
        <f ca="1"/>
        <v>0.30603115942699377</v>
      </c>
      <c r="O5958" s="2">
        <f ca="1"/>
        <v>-0.7132604312440195</v>
      </c>
      <c r="X5958" s="2">
        <f ca="1"/>
        <v>54.67095801849549</v>
      </c>
      <c r="AG5958" s="2">
        <f ca="1"/>
        <v>0.59408231970363601</v>
      </c>
      <c r="AH5958" s="2" t="str">
        <f ca="1"/>
        <v>Bad</v>
      </c>
    </row>
    <row r="5959" spans="2:34" x14ac:dyDescent="0.2">
      <c r="B5959" s="2">
        <f ca="1"/>
        <v>0.23288865014682725</v>
      </c>
      <c r="O5959" s="2">
        <f ca="1"/>
        <v>-1.7158874933260062</v>
      </c>
      <c r="X5959" s="2">
        <f ca="1"/>
        <v>58.877326288102346</v>
      </c>
      <c r="AG5959" s="2">
        <f ca="1"/>
        <v>0.99525674361861616</v>
      </c>
      <c r="AH5959" s="2" t="str">
        <f ca="1"/>
        <v>Bad</v>
      </c>
    </row>
    <row r="5960" spans="2:34" x14ac:dyDescent="0.2">
      <c r="B5960" s="2">
        <f ca="1"/>
        <v>0.83096387851038545</v>
      </c>
      <c r="O5960" s="2">
        <f ca="1"/>
        <v>-1.1898190374655895</v>
      </c>
      <c r="X5960" s="2">
        <f ca="1"/>
        <v>56.159485091023463</v>
      </c>
      <c r="AG5960" s="2">
        <f ca="1"/>
        <v>3.8988269482433724E-2</v>
      </c>
      <c r="AH5960" s="2" t="str">
        <f ca="1"/>
        <v>Good</v>
      </c>
    </row>
    <row r="5961" spans="2:34" x14ac:dyDescent="0.2">
      <c r="B5961" s="2">
        <f ca="1"/>
        <v>0.29012318669482529</v>
      </c>
      <c r="O5961" s="2">
        <f ca="1"/>
        <v>0.34481299234072604</v>
      </c>
      <c r="X5961" s="2">
        <f ca="1"/>
        <v>47.390654758527468</v>
      </c>
      <c r="AG5961" s="2">
        <f ca="1"/>
        <v>0.67604981254672691</v>
      </c>
      <c r="AH5961" s="2" t="str">
        <f ca="1"/>
        <v>Bad</v>
      </c>
    </row>
    <row r="5962" spans="2:34" x14ac:dyDescent="0.2">
      <c r="B5962" s="2">
        <f ca="1"/>
        <v>6.5667377742692823E-2</v>
      </c>
      <c r="O5962" s="2">
        <f ca="1"/>
        <v>-0.40249492661167913</v>
      </c>
      <c r="X5962" s="2">
        <f ca="1"/>
        <v>53.190451352688456</v>
      </c>
      <c r="AG5962" s="2">
        <f ca="1"/>
        <v>0.24031886014791426</v>
      </c>
      <c r="AH5962" s="2" t="str">
        <f ca="1"/>
        <v>OK</v>
      </c>
    </row>
    <row r="5963" spans="2:34" x14ac:dyDescent="0.2">
      <c r="B5963" s="2">
        <f ca="1"/>
        <v>0.78237355610102188</v>
      </c>
      <c r="O5963" s="2">
        <f ca="1"/>
        <v>0.25202549894178883</v>
      </c>
      <c r="X5963" s="2">
        <f ca="1"/>
        <v>87.478152246336094</v>
      </c>
      <c r="AG5963" s="2">
        <f ca="1"/>
        <v>0.45276337813992895</v>
      </c>
      <c r="AH5963" s="2" t="str">
        <f ca="1"/>
        <v>Bad</v>
      </c>
    </row>
    <row r="5964" spans="2:34" x14ac:dyDescent="0.2">
      <c r="B5964" s="2">
        <f ca="1"/>
        <v>0.312347009227675</v>
      </c>
      <c r="O5964" s="2">
        <f ca="1"/>
        <v>-0.63018548123378115</v>
      </c>
      <c r="X5964" s="2">
        <f ca="1"/>
        <v>42.015886739550943</v>
      </c>
      <c r="AG5964" s="2">
        <f ca="1"/>
        <v>0.36600919643579211</v>
      </c>
      <c r="AH5964" s="2" t="str">
        <f ca="1"/>
        <v>OK</v>
      </c>
    </row>
    <row r="5965" spans="2:34" x14ac:dyDescent="0.2">
      <c r="B5965" s="2">
        <f ca="1"/>
        <v>0.43569707785918399</v>
      </c>
      <c r="O5965" s="2">
        <f ca="1"/>
        <v>1.9008438150929958</v>
      </c>
      <c r="X5965" s="2">
        <f ca="1"/>
        <v>61.347067288478108</v>
      </c>
      <c r="AG5965" s="2">
        <f ca="1"/>
        <v>0.35672252530571935</v>
      </c>
      <c r="AH5965" s="2" t="str">
        <f ca="1"/>
        <v>OK</v>
      </c>
    </row>
    <row r="5966" spans="2:34" x14ac:dyDescent="0.2">
      <c r="B5966" s="2">
        <f ca="1"/>
        <v>0.47003148419723928</v>
      </c>
      <c r="O5966" s="2">
        <f ca="1"/>
        <v>0.74590762748616879</v>
      </c>
      <c r="X5966" s="2">
        <f ca="1"/>
        <v>38.764170873362744</v>
      </c>
      <c r="AG5966" s="2">
        <f ca="1"/>
        <v>0.77226277914082075</v>
      </c>
      <c r="AH5966" s="2" t="str">
        <f ca="1"/>
        <v>Bad</v>
      </c>
    </row>
    <row r="5967" spans="2:34" x14ac:dyDescent="0.2">
      <c r="B5967" s="2">
        <f ca="1"/>
        <v>0.6036381525777168</v>
      </c>
      <c r="O5967" s="2">
        <f ca="1"/>
        <v>-0.37445005111160529</v>
      </c>
      <c r="X5967" s="2">
        <f ca="1"/>
        <v>57.611681088406314</v>
      </c>
      <c r="AG5967" s="2">
        <f ca="1"/>
        <v>0.83086772527521058</v>
      </c>
      <c r="AH5967" s="2" t="str">
        <f ca="1"/>
        <v>Bad</v>
      </c>
    </row>
    <row r="5968" spans="2:34" x14ac:dyDescent="0.2">
      <c r="B5968" s="2">
        <f ca="1"/>
        <v>0.55847820972471274</v>
      </c>
      <c r="O5968" s="2">
        <f ca="1"/>
        <v>-0.3992539960235697</v>
      </c>
      <c r="X5968" s="2">
        <f ca="1"/>
        <v>44.399503717587152</v>
      </c>
      <c r="AG5968" s="2">
        <f ca="1"/>
        <v>0.42140806079722504</v>
      </c>
      <c r="AH5968" s="2" t="str">
        <f ca="1"/>
        <v>Bad</v>
      </c>
    </row>
    <row r="5969" spans="2:34" x14ac:dyDescent="0.2">
      <c r="B5969" s="2">
        <f ca="1"/>
        <v>0.15191361435065454</v>
      </c>
      <c r="O5969" s="2">
        <f ca="1"/>
        <v>-0.54488185752890239</v>
      </c>
      <c r="X5969" s="2">
        <f ca="1"/>
        <v>85.422412014662385</v>
      </c>
      <c r="AG5969" s="2">
        <f ca="1"/>
        <v>0.36335655604264061</v>
      </c>
      <c r="AH5969" s="2" t="str">
        <f ca="1"/>
        <v>OK</v>
      </c>
    </row>
    <row r="5970" spans="2:34" x14ac:dyDescent="0.2">
      <c r="B5970" s="2">
        <f ca="1"/>
        <v>0.10982148566732053</v>
      </c>
      <c r="O5970" s="2">
        <f ca="1"/>
        <v>-0.59643521490897144</v>
      </c>
      <c r="X5970" s="2">
        <f ca="1"/>
        <v>58.882839651180703</v>
      </c>
      <c r="AG5970" s="2">
        <f ca="1"/>
        <v>0.2325754123872068</v>
      </c>
      <c r="AH5970" s="2" t="str">
        <f ca="1"/>
        <v>OK</v>
      </c>
    </row>
    <row r="5971" spans="2:34" x14ac:dyDescent="0.2">
      <c r="B5971" s="2">
        <f ca="1"/>
        <v>0.45606844151222758</v>
      </c>
      <c r="O5971" s="2">
        <f ca="1"/>
        <v>-1.1610153314045526</v>
      </c>
      <c r="X5971" s="2">
        <f ca="1"/>
        <v>46.387028668283961</v>
      </c>
      <c r="AG5971" s="2">
        <f ca="1"/>
        <v>0.32003581745227105</v>
      </c>
      <c r="AH5971" s="2" t="str">
        <f ca="1"/>
        <v>OK</v>
      </c>
    </row>
    <row r="5972" spans="2:34" x14ac:dyDescent="0.2">
      <c r="B5972" s="2">
        <f ca="1"/>
        <v>0.19526240139533191</v>
      </c>
      <c r="O5972" s="2">
        <f ca="1"/>
        <v>2.1866503557524819</v>
      </c>
      <c r="X5972" s="2">
        <f ca="1"/>
        <v>35.855656541800379</v>
      </c>
      <c r="AG5972" s="2">
        <f ca="1"/>
        <v>0.5393545056334712</v>
      </c>
      <c r="AH5972" s="2" t="str">
        <f ca="1"/>
        <v>Bad</v>
      </c>
    </row>
    <row r="5973" spans="2:34" x14ac:dyDescent="0.2">
      <c r="B5973" s="2">
        <f ca="1"/>
        <v>6.0632604902953524E-2</v>
      </c>
      <c r="O5973" s="2">
        <f ca="1"/>
        <v>0.15267472566356508</v>
      </c>
      <c r="X5973" s="2">
        <f ca="1"/>
        <v>38.238115321114698</v>
      </c>
      <c r="AG5973" s="2">
        <f ca="1"/>
        <v>0.97720522536732313</v>
      </c>
      <c r="AH5973" s="2" t="str">
        <f ca="1"/>
        <v>Bad</v>
      </c>
    </row>
    <row r="5974" spans="2:34" x14ac:dyDescent="0.2">
      <c r="B5974" s="2">
        <f ca="1"/>
        <v>0.85914883101930806</v>
      </c>
      <c r="O5974" s="2">
        <f ca="1"/>
        <v>1.9366444480647926</v>
      </c>
      <c r="X5974" s="2">
        <f ca="1"/>
        <v>31.661087429416884</v>
      </c>
      <c r="AG5974" s="2">
        <f ca="1"/>
        <v>0.9810329080099891</v>
      </c>
      <c r="AH5974" s="2" t="str">
        <f ca="1"/>
        <v>Bad</v>
      </c>
    </row>
    <row r="5975" spans="2:34" x14ac:dyDescent="0.2">
      <c r="B5975" s="2">
        <f ca="1"/>
        <v>0.36305768357461754</v>
      </c>
      <c r="O5975" s="2">
        <f ca="1"/>
        <v>0.73888210184554759</v>
      </c>
      <c r="X5975" s="2">
        <f ca="1"/>
        <v>48.746668591105291</v>
      </c>
      <c r="AG5975" s="2">
        <f ca="1"/>
        <v>8.6401071119263984E-2</v>
      </c>
      <c r="AH5975" s="2" t="str">
        <f ca="1"/>
        <v>OK</v>
      </c>
    </row>
    <row r="5976" spans="2:34" x14ac:dyDescent="0.2">
      <c r="B5976" s="2">
        <f ca="1"/>
        <v>0.27714557119525041</v>
      </c>
      <c r="O5976" s="2">
        <f ca="1"/>
        <v>1.7933105663832118</v>
      </c>
      <c r="X5976" s="2">
        <f ca="1"/>
        <v>46.699338937469449</v>
      </c>
      <c r="AG5976" s="2">
        <f ca="1"/>
        <v>0.55236426653989534</v>
      </c>
      <c r="AH5976" s="2" t="str">
        <f ca="1"/>
        <v>Bad</v>
      </c>
    </row>
    <row r="5977" spans="2:34" x14ac:dyDescent="0.2">
      <c r="B5977" s="2">
        <f ca="1"/>
        <v>0.24559222492215182</v>
      </c>
      <c r="O5977" s="2">
        <f ca="1"/>
        <v>0.17100179889625369</v>
      </c>
      <c r="X5977" s="2">
        <f ca="1"/>
        <v>55.506113452525298</v>
      </c>
      <c r="AG5977" s="2">
        <f ca="1"/>
        <v>0.49301000849734189</v>
      </c>
      <c r="AH5977" s="2" t="str">
        <f ca="1"/>
        <v>Bad</v>
      </c>
    </row>
    <row r="5978" spans="2:34" x14ac:dyDescent="0.2">
      <c r="B5978" s="2">
        <f ca="1"/>
        <v>0.85600296605900406</v>
      </c>
      <c r="O5978" s="2">
        <f ca="1"/>
        <v>-0.76201475061629476</v>
      </c>
      <c r="X5978" s="2">
        <f ca="1"/>
        <v>60.147235360721247</v>
      </c>
      <c r="AG5978" s="2">
        <f ca="1"/>
        <v>5.7648936126235562E-3</v>
      </c>
      <c r="AH5978" s="2" t="str">
        <f ca="1"/>
        <v>Good</v>
      </c>
    </row>
    <row r="5979" spans="2:34" x14ac:dyDescent="0.2">
      <c r="B5979" s="2">
        <f ca="1"/>
        <v>0.78924214340766752</v>
      </c>
      <c r="O5979" s="2">
        <f ca="1"/>
        <v>8.5132518442716618E-2</v>
      </c>
      <c r="X5979" s="2">
        <f ca="1"/>
        <v>46.891295438764693</v>
      </c>
      <c r="AG5979" s="2">
        <f ca="1"/>
        <v>0.38736280902485687</v>
      </c>
      <c r="AH5979" s="2" t="str">
        <f ca="1"/>
        <v>OK</v>
      </c>
    </row>
    <row r="5980" spans="2:34" x14ac:dyDescent="0.2">
      <c r="B5980" s="2">
        <f ca="1"/>
        <v>0.18985596601826327</v>
      </c>
      <c r="O5980" s="2">
        <f ca="1"/>
        <v>0.9536976784150194</v>
      </c>
      <c r="X5980" s="2">
        <f ca="1"/>
        <v>45.478824043570143</v>
      </c>
      <c r="AG5980" s="2">
        <f ca="1"/>
        <v>0.64588128033278336</v>
      </c>
      <c r="AH5980" s="2" t="str">
        <f ca="1"/>
        <v>Bad</v>
      </c>
    </row>
    <row r="5981" spans="2:34" x14ac:dyDescent="0.2">
      <c r="B5981" s="2">
        <f ca="1"/>
        <v>0.69430923200808992</v>
      </c>
      <c r="O5981" s="2">
        <f ca="1"/>
        <v>0.2618695246376469</v>
      </c>
      <c r="X5981" s="2">
        <f ca="1"/>
        <v>48.830087962517972</v>
      </c>
      <c r="AG5981" s="2">
        <f ca="1"/>
        <v>0.75339758306272908</v>
      </c>
      <c r="AH5981" s="2" t="str">
        <f ca="1"/>
        <v>Bad</v>
      </c>
    </row>
    <row r="5982" spans="2:34" x14ac:dyDescent="0.2">
      <c r="B5982" s="2">
        <f ca="1"/>
        <v>0.16801671065626111</v>
      </c>
      <c r="O5982" s="2">
        <f ca="1"/>
        <v>-0.70681801224621277</v>
      </c>
      <c r="X5982" s="2">
        <f ca="1"/>
        <v>48.905351476079716</v>
      </c>
      <c r="AG5982" s="2">
        <f ca="1"/>
        <v>0.34174054093576389</v>
      </c>
      <c r="AH5982" s="2" t="str">
        <f ca="1"/>
        <v>OK</v>
      </c>
    </row>
    <row r="5983" spans="2:34" x14ac:dyDescent="0.2">
      <c r="B5983" s="2">
        <f ca="1"/>
        <v>0.59107025322054563</v>
      </c>
      <c r="O5983" s="2">
        <f ca="1"/>
        <v>-0.12846084475666433</v>
      </c>
      <c r="X5983" s="2">
        <f ca="1"/>
        <v>46.870324025424914</v>
      </c>
      <c r="AG5983" s="2">
        <f ca="1"/>
        <v>0.94350499240593977</v>
      </c>
      <c r="AH5983" s="2" t="str">
        <f ca="1"/>
        <v>Bad</v>
      </c>
    </row>
    <row r="5984" spans="2:34" x14ac:dyDescent="0.2">
      <c r="B5984" s="2">
        <f ca="1"/>
        <v>0.62942147705393081</v>
      </c>
      <c r="O5984" s="2">
        <f ca="1"/>
        <v>1.4744927835370165</v>
      </c>
      <c r="X5984" s="2">
        <f ca="1"/>
        <v>53.562923915354617</v>
      </c>
      <c r="AG5984" s="2">
        <f ca="1"/>
        <v>4.2869792057187439E-3</v>
      </c>
      <c r="AH5984" s="2" t="str">
        <f ca="1"/>
        <v>Good</v>
      </c>
    </row>
    <row r="5985" spans="2:34" x14ac:dyDescent="0.2">
      <c r="B5985" s="2">
        <f ca="1"/>
        <v>0.68148634350306869</v>
      </c>
      <c r="O5985" s="2">
        <f ca="1"/>
        <v>2.0885688478608317</v>
      </c>
      <c r="X5985" s="2">
        <f ca="1"/>
        <v>29.668016794494498</v>
      </c>
      <c r="AG5985" s="2">
        <f ca="1"/>
        <v>0.70693728438576486</v>
      </c>
      <c r="AH5985" s="2" t="str">
        <f ca="1"/>
        <v>Bad</v>
      </c>
    </row>
    <row r="5986" spans="2:34" x14ac:dyDescent="0.2">
      <c r="B5986" s="2">
        <f ca="1"/>
        <v>0.93190487563090785</v>
      </c>
      <c r="O5986" s="2">
        <f ca="1"/>
        <v>-0.9274792970311182</v>
      </c>
      <c r="X5986" s="2">
        <f ca="1"/>
        <v>32.98272077806962</v>
      </c>
      <c r="AG5986" s="2">
        <f ca="1"/>
        <v>0.19332320371963552</v>
      </c>
      <c r="AH5986" s="2" t="str">
        <f ca="1"/>
        <v>OK</v>
      </c>
    </row>
    <row r="5987" spans="2:34" x14ac:dyDescent="0.2">
      <c r="B5987" s="2">
        <f ca="1"/>
        <v>0.82236381330366726</v>
      </c>
      <c r="O5987" s="2">
        <f ca="1"/>
        <v>1.4705910102505668</v>
      </c>
      <c r="X5987" s="2">
        <f ca="1"/>
        <v>39.249350106497744</v>
      </c>
      <c r="AG5987" s="2">
        <f ca="1"/>
        <v>0.9426392117040594</v>
      </c>
      <c r="AH5987" s="2" t="str">
        <f ca="1"/>
        <v>Bad</v>
      </c>
    </row>
    <row r="5988" spans="2:34" x14ac:dyDescent="0.2">
      <c r="B5988" s="2">
        <f ca="1"/>
        <v>0.29582280377002812</v>
      </c>
      <c r="O5988" s="2">
        <f ca="1"/>
        <v>0.17150398626085606</v>
      </c>
      <c r="X5988" s="2">
        <f ca="1"/>
        <v>19.880804969882934</v>
      </c>
      <c r="AG5988" s="2">
        <f ca="1"/>
        <v>0.830904775457735</v>
      </c>
      <c r="AH5988" s="2" t="str">
        <f ca="1"/>
        <v>Bad</v>
      </c>
    </row>
    <row r="5989" spans="2:34" x14ac:dyDescent="0.2">
      <c r="B5989" s="2">
        <f ca="1"/>
        <v>0.98333989102565345</v>
      </c>
      <c r="O5989" s="2">
        <f ca="1"/>
        <v>0.25673478882520684</v>
      </c>
      <c r="X5989" s="2">
        <f ca="1"/>
        <v>43.934868308079977</v>
      </c>
      <c r="AG5989" s="2">
        <f ca="1"/>
        <v>0.49868929144486773</v>
      </c>
      <c r="AH5989" s="2" t="str">
        <f ca="1"/>
        <v>Bad</v>
      </c>
    </row>
    <row r="5990" spans="2:34" x14ac:dyDescent="0.2">
      <c r="B5990" s="2">
        <f ca="1"/>
        <v>0.84556223033951339</v>
      </c>
      <c r="O5990" s="2">
        <f ca="1"/>
        <v>-0.52970013738178778</v>
      </c>
      <c r="X5990" s="2">
        <f ca="1"/>
        <v>46.816225611634003</v>
      </c>
      <c r="AG5990" s="2">
        <f ca="1"/>
        <v>0.89926078583435376</v>
      </c>
      <c r="AH5990" s="2" t="str">
        <f ca="1"/>
        <v>Bad</v>
      </c>
    </row>
    <row r="5991" spans="2:34" x14ac:dyDescent="0.2">
      <c r="B5991" s="2">
        <f ca="1"/>
        <v>0.65312710885220793</v>
      </c>
      <c r="O5991" s="2">
        <f ca="1"/>
        <v>1.8978338000575554</v>
      </c>
      <c r="X5991" s="2">
        <f ca="1"/>
        <v>54.613342074463603</v>
      </c>
      <c r="AG5991" s="2">
        <f ca="1"/>
        <v>0.47471589587325047</v>
      </c>
      <c r="AH5991" s="2" t="str">
        <f ca="1"/>
        <v>Bad</v>
      </c>
    </row>
    <row r="5992" spans="2:34" x14ac:dyDescent="0.2">
      <c r="B5992" s="2">
        <f ca="1"/>
        <v>0.95533082121477997</v>
      </c>
      <c r="O5992" s="2">
        <f ca="1"/>
        <v>0.79012218775586907</v>
      </c>
      <c r="X5992" s="2">
        <f ca="1"/>
        <v>50.783861060723737</v>
      </c>
      <c r="AG5992" s="2">
        <f ca="1"/>
        <v>0.51767657647677057</v>
      </c>
      <c r="AH5992" s="2" t="str">
        <f ca="1"/>
        <v>Bad</v>
      </c>
    </row>
    <row r="5993" spans="2:34" x14ac:dyDescent="0.2">
      <c r="B5993" s="2">
        <f ca="1"/>
        <v>0.12738840617309766</v>
      </c>
      <c r="O5993" s="2">
        <f ca="1"/>
        <v>1.4428857324386215</v>
      </c>
      <c r="X5993" s="2">
        <f ca="1"/>
        <v>42.136359545749535</v>
      </c>
      <c r="AG5993" s="2">
        <f ca="1"/>
        <v>0.2051426457012786</v>
      </c>
      <c r="AH5993" s="2" t="str">
        <f ca="1"/>
        <v>OK</v>
      </c>
    </row>
    <row r="5994" spans="2:34" x14ac:dyDescent="0.2">
      <c r="B5994" s="2">
        <f ca="1"/>
        <v>2.5458707253129376E-2</v>
      </c>
      <c r="O5994" s="2">
        <f ca="1"/>
        <v>-0.68026007078166117</v>
      </c>
      <c r="X5994" s="2">
        <f ca="1"/>
        <v>34.567911199515294</v>
      </c>
      <c r="AG5994" s="2">
        <f ca="1"/>
        <v>0.76816616031043039</v>
      </c>
      <c r="AH5994" s="2" t="str">
        <f ca="1"/>
        <v>Bad</v>
      </c>
    </row>
    <row r="5995" spans="2:34" x14ac:dyDescent="0.2">
      <c r="B5995" s="2">
        <f ca="1"/>
        <v>0.94472131278383653</v>
      </c>
      <c r="O5995" s="2">
        <f ca="1"/>
        <v>0.76326006132584989</v>
      </c>
      <c r="X5995" s="2">
        <f ca="1"/>
        <v>61.89401932201369</v>
      </c>
      <c r="AG5995" s="2">
        <f ca="1"/>
        <v>0.17200720341066278</v>
      </c>
      <c r="AH5995" s="2" t="str">
        <f ca="1"/>
        <v>OK</v>
      </c>
    </row>
    <row r="5996" spans="2:34" x14ac:dyDescent="0.2">
      <c r="B5996" s="2">
        <f ca="1"/>
        <v>0.20033020972439997</v>
      </c>
      <c r="O5996" s="2">
        <f ca="1"/>
        <v>-0.90932603292576675</v>
      </c>
      <c r="X5996" s="2">
        <f ca="1"/>
        <v>72.17689682978444</v>
      </c>
      <c r="AG5996" s="2">
        <f ca="1"/>
        <v>0.23086534071787956</v>
      </c>
      <c r="AH5996" s="2" t="str">
        <f ca="1"/>
        <v>OK</v>
      </c>
    </row>
    <row r="5997" spans="2:34" x14ac:dyDescent="0.2">
      <c r="B5997" s="2">
        <f ca="1"/>
        <v>0.21907987837266907</v>
      </c>
      <c r="O5997" s="2">
        <f ca="1"/>
        <v>1.123911037801931</v>
      </c>
      <c r="X5997" s="2">
        <f ca="1"/>
        <v>57.648025968137368</v>
      </c>
      <c r="AG5997" s="2">
        <f ca="1"/>
        <v>0.36255000157420336</v>
      </c>
      <c r="AH5997" s="2" t="str">
        <f ca="1"/>
        <v>OK</v>
      </c>
    </row>
    <row r="5998" spans="2:34" x14ac:dyDescent="0.2">
      <c r="B5998" s="2">
        <f ca="1"/>
        <v>0.10205573124696454</v>
      </c>
      <c r="O5998" s="2">
        <f ca="1"/>
        <v>-0.18297013199030746</v>
      </c>
      <c r="X5998" s="2">
        <f ca="1"/>
        <v>48.183974359570797</v>
      </c>
      <c r="AG5998" s="2">
        <f ca="1"/>
        <v>0.34960991997254909</v>
      </c>
      <c r="AH5998" s="2" t="str">
        <f ca="1"/>
        <v>OK</v>
      </c>
    </row>
    <row r="5999" spans="2:34" x14ac:dyDescent="0.2">
      <c r="B5999" s="2">
        <f ca="1"/>
        <v>0.28280480905695882</v>
      </c>
      <c r="O5999" s="2">
        <f ca="1"/>
        <v>-1.3810917205782698</v>
      </c>
      <c r="X5999" s="2">
        <f ca="1"/>
        <v>51.604831155828236</v>
      </c>
      <c r="AG5999" s="2">
        <f ca="1"/>
        <v>0.44183700141019244</v>
      </c>
      <c r="AH5999" s="2" t="str">
        <f ca="1"/>
        <v>Bad</v>
      </c>
    </row>
    <row r="6000" spans="2:34" x14ac:dyDescent="0.2">
      <c r="B6000" s="2">
        <f ca="1"/>
        <v>9.6033205858651272E-2</v>
      </c>
      <c r="O6000" s="2">
        <f ca="1"/>
        <v>1.3250803183468485</v>
      </c>
      <c r="X6000" s="2">
        <f ca="1"/>
        <v>47.597425901950174</v>
      </c>
      <c r="AG6000" s="2">
        <f ca="1"/>
        <v>0.74740626741427385</v>
      </c>
      <c r="AH6000" s="2" t="str">
        <f ca="1"/>
        <v>Bad</v>
      </c>
    </row>
    <row r="6001" spans="2:34" x14ac:dyDescent="0.2">
      <c r="B6001" s="2">
        <f ca="1"/>
        <v>0.53081728079983503</v>
      </c>
      <c r="O6001" s="2">
        <f ca="1"/>
        <v>-0.15036957596243533</v>
      </c>
      <c r="X6001" s="2">
        <f ca="1"/>
        <v>71.004865819032091</v>
      </c>
      <c r="AG6001" s="2">
        <f ca="1"/>
        <v>0.7215169767575178</v>
      </c>
      <c r="AH6001" s="2" t="str">
        <f ca="1"/>
        <v>Bad</v>
      </c>
    </row>
    <row r="6002" spans="2:34" x14ac:dyDescent="0.2">
      <c r="B6002" s="2">
        <f ca="1"/>
        <v>0.51476012684584371</v>
      </c>
      <c r="O6002" s="2">
        <f ca="1"/>
        <v>-0.72949073239724882</v>
      </c>
      <c r="X6002" s="2">
        <f ca="1"/>
        <v>79.510231143193863</v>
      </c>
      <c r="AG6002" s="2">
        <f ca="1"/>
        <v>0.1793401108614745</v>
      </c>
      <c r="AH6002" s="2" t="str">
        <f ca="1"/>
        <v>OK</v>
      </c>
    </row>
    <row r="6003" spans="2:34" x14ac:dyDescent="0.2">
      <c r="B6003" s="2">
        <f ca="1"/>
        <v>0.6790541541282844</v>
      </c>
      <c r="O6003" s="2">
        <f ca="1"/>
        <v>-1.5126721513161732</v>
      </c>
      <c r="X6003" s="2">
        <f ca="1"/>
        <v>22.231090954390567</v>
      </c>
      <c r="AG6003" s="2">
        <f ca="1"/>
        <v>0.95094381524583338</v>
      </c>
      <c r="AH6003" s="2" t="str">
        <f ca="1"/>
        <v>Bad</v>
      </c>
    </row>
    <row r="6004" spans="2:34" x14ac:dyDescent="0.2">
      <c r="B6004" s="2">
        <f ca="1"/>
        <v>0.67302367353257653</v>
      </c>
      <c r="O6004" s="2">
        <f ca="1"/>
        <v>0.40536451430408643</v>
      </c>
      <c r="X6004" s="2">
        <f ca="1"/>
        <v>59.311483044857603</v>
      </c>
      <c r="AG6004" s="2">
        <f ca="1"/>
        <v>0.2985775935927113</v>
      </c>
      <c r="AH6004" s="2" t="str">
        <f ca="1"/>
        <v>OK</v>
      </c>
    </row>
    <row r="6005" spans="2:34" x14ac:dyDescent="0.2">
      <c r="B6005" s="2">
        <f ca="1"/>
        <v>0.44698472449081605</v>
      </c>
      <c r="O6005" s="2">
        <f ca="1"/>
        <v>1.7060177001622858</v>
      </c>
      <c r="X6005" s="2">
        <f ca="1"/>
        <v>47.675014197403691</v>
      </c>
      <c r="AG6005" s="2">
        <f ca="1"/>
        <v>0.29939737519600129</v>
      </c>
      <c r="AH6005" s="2" t="str">
        <f ca="1"/>
        <v>OK</v>
      </c>
    </row>
    <row r="6006" spans="2:34" x14ac:dyDescent="0.2">
      <c r="B6006" s="2">
        <f ca="1"/>
        <v>0.26267796264098853</v>
      </c>
      <c r="O6006" s="2">
        <f ca="1"/>
        <v>2.5943466590362379E-3</v>
      </c>
      <c r="X6006" s="2">
        <f ca="1"/>
        <v>50.422041815516238</v>
      </c>
      <c r="AG6006" s="2">
        <f ca="1"/>
        <v>8.4028266129909657E-3</v>
      </c>
      <c r="AH6006" s="2" t="str">
        <f ca="1"/>
        <v>Good</v>
      </c>
    </row>
    <row r="6007" spans="2:34" x14ac:dyDescent="0.2">
      <c r="B6007" s="2">
        <f ca="1"/>
        <v>0.32908725806210937</v>
      </c>
      <c r="O6007" s="2">
        <f ca="1"/>
        <v>0.31297110820961199</v>
      </c>
      <c r="X6007" s="2">
        <f ca="1"/>
        <v>43.822661685894474</v>
      </c>
      <c r="AG6007" s="2">
        <f ca="1"/>
        <v>0.37309932294612458</v>
      </c>
      <c r="AH6007" s="2" t="str">
        <f ca="1"/>
        <v>OK</v>
      </c>
    </row>
    <row r="6008" spans="2:34" x14ac:dyDescent="0.2">
      <c r="B6008" s="2">
        <f ca="1"/>
        <v>0.54463792422598534</v>
      </c>
      <c r="O6008" s="2">
        <f ca="1"/>
        <v>0.69325876756602201</v>
      </c>
      <c r="X6008" s="2">
        <f ca="1"/>
        <v>88.71973138950375</v>
      </c>
      <c r="AG6008" s="2">
        <f ca="1"/>
        <v>0.67023652755128293</v>
      </c>
      <c r="AH6008" s="2" t="str">
        <f ca="1"/>
        <v>Bad</v>
      </c>
    </row>
    <row r="6009" spans="2:34" x14ac:dyDescent="0.2">
      <c r="B6009" s="2">
        <f ca="1"/>
        <v>0.37954775087337755</v>
      </c>
      <c r="O6009" s="2">
        <f ca="1"/>
        <v>1.0314437087148696</v>
      </c>
      <c r="X6009" s="2">
        <f ca="1"/>
        <v>58.227286927611871</v>
      </c>
      <c r="AG6009" s="2">
        <f ca="1"/>
        <v>0.38069713600473332</v>
      </c>
      <c r="AH6009" s="2" t="str">
        <f ca="1"/>
        <v>OK</v>
      </c>
    </row>
    <row r="6010" spans="2:34" x14ac:dyDescent="0.2">
      <c r="B6010" s="2">
        <f ca="1"/>
        <v>0.58107992998641356</v>
      </c>
      <c r="O6010" s="2">
        <f ca="1"/>
        <v>-1.0986918182164735</v>
      </c>
      <c r="X6010" s="2">
        <f ca="1"/>
        <v>36.082520522139866</v>
      </c>
      <c r="AG6010" s="2">
        <f ca="1"/>
        <v>0.52799026049818365</v>
      </c>
      <c r="AH6010" s="2" t="str">
        <f ca="1"/>
        <v>Bad</v>
      </c>
    </row>
    <row r="6011" spans="2:34" x14ac:dyDescent="0.2">
      <c r="B6011" s="2">
        <f ca="1"/>
        <v>0.68820315344377248</v>
      </c>
      <c r="O6011" s="2">
        <f ca="1"/>
        <v>8.7173750205073036E-2</v>
      </c>
      <c r="X6011" s="2">
        <f ca="1"/>
        <v>44.436422918071372</v>
      </c>
      <c r="AG6011" s="2">
        <f ca="1"/>
        <v>0.73115313835968809</v>
      </c>
      <c r="AH6011" s="2" t="str">
        <f ca="1"/>
        <v>Bad</v>
      </c>
    </row>
    <row r="6012" spans="2:34" x14ac:dyDescent="0.2">
      <c r="B6012" s="2">
        <f ca="1"/>
        <v>0.35816585130651357</v>
      </c>
      <c r="O6012" s="2">
        <f ca="1"/>
        <v>-1.1547785612456931</v>
      </c>
      <c r="X6012" s="2">
        <f ca="1"/>
        <v>27.702000795688406</v>
      </c>
      <c r="AG6012" s="2">
        <f ca="1"/>
        <v>7.0494079063853299E-2</v>
      </c>
      <c r="AH6012" s="2" t="str">
        <f ca="1"/>
        <v>OK</v>
      </c>
    </row>
    <row r="6013" spans="2:34" x14ac:dyDescent="0.2">
      <c r="B6013" s="2">
        <f ca="1"/>
        <v>0.16973874384553556</v>
      </c>
      <c r="O6013" s="2">
        <f ca="1"/>
        <v>-0.35327603868515611</v>
      </c>
      <c r="X6013" s="2">
        <f ca="1"/>
        <v>55.065769646577337</v>
      </c>
      <c r="AG6013" s="2">
        <f ca="1"/>
        <v>0.1446668941141549</v>
      </c>
      <c r="AH6013" s="2" t="str">
        <f ca="1"/>
        <v>OK</v>
      </c>
    </row>
    <row r="6014" spans="2:34" x14ac:dyDescent="0.2">
      <c r="B6014" s="2">
        <f ca="1"/>
        <v>0.55955269075639014</v>
      </c>
      <c r="O6014" s="2">
        <f ca="1"/>
        <v>0.15440964212373715</v>
      </c>
      <c r="X6014" s="2">
        <f ca="1"/>
        <v>45.911432988017324</v>
      </c>
      <c r="AG6014" s="2">
        <f ca="1"/>
        <v>0.57500529131196587</v>
      </c>
      <c r="AH6014" s="2" t="str">
        <f ca="1"/>
        <v>Bad</v>
      </c>
    </row>
    <row r="6015" spans="2:34" x14ac:dyDescent="0.2">
      <c r="B6015" s="2">
        <f ca="1"/>
        <v>0.14398341722147512</v>
      </c>
      <c r="O6015" s="2">
        <f ca="1"/>
        <v>0.80027368644001984</v>
      </c>
      <c r="X6015" s="2">
        <f ca="1"/>
        <v>64.673602593107987</v>
      </c>
      <c r="AG6015" s="2">
        <f ca="1"/>
        <v>0.10796862114621986</v>
      </c>
      <c r="AH6015" s="2" t="str">
        <f ca="1"/>
        <v>OK</v>
      </c>
    </row>
    <row r="6016" spans="2:34" x14ac:dyDescent="0.2">
      <c r="B6016" s="2">
        <f ca="1"/>
        <v>0.42604874290881711</v>
      </c>
      <c r="O6016" s="2">
        <f ca="1"/>
        <v>0.36299934480811175</v>
      </c>
      <c r="X6016" s="2">
        <f ca="1"/>
        <v>33.619237396109739</v>
      </c>
      <c r="AG6016" s="2">
        <f ca="1"/>
        <v>0.94966530129851723</v>
      </c>
      <c r="AH6016" s="2" t="str">
        <f ca="1"/>
        <v>Bad</v>
      </c>
    </row>
    <row r="6017" spans="2:34" x14ac:dyDescent="0.2">
      <c r="B6017" s="2">
        <f ca="1"/>
        <v>0.1846354294817838</v>
      </c>
      <c r="O6017" s="2">
        <f ca="1"/>
        <v>2.4641873021165059</v>
      </c>
      <c r="X6017" s="2">
        <f ca="1"/>
        <v>46.009276085935596</v>
      </c>
      <c r="AG6017" s="2">
        <f ca="1"/>
        <v>0.19072313801935326</v>
      </c>
      <c r="AH6017" s="2" t="str">
        <f ca="1"/>
        <v>OK</v>
      </c>
    </row>
    <row r="6018" spans="2:34" x14ac:dyDescent="0.2">
      <c r="B6018" s="2">
        <f ca="1"/>
        <v>0.35948158131643182</v>
      </c>
      <c r="O6018" s="2">
        <f ca="1"/>
        <v>-0.8155100139994329</v>
      </c>
      <c r="X6018" s="2">
        <f ca="1"/>
        <v>38.156115597113839</v>
      </c>
      <c r="AG6018" s="2">
        <f ca="1"/>
        <v>0.26445935405724663</v>
      </c>
      <c r="AH6018" s="2" t="str">
        <f ca="1"/>
        <v>OK</v>
      </c>
    </row>
    <row r="6019" spans="2:34" x14ac:dyDescent="0.2">
      <c r="B6019" s="2">
        <f ca="1"/>
        <v>0.41546621239180226</v>
      </c>
      <c r="O6019" s="2">
        <f ca="1"/>
        <v>8.5673500314677367E-2</v>
      </c>
      <c r="X6019" s="2">
        <f ca="1"/>
        <v>43.036114982121092</v>
      </c>
      <c r="AG6019" s="2">
        <f ca="1"/>
        <v>0.34232517114438932</v>
      </c>
      <c r="AH6019" s="2" t="str">
        <f ca="1"/>
        <v>OK</v>
      </c>
    </row>
    <row r="6020" spans="2:34" x14ac:dyDescent="0.2">
      <c r="B6020" s="2">
        <f ca="1"/>
        <v>0.12121117034959195</v>
      </c>
      <c r="O6020" s="2">
        <f ca="1"/>
        <v>0.90081319032341467</v>
      </c>
      <c r="X6020" s="2">
        <f ca="1"/>
        <v>42.991049341318693</v>
      </c>
      <c r="AG6020" s="2">
        <f ca="1"/>
        <v>0.51613139888562953</v>
      </c>
      <c r="AH6020" s="2" t="str">
        <f ca="1"/>
        <v>Bad</v>
      </c>
    </row>
    <row r="6021" spans="2:34" x14ac:dyDescent="0.2">
      <c r="B6021" s="2">
        <f ca="1"/>
        <v>0.64517746718511293</v>
      </c>
      <c r="O6021" s="2">
        <f ca="1"/>
        <v>-1.0101272161954573</v>
      </c>
      <c r="X6021" s="2">
        <f ca="1"/>
        <v>71.578037323561816</v>
      </c>
      <c r="AG6021" s="2">
        <f ca="1"/>
        <v>0.923005337976605</v>
      </c>
      <c r="AH6021" s="2" t="str">
        <f ca="1"/>
        <v>Bad</v>
      </c>
    </row>
    <row r="6022" spans="2:34" x14ac:dyDescent="0.2">
      <c r="B6022" s="2">
        <f ca="1"/>
        <v>0.56739989023911797</v>
      </c>
      <c r="O6022" s="2">
        <f ca="1"/>
        <v>1.6016316982355416</v>
      </c>
      <c r="X6022" s="2">
        <f ca="1"/>
        <v>23.739790352566455</v>
      </c>
      <c r="AG6022" s="2">
        <f ca="1"/>
        <v>0.13437599020085944</v>
      </c>
      <c r="AH6022" s="2" t="str">
        <f ca="1"/>
        <v>OK</v>
      </c>
    </row>
    <row r="6023" spans="2:34" x14ac:dyDescent="0.2">
      <c r="B6023" s="2">
        <f ca="1"/>
        <v>0.94437069133019946</v>
      </c>
      <c r="O6023" s="2">
        <f ca="1"/>
        <v>0.67699638355344349</v>
      </c>
      <c r="X6023" s="2">
        <f ca="1"/>
        <v>72.182988167956793</v>
      </c>
      <c r="AG6023" s="2">
        <f ca="1"/>
        <v>0.93379815916564679</v>
      </c>
      <c r="AH6023" s="2" t="str">
        <f ca="1"/>
        <v>Bad</v>
      </c>
    </row>
    <row r="6024" spans="2:34" x14ac:dyDescent="0.2">
      <c r="B6024" s="2">
        <f ca="1"/>
        <v>0.30114841876150789</v>
      </c>
      <c r="O6024" s="2">
        <f ca="1"/>
        <v>1.0345547917692919</v>
      </c>
      <c r="X6024" s="2">
        <f ca="1"/>
        <v>83.628764279538657</v>
      </c>
      <c r="AG6024" s="2">
        <f ca="1"/>
        <v>0.70193100080820314</v>
      </c>
      <c r="AH6024" s="2" t="str">
        <f ca="1"/>
        <v>Bad</v>
      </c>
    </row>
    <row r="6025" spans="2:34" x14ac:dyDescent="0.2">
      <c r="B6025" s="2">
        <f ca="1"/>
        <v>0.16063269507759736</v>
      </c>
      <c r="O6025" s="2">
        <f ca="1"/>
        <v>1.5421323108965459</v>
      </c>
      <c r="X6025" s="2">
        <f ca="1"/>
        <v>55.448670208316216</v>
      </c>
      <c r="AG6025" s="2">
        <f ca="1"/>
        <v>0.39183834388055083</v>
      </c>
      <c r="AH6025" s="2" t="str">
        <f ca="1"/>
        <v>OK</v>
      </c>
    </row>
    <row r="6026" spans="2:34" x14ac:dyDescent="0.2">
      <c r="B6026" s="2">
        <f ca="1"/>
        <v>0.79251347446105358</v>
      </c>
      <c r="O6026" s="2">
        <f ca="1"/>
        <v>1.2470097831108735</v>
      </c>
      <c r="X6026" s="2">
        <f ca="1"/>
        <v>56.199316224952597</v>
      </c>
      <c r="AG6026" s="2">
        <f ca="1"/>
        <v>0.33935562488566773</v>
      </c>
      <c r="AH6026" s="2" t="str">
        <f ca="1"/>
        <v>OK</v>
      </c>
    </row>
    <row r="6027" spans="2:34" x14ac:dyDescent="0.2">
      <c r="B6027" s="2">
        <f ca="1"/>
        <v>0.32541843207182586</v>
      </c>
      <c r="O6027" s="2">
        <f ca="1"/>
        <v>-1.0124700560377622</v>
      </c>
      <c r="X6027" s="2">
        <f ca="1"/>
        <v>34.444252457698688</v>
      </c>
      <c r="AG6027" s="2">
        <f ca="1"/>
        <v>0.9394441637177855</v>
      </c>
      <c r="AH6027" s="2" t="str">
        <f ca="1"/>
        <v>Bad</v>
      </c>
    </row>
    <row r="6028" spans="2:34" x14ac:dyDescent="0.2">
      <c r="B6028" s="2">
        <f ca="1"/>
        <v>0.87229299327117493</v>
      </c>
      <c r="O6028" s="2">
        <f ca="1"/>
        <v>-0.60028582275130971</v>
      </c>
      <c r="X6028" s="2">
        <f ca="1"/>
        <v>36.244261972586045</v>
      </c>
      <c r="AG6028" s="2">
        <f ca="1"/>
        <v>0.62471037384543382</v>
      </c>
      <c r="AH6028" s="2" t="str">
        <f ca="1"/>
        <v>Bad</v>
      </c>
    </row>
    <row r="6029" spans="2:34" x14ac:dyDescent="0.2">
      <c r="B6029" s="2">
        <f ca="1"/>
        <v>0.99423089146166488</v>
      </c>
      <c r="O6029" s="2">
        <f ca="1"/>
        <v>-0.32410416637291523</v>
      </c>
      <c r="X6029" s="2">
        <f ca="1"/>
        <v>19.702635589486135</v>
      </c>
      <c r="AG6029" s="2">
        <f ca="1"/>
        <v>0.85986050811942882</v>
      </c>
      <c r="AH6029" s="2" t="str">
        <f ca="1"/>
        <v>Bad</v>
      </c>
    </row>
    <row r="6030" spans="2:34" x14ac:dyDescent="0.2">
      <c r="B6030" s="2">
        <f ca="1"/>
        <v>0.53665144685150956</v>
      </c>
      <c r="O6030" s="2">
        <f ca="1"/>
        <v>-2.0255646699627499</v>
      </c>
      <c r="X6030" s="2">
        <f ca="1"/>
        <v>32.72128666389024</v>
      </c>
      <c r="AG6030" s="2">
        <f ca="1"/>
        <v>0.13415733117931872</v>
      </c>
      <c r="AH6030" s="2" t="str">
        <f ca="1"/>
        <v>OK</v>
      </c>
    </row>
    <row r="6031" spans="2:34" x14ac:dyDescent="0.2">
      <c r="B6031" s="2">
        <f ca="1"/>
        <v>0.52970384398887882</v>
      </c>
      <c r="O6031" s="2">
        <f ca="1"/>
        <v>-8.4634778061209684E-2</v>
      </c>
      <c r="X6031" s="2">
        <f ca="1"/>
        <v>45.227060127245942</v>
      </c>
      <c r="AG6031" s="2">
        <f ca="1"/>
        <v>0.66146911294274835</v>
      </c>
      <c r="AH6031" s="2" t="str">
        <f ca="1"/>
        <v>Bad</v>
      </c>
    </row>
    <row r="6032" spans="2:34" x14ac:dyDescent="0.2">
      <c r="B6032" s="2">
        <f ca="1"/>
        <v>9.7359934505923729E-2</v>
      </c>
      <c r="O6032" s="2">
        <f ca="1"/>
        <v>0.1220770755620193</v>
      </c>
      <c r="X6032" s="2">
        <f ca="1"/>
        <v>73.692093627586416</v>
      </c>
      <c r="AG6032" s="2">
        <f ca="1"/>
        <v>0.32533324221425208</v>
      </c>
      <c r="AH6032" s="2" t="str">
        <f ca="1"/>
        <v>OK</v>
      </c>
    </row>
    <row r="6033" spans="2:34" x14ac:dyDescent="0.2">
      <c r="B6033" s="2">
        <f ca="1"/>
        <v>0.85708460334662906</v>
      </c>
      <c r="O6033" s="2">
        <f ca="1"/>
        <v>0.21971618426956596</v>
      </c>
      <c r="X6033" s="2">
        <f ca="1"/>
        <v>41.261418844154278</v>
      </c>
      <c r="AG6033" s="2">
        <f ca="1"/>
        <v>0.59292100253371482</v>
      </c>
      <c r="AH6033" s="2" t="str">
        <f ca="1"/>
        <v>Bad</v>
      </c>
    </row>
    <row r="6034" spans="2:34" x14ac:dyDescent="0.2">
      <c r="B6034" s="2">
        <f ca="1"/>
        <v>0.70355689762156715</v>
      </c>
      <c r="O6034" s="2">
        <f ca="1"/>
        <v>0.22082544517703986</v>
      </c>
      <c r="X6034" s="2">
        <f ca="1"/>
        <v>60.731985771101932</v>
      </c>
      <c r="AG6034" s="2">
        <f ca="1"/>
        <v>3.7722287274051691E-2</v>
      </c>
      <c r="AH6034" s="2" t="str">
        <f ca="1"/>
        <v>Good</v>
      </c>
    </row>
    <row r="6035" spans="2:34" x14ac:dyDescent="0.2">
      <c r="B6035" s="2">
        <f ca="1"/>
        <v>0.89674771481538218</v>
      </c>
      <c r="O6035" s="2">
        <f ca="1"/>
        <v>-3.4707093676953814E-2</v>
      </c>
      <c r="X6035" s="2">
        <f ca="1"/>
        <v>73.662142510764113</v>
      </c>
      <c r="AG6035" s="2">
        <f ca="1"/>
        <v>0.51571078791233882</v>
      </c>
      <c r="AH6035" s="2" t="str">
        <f ca="1"/>
        <v>Bad</v>
      </c>
    </row>
    <row r="6036" spans="2:34" x14ac:dyDescent="0.2">
      <c r="B6036" s="2">
        <f ca="1"/>
        <v>0.4664970615909243</v>
      </c>
      <c r="O6036" s="2">
        <f ca="1"/>
        <v>0.44816481220539101</v>
      </c>
      <c r="X6036" s="2">
        <f ca="1"/>
        <v>48.636938498549526</v>
      </c>
      <c r="AG6036" s="2">
        <f ca="1"/>
        <v>7.0904832960170694E-2</v>
      </c>
      <c r="AH6036" s="2" t="str">
        <f ca="1"/>
        <v>OK</v>
      </c>
    </row>
    <row r="6037" spans="2:34" x14ac:dyDescent="0.2">
      <c r="B6037" s="2">
        <f ca="1"/>
        <v>0.79345588954218327</v>
      </c>
      <c r="O6037" s="2">
        <f ca="1"/>
        <v>-0.18777959414319037</v>
      </c>
      <c r="X6037" s="2">
        <f ca="1"/>
        <v>29.928263022674805</v>
      </c>
      <c r="AG6037" s="2">
        <f ca="1"/>
        <v>0.92177305471008153</v>
      </c>
      <c r="AH6037" s="2" t="str">
        <f ca="1"/>
        <v>Bad</v>
      </c>
    </row>
    <row r="6038" spans="2:34" x14ac:dyDescent="0.2">
      <c r="B6038" s="2">
        <f ca="1"/>
        <v>0.23629490411055842</v>
      </c>
      <c r="O6038" s="2">
        <f ca="1"/>
        <v>-0.55437600815490051</v>
      </c>
      <c r="X6038" s="2">
        <f ca="1"/>
        <v>63.777254197417513</v>
      </c>
      <c r="AG6038" s="2">
        <f ca="1"/>
        <v>0.14163338203133091</v>
      </c>
      <c r="AH6038" s="2" t="str">
        <f ca="1"/>
        <v>OK</v>
      </c>
    </row>
    <row r="6039" spans="2:34" x14ac:dyDescent="0.2">
      <c r="B6039" s="2">
        <f ca="1"/>
        <v>6.3869042201035064E-2</v>
      </c>
      <c r="O6039" s="2">
        <f ca="1"/>
        <v>0.27847687990162284</v>
      </c>
      <c r="X6039" s="2">
        <f ca="1"/>
        <v>47.867053814652174</v>
      </c>
      <c r="AG6039" s="2">
        <f ca="1"/>
        <v>0.43318255072603695</v>
      </c>
      <c r="AH6039" s="2" t="str">
        <f ca="1"/>
        <v>Bad</v>
      </c>
    </row>
    <row r="6040" spans="2:34" x14ac:dyDescent="0.2">
      <c r="B6040" s="2">
        <f ca="1"/>
        <v>0.18346471111918961</v>
      </c>
      <c r="O6040" s="2">
        <f ca="1"/>
        <v>0.27078761347306995</v>
      </c>
      <c r="X6040" s="2">
        <f ca="1"/>
        <v>60.776048369822291</v>
      </c>
      <c r="AG6040" s="2">
        <f ca="1"/>
        <v>0.20763323173863424</v>
      </c>
      <c r="AH6040" s="2" t="str">
        <f ca="1"/>
        <v>OK</v>
      </c>
    </row>
    <row r="6041" spans="2:34" x14ac:dyDescent="0.2">
      <c r="B6041" s="2">
        <f ca="1"/>
        <v>0.38973491338233046</v>
      </c>
      <c r="O6041" s="2">
        <f ca="1"/>
        <v>-1.1356018213752033</v>
      </c>
      <c r="X6041" s="2">
        <f ca="1"/>
        <v>62.968145992714724</v>
      </c>
      <c r="AG6041" s="2">
        <f ca="1"/>
        <v>0.51496234712604916</v>
      </c>
      <c r="AH6041" s="2" t="str">
        <f ca="1"/>
        <v>Bad</v>
      </c>
    </row>
    <row r="6042" spans="2:34" x14ac:dyDescent="0.2">
      <c r="B6042" s="2">
        <f ca="1"/>
        <v>0.18729650044065838</v>
      </c>
      <c r="O6042" s="2">
        <f ca="1"/>
        <v>2.0063360529328755</v>
      </c>
      <c r="X6042" s="2">
        <f ca="1"/>
        <v>34.560344628249901</v>
      </c>
      <c r="AG6042" s="2">
        <f ca="1"/>
        <v>0.27756073267706127</v>
      </c>
      <c r="AH6042" s="2" t="str">
        <f ca="1"/>
        <v>OK</v>
      </c>
    </row>
    <row r="6043" spans="2:34" x14ac:dyDescent="0.2">
      <c r="B6043" s="2">
        <f ca="1"/>
        <v>0.62744072994631184</v>
      </c>
      <c r="O6043" s="2">
        <f ca="1"/>
        <v>-0.25090453047177441</v>
      </c>
      <c r="X6043" s="2">
        <f ca="1"/>
        <v>62.935471150481732</v>
      </c>
      <c r="AG6043" s="2">
        <f ca="1"/>
        <v>6.3139997380512236E-2</v>
      </c>
      <c r="AH6043" s="2" t="str">
        <f ca="1"/>
        <v>OK</v>
      </c>
    </row>
    <row r="6044" spans="2:34" x14ac:dyDescent="0.2">
      <c r="B6044" s="2">
        <f ca="1"/>
        <v>0.70486601431176132</v>
      </c>
      <c r="O6044" s="2">
        <f ca="1"/>
        <v>0.39473554706060454</v>
      </c>
      <c r="X6044" s="2">
        <f ca="1"/>
        <v>58.736885743564578</v>
      </c>
      <c r="AG6044" s="2">
        <f ca="1"/>
        <v>0.25126502857329602</v>
      </c>
      <c r="AH6044" s="2" t="str">
        <f ca="1"/>
        <v>OK</v>
      </c>
    </row>
    <row r="6045" spans="2:34" x14ac:dyDescent="0.2">
      <c r="B6045" s="2">
        <f ca="1"/>
        <v>0.64766628963586803</v>
      </c>
      <c r="O6045" s="2">
        <f ca="1"/>
        <v>-0.22231458349823727</v>
      </c>
      <c r="X6045" s="2">
        <f ca="1"/>
        <v>47.349134338479985</v>
      </c>
      <c r="AG6045" s="2">
        <f ca="1"/>
        <v>0.98460788553096945</v>
      </c>
      <c r="AH6045" s="2" t="str">
        <f ca="1"/>
        <v>Bad</v>
      </c>
    </row>
    <row r="6046" spans="2:34" x14ac:dyDescent="0.2">
      <c r="B6046" s="2">
        <f ca="1"/>
        <v>0.11645820092178227</v>
      </c>
      <c r="O6046" s="2">
        <f ca="1"/>
        <v>2.6596066754544507</v>
      </c>
      <c r="X6046" s="2">
        <f ca="1"/>
        <v>43.312707123978022</v>
      </c>
      <c r="AG6046" s="2">
        <f ca="1"/>
        <v>0.24636486798554325</v>
      </c>
      <c r="AH6046" s="2" t="str">
        <f ca="1"/>
        <v>OK</v>
      </c>
    </row>
    <row r="6047" spans="2:34" x14ac:dyDescent="0.2">
      <c r="B6047" s="2">
        <f ca="1"/>
        <v>0.96337603964973151</v>
      </c>
      <c r="O6047" s="2">
        <f ca="1"/>
        <v>-0.41159678172181469</v>
      </c>
      <c r="X6047" s="2">
        <f ca="1"/>
        <v>71.666019229197687</v>
      </c>
      <c r="AG6047" s="2">
        <f ca="1"/>
        <v>0.90669013640021445</v>
      </c>
      <c r="AH6047" s="2" t="str">
        <f ca="1"/>
        <v>Bad</v>
      </c>
    </row>
    <row r="6048" spans="2:34" x14ac:dyDescent="0.2">
      <c r="B6048" s="2">
        <f ca="1"/>
        <v>0.16385731492266342</v>
      </c>
      <c r="O6048" s="2">
        <f ca="1"/>
        <v>0.62516692271237706</v>
      </c>
      <c r="X6048" s="2">
        <f ca="1"/>
        <v>44.852562063842647</v>
      </c>
      <c r="AG6048" s="2">
        <f ca="1"/>
        <v>0.25769458076018736</v>
      </c>
      <c r="AH6048" s="2" t="str">
        <f ca="1"/>
        <v>OK</v>
      </c>
    </row>
    <row r="6049" spans="2:34" x14ac:dyDescent="0.2">
      <c r="B6049" s="2">
        <f ca="1"/>
        <v>0.34169970285735762</v>
      </c>
      <c r="O6049" s="2">
        <f ca="1"/>
        <v>-1.386575587830021</v>
      </c>
      <c r="X6049" s="2">
        <f ca="1"/>
        <v>31.244812448622355</v>
      </c>
      <c r="AG6049" s="2">
        <f ca="1"/>
        <v>9.997843028340947E-3</v>
      </c>
      <c r="AH6049" s="2" t="str">
        <f ca="1"/>
        <v>Good</v>
      </c>
    </row>
    <row r="6050" spans="2:34" x14ac:dyDescent="0.2">
      <c r="B6050" s="2">
        <f ca="1"/>
        <v>0.7232837682971307</v>
      </c>
      <c r="O6050" s="2">
        <f ca="1"/>
        <v>0.9761268439673948</v>
      </c>
      <c r="X6050" s="2">
        <f ca="1"/>
        <v>46.071201697556234</v>
      </c>
      <c r="AG6050" s="2">
        <f ca="1"/>
        <v>0.7006341132258227</v>
      </c>
      <c r="AH6050" s="2" t="str">
        <f ca="1"/>
        <v>Bad</v>
      </c>
    </row>
    <row r="6051" spans="2:34" x14ac:dyDescent="0.2">
      <c r="B6051" s="2">
        <f ca="1"/>
        <v>0.38197477110357725</v>
      </c>
      <c r="O6051" s="2">
        <f ca="1"/>
        <v>-0.80906444909629927</v>
      </c>
      <c r="X6051" s="2">
        <f ca="1"/>
        <v>44.945143941166606</v>
      </c>
      <c r="AG6051" s="2">
        <f ca="1"/>
        <v>0.66484414228278621</v>
      </c>
      <c r="AH6051" s="2" t="str">
        <f ca="1"/>
        <v>Bad</v>
      </c>
    </row>
    <row r="6052" spans="2:34" x14ac:dyDescent="0.2">
      <c r="B6052" s="2">
        <f ca="1"/>
        <v>1.9174765418851214E-2</v>
      </c>
      <c r="O6052" s="2">
        <f ca="1"/>
        <v>0.350844084203906</v>
      </c>
      <c r="X6052" s="2">
        <f ca="1"/>
        <v>42.927632623322424</v>
      </c>
      <c r="AG6052" s="2">
        <f ca="1"/>
        <v>0.98556924803899904</v>
      </c>
      <c r="AH6052" s="2" t="str">
        <f ca="1"/>
        <v>Bad</v>
      </c>
    </row>
    <row r="6053" spans="2:34" x14ac:dyDescent="0.2">
      <c r="B6053" s="2">
        <f ca="1"/>
        <v>0.18849078204132885</v>
      </c>
      <c r="O6053" s="2">
        <f ca="1"/>
        <v>0.36926389270300347</v>
      </c>
      <c r="X6053" s="2">
        <f ca="1"/>
        <v>35.76995638011099</v>
      </c>
      <c r="AG6053" s="2">
        <f ca="1"/>
        <v>0.15561429672667271</v>
      </c>
      <c r="AH6053" s="2" t="str">
        <f ca="1"/>
        <v>OK</v>
      </c>
    </row>
    <row r="6054" spans="2:34" x14ac:dyDescent="0.2">
      <c r="B6054" s="2">
        <f ca="1"/>
        <v>0.48848178798764774</v>
      </c>
      <c r="O6054" s="2">
        <f ca="1"/>
        <v>-0.11704160091140503</v>
      </c>
      <c r="X6054" s="2">
        <f ca="1"/>
        <v>45.282457370782225</v>
      </c>
      <c r="AG6054" s="2">
        <f ca="1"/>
        <v>1.1151773023587275E-2</v>
      </c>
      <c r="AH6054" s="2" t="str">
        <f ca="1"/>
        <v>Good</v>
      </c>
    </row>
    <row r="6055" spans="2:34" x14ac:dyDescent="0.2">
      <c r="B6055" s="2">
        <f ca="1"/>
        <v>0.34465495339398045</v>
      </c>
      <c r="O6055" s="2">
        <f ca="1"/>
        <v>-2.5436588217371381</v>
      </c>
      <c r="X6055" s="2">
        <f ca="1"/>
        <v>50.050750362459375</v>
      </c>
      <c r="AG6055" s="2">
        <f ca="1"/>
        <v>0.43339194604635267</v>
      </c>
      <c r="AH6055" s="2" t="str">
        <f ca="1"/>
        <v>Bad</v>
      </c>
    </row>
    <row r="6056" spans="2:34" x14ac:dyDescent="0.2">
      <c r="B6056" s="2">
        <f ca="1"/>
        <v>0.45464601809592331</v>
      </c>
      <c r="O6056" s="2">
        <f ca="1"/>
        <v>-0.27286806700592797</v>
      </c>
      <c r="X6056" s="2">
        <f ca="1"/>
        <v>58.283347096323048</v>
      </c>
      <c r="AG6056" s="2">
        <f ca="1"/>
        <v>0.34434623956491306</v>
      </c>
      <c r="AH6056" s="2" t="str">
        <f ca="1"/>
        <v>OK</v>
      </c>
    </row>
    <row r="6057" spans="2:34" x14ac:dyDescent="0.2">
      <c r="B6057" s="2">
        <f ca="1"/>
        <v>0.11618134198506613</v>
      </c>
      <c r="O6057" s="2">
        <f ca="1"/>
        <v>-0.26937101938539515</v>
      </c>
      <c r="X6057" s="2">
        <f ca="1"/>
        <v>52.004021648944018</v>
      </c>
      <c r="AG6057" s="2">
        <f ca="1"/>
        <v>0.44028644986672161</v>
      </c>
      <c r="AH6057" s="2" t="str">
        <f ca="1"/>
        <v>Bad</v>
      </c>
    </row>
    <row r="6058" spans="2:34" x14ac:dyDescent="0.2">
      <c r="B6058" s="2">
        <f ca="1"/>
        <v>0.73499594541624536</v>
      </c>
      <c r="O6058" s="2">
        <f ca="1"/>
        <v>1.0359553851497914</v>
      </c>
      <c r="X6058" s="2">
        <f ca="1"/>
        <v>61.615994710242518</v>
      </c>
      <c r="AG6058" s="2">
        <f ca="1"/>
        <v>0.64305228157146654</v>
      </c>
      <c r="AH6058" s="2" t="str">
        <f ca="1"/>
        <v>Bad</v>
      </c>
    </row>
    <row r="6059" spans="2:34" x14ac:dyDescent="0.2">
      <c r="B6059" s="2">
        <f ca="1"/>
        <v>0.65519312790223783</v>
      </c>
      <c r="O6059" s="2">
        <f ca="1"/>
        <v>-0.79755631092973922</v>
      </c>
      <c r="X6059" s="2">
        <f ca="1"/>
        <v>31.81626441349492</v>
      </c>
      <c r="AG6059" s="2">
        <f ca="1"/>
        <v>0.74683500267590386</v>
      </c>
      <c r="AH6059" s="2" t="str">
        <f ca="1"/>
        <v>Bad</v>
      </c>
    </row>
    <row r="6060" spans="2:34" x14ac:dyDescent="0.2">
      <c r="B6060" s="2">
        <f ca="1"/>
        <v>0.21624627682255615</v>
      </c>
      <c r="O6060" s="2">
        <f ca="1"/>
        <v>0.45636093365950431</v>
      </c>
      <c r="X6060" s="2">
        <f ca="1"/>
        <v>75.940056542077784</v>
      </c>
      <c r="AG6060" s="2">
        <f ca="1"/>
        <v>8.7115472001109806E-2</v>
      </c>
      <c r="AH6060" s="2" t="str">
        <f ca="1"/>
        <v>OK</v>
      </c>
    </row>
    <row r="6061" spans="2:34" x14ac:dyDescent="0.2">
      <c r="B6061" s="2">
        <f ca="1"/>
        <v>7.8470323436474754E-3</v>
      </c>
      <c r="O6061" s="2">
        <f ca="1"/>
        <v>0.93747897938163982</v>
      </c>
      <c r="X6061" s="2">
        <f ca="1"/>
        <v>34.509001477153532</v>
      </c>
      <c r="AG6061" s="2">
        <f ca="1"/>
        <v>0.79696190970328362</v>
      </c>
      <c r="AH6061" s="2" t="str">
        <f ca="1"/>
        <v>Bad</v>
      </c>
    </row>
    <row r="6062" spans="2:34" x14ac:dyDescent="0.2">
      <c r="B6062" s="2">
        <f ca="1"/>
        <v>0.66705935189201182</v>
      </c>
      <c r="O6062" s="2">
        <f ca="1"/>
        <v>0.59812616253345741</v>
      </c>
      <c r="X6062" s="2">
        <f ca="1"/>
        <v>37.14798516824483</v>
      </c>
      <c r="AG6062" s="2">
        <f ca="1"/>
        <v>0.95667887771191951</v>
      </c>
      <c r="AH6062" s="2" t="str">
        <f ca="1"/>
        <v>Bad</v>
      </c>
    </row>
    <row r="6063" spans="2:34" x14ac:dyDescent="0.2">
      <c r="B6063" s="2">
        <f ca="1"/>
        <v>0.90758498091276651</v>
      </c>
      <c r="O6063" s="2">
        <f ca="1"/>
        <v>1.2524932515091118</v>
      </c>
      <c r="X6063" s="2">
        <f ca="1"/>
        <v>59.282011216664074</v>
      </c>
      <c r="AG6063" s="2">
        <f ca="1"/>
        <v>0.84633695450114943</v>
      </c>
      <c r="AH6063" s="2" t="str">
        <f ca="1"/>
        <v>Bad</v>
      </c>
    </row>
    <row r="6064" spans="2:34" x14ac:dyDescent="0.2">
      <c r="B6064" s="2">
        <f ca="1"/>
        <v>0.28734542049192902</v>
      </c>
      <c r="O6064" s="2">
        <f ca="1"/>
        <v>-6.2402092019868308E-2</v>
      </c>
      <c r="X6064" s="2">
        <f ca="1"/>
        <v>76.057253788355297</v>
      </c>
      <c r="AG6064" s="2">
        <f ca="1"/>
        <v>0.51325414039129313</v>
      </c>
      <c r="AH6064" s="2" t="str">
        <f ca="1"/>
        <v>Bad</v>
      </c>
    </row>
    <row r="6065" spans="2:34" x14ac:dyDescent="0.2">
      <c r="B6065" s="2">
        <f ca="1"/>
        <v>0.63690473996423802</v>
      </c>
      <c r="O6065" s="2">
        <f ca="1"/>
        <v>0.11739796815937177</v>
      </c>
      <c r="X6065" s="2">
        <f ca="1"/>
        <v>49.001725816132733</v>
      </c>
      <c r="AG6065" s="2">
        <f ca="1"/>
        <v>5.2166181820236579E-2</v>
      </c>
      <c r="AH6065" s="2" t="str">
        <f ca="1"/>
        <v>OK</v>
      </c>
    </row>
    <row r="6066" spans="2:34" x14ac:dyDescent="0.2">
      <c r="B6066" s="2">
        <f ca="1"/>
        <v>0.13848823429865864</v>
      </c>
      <c r="O6066" s="2">
        <f ca="1"/>
        <v>-0.48637930201192081</v>
      </c>
      <c r="X6066" s="2">
        <f ca="1"/>
        <v>28.38317919196615</v>
      </c>
      <c r="AG6066" s="2">
        <f ca="1"/>
        <v>0.16683282455576798</v>
      </c>
      <c r="AH6066" s="2" t="str">
        <f ca="1"/>
        <v>OK</v>
      </c>
    </row>
    <row r="6067" spans="2:34" x14ac:dyDescent="0.2">
      <c r="B6067" s="2">
        <f ca="1"/>
        <v>0.15728323602506955</v>
      </c>
      <c r="O6067" s="2">
        <f ca="1"/>
        <v>0.45187719306809193</v>
      </c>
      <c r="X6067" s="2">
        <f ca="1"/>
        <v>36.366155800825375</v>
      </c>
      <c r="AG6067" s="2">
        <f ca="1"/>
        <v>0.84163210499719288</v>
      </c>
      <c r="AH6067" s="2" t="str">
        <f ca="1"/>
        <v>Bad</v>
      </c>
    </row>
    <row r="6068" spans="2:34" x14ac:dyDescent="0.2">
      <c r="B6068" s="2">
        <f ca="1"/>
        <v>0.1842037775185712</v>
      </c>
      <c r="O6068" s="2">
        <f ca="1"/>
        <v>-1.1067741147190919</v>
      </c>
      <c r="X6068" s="2">
        <f ca="1"/>
        <v>48.745958643694081</v>
      </c>
      <c r="AG6068" s="2">
        <f ca="1"/>
        <v>0.97393913154865741</v>
      </c>
      <c r="AH6068" s="2" t="str">
        <f ca="1"/>
        <v>Bad</v>
      </c>
    </row>
    <row r="6069" spans="2:34" x14ac:dyDescent="0.2">
      <c r="B6069" s="2">
        <f ca="1"/>
        <v>0.94075892515884818</v>
      </c>
      <c r="O6069" s="2">
        <f ca="1"/>
        <v>-1.3972273832456774</v>
      </c>
      <c r="X6069" s="2">
        <f ca="1"/>
        <v>53.26458446753935</v>
      </c>
      <c r="AG6069" s="2">
        <f ca="1"/>
        <v>0.36725044679556595</v>
      </c>
      <c r="AH6069" s="2" t="str">
        <f ca="1"/>
        <v>OK</v>
      </c>
    </row>
    <row r="6070" spans="2:34" x14ac:dyDescent="0.2">
      <c r="B6070" s="2">
        <f ca="1"/>
        <v>0.33565695159822506</v>
      </c>
      <c r="O6070" s="2">
        <f ca="1"/>
        <v>0.21684789223749584</v>
      </c>
      <c r="X6070" s="2">
        <f ca="1"/>
        <v>53.799983511980798</v>
      </c>
      <c r="AG6070" s="2">
        <f ca="1"/>
        <v>3.6212625172248547E-2</v>
      </c>
      <c r="AH6070" s="2" t="str">
        <f ca="1"/>
        <v>Good</v>
      </c>
    </row>
    <row r="6071" spans="2:34" x14ac:dyDescent="0.2">
      <c r="B6071" s="2">
        <f ca="1"/>
        <v>0.39638351254940329</v>
      </c>
      <c r="O6071" s="2">
        <f ca="1"/>
        <v>-1.0831566176294698</v>
      </c>
      <c r="X6071" s="2">
        <f ca="1"/>
        <v>31.791108259990789</v>
      </c>
      <c r="AG6071" s="2">
        <f ca="1"/>
        <v>0.75694873596535572</v>
      </c>
      <c r="AH6071" s="2" t="str">
        <f ca="1"/>
        <v>Bad</v>
      </c>
    </row>
    <row r="6072" spans="2:34" x14ac:dyDescent="0.2">
      <c r="B6072" s="2">
        <f ca="1"/>
        <v>0.53824262279882729</v>
      </c>
      <c r="O6072" s="2">
        <f ca="1"/>
        <v>0.95147145035390035</v>
      </c>
      <c r="X6072" s="2">
        <f ca="1"/>
        <v>61.745417999272398</v>
      </c>
      <c r="AG6072" s="2">
        <f ca="1"/>
        <v>0.51758065266322162</v>
      </c>
      <c r="AH6072" s="2" t="str">
        <f ca="1"/>
        <v>Bad</v>
      </c>
    </row>
    <row r="6073" spans="2:34" x14ac:dyDescent="0.2">
      <c r="B6073" s="2">
        <f ca="1"/>
        <v>5.1790313246721453E-2</v>
      </c>
      <c r="O6073" s="2">
        <f ca="1"/>
        <v>-0.54878621957542006</v>
      </c>
      <c r="X6073" s="2">
        <f ca="1"/>
        <v>51.146106888944985</v>
      </c>
      <c r="AG6073" s="2">
        <f ca="1"/>
        <v>0.33739169332223717</v>
      </c>
      <c r="AH6073" s="2" t="str">
        <f ca="1"/>
        <v>OK</v>
      </c>
    </row>
    <row r="6074" spans="2:34" x14ac:dyDescent="0.2">
      <c r="B6074" s="2">
        <f ca="1"/>
        <v>0.66280024755319844</v>
      </c>
      <c r="O6074" s="2">
        <f ca="1"/>
        <v>0.20971665367661532</v>
      </c>
      <c r="X6074" s="2">
        <f ca="1"/>
        <v>41.686678593928939</v>
      </c>
      <c r="AG6074" s="2">
        <f ca="1"/>
        <v>0.48247686159946412</v>
      </c>
      <c r="AH6074" s="2" t="str">
        <f ca="1"/>
        <v>Bad</v>
      </c>
    </row>
    <row r="6075" spans="2:34" x14ac:dyDescent="0.2">
      <c r="B6075" s="2">
        <f ca="1"/>
        <v>0.87459179806338549</v>
      </c>
      <c r="O6075" s="2">
        <f ca="1"/>
        <v>1.9725924891988702</v>
      </c>
      <c r="X6075" s="2">
        <f ca="1"/>
        <v>46.597435771110966</v>
      </c>
      <c r="AG6075" s="2">
        <f ca="1"/>
        <v>0.20683623245298866</v>
      </c>
      <c r="AH6075" s="2" t="str">
        <f ca="1"/>
        <v>OK</v>
      </c>
    </row>
    <row r="6076" spans="2:34" x14ac:dyDescent="0.2">
      <c r="B6076" s="2">
        <f ca="1"/>
        <v>0.56007557960675913</v>
      </c>
      <c r="O6076" s="2">
        <f ca="1"/>
        <v>0.53845740841192746</v>
      </c>
      <c r="X6076" s="2">
        <f ca="1"/>
        <v>49.858285306769517</v>
      </c>
      <c r="AG6076" s="2">
        <f ca="1"/>
        <v>0.47827616471442402</v>
      </c>
      <c r="AH6076" s="2" t="str">
        <f ca="1"/>
        <v>Bad</v>
      </c>
    </row>
    <row r="6077" spans="2:34" x14ac:dyDescent="0.2">
      <c r="B6077" s="2">
        <f ca="1"/>
        <v>0.40031594118574043</v>
      </c>
      <c r="O6077" s="2">
        <f ca="1"/>
        <v>0.87313292873423953</v>
      </c>
      <c r="X6077" s="2">
        <f ca="1"/>
        <v>47.509096640387057</v>
      </c>
      <c r="AG6077" s="2">
        <f ca="1"/>
        <v>0.1633532390154766</v>
      </c>
      <c r="AH6077" s="2" t="str">
        <f ca="1"/>
        <v>OK</v>
      </c>
    </row>
    <row r="6078" spans="2:34" x14ac:dyDescent="0.2">
      <c r="B6078" s="2">
        <f ca="1"/>
        <v>0.8814163012848788</v>
      </c>
      <c r="O6078" s="2">
        <f ca="1"/>
        <v>0.55566578010110979</v>
      </c>
      <c r="X6078" s="2">
        <f ca="1"/>
        <v>47.934006387962533</v>
      </c>
      <c r="AG6078" s="2">
        <f ca="1"/>
        <v>0.33300343144900113</v>
      </c>
      <c r="AH6078" s="2" t="str">
        <f ca="1"/>
        <v>OK</v>
      </c>
    </row>
    <row r="6079" spans="2:34" x14ac:dyDescent="0.2">
      <c r="B6079" s="2">
        <f ca="1"/>
        <v>0.74624702743851756</v>
      </c>
      <c r="O6079" s="2">
        <f ca="1"/>
        <v>1.8547360899262348</v>
      </c>
      <c r="X6079" s="2">
        <f ca="1"/>
        <v>43.369001043921529</v>
      </c>
      <c r="AG6079" s="2">
        <f ca="1"/>
        <v>2.7083816013044881E-3</v>
      </c>
      <c r="AH6079" s="2" t="str">
        <f ca="1"/>
        <v>Good</v>
      </c>
    </row>
    <row r="6080" spans="2:34" x14ac:dyDescent="0.2">
      <c r="B6080" s="2">
        <f ca="1"/>
        <v>0.15722566873020116</v>
      </c>
      <c r="O6080" s="2">
        <f ca="1"/>
        <v>0.42639919249388786</v>
      </c>
      <c r="X6080" s="2">
        <f ca="1"/>
        <v>30.426563458192462</v>
      </c>
      <c r="AG6080" s="2">
        <f ca="1"/>
        <v>0.22404890692926083</v>
      </c>
      <c r="AH6080" s="2" t="str">
        <f ca="1"/>
        <v>OK</v>
      </c>
    </row>
    <row r="6081" spans="2:34" x14ac:dyDescent="0.2">
      <c r="B6081" s="2">
        <f ca="1"/>
        <v>0.57024899179870148</v>
      </c>
      <c r="O6081" s="2">
        <f ca="1"/>
        <v>1.1376468219401299</v>
      </c>
      <c r="X6081" s="2">
        <f ca="1"/>
        <v>47.712626050046808</v>
      </c>
      <c r="AG6081" s="2">
        <f ca="1"/>
        <v>6.3360179498853864E-2</v>
      </c>
      <c r="AH6081" s="2" t="str">
        <f ca="1"/>
        <v>OK</v>
      </c>
    </row>
    <row r="6082" spans="2:34" x14ac:dyDescent="0.2">
      <c r="B6082" s="2">
        <f ca="1"/>
        <v>0.99299299552730758</v>
      </c>
      <c r="O6082" s="2">
        <f ca="1"/>
        <v>1.1221050579612479</v>
      </c>
      <c r="X6082" s="2">
        <f ca="1"/>
        <v>72.18555510916346</v>
      </c>
      <c r="AG6082" s="2">
        <f ca="1"/>
        <v>0.55514392741898133</v>
      </c>
      <c r="AH6082" s="2" t="str">
        <f ca="1"/>
        <v>Bad</v>
      </c>
    </row>
    <row r="6083" spans="2:34" x14ac:dyDescent="0.2">
      <c r="B6083" s="2">
        <f ca="1"/>
        <v>0.89073482101338874</v>
      </c>
      <c r="O6083" s="2">
        <f ca="1"/>
        <v>-1.5369818455168105</v>
      </c>
      <c r="X6083" s="2">
        <f ca="1"/>
        <v>62.491286396854136</v>
      </c>
      <c r="AG6083" s="2">
        <f ca="1"/>
        <v>0.22962467960992194</v>
      </c>
      <c r="AH6083" s="2" t="str">
        <f ca="1"/>
        <v>OK</v>
      </c>
    </row>
    <row r="6084" spans="2:34" x14ac:dyDescent="0.2">
      <c r="B6084" s="2">
        <f ca="1"/>
        <v>0.58037982630378826</v>
      </c>
      <c r="O6084" s="2">
        <f ca="1"/>
        <v>0.80434418664143725</v>
      </c>
      <c r="X6084" s="2">
        <f ca="1"/>
        <v>52.145006070095086</v>
      </c>
      <c r="AG6084" s="2">
        <f ca="1"/>
        <v>4.8773634060675253E-2</v>
      </c>
      <c r="AH6084" s="2" t="str">
        <f ca="1"/>
        <v>Good</v>
      </c>
    </row>
    <row r="6085" spans="2:34" x14ac:dyDescent="0.2">
      <c r="B6085" s="2">
        <f ca="1"/>
        <v>0.34772562971854226</v>
      </c>
      <c r="O6085" s="2">
        <f ca="1"/>
        <v>-0.90570720392414694</v>
      </c>
      <c r="X6085" s="2">
        <f ca="1"/>
        <v>69.921367044377533</v>
      </c>
      <c r="AG6085" s="2">
        <f ca="1"/>
        <v>0.39740407641543007</v>
      </c>
      <c r="AH6085" s="2" t="str">
        <f ca="1"/>
        <v>OK</v>
      </c>
    </row>
    <row r="6086" spans="2:34" x14ac:dyDescent="0.2">
      <c r="B6086" s="2">
        <f ca="1"/>
        <v>0.28568142459349</v>
      </c>
      <c r="O6086" s="2">
        <f ca="1"/>
        <v>1.8928870435589353</v>
      </c>
      <c r="X6086" s="2">
        <f ca="1"/>
        <v>54.381032907367093</v>
      </c>
      <c r="AG6086" s="2">
        <f ca="1"/>
        <v>0.81684795525230935</v>
      </c>
      <c r="AH6086" s="2" t="str">
        <f ca="1"/>
        <v>Bad</v>
      </c>
    </row>
    <row r="6087" spans="2:34" x14ac:dyDescent="0.2">
      <c r="B6087" s="2">
        <f ca="1"/>
        <v>0.81104692544562562</v>
      </c>
      <c r="O6087" s="2">
        <f ca="1"/>
        <v>-4.3649488982321714</v>
      </c>
      <c r="X6087" s="2">
        <f ca="1"/>
        <v>43.062578878081354</v>
      </c>
      <c r="AG6087" s="2">
        <f ca="1"/>
        <v>0.82981684166471559</v>
      </c>
      <c r="AH6087" s="2" t="str">
        <f ca="1"/>
        <v>Bad</v>
      </c>
    </row>
    <row r="6088" spans="2:34" x14ac:dyDescent="0.2">
      <c r="B6088" s="2">
        <f ca="1"/>
        <v>4.238587403908034E-2</v>
      </c>
      <c r="O6088" s="2">
        <f ca="1"/>
        <v>-0.50090452400932817</v>
      </c>
      <c r="X6088" s="2">
        <f ca="1"/>
        <v>40.058874373981595</v>
      </c>
      <c r="AG6088" s="2">
        <f ca="1"/>
        <v>0.56733946498118315</v>
      </c>
      <c r="AH6088" s="2" t="str">
        <f ca="1"/>
        <v>Bad</v>
      </c>
    </row>
    <row r="6089" spans="2:34" x14ac:dyDescent="0.2">
      <c r="B6089" s="2">
        <f ca="1"/>
        <v>0.28335369589876724</v>
      </c>
      <c r="O6089" s="2">
        <f ca="1"/>
        <v>-0.45803241538764883</v>
      </c>
      <c r="X6089" s="2">
        <f ca="1"/>
        <v>39.568000443187579</v>
      </c>
      <c r="AG6089" s="2">
        <f ca="1"/>
        <v>0.11548478136589835</v>
      </c>
      <c r="AH6089" s="2" t="str">
        <f ca="1"/>
        <v>OK</v>
      </c>
    </row>
    <row r="6090" spans="2:34" x14ac:dyDescent="0.2">
      <c r="B6090" s="2">
        <f ca="1"/>
        <v>0.7305464282645342</v>
      </c>
      <c r="O6090" s="2">
        <f ca="1"/>
        <v>0.12582776198780352</v>
      </c>
      <c r="X6090" s="2">
        <f ca="1"/>
        <v>52.653681783258683</v>
      </c>
      <c r="AG6090" s="2">
        <f ca="1"/>
        <v>0.74024591275282137</v>
      </c>
      <c r="AH6090" s="2" t="str">
        <f ca="1"/>
        <v>Bad</v>
      </c>
    </row>
    <row r="6091" spans="2:34" x14ac:dyDescent="0.2">
      <c r="B6091" s="2">
        <f ca="1"/>
        <v>0.58648971849299403</v>
      </c>
      <c r="O6091" s="2">
        <f ca="1"/>
        <v>6.4420036332468317E-2</v>
      </c>
      <c r="X6091" s="2">
        <f ca="1"/>
        <v>29.27073659998706</v>
      </c>
      <c r="AG6091" s="2">
        <f ca="1"/>
        <v>6.105533016017417E-2</v>
      </c>
      <c r="AH6091" s="2" t="str">
        <f ca="1"/>
        <v>OK</v>
      </c>
    </row>
    <row r="6092" spans="2:34" x14ac:dyDescent="0.2">
      <c r="B6092" s="2">
        <f ca="1"/>
        <v>0.69274577735537868</v>
      </c>
      <c r="O6092" s="2">
        <f ca="1"/>
        <v>0.24688287574808879</v>
      </c>
      <c r="X6092" s="2">
        <f ca="1"/>
        <v>58.048778233525269</v>
      </c>
      <c r="AG6092" s="2">
        <f ca="1"/>
        <v>0.213390429569152</v>
      </c>
      <c r="AH6092" s="2" t="str">
        <f ca="1"/>
        <v>OK</v>
      </c>
    </row>
    <row r="6093" spans="2:34" x14ac:dyDescent="0.2">
      <c r="B6093" s="2">
        <f ca="1"/>
        <v>0.66228610335274252</v>
      </c>
      <c r="O6093" s="2">
        <f ca="1"/>
        <v>0.71667354256433591</v>
      </c>
      <c r="X6093" s="2">
        <f ca="1"/>
        <v>39.684888353656447</v>
      </c>
      <c r="AG6093" s="2">
        <f ca="1"/>
        <v>0.20490723763390295</v>
      </c>
      <c r="AH6093" s="2" t="str">
        <f ca="1"/>
        <v>OK</v>
      </c>
    </row>
    <row r="6094" spans="2:34" x14ac:dyDescent="0.2">
      <c r="B6094" s="2">
        <f ca="1"/>
        <v>0.1062268581949255</v>
      </c>
      <c r="O6094" s="2">
        <f ca="1"/>
        <v>-2.0487419246336449</v>
      </c>
      <c r="X6094" s="2">
        <f ca="1"/>
        <v>72.107077498016778</v>
      </c>
      <c r="AG6094" s="2">
        <f ca="1"/>
        <v>0.95704566897704657</v>
      </c>
      <c r="AH6094" s="2" t="str">
        <f ca="1"/>
        <v>Bad</v>
      </c>
    </row>
    <row r="6095" spans="2:34" x14ac:dyDescent="0.2">
      <c r="B6095" s="2">
        <f ca="1"/>
        <v>0.34327104848362722</v>
      </c>
      <c r="O6095" s="2">
        <f ca="1"/>
        <v>-0.63937790454197052</v>
      </c>
      <c r="X6095" s="2">
        <f ca="1"/>
        <v>45.195569534904777</v>
      </c>
      <c r="AG6095" s="2">
        <f ca="1"/>
        <v>0.84054283257046203</v>
      </c>
      <c r="AH6095" s="2" t="str">
        <f ca="1"/>
        <v>Bad</v>
      </c>
    </row>
    <row r="6096" spans="2:34" x14ac:dyDescent="0.2">
      <c r="B6096" s="2">
        <f ca="1"/>
        <v>7.0162561276337909E-2</v>
      </c>
      <c r="O6096" s="2">
        <f ca="1"/>
        <v>0.26359264308253227</v>
      </c>
      <c r="X6096" s="2">
        <f ca="1"/>
        <v>50.273865660021038</v>
      </c>
      <c r="AG6096" s="2">
        <f ca="1"/>
        <v>0.59707268845028705</v>
      </c>
      <c r="AH6096" s="2" t="str">
        <f ca="1"/>
        <v>Bad</v>
      </c>
    </row>
    <row r="6097" spans="2:34" x14ac:dyDescent="0.2">
      <c r="B6097" s="2">
        <f ca="1"/>
        <v>0.32060494235107839</v>
      </c>
      <c r="O6097" s="2">
        <f ca="1"/>
        <v>-0.42727928468566223</v>
      </c>
      <c r="X6097" s="2">
        <f ca="1"/>
        <v>40.054356413728591</v>
      </c>
      <c r="AG6097" s="2">
        <f ca="1"/>
        <v>0.65413902210950425</v>
      </c>
      <c r="AH6097" s="2" t="str">
        <f ca="1"/>
        <v>Bad</v>
      </c>
    </row>
    <row r="6098" spans="2:34" x14ac:dyDescent="0.2">
      <c r="B6098" s="2">
        <f ca="1"/>
        <v>0.64789287698517994</v>
      </c>
      <c r="O6098" s="2">
        <f ca="1"/>
        <v>-0.25505340365358525</v>
      </c>
      <c r="X6098" s="2">
        <f ca="1"/>
        <v>53.141508707661629</v>
      </c>
      <c r="AG6098" s="2">
        <f ca="1"/>
        <v>0.79907119565014972</v>
      </c>
      <c r="AH6098" s="2" t="str">
        <f ca="1"/>
        <v>Bad</v>
      </c>
    </row>
    <row r="6099" spans="2:34" x14ac:dyDescent="0.2">
      <c r="B6099" s="2">
        <f ca="1"/>
        <v>0.71195577112972686</v>
      </c>
      <c r="O6099" s="2">
        <f ca="1"/>
        <v>-0.85186019662823109</v>
      </c>
      <c r="X6099" s="2">
        <f ca="1"/>
        <v>20.216787693764861</v>
      </c>
      <c r="AG6099" s="2">
        <f ca="1"/>
        <v>0.51863744647845933</v>
      </c>
      <c r="AH6099" s="2" t="str">
        <f ca="1"/>
        <v>Bad</v>
      </c>
    </row>
    <row r="6100" spans="2:34" x14ac:dyDescent="0.2">
      <c r="B6100" s="2">
        <f ca="1"/>
        <v>0.58255196858110558</v>
      </c>
      <c r="O6100" s="2">
        <f ca="1"/>
        <v>-0.48029456904450663</v>
      </c>
      <c r="X6100" s="2">
        <f ca="1"/>
        <v>40.514117323413117</v>
      </c>
      <c r="AG6100" s="2">
        <f ca="1"/>
        <v>0.30024014750261685</v>
      </c>
      <c r="AH6100" s="2" t="str">
        <f ca="1"/>
        <v>OK</v>
      </c>
    </row>
    <row r="6101" spans="2:34" x14ac:dyDescent="0.2">
      <c r="B6101" s="2">
        <f ca="1"/>
        <v>0.99972795380633706</v>
      </c>
      <c r="O6101" s="2">
        <f ca="1"/>
        <v>0.84250007237504287</v>
      </c>
      <c r="X6101" s="2">
        <f ca="1"/>
        <v>65.001063007365914</v>
      </c>
      <c r="AG6101" s="2">
        <f ca="1"/>
        <v>5.7547533304616927E-2</v>
      </c>
      <c r="AH6101" s="2" t="str">
        <f ca="1"/>
        <v>OK</v>
      </c>
    </row>
    <row r="6102" spans="2:34" x14ac:dyDescent="0.2">
      <c r="B6102" s="2">
        <f ca="1"/>
        <v>0.81864350553020881</v>
      </c>
      <c r="O6102" s="2">
        <f ca="1"/>
        <v>5.0483165949130375E-2</v>
      </c>
      <c r="X6102" s="2">
        <f ca="1"/>
        <v>31.109252697749461</v>
      </c>
      <c r="AG6102" s="2">
        <f ca="1"/>
        <v>2.7599967062504227E-2</v>
      </c>
      <c r="AH6102" s="2" t="str">
        <f ca="1"/>
        <v>Good</v>
      </c>
    </row>
    <row r="6103" spans="2:34" x14ac:dyDescent="0.2">
      <c r="B6103" s="2">
        <f ca="1"/>
        <v>0.20125832399446697</v>
      </c>
      <c r="O6103" s="2">
        <f ca="1"/>
        <v>-1.5678667647588294</v>
      </c>
      <c r="X6103" s="2">
        <f ca="1"/>
        <v>62.885063029553308</v>
      </c>
      <c r="AG6103" s="2">
        <f ca="1"/>
        <v>0.8085310719533938</v>
      </c>
      <c r="AH6103" s="2" t="str">
        <f ca="1"/>
        <v>Bad</v>
      </c>
    </row>
    <row r="6104" spans="2:34" x14ac:dyDescent="0.2">
      <c r="B6104" s="2">
        <f ca="1"/>
        <v>0.15385482845574794</v>
      </c>
      <c r="O6104" s="2">
        <f ca="1"/>
        <v>-1.3879516457409875</v>
      </c>
      <c r="X6104" s="2">
        <f ca="1"/>
        <v>59.923735063485012</v>
      </c>
      <c r="AG6104" s="2">
        <f ca="1"/>
        <v>0.31845467194801991</v>
      </c>
      <c r="AH6104" s="2" t="str">
        <f ca="1"/>
        <v>OK</v>
      </c>
    </row>
    <row r="6105" spans="2:34" x14ac:dyDescent="0.2">
      <c r="B6105" s="2">
        <f ca="1"/>
        <v>0.94596644375111594</v>
      </c>
      <c r="O6105" s="2">
        <f ca="1"/>
        <v>0.27947197535768831</v>
      </c>
      <c r="X6105" s="2">
        <f ca="1"/>
        <v>72.80420006511909</v>
      </c>
      <c r="AG6105" s="2">
        <f ca="1"/>
        <v>0.92977238187484135</v>
      </c>
      <c r="AH6105" s="2" t="str">
        <f ca="1"/>
        <v>Bad</v>
      </c>
    </row>
    <row r="6106" spans="2:34" x14ac:dyDescent="0.2">
      <c r="B6106" s="2">
        <f ca="1"/>
        <v>0.80036646343569418</v>
      </c>
      <c r="O6106" s="2">
        <f ca="1"/>
        <v>-1.2090290866450411</v>
      </c>
      <c r="X6106" s="2">
        <f ca="1"/>
        <v>63.047753821198313</v>
      </c>
      <c r="AG6106" s="2">
        <f ca="1"/>
        <v>0.78077348558397786</v>
      </c>
      <c r="AH6106" s="2" t="str">
        <f ca="1"/>
        <v>Bad</v>
      </c>
    </row>
    <row r="6107" spans="2:34" x14ac:dyDescent="0.2">
      <c r="B6107" s="2">
        <f ca="1"/>
        <v>0.11498461853663389</v>
      </c>
      <c r="O6107" s="2">
        <f ca="1"/>
        <v>-0.62172267709215556</v>
      </c>
      <c r="X6107" s="2">
        <f ca="1"/>
        <v>35.997066164635278</v>
      </c>
      <c r="AG6107" s="2">
        <f ca="1"/>
        <v>0.43278980313577664</v>
      </c>
      <c r="AH6107" s="2" t="str">
        <f ca="1"/>
        <v>Bad</v>
      </c>
    </row>
    <row r="6108" spans="2:34" x14ac:dyDescent="0.2">
      <c r="B6108" s="2">
        <f ca="1"/>
        <v>0.3978664278004016</v>
      </c>
      <c r="O6108" s="2">
        <f ca="1"/>
        <v>-1.3785174849787718</v>
      </c>
      <c r="X6108" s="2">
        <f ca="1"/>
        <v>47.791421524177757</v>
      </c>
      <c r="AG6108" s="2">
        <f ca="1"/>
        <v>0.91669116592976363</v>
      </c>
      <c r="AH6108" s="2" t="str">
        <f ca="1"/>
        <v>Bad</v>
      </c>
    </row>
    <row r="6109" spans="2:34" x14ac:dyDescent="0.2">
      <c r="B6109" s="2">
        <f ca="1"/>
        <v>0.69227846300433082</v>
      </c>
      <c r="O6109" s="2">
        <f ca="1"/>
        <v>-0.76379475893581839</v>
      </c>
      <c r="X6109" s="2">
        <f ca="1"/>
        <v>56.33644970888782</v>
      </c>
      <c r="AG6109" s="2">
        <f ca="1"/>
        <v>0.61863812411168095</v>
      </c>
      <c r="AH6109" s="2" t="str">
        <f ca="1"/>
        <v>Bad</v>
      </c>
    </row>
    <row r="6110" spans="2:34" x14ac:dyDescent="0.2">
      <c r="B6110" s="2">
        <f ca="1"/>
        <v>0.34595476966950245</v>
      </c>
      <c r="O6110" s="2">
        <f ca="1"/>
        <v>1.0162970609446567</v>
      </c>
      <c r="X6110" s="2">
        <f ca="1"/>
        <v>74.518973130746076</v>
      </c>
      <c r="AG6110" s="2">
        <f ca="1"/>
        <v>0.48556286446770813</v>
      </c>
      <c r="AH6110" s="2" t="str">
        <f ca="1"/>
        <v>Bad</v>
      </c>
    </row>
    <row r="6111" spans="2:34" x14ac:dyDescent="0.2">
      <c r="B6111" s="2">
        <f ca="1"/>
        <v>0.35759221535724151</v>
      </c>
      <c r="O6111" s="2">
        <f ca="1"/>
        <v>0.18390602509809495</v>
      </c>
      <c r="X6111" s="2">
        <f ca="1"/>
        <v>61.400149117992136</v>
      </c>
      <c r="AG6111" s="2">
        <f ca="1"/>
        <v>0.46000525698624695</v>
      </c>
      <c r="AH6111" s="2" t="str">
        <f ca="1"/>
        <v>Bad</v>
      </c>
    </row>
    <row r="6112" spans="2:34" x14ac:dyDescent="0.2">
      <c r="B6112" s="2">
        <f ca="1"/>
        <v>0.36571683056207549</v>
      </c>
      <c r="O6112" s="2">
        <f ca="1"/>
        <v>-0.11231119488201552</v>
      </c>
      <c r="X6112" s="2">
        <f ca="1"/>
        <v>74.297279038454548</v>
      </c>
      <c r="AG6112" s="2">
        <f ca="1"/>
        <v>0.34721541173305615</v>
      </c>
      <c r="AH6112" s="2" t="str">
        <f ca="1"/>
        <v>OK</v>
      </c>
    </row>
    <row r="6113" spans="2:34" x14ac:dyDescent="0.2">
      <c r="B6113" s="2">
        <f ca="1"/>
        <v>9.9658294810424541E-2</v>
      </c>
      <c r="O6113" s="2">
        <f ca="1"/>
        <v>-0.60773281984753513</v>
      </c>
      <c r="X6113" s="2">
        <f ca="1"/>
        <v>49.182979874135057</v>
      </c>
      <c r="AG6113" s="2">
        <f ca="1"/>
        <v>0.62557274383406569</v>
      </c>
      <c r="AH6113" s="2" t="str">
        <f ca="1"/>
        <v>Bad</v>
      </c>
    </row>
    <row r="6114" spans="2:34" x14ac:dyDescent="0.2">
      <c r="B6114" s="2">
        <f ca="1"/>
        <v>0.45197855373304119</v>
      </c>
      <c r="O6114" s="2">
        <f ca="1"/>
        <v>1.4325507768002788</v>
      </c>
      <c r="X6114" s="2">
        <f ca="1"/>
        <v>40.746263508694753</v>
      </c>
      <c r="AG6114" s="2">
        <f ca="1"/>
        <v>0.38285333453498871</v>
      </c>
      <c r="AH6114" s="2" t="str">
        <f ca="1"/>
        <v>OK</v>
      </c>
    </row>
    <row r="6115" spans="2:34" x14ac:dyDescent="0.2">
      <c r="B6115" s="2">
        <f ca="1"/>
        <v>0.5169043732295191</v>
      </c>
      <c r="O6115" s="2">
        <f ca="1"/>
        <v>-0.58384095923809631</v>
      </c>
      <c r="X6115" s="2">
        <f ca="1"/>
        <v>75.138619041278972</v>
      </c>
      <c r="AG6115" s="2">
        <f ca="1"/>
        <v>0.17295151463314684</v>
      </c>
      <c r="AH6115" s="2" t="str">
        <f ca="1"/>
        <v>OK</v>
      </c>
    </row>
    <row r="6116" spans="2:34" x14ac:dyDescent="0.2">
      <c r="B6116" s="2">
        <f ca="1"/>
        <v>0.9532506475682978</v>
      </c>
      <c r="O6116" s="2">
        <f ca="1"/>
        <v>0.99414948633473876</v>
      </c>
      <c r="X6116" s="2">
        <f ca="1"/>
        <v>65.717801431103567</v>
      </c>
      <c r="AG6116" s="2">
        <f ca="1"/>
        <v>0.92864680337933447</v>
      </c>
      <c r="AH6116" s="2" t="str">
        <f ca="1"/>
        <v>Bad</v>
      </c>
    </row>
    <row r="6117" spans="2:34" x14ac:dyDescent="0.2">
      <c r="B6117" s="2">
        <f ca="1"/>
        <v>0.55657275931928174</v>
      </c>
      <c r="O6117" s="2">
        <f ca="1"/>
        <v>0.20303726302121961</v>
      </c>
      <c r="X6117" s="2">
        <f ca="1"/>
        <v>51.23365784347299</v>
      </c>
      <c r="AG6117" s="2">
        <f ca="1"/>
        <v>0.2911143886779628</v>
      </c>
      <c r="AH6117" s="2" t="str">
        <f ca="1"/>
        <v>OK</v>
      </c>
    </row>
    <row r="6118" spans="2:34" x14ac:dyDescent="0.2">
      <c r="B6118" s="2">
        <f ca="1"/>
        <v>7.0469446264794122E-2</v>
      </c>
      <c r="O6118" s="2">
        <f ca="1"/>
        <v>-0.73788595795165002</v>
      </c>
      <c r="X6118" s="2">
        <f ca="1"/>
        <v>44.663623292271986</v>
      </c>
      <c r="AG6118" s="2">
        <f ca="1"/>
        <v>0.16735299471346621</v>
      </c>
      <c r="AH6118" s="2" t="str">
        <f ca="1"/>
        <v>OK</v>
      </c>
    </row>
    <row r="6119" spans="2:34" x14ac:dyDescent="0.2">
      <c r="B6119" s="2">
        <f ca="1"/>
        <v>1.4566795119834719E-3</v>
      </c>
      <c r="O6119" s="2">
        <f ca="1"/>
        <v>-1.3623214090349318</v>
      </c>
      <c r="X6119" s="2">
        <f ca="1"/>
        <v>32.036156880660528</v>
      </c>
      <c r="AG6119" s="2">
        <f ca="1"/>
        <v>0.70209800846105042</v>
      </c>
      <c r="AH6119" s="2" t="str">
        <f ca="1"/>
        <v>Bad</v>
      </c>
    </row>
    <row r="6120" spans="2:34" x14ac:dyDescent="0.2">
      <c r="B6120" s="2">
        <f ca="1"/>
        <v>0.53075597412000031</v>
      </c>
      <c r="O6120" s="2">
        <f ca="1"/>
        <v>0.797070565898362</v>
      </c>
      <c r="X6120" s="2">
        <f ca="1"/>
        <v>58.785114352908757</v>
      </c>
      <c r="AG6120" s="2">
        <f ca="1"/>
        <v>0.89292005662332796</v>
      </c>
      <c r="AH6120" s="2" t="str">
        <f ca="1"/>
        <v>Bad</v>
      </c>
    </row>
    <row r="6121" spans="2:34" x14ac:dyDescent="0.2">
      <c r="B6121" s="2">
        <f ca="1"/>
        <v>0.30834749919085813</v>
      </c>
      <c r="O6121" s="2">
        <f ca="1"/>
        <v>1.2100566137755568</v>
      </c>
      <c r="X6121" s="2">
        <f ca="1"/>
        <v>50.516052191067011</v>
      </c>
      <c r="AG6121" s="2">
        <f ca="1"/>
        <v>0.38276210154970691</v>
      </c>
      <c r="AH6121" s="2" t="str">
        <f ca="1"/>
        <v>OK</v>
      </c>
    </row>
    <row r="6122" spans="2:34" x14ac:dyDescent="0.2">
      <c r="B6122" s="2">
        <f ca="1"/>
        <v>0.48799045343511382</v>
      </c>
      <c r="O6122" s="2">
        <f ca="1"/>
        <v>6.5104398781276121E-2</v>
      </c>
      <c r="X6122" s="2">
        <f ca="1"/>
        <v>47.877410263575577</v>
      </c>
      <c r="AG6122" s="2">
        <f ca="1"/>
        <v>0.13775554615043073</v>
      </c>
      <c r="AH6122" s="2" t="str">
        <f ca="1"/>
        <v>OK</v>
      </c>
    </row>
    <row r="6123" spans="2:34" x14ac:dyDescent="0.2">
      <c r="B6123" s="2">
        <f ca="1"/>
        <v>0.92253131983655035</v>
      </c>
      <c r="O6123" s="2">
        <f ca="1"/>
        <v>-0.88101635071817397</v>
      </c>
      <c r="X6123" s="2">
        <f ca="1"/>
        <v>39.711529950028165</v>
      </c>
      <c r="AG6123" s="2">
        <f ca="1"/>
        <v>0.58083628767758855</v>
      </c>
      <c r="AH6123" s="2" t="str">
        <f ca="1"/>
        <v>Bad</v>
      </c>
    </row>
    <row r="6124" spans="2:34" x14ac:dyDescent="0.2">
      <c r="B6124" s="2">
        <f ca="1"/>
        <v>0.46897022372830444</v>
      </c>
      <c r="O6124" s="2">
        <f ca="1"/>
        <v>0.84838095367975996</v>
      </c>
      <c r="X6124" s="2">
        <f ca="1"/>
        <v>61.774003407970199</v>
      </c>
      <c r="AG6124" s="2">
        <f ca="1"/>
        <v>0.2127136298317045</v>
      </c>
      <c r="AH6124" s="2" t="str">
        <f ca="1"/>
        <v>OK</v>
      </c>
    </row>
    <row r="6125" spans="2:34" x14ac:dyDescent="0.2">
      <c r="B6125" s="2">
        <f ca="1"/>
        <v>0.85593424065977564</v>
      </c>
      <c r="O6125" s="2">
        <f ca="1"/>
        <v>0.10675233543712136</v>
      </c>
      <c r="X6125" s="2">
        <f ca="1"/>
        <v>53.498476394670583</v>
      </c>
      <c r="AG6125" s="2">
        <f ca="1"/>
        <v>0.13724423634997285</v>
      </c>
      <c r="AH6125" s="2" t="str">
        <f ca="1"/>
        <v>OK</v>
      </c>
    </row>
    <row r="6126" spans="2:34" x14ac:dyDescent="0.2">
      <c r="B6126" s="2">
        <f ca="1"/>
        <v>0.58215598279579628</v>
      </c>
      <c r="O6126" s="2">
        <f ca="1"/>
        <v>0.42502928715379379</v>
      </c>
      <c r="X6126" s="2">
        <f ca="1"/>
        <v>49.813858124662787</v>
      </c>
      <c r="AG6126" s="2">
        <f ca="1"/>
        <v>0.40848743715168534</v>
      </c>
      <c r="AH6126" s="2" t="str">
        <f ca="1"/>
        <v>Bad</v>
      </c>
    </row>
    <row r="6127" spans="2:34" x14ac:dyDescent="0.2">
      <c r="B6127" s="2">
        <f ca="1"/>
        <v>5.3976133818796734E-2</v>
      </c>
      <c r="O6127" s="2">
        <f ca="1"/>
        <v>-1.1285683293698932</v>
      </c>
      <c r="X6127" s="2">
        <f ca="1"/>
        <v>45.267309998003789</v>
      </c>
      <c r="AG6127" s="2">
        <f ca="1"/>
        <v>0.26816932659193604</v>
      </c>
      <c r="AH6127" s="2" t="str">
        <f ca="1"/>
        <v>OK</v>
      </c>
    </row>
    <row r="6128" spans="2:34" x14ac:dyDescent="0.2">
      <c r="B6128" s="2">
        <f ca="1"/>
        <v>0.89101635356486963</v>
      </c>
      <c r="O6128" s="2">
        <f ca="1"/>
        <v>-0.19205591364567903</v>
      </c>
      <c r="X6128" s="2">
        <f ca="1"/>
        <v>54.9255638430472</v>
      </c>
      <c r="AG6128" s="2">
        <f ca="1"/>
        <v>0.16104040187032176</v>
      </c>
      <c r="AH6128" s="2" t="str">
        <f ca="1"/>
        <v>OK</v>
      </c>
    </row>
    <row r="6129" spans="2:34" x14ac:dyDescent="0.2">
      <c r="B6129" s="2">
        <f ca="1"/>
        <v>0.18949213342341209</v>
      </c>
      <c r="O6129" s="2">
        <f ca="1"/>
        <v>0.60321872868202342</v>
      </c>
      <c r="X6129" s="2">
        <f ca="1"/>
        <v>60.854822092470229</v>
      </c>
      <c r="AG6129" s="2">
        <f ca="1"/>
        <v>0.90132065614397927</v>
      </c>
      <c r="AH6129" s="2" t="str">
        <f ca="1"/>
        <v>Bad</v>
      </c>
    </row>
    <row r="6130" spans="2:34" x14ac:dyDescent="0.2">
      <c r="B6130" s="2">
        <f ca="1"/>
        <v>0.21042947288601521</v>
      </c>
      <c r="O6130" s="2">
        <f ca="1"/>
        <v>-1.4905084336496848</v>
      </c>
      <c r="X6130" s="2">
        <f ca="1"/>
        <v>52.538073689683202</v>
      </c>
      <c r="AG6130" s="2">
        <f ca="1"/>
        <v>0.88881056420770821</v>
      </c>
      <c r="AH6130" s="2" t="str">
        <f ca="1"/>
        <v>Bad</v>
      </c>
    </row>
    <row r="6131" spans="2:34" x14ac:dyDescent="0.2">
      <c r="B6131" s="2">
        <f ca="1"/>
        <v>0.30263686597646866</v>
      </c>
      <c r="O6131" s="2">
        <f ca="1"/>
        <v>2.1710001838532547</v>
      </c>
      <c r="X6131" s="2">
        <f ca="1"/>
        <v>38.879327413685658</v>
      </c>
      <c r="AG6131" s="2">
        <f ca="1"/>
        <v>0.50320781663620684</v>
      </c>
      <c r="AH6131" s="2" t="str">
        <f ca="1"/>
        <v>Bad</v>
      </c>
    </row>
    <row r="6132" spans="2:34" x14ac:dyDescent="0.2">
      <c r="B6132" s="2">
        <f ca="1"/>
        <v>0.33920287831075258</v>
      </c>
      <c r="O6132" s="2">
        <f ca="1"/>
        <v>-0.89224472918665187</v>
      </c>
      <c r="X6132" s="2">
        <f ca="1"/>
        <v>24.751669307198377</v>
      </c>
      <c r="AG6132" s="2">
        <f ca="1"/>
        <v>0.14794475539130736</v>
      </c>
      <c r="AH6132" s="2" t="str">
        <f ca="1"/>
        <v>OK</v>
      </c>
    </row>
    <row r="6133" spans="2:34" x14ac:dyDescent="0.2">
      <c r="B6133" s="2">
        <f ca="1"/>
        <v>0.13610372699740636</v>
      </c>
      <c r="O6133" s="2">
        <f ca="1"/>
        <v>-0.1925862136852706</v>
      </c>
      <c r="X6133" s="2">
        <f ca="1"/>
        <v>23.333373360677246</v>
      </c>
      <c r="AG6133" s="2">
        <f ca="1"/>
        <v>0.45304127787987292</v>
      </c>
      <c r="AH6133" s="2" t="str">
        <f ca="1"/>
        <v>Bad</v>
      </c>
    </row>
    <row r="6134" spans="2:34" x14ac:dyDescent="0.2">
      <c r="B6134" s="2">
        <f ca="1"/>
        <v>0.35461875813457322</v>
      </c>
      <c r="O6134" s="2">
        <f ca="1"/>
        <v>0.82777330717220998</v>
      </c>
      <c r="X6134" s="2">
        <f ca="1"/>
        <v>26.488787007599889</v>
      </c>
      <c r="AG6134" s="2">
        <f ca="1"/>
        <v>0.39367639021760081</v>
      </c>
      <c r="AH6134" s="2" t="str">
        <f ca="1"/>
        <v>OK</v>
      </c>
    </row>
    <row r="6135" spans="2:34" x14ac:dyDescent="0.2">
      <c r="B6135" s="2">
        <f ca="1"/>
        <v>0.38590932221585139</v>
      </c>
      <c r="O6135" s="2">
        <f ca="1"/>
        <v>-1.5634262022966638</v>
      </c>
      <c r="X6135" s="2">
        <f ca="1"/>
        <v>32.153311569418882</v>
      </c>
      <c r="AG6135" s="2">
        <f ca="1"/>
        <v>0.41185596329702401</v>
      </c>
      <c r="AH6135" s="2" t="str">
        <f ca="1"/>
        <v>Bad</v>
      </c>
    </row>
    <row r="6136" spans="2:34" x14ac:dyDescent="0.2">
      <c r="B6136" s="2">
        <f ca="1"/>
        <v>0.19402318354328374</v>
      </c>
      <c r="O6136" s="2">
        <f ca="1"/>
        <v>1.1879875306818226</v>
      </c>
      <c r="X6136" s="2">
        <f ca="1"/>
        <v>64.204707906795818</v>
      </c>
      <c r="AG6136" s="2">
        <f ca="1"/>
        <v>0.72961758358607476</v>
      </c>
      <c r="AH6136" s="2" t="str">
        <f ca="1"/>
        <v>Bad</v>
      </c>
    </row>
    <row r="6137" spans="2:34" x14ac:dyDescent="0.2">
      <c r="B6137" s="2">
        <f ca="1"/>
        <v>0.54575516779532607</v>
      </c>
      <c r="O6137" s="2">
        <f ca="1"/>
        <v>-0.1479873129249096</v>
      </c>
      <c r="X6137" s="2">
        <f ca="1"/>
        <v>35.239780238254326</v>
      </c>
      <c r="AG6137" s="2">
        <f ca="1"/>
        <v>0.15115485146317376</v>
      </c>
      <c r="AH6137" s="2" t="str">
        <f ca="1"/>
        <v>OK</v>
      </c>
    </row>
    <row r="6138" spans="2:34" x14ac:dyDescent="0.2">
      <c r="B6138" s="2">
        <f ca="1"/>
        <v>0.83504397585570089</v>
      </c>
      <c r="O6138" s="2">
        <f ca="1"/>
        <v>-0.2311797604175978</v>
      </c>
      <c r="X6138" s="2">
        <f ca="1"/>
        <v>40.373710462797916</v>
      </c>
      <c r="AG6138" s="2">
        <f ca="1"/>
        <v>0.74664335730910802</v>
      </c>
      <c r="AH6138" s="2" t="str">
        <f ca="1"/>
        <v>Bad</v>
      </c>
    </row>
    <row r="6139" spans="2:34" x14ac:dyDescent="0.2">
      <c r="B6139" s="2">
        <f ca="1"/>
        <v>0.8183759121554337</v>
      </c>
      <c r="O6139" s="2">
        <f ca="1"/>
        <v>0.22278753505888946</v>
      </c>
      <c r="X6139" s="2">
        <f ca="1"/>
        <v>30.689234727284365</v>
      </c>
      <c r="AG6139" s="2">
        <f ca="1"/>
        <v>0.18093471994836929</v>
      </c>
      <c r="AH6139" s="2" t="str">
        <f ca="1"/>
        <v>OK</v>
      </c>
    </row>
    <row r="6140" spans="2:34" x14ac:dyDescent="0.2">
      <c r="B6140" s="2">
        <f ca="1"/>
        <v>0.69475574461045753</v>
      </c>
      <c r="O6140" s="2">
        <f ca="1"/>
        <v>-0.2683632714705767</v>
      </c>
      <c r="X6140" s="2">
        <f ca="1"/>
        <v>30.663148974667219</v>
      </c>
      <c r="AG6140" s="2">
        <f ca="1"/>
        <v>0.6331846285764049</v>
      </c>
      <c r="AH6140" s="2" t="str">
        <f ca="1"/>
        <v>Bad</v>
      </c>
    </row>
    <row r="6141" spans="2:34" x14ac:dyDescent="0.2">
      <c r="B6141" s="2">
        <f ca="1"/>
        <v>0.75289960318640148</v>
      </c>
      <c r="O6141" s="2">
        <f ca="1"/>
        <v>-0.90619831280258267</v>
      </c>
      <c r="X6141" s="2">
        <f ca="1"/>
        <v>57.196923557951862</v>
      </c>
      <c r="AG6141" s="2">
        <f ca="1"/>
        <v>0.86533233059837578</v>
      </c>
      <c r="AH6141" s="2" t="str">
        <f ca="1"/>
        <v>Bad</v>
      </c>
    </row>
    <row r="6142" spans="2:34" x14ac:dyDescent="0.2">
      <c r="B6142" s="2">
        <f ca="1"/>
        <v>0.97935293131549028</v>
      </c>
      <c r="O6142" s="2">
        <f ca="1"/>
        <v>0.66919039363635813</v>
      </c>
      <c r="X6142" s="2">
        <f ca="1"/>
        <v>50.590415036816353</v>
      </c>
      <c r="AG6142" s="2">
        <f ca="1"/>
        <v>0.77911650096157969</v>
      </c>
      <c r="AH6142" s="2" t="str">
        <f ca="1"/>
        <v>Bad</v>
      </c>
    </row>
    <row r="6143" spans="2:34" x14ac:dyDescent="0.2">
      <c r="B6143" s="2">
        <f ca="1"/>
        <v>0.9525797588474092</v>
      </c>
      <c r="O6143" s="2">
        <f ca="1"/>
        <v>-2.4020458143361831</v>
      </c>
      <c r="X6143" s="2">
        <f ca="1"/>
        <v>58.736548857820516</v>
      </c>
      <c r="AG6143" s="2">
        <f ca="1"/>
        <v>0.30881262888076932</v>
      </c>
      <c r="AH6143" s="2" t="str">
        <f ca="1"/>
        <v>OK</v>
      </c>
    </row>
    <row r="6144" spans="2:34" x14ac:dyDescent="0.2">
      <c r="B6144" s="2">
        <f ca="1"/>
        <v>3.4157848146696868E-2</v>
      </c>
      <c r="O6144" s="2">
        <f ca="1"/>
        <v>0.14890838656033736</v>
      </c>
      <c r="X6144" s="2">
        <f ca="1"/>
        <v>48.348952992691245</v>
      </c>
      <c r="AG6144" s="2">
        <f ca="1"/>
        <v>0.48710958274166627</v>
      </c>
      <c r="AH6144" s="2" t="str">
        <f ca="1"/>
        <v>Bad</v>
      </c>
    </row>
    <row r="6145" spans="2:34" x14ac:dyDescent="0.2">
      <c r="B6145" s="2">
        <f ca="1"/>
        <v>0.67064189877405633</v>
      </c>
      <c r="O6145" s="2">
        <f ca="1"/>
        <v>2.0269893908897152</v>
      </c>
      <c r="X6145" s="2">
        <f ca="1"/>
        <v>56.080509453656397</v>
      </c>
      <c r="AG6145" s="2">
        <f ca="1"/>
        <v>0.54277422966107691</v>
      </c>
      <c r="AH6145" s="2" t="str">
        <f ca="1"/>
        <v>Bad</v>
      </c>
    </row>
    <row r="6146" spans="2:34" x14ac:dyDescent="0.2">
      <c r="B6146" s="2">
        <f ca="1"/>
        <v>0.18015040283507666</v>
      </c>
      <c r="O6146" s="2">
        <f ca="1"/>
        <v>-0.11711891506059012</v>
      </c>
      <c r="X6146" s="2">
        <f ca="1"/>
        <v>38.768090898908426</v>
      </c>
      <c r="AG6146" s="2">
        <f ca="1"/>
        <v>0.25323416796988085</v>
      </c>
      <c r="AH6146" s="2" t="str">
        <f ca="1"/>
        <v>OK</v>
      </c>
    </row>
    <row r="6147" spans="2:34" x14ac:dyDescent="0.2">
      <c r="B6147" s="2">
        <f ca="1"/>
        <v>0.19960544879780051</v>
      </c>
      <c r="O6147" s="2">
        <f ca="1"/>
        <v>2.8715250331583331</v>
      </c>
      <c r="X6147" s="2">
        <f ca="1"/>
        <v>59.25785832555335</v>
      </c>
      <c r="AG6147" s="2">
        <f ca="1"/>
        <v>0.22382378612270659</v>
      </c>
      <c r="AH6147" s="2" t="str">
        <f ca="1"/>
        <v>OK</v>
      </c>
    </row>
    <row r="6148" spans="2:34" x14ac:dyDescent="0.2">
      <c r="B6148" s="2">
        <f ca="1"/>
        <v>0.62729475753664921</v>
      </c>
      <c r="O6148" s="2">
        <f ca="1"/>
        <v>1.1130728900168301</v>
      </c>
      <c r="X6148" s="2">
        <f ca="1"/>
        <v>48.600421490891691</v>
      </c>
      <c r="AG6148" s="2">
        <f ca="1"/>
        <v>0.50983189388055972</v>
      </c>
      <c r="AH6148" s="2" t="str">
        <f ca="1"/>
        <v>Bad</v>
      </c>
    </row>
    <row r="6149" spans="2:34" x14ac:dyDescent="0.2">
      <c r="B6149" s="2">
        <f ca="1"/>
        <v>0.76473492232658002</v>
      </c>
      <c r="O6149" s="2">
        <f ca="1"/>
        <v>-0.54785716501887349</v>
      </c>
      <c r="X6149" s="2">
        <f ca="1"/>
        <v>40.664353020240981</v>
      </c>
      <c r="AG6149" s="2">
        <f ca="1"/>
        <v>5.4771167147289468E-2</v>
      </c>
      <c r="AH6149" s="2" t="str">
        <f ca="1"/>
        <v>OK</v>
      </c>
    </row>
    <row r="6150" spans="2:34" x14ac:dyDescent="0.2">
      <c r="B6150" s="2">
        <f ca="1"/>
        <v>0.47269163343673104</v>
      </c>
      <c r="O6150" s="2">
        <f ca="1"/>
        <v>-1.7919215033978244</v>
      </c>
      <c r="X6150" s="2">
        <f ca="1"/>
        <v>78.052300415856905</v>
      </c>
      <c r="AG6150" s="2">
        <f ca="1"/>
        <v>0.65891229315372968</v>
      </c>
      <c r="AH6150" s="2" t="str">
        <f ca="1"/>
        <v>Bad</v>
      </c>
    </row>
    <row r="6151" spans="2:34" x14ac:dyDescent="0.2">
      <c r="B6151" s="2">
        <f ca="1"/>
        <v>0.29842041907937</v>
      </c>
      <c r="O6151" s="2">
        <f ca="1"/>
        <v>-0.21826127548881924</v>
      </c>
      <c r="X6151" s="2">
        <f ca="1"/>
        <v>54.232611478948805</v>
      </c>
      <c r="AG6151" s="2">
        <f ca="1"/>
        <v>0.76579036283758062</v>
      </c>
      <c r="AH6151" s="2" t="str">
        <f ca="1"/>
        <v>Bad</v>
      </c>
    </row>
    <row r="6152" spans="2:34" x14ac:dyDescent="0.2">
      <c r="B6152" s="2">
        <f ca="1"/>
        <v>0.78090507456293889</v>
      </c>
      <c r="O6152" s="2">
        <f ca="1"/>
        <v>-0.22731543215229216</v>
      </c>
      <c r="X6152" s="2">
        <f ca="1"/>
        <v>66.085663140633898</v>
      </c>
      <c r="AG6152" s="2">
        <f ca="1"/>
        <v>0.29424692812429987</v>
      </c>
      <c r="AH6152" s="2" t="str">
        <f ca="1"/>
        <v>OK</v>
      </c>
    </row>
    <row r="6153" spans="2:34" x14ac:dyDescent="0.2">
      <c r="B6153" s="2">
        <f ca="1"/>
        <v>0.54120765056038089</v>
      </c>
      <c r="O6153" s="2">
        <f ca="1"/>
        <v>1.9179667167240892</v>
      </c>
      <c r="X6153" s="2">
        <f ca="1"/>
        <v>79.459993220598705</v>
      </c>
      <c r="AG6153" s="2">
        <f ca="1"/>
        <v>0.39046524908860625</v>
      </c>
      <c r="AH6153" s="2" t="str">
        <f ca="1"/>
        <v>OK</v>
      </c>
    </row>
    <row r="6154" spans="2:34" x14ac:dyDescent="0.2">
      <c r="B6154" s="2">
        <f ca="1"/>
        <v>0.36392833658416901</v>
      </c>
      <c r="O6154" s="2">
        <f ca="1"/>
        <v>0.68357771795030509</v>
      </c>
      <c r="X6154" s="2">
        <f ca="1"/>
        <v>55.006524354875751</v>
      </c>
      <c r="AG6154" s="2">
        <f ca="1"/>
        <v>0.92819604457709204</v>
      </c>
      <c r="AH6154" s="2" t="str">
        <f ca="1"/>
        <v>Bad</v>
      </c>
    </row>
    <row r="6155" spans="2:34" x14ac:dyDescent="0.2">
      <c r="B6155" s="2">
        <f ca="1"/>
        <v>0.25025922581073323</v>
      </c>
      <c r="O6155" s="2">
        <f ca="1"/>
        <v>-0.17890550690726162</v>
      </c>
      <c r="X6155" s="2">
        <f ca="1"/>
        <v>56.268836533028185</v>
      </c>
      <c r="AG6155" s="2">
        <f ca="1"/>
        <v>0.32729347214805382</v>
      </c>
      <c r="AH6155" s="2" t="str">
        <f ca="1"/>
        <v>OK</v>
      </c>
    </row>
    <row r="6156" spans="2:34" x14ac:dyDescent="0.2">
      <c r="B6156" s="2">
        <f ca="1"/>
        <v>0.63107890798185262</v>
      </c>
      <c r="O6156" s="2">
        <f ca="1"/>
        <v>0.52163107813101717</v>
      </c>
      <c r="X6156" s="2">
        <f ca="1"/>
        <v>42.332404250797701</v>
      </c>
      <c r="AG6156" s="2">
        <f ca="1"/>
        <v>0.88381672129920985</v>
      </c>
      <c r="AH6156" s="2" t="str">
        <f ca="1"/>
        <v>Bad</v>
      </c>
    </row>
    <row r="6157" spans="2:34" x14ac:dyDescent="0.2">
      <c r="B6157" s="2">
        <f ca="1"/>
        <v>0.71023288528306727</v>
      </c>
      <c r="O6157" s="2">
        <f ca="1"/>
        <v>-0.67020985514527531</v>
      </c>
      <c r="X6157" s="2">
        <f ca="1"/>
        <v>40.144330656883582</v>
      </c>
      <c r="AG6157" s="2">
        <f ca="1"/>
        <v>0.66992752261089406</v>
      </c>
      <c r="AH6157" s="2" t="str">
        <f ca="1"/>
        <v>Bad</v>
      </c>
    </row>
    <row r="6158" spans="2:34" x14ac:dyDescent="0.2">
      <c r="B6158" s="2">
        <f ca="1"/>
        <v>0.22314587891974647</v>
      </c>
      <c r="O6158" s="2">
        <f ca="1"/>
        <v>-0.2213677436074635</v>
      </c>
      <c r="X6158" s="2">
        <f ca="1"/>
        <v>15.507375235649803</v>
      </c>
      <c r="AG6158" s="2">
        <f ca="1"/>
        <v>0.77572995625284946</v>
      </c>
      <c r="AH6158" s="2" t="str">
        <f ca="1"/>
        <v>Bad</v>
      </c>
    </row>
    <row r="6159" spans="2:34" x14ac:dyDescent="0.2">
      <c r="B6159" s="2">
        <f ca="1"/>
        <v>0.17851204876029714</v>
      </c>
      <c r="O6159" s="2">
        <f ca="1"/>
        <v>0.24086533785879877</v>
      </c>
      <c r="X6159" s="2">
        <f ca="1"/>
        <v>74.555166864035002</v>
      </c>
      <c r="AG6159" s="2">
        <f ca="1"/>
        <v>0.8990501526146879</v>
      </c>
      <c r="AH6159" s="2" t="str">
        <f ca="1"/>
        <v>Bad</v>
      </c>
    </row>
    <row r="6160" spans="2:34" x14ac:dyDescent="0.2">
      <c r="B6160" s="2">
        <f ca="1"/>
        <v>0.51327763904821233</v>
      </c>
      <c r="O6160" s="2">
        <f ca="1"/>
        <v>-0.65363475957721828</v>
      </c>
      <c r="X6160" s="2">
        <f ca="1"/>
        <v>57.15350679818328</v>
      </c>
      <c r="AG6160" s="2">
        <f ca="1"/>
        <v>8.8435905585256824E-2</v>
      </c>
      <c r="AH6160" s="2" t="str">
        <f ca="1"/>
        <v>OK</v>
      </c>
    </row>
    <row r="6161" spans="2:34" x14ac:dyDescent="0.2">
      <c r="B6161" s="2">
        <f ca="1"/>
        <v>0.66899751498042193</v>
      </c>
      <c r="O6161" s="2">
        <f ca="1"/>
        <v>-0.51068691292300028</v>
      </c>
      <c r="X6161" s="2">
        <f ca="1"/>
        <v>43.010538030547004</v>
      </c>
      <c r="AG6161" s="2">
        <f ca="1"/>
        <v>0.22240268278630859</v>
      </c>
      <c r="AH6161" s="2" t="str">
        <f ca="1"/>
        <v>OK</v>
      </c>
    </row>
    <row r="6162" spans="2:34" x14ac:dyDescent="0.2">
      <c r="B6162" s="2">
        <f ca="1"/>
        <v>0.68666798038523313</v>
      </c>
      <c r="O6162" s="2">
        <f ca="1"/>
        <v>8.6461934501474103E-2</v>
      </c>
      <c r="X6162" s="2">
        <f ca="1"/>
        <v>38.820603234001233</v>
      </c>
      <c r="AG6162" s="2">
        <f ca="1"/>
        <v>0.79708662045870748</v>
      </c>
      <c r="AH6162" s="2" t="str">
        <f ca="1"/>
        <v>Bad</v>
      </c>
    </row>
    <row r="6163" spans="2:34" x14ac:dyDescent="0.2">
      <c r="B6163" s="2">
        <f ca="1"/>
        <v>1.9559489864134694E-2</v>
      </c>
      <c r="O6163" s="2">
        <f ca="1"/>
        <v>0.40254869410829347</v>
      </c>
      <c r="X6163" s="2">
        <f ca="1"/>
        <v>39.88381495196203</v>
      </c>
      <c r="AG6163" s="2">
        <f ca="1"/>
        <v>0.38923292059389381</v>
      </c>
      <c r="AH6163" s="2" t="str">
        <f ca="1"/>
        <v>OK</v>
      </c>
    </row>
    <row r="6164" spans="2:34" x14ac:dyDescent="0.2">
      <c r="B6164" s="2">
        <f ca="1"/>
        <v>0.42786264159612708</v>
      </c>
      <c r="O6164" s="2">
        <f ca="1"/>
        <v>-1.247489708706333</v>
      </c>
      <c r="X6164" s="2">
        <f ca="1"/>
        <v>51.199430299062172</v>
      </c>
      <c r="AG6164" s="2">
        <f ca="1"/>
        <v>0.58504144483655152</v>
      </c>
      <c r="AH6164" s="2" t="str">
        <f ca="1"/>
        <v>Bad</v>
      </c>
    </row>
    <row r="6165" spans="2:34" x14ac:dyDescent="0.2">
      <c r="B6165" s="2">
        <f ca="1"/>
        <v>0.88104781222660655</v>
      </c>
      <c r="O6165" s="2">
        <f ca="1"/>
        <v>1.2143733096829885</v>
      </c>
      <c r="X6165" s="2">
        <f ca="1"/>
        <v>29.880899820585331</v>
      </c>
      <c r="AG6165" s="2">
        <f ca="1"/>
        <v>0.75356676199775618</v>
      </c>
      <c r="AH6165" s="2" t="str">
        <f ca="1"/>
        <v>Bad</v>
      </c>
    </row>
    <row r="6166" spans="2:34" x14ac:dyDescent="0.2">
      <c r="B6166" s="2">
        <f ca="1"/>
        <v>0.12505437738295733</v>
      </c>
      <c r="O6166" s="2">
        <f ca="1"/>
        <v>0.48712094413642565</v>
      </c>
      <c r="X6166" s="2">
        <f ca="1"/>
        <v>51.365531245902659</v>
      </c>
      <c r="AG6166" s="2">
        <f ca="1"/>
        <v>0.37210281181791727</v>
      </c>
      <c r="AH6166" s="2" t="str">
        <f ca="1"/>
        <v>OK</v>
      </c>
    </row>
    <row r="6167" spans="2:34" x14ac:dyDescent="0.2">
      <c r="B6167" s="2">
        <f ca="1"/>
        <v>0.65941445101498819</v>
      </c>
      <c r="O6167" s="2">
        <f ca="1"/>
        <v>1.6482416594292153</v>
      </c>
      <c r="X6167" s="2">
        <f ca="1"/>
        <v>48.974532430269576</v>
      </c>
      <c r="AG6167" s="2">
        <f ca="1"/>
        <v>0.5873273964522101</v>
      </c>
      <c r="AH6167" s="2" t="str">
        <f ca="1"/>
        <v>Bad</v>
      </c>
    </row>
    <row r="6168" spans="2:34" x14ac:dyDescent="0.2">
      <c r="B6168" s="2">
        <f ca="1"/>
        <v>0.43654968692912299</v>
      </c>
      <c r="O6168" s="2">
        <f ca="1"/>
        <v>1.1599628086409737</v>
      </c>
      <c r="X6168" s="2">
        <f ca="1"/>
        <v>35.214103083703854</v>
      </c>
      <c r="AG6168" s="2">
        <f ca="1"/>
        <v>0.38852823518625668</v>
      </c>
      <c r="AH6168" s="2" t="str">
        <f ca="1"/>
        <v>OK</v>
      </c>
    </row>
    <row r="6169" spans="2:34" x14ac:dyDescent="0.2">
      <c r="B6169" s="2">
        <f ca="1"/>
        <v>0.24947710628911235</v>
      </c>
      <c r="O6169" s="2">
        <f ca="1"/>
        <v>-1.638404551180902</v>
      </c>
      <c r="X6169" s="2">
        <f ca="1"/>
        <v>45.813524349273102</v>
      </c>
      <c r="AG6169" s="2">
        <f ca="1"/>
        <v>4.9139130071580439E-3</v>
      </c>
      <c r="AH6169" s="2" t="str">
        <f ca="1"/>
        <v>Good</v>
      </c>
    </row>
    <row r="6170" spans="2:34" x14ac:dyDescent="0.2">
      <c r="B6170" s="2">
        <f ca="1"/>
        <v>0.57008957752063494</v>
      </c>
      <c r="O6170" s="2">
        <f ca="1"/>
        <v>0.21254528798505179</v>
      </c>
      <c r="X6170" s="2">
        <f ca="1"/>
        <v>54.471152782911609</v>
      </c>
      <c r="AG6170" s="2">
        <f ca="1"/>
        <v>0.99553913383275106</v>
      </c>
      <c r="AH6170" s="2" t="str">
        <f ca="1"/>
        <v>Bad</v>
      </c>
    </row>
    <row r="6171" spans="2:34" x14ac:dyDescent="0.2">
      <c r="B6171" s="2">
        <f ca="1"/>
        <v>0.38361409892074239</v>
      </c>
      <c r="O6171" s="2">
        <f ca="1"/>
        <v>-0.66518109872688291</v>
      </c>
      <c r="X6171" s="2">
        <f ca="1"/>
        <v>41.236809684049049</v>
      </c>
      <c r="AG6171" s="2">
        <f ca="1"/>
        <v>0.45007429468225224</v>
      </c>
      <c r="AH6171" s="2" t="str">
        <f ca="1"/>
        <v>Bad</v>
      </c>
    </row>
    <row r="6172" spans="2:34" x14ac:dyDescent="0.2">
      <c r="B6172" s="2">
        <f ca="1"/>
        <v>0.60111545573996983</v>
      </c>
      <c r="O6172" s="2">
        <f ca="1"/>
        <v>0.42103215062015531</v>
      </c>
      <c r="X6172" s="2">
        <f ca="1"/>
        <v>46.058436212754543</v>
      </c>
      <c r="AG6172" s="2">
        <f ca="1"/>
        <v>0.36464584659866084</v>
      </c>
      <c r="AH6172" s="2" t="str">
        <f ca="1"/>
        <v>OK</v>
      </c>
    </row>
    <row r="6173" spans="2:34" x14ac:dyDescent="0.2">
      <c r="B6173" s="2">
        <f ca="1"/>
        <v>0.71097393144720833</v>
      </c>
      <c r="O6173" s="2">
        <f ca="1"/>
        <v>1.3909120995307738</v>
      </c>
      <c r="X6173" s="2">
        <f ca="1"/>
        <v>92.554098170232365</v>
      </c>
      <c r="AG6173" s="2">
        <f ca="1"/>
        <v>0.22635166356178948</v>
      </c>
      <c r="AH6173" s="2" t="str">
        <f ca="1"/>
        <v>OK</v>
      </c>
    </row>
    <row r="6174" spans="2:34" x14ac:dyDescent="0.2">
      <c r="B6174" s="2">
        <f ca="1"/>
        <v>0.96389979837056194</v>
      </c>
      <c r="O6174" s="2">
        <f ca="1"/>
        <v>-4.9512949293685653E-2</v>
      </c>
      <c r="X6174" s="2">
        <f ca="1"/>
        <v>60.417278652588529</v>
      </c>
      <c r="AG6174" s="2">
        <f ca="1"/>
        <v>0.56998288639614669</v>
      </c>
      <c r="AH6174" s="2" t="str">
        <f ca="1"/>
        <v>Bad</v>
      </c>
    </row>
    <row r="6175" spans="2:34" x14ac:dyDescent="0.2">
      <c r="B6175" s="2">
        <f ca="1"/>
        <v>0.84307237246080358</v>
      </c>
      <c r="O6175" s="2">
        <f ca="1"/>
        <v>1.7279240494802581</v>
      </c>
      <c r="X6175" s="2">
        <f ca="1"/>
        <v>65.896414712126202</v>
      </c>
      <c r="AG6175" s="2">
        <f ca="1"/>
        <v>0.94998538338513439</v>
      </c>
      <c r="AH6175" s="2" t="str">
        <f ca="1"/>
        <v>Bad</v>
      </c>
    </row>
    <row r="6176" spans="2:34" x14ac:dyDescent="0.2">
      <c r="B6176" s="2">
        <f ca="1"/>
        <v>0.18286900780388637</v>
      </c>
      <c r="O6176" s="2">
        <f ca="1"/>
        <v>-0.30725429880426813</v>
      </c>
      <c r="X6176" s="2">
        <f ca="1"/>
        <v>43.73766847643337</v>
      </c>
      <c r="AG6176" s="2">
        <f ca="1"/>
        <v>0.61403522374554687</v>
      </c>
      <c r="AH6176" s="2" t="str">
        <f ca="1"/>
        <v>Bad</v>
      </c>
    </row>
    <row r="6177" spans="2:34" x14ac:dyDescent="0.2">
      <c r="B6177" s="2">
        <f ca="1"/>
        <v>0.43627933343190239</v>
      </c>
      <c r="O6177" s="2">
        <f ca="1"/>
        <v>-0.25579775668641436</v>
      </c>
      <c r="X6177" s="2">
        <f ca="1"/>
        <v>32.577485615934577</v>
      </c>
      <c r="AG6177" s="2">
        <f ca="1"/>
        <v>0.66331028777633394</v>
      </c>
      <c r="AH6177" s="2" t="str">
        <f ca="1"/>
        <v>Bad</v>
      </c>
    </row>
    <row r="6178" spans="2:34" x14ac:dyDescent="0.2">
      <c r="B6178" s="2">
        <f ca="1"/>
        <v>0.67195263373687308</v>
      </c>
      <c r="O6178" s="2">
        <f ca="1"/>
        <v>0.54353838160674739</v>
      </c>
      <c r="X6178" s="2">
        <f ca="1"/>
        <v>51.912651785558872</v>
      </c>
      <c r="AG6178" s="2">
        <f ca="1"/>
        <v>0.19174811825784666</v>
      </c>
      <c r="AH6178" s="2" t="str">
        <f ca="1"/>
        <v>OK</v>
      </c>
    </row>
    <row r="6179" spans="2:34" x14ac:dyDescent="0.2">
      <c r="B6179" s="2">
        <f ca="1"/>
        <v>0.62515580476282917</v>
      </c>
      <c r="O6179" s="2">
        <f ca="1"/>
        <v>0.5036172171113964</v>
      </c>
      <c r="X6179" s="2">
        <f ca="1"/>
        <v>45.706766311925612</v>
      </c>
      <c r="AG6179" s="2">
        <f ca="1"/>
        <v>7.3060029916038216E-2</v>
      </c>
      <c r="AH6179" s="2" t="str">
        <f ca="1"/>
        <v>OK</v>
      </c>
    </row>
    <row r="6180" spans="2:34" x14ac:dyDescent="0.2">
      <c r="B6180" s="2">
        <f ca="1"/>
        <v>0.86427520195773821</v>
      </c>
      <c r="O6180" s="2">
        <f ca="1"/>
        <v>0.4892538105440245</v>
      </c>
      <c r="X6180" s="2">
        <f ca="1"/>
        <v>42.527463587016797</v>
      </c>
      <c r="AG6180" s="2">
        <f ca="1"/>
        <v>0.49393171783233525</v>
      </c>
      <c r="AH6180" s="2" t="str">
        <f ca="1"/>
        <v>Bad</v>
      </c>
    </row>
    <row r="6181" spans="2:34" x14ac:dyDescent="0.2">
      <c r="B6181" s="2">
        <f ca="1"/>
        <v>0.70701263303775419</v>
      </c>
      <c r="O6181" s="2">
        <f ca="1"/>
        <v>0.90550548085216809</v>
      </c>
      <c r="X6181" s="2">
        <f ca="1"/>
        <v>80.291628725826968</v>
      </c>
      <c r="AG6181" s="2">
        <f ca="1"/>
        <v>0.16077099202522915</v>
      </c>
      <c r="AH6181" s="2" t="str">
        <f ca="1"/>
        <v>OK</v>
      </c>
    </row>
    <row r="6182" spans="2:34" x14ac:dyDescent="0.2">
      <c r="B6182" s="2">
        <f ca="1"/>
        <v>0.17169583159406177</v>
      </c>
      <c r="O6182" s="2">
        <f ca="1"/>
        <v>-1.1131810829192845</v>
      </c>
      <c r="X6182" s="2">
        <f ca="1"/>
        <v>46.316836577459455</v>
      </c>
      <c r="AG6182" s="2">
        <f ca="1"/>
        <v>0.7070138838224036</v>
      </c>
      <c r="AH6182" s="2" t="str">
        <f ca="1"/>
        <v>Bad</v>
      </c>
    </row>
    <row r="6183" spans="2:34" x14ac:dyDescent="0.2">
      <c r="B6183" s="2">
        <f ca="1"/>
        <v>0.86019120246640868</v>
      </c>
      <c r="O6183" s="2">
        <f ca="1"/>
        <v>0.1401945825525619</v>
      </c>
      <c r="X6183" s="2">
        <f ca="1"/>
        <v>63.018223570781053</v>
      </c>
      <c r="AG6183" s="2">
        <f ca="1"/>
        <v>0.8784002474109498</v>
      </c>
      <c r="AH6183" s="2" t="str">
        <f ca="1"/>
        <v>Bad</v>
      </c>
    </row>
    <row r="6184" spans="2:34" x14ac:dyDescent="0.2">
      <c r="B6184" s="2">
        <f ca="1"/>
        <v>0.33740151227642556</v>
      </c>
      <c r="O6184" s="2">
        <f ca="1"/>
        <v>-2.1983822967045357</v>
      </c>
      <c r="X6184" s="2">
        <f ca="1"/>
        <v>41.475248730714178</v>
      </c>
      <c r="AG6184" s="2">
        <f ca="1"/>
        <v>0.27926290746470617</v>
      </c>
      <c r="AH6184" s="2" t="str">
        <f ca="1"/>
        <v>OK</v>
      </c>
    </row>
    <row r="6185" spans="2:34" x14ac:dyDescent="0.2">
      <c r="B6185" s="2">
        <f ca="1"/>
        <v>0.36166555992301475</v>
      </c>
      <c r="O6185" s="2">
        <f ca="1"/>
        <v>0.12051941306642068</v>
      </c>
      <c r="X6185" s="2">
        <f ca="1"/>
        <v>43.616491915547336</v>
      </c>
      <c r="AG6185" s="2">
        <f ca="1"/>
        <v>6.4310611761253522E-2</v>
      </c>
      <c r="AH6185" s="2" t="str">
        <f ca="1"/>
        <v>OK</v>
      </c>
    </row>
    <row r="6186" spans="2:34" x14ac:dyDescent="0.2">
      <c r="B6186" s="2">
        <f ca="1"/>
        <v>0.94899224752530231</v>
      </c>
      <c r="O6186" s="2">
        <f ca="1"/>
        <v>-0.51557455293554333</v>
      </c>
      <c r="X6186" s="2">
        <f ca="1"/>
        <v>34.684379534446677</v>
      </c>
      <c r="AG6186" s="2">
        <f ca="1"/>
        <v>0.99167003713026292</v>
      </c>
      <c r="AH6186" s="2" t="str">
        <f ca="1"/>
        <v>Bad</v>
      </c>
    </row>
    <row r="6187" spans="2:34" x14ac:dyDescent="0.2">
      <c r="B6187" s="2">
        <f ca="1"/>
        <v>0.71556242329238806</v>
      </c>
      <c r="O6187" s="2">
        <f ca="1"/>
        <v>-0.46349355498449724</v>
      </c>
      <c r="X6187" s="2">
        <f ca="1"/>
        <v>49.717389678933579</v>
      </c>
      <c r="AG6187" s="2">
        <f ca="1"/>
        <v>5.7567560620268576E-3</v>
      </c>
      <c r="AH6187" s="2" t="str">
        <f ca="1"/>
        <v>Good</v>
      </c>
    </row>
    <row r="6188" spans="2:34" x14ac:dyDescent="0.2">
      <c r="B6188" s="2">
        <f ca="1"/>
        <v>9.3236920017169655E-2</v>
      </c>
      <c r="O6188" s="2">
        <f ca="1"/>
        <v>-1.3306617934911413</v>
      </c>
      <c r="X6188" s="2">
        <f ca="1"/>
        <v>33.654929291088159</v>
      </c>
      <c r="AG6188" s="2">
        <f ca="1"/>
        <v>0.914129133085956</v>
      </c>
      <c r="AH6188" s="2" t="str">
        <f ca="1"/>
        <v>Bad</v>
      </c>
    </row>
    <row r="6189" spans="2:34" x14ac:dyDescent="0.2">
      <c r="B6189" s="2">
        <f ca="1"/>
        <v>0.90458482693648912</v>
      </c>
      <c r="O6189" s="2">
        <f ca="1"/>
        <v>-1.9286142764408307</v>
      </c>
      <c r="X6189" s="2">
        <f ca="1"/>
        <v>35.962690269861397</v>
      </c>
      <c r="AG6189" s="2">
        <f ca="1"/>
        <v>0.116983606102808</v>
      </c>
      <c r="AH6189" s="2" t="str">
        <f ca="1"/>
        <v>OK</v>
      </c>
    </row>
    <row r="6190" spans="2:34" x14ac:dyDescent="0.2">
      <c r="B6190" s="2">
        <f ca="1"/>
        <v>0.94099710852550333</v>
      </c>
      <c r="O6190" s="2">
        <f ca="1"/>
        <v>4.8904515041623117E-2</v>
      </c>
      <c r="X6190" s="2">
        <f ca="1"/>
        <v>87.073952103408487</v>
      </c>
      <c r="AG6190" s="2">
        <f ca="1"/>
        <v>0.67222093583511433</v>
      </c>
      <c r="AH6190" s="2" t="str">
        <f ca="1"/>
        <v>Bad</v>
      </c>
    </row>
    <row r="6191" spans="2:34" x14ac:dyDescent="0.2">
      <c r="B6191" s="2">
        <f ca="1"/>
        <v>4.9754822867412285E-2</v>
      </c>
      <c r="O6191" s="2">
        <f ca="1"/>
        <v>-1.6426405028907238</v>
      </c>
      <c r="X6191" s="2">
        <f ca="1"/>
        <v>66.997843515958223</v>
      </c>
      <c r="AG6191" s="2">
        <f ca="1"/>
        <v>0.17846725504146654</v>
      </c>
      <c r="AH6191" s="2" t="str">
        <f ca="1"/>
        <v>OK</v>
      </c>
    </row>
    <row r="6192" spans="2:34" x14ac:dyDescent="0.2">
      <c r="B6192" s="2">
        <f ca="1"/>
        <v>0.93915963885911169</v>
      </c>
      <c r="O6192" s="2">
        <f ca="1"/>
        <v>-0.78903434888705892</v>
      </c>
      <c r="X6192" s="2">
        <f ca="1"/>
        <v>29.952230718038674</v>
      </c>
      <c r="AG6192" s="2">
        <f ca="1"/>
        <v>0.26681923235213967</v>
      </c>
      <c r="AH6192" s="2" t="str">
        <f ca="1"/>
        <v>OK</v>
      </c>
    </row>
    <row r="6193" spans="2:34" x14ac:dyDescent="0.2">
      <c r="B6193" s="2">
        <f ca="1"/>
        <v>0.14901297740782882</v>
      </c>
      <c r="O6193" s="2">
        <f ca="1"/>
        <v>-1.9559523555726901</v>
      </c>
      <c r="X6193" s="2">
        <f ca="1"/>
        <v>38.924463969650496</v>
      </c>
      <c r="AG6193" s="2">
        <f ca="1"/>
        <v>0.95260520858626752</v>
      </c>
      <c r="AH6193" s="2" t="str">
        <f ca="1"/>
        <v>Bad</v>
      </c>
    </row>
    <row r="6194" spans="2:34" x14ac:dyDescent="0.2">
      <c r="B6194" s="2">
        <f ca="1"/>
        <v>0.82380891749382146</v>
      </c>
      <c r="O6194" s="2">
        <f ca="1"/>
        <v>0.21420392088831927</v>
      </c>
      <c r="X6194" s="2">
        <f ca="1"/>
        <v>33.721629661260017</v>
      </c>
      <c r="AG6194" s="2">
        <f ca="1"/>
        <v>0.754676467337553</v>
      </c>
      <c r="AH6194" s="2" t="str">
        <f ca="1"/>
        <v>Bad</v>
      </c>
    </row>
    <row r="6195" spans="2:34" x14ac:dyDescent="0.2">
      <c r="B6195" s="2">
        <f ca="1"/>
        <v>0.23105056094388088</v>
      </c>
      <c r="O6195" s="2">
        <f ca="1"/>
        <v>-1.5688607067747624</v>
      </c>
      <c r="X6195" s="2">
        <f ca="1"/>
        <v>48.969474799849088</v>
      </c>
      <c r="AG6195" s="2">
        <f ca="1"/>
        <v>2.2710441903467604E-2</v>
      </c>
      <c r="AH6195" s="2" t="str">
        <f ca="1"/>
        <v>Good</v>
      </c>
    </row>
    <row r="6196" spans="2:34" x14ac:dyDescent="0.2">
      <c r="B6196" s="2">
        <f ca="1"/>
        <v>0.80257032682924767</v>
      </c>
      <c r="O6196" s="2">
        <f ca="1"/>
        <v>-1.0940838639413974</v>
      </c>
      <c r="X6196" s="2">
        <f ca="1"/>
        <v>36.5002250042849</v>
      </c>
      <c r="AG6196" s="2">
        <f ca="1"/>
        <v>0.15156516901026529</v>
      </c>
      <c r="AH6196" s="2" t="str">
        <f ca="1"/>
        <v>OK</v>
      </c>
    </row>
    <row r="6197" spans="2:34" x14ac:dyDescent="0.2">
      <c r="B6197" s="2">
        <f ca="1"/>
        <v>5.6795295770810883E-2</v>
      </c>
      <c r="O6197" s="2">
        <f ca="1"/>
        <v>-0.52784370018178495</v>
      </c>
      <c r="X6197" s="2">
        <f ca="1"/>
        <v>45.608449477698876</v>
      </c>
      <c r="AG6197" s="2">
        <f ca="1"/>
        <v>0.35683259066693096</v>
      </c>
      <c r="AH6197" s="2" t="str">
        <f ca="1"/>
        <v>OK</v>
      </c>
    </row>
    <row r="6198" spans="2:34" x14ac:dyDescent="0.2">
      <c r="B6198" s="2">
        <f ca="1"/>
        <v>5.4254509529114925E-2</v>
      </c>
      <c r="O6198" s="2">
        <f ca="1"/>
        <v>-0.8844751798959396</v>
      </c>
      <c r="X6198" s="2">
        <f ca="1"/>
        <v>88.568354465877164</v>
      </c>
      <c r="AG6198" s="2">
        <f ca="1"/>
        <v>0.77114007281878116</v>
      </c>
      <c r="AH6198" s="2" t="str">
        <f ca="1"/>
        <v>Bad</v>
      </c>
    </row>
    <row r="6199" spans="2:34" x14ac:dyDescent="0.2">
      <c r="B6199" s="2">
        <f ca="1"/>
        <v>0.88362205320935416</v>
      </c>
      <c r="O6199" s="2">
        <f ca="1"/>
        <v>-0.11635400474002286</v>
      </c>
      <c r="X6199" s="2">
        <f ca="1"/>
        <v>64.185366380887388</v>
      </c>
      <c r="AG6199" s="2">
        <f ca="1"/>
        <v>0.13234602918564264</v>
      </c>
      <c r="AH6199" s="2" t="str">
        <f ca="1"/>
        <v>OK</v>
      </c>
    </row>
    <row r="6200" spans="2:34" x14ac:dyDescent="0.2">
      <c r="B6200" s="2">
        <f ca="1"/>
        <v>0.23338039008044364</v>
      </c>
      <c r="O6200" s="2">
        <f ca="1"/>
        <v>-1.5886053058038706E-2</v>
      </c>
      <c r="X6200" s="2">
        <f ca="1"/>
        <v>37.385072286885816</v>
      </c>
      <c r="AG6200" s="2">
        <f ca="1"/>
        <v>0.26118594209127788</v>
      </c>
      <c r="AH6200" s="2" t="str">
        <f ca="1"/>
        <v>OK</v>
      </c>
    </row>
    <row r="6201" spans="2:34" x14ac:dyDescent="0.2">
      <c r="B6201" s="2">
        <f ca="1"/>
        <v>0.94376823766146001</v>
      </c>
      <c r="O6201" s="2">
        <f ca="1"/>
        <v>1.5748973903178651</v>
      </c>
      <c r="X6201" s="2">
        <f ca="1"/>
        <v>53.513119258221465</v>
      </c>
      <c r="AG6201" s="2">
        <f ca="1"/>
        <v>0.91763969202841289</v>
      </c>
      <c r="AH6201" s="2" t="str">
        <f ca="1"/>
        <v>Bad</v>
      </c>
    </row>
    <row r="6202" spans="2:34" x14ac:dyDescent="0.2">
      <c r="B6202" s="2">
        <f ca="1"/>
        <v>0.9610902299600077</v>
      </c>
      <c r="O6202" s="2">
        <f ca="1"/>
        <v>-0.24120474957082846</v>
      </c>
      <c r="X6202" s="2">
        <f ca="1"/>
        <v>45.071021210805284</v>
      </c>
      <c r="AG6202" s="2">
        <f ca="1"/>
        <v>0.70711483802997632</v>
      </c>
      <c r="AH6202" s="2" t="str">
        <f ca="1"/>
        <v>Bad</v>
      </c>
    </row>
    <row r="6203" spans="2:34" x14ac:dyDescent="0.2">
      <c r="B6203" s="2">
        <f ca="1"/>
        <v>0.45632102776200667</v>
      </c>
      <c r="O6203" s="2">
        <f ca="1"/>
        <v>-0.75650859213381305</v>
      </c>
      <c r="X6203" s="2">
        <f ca="1"/>
        <v>49.12454361798919</v>
      </c>
      <c r="AG6203" s="2">
        <f ca="1"/>
        <v>0.37332321213353525</v>
      </c>
      <c r="AH6203" s="2" t="str">
        <f ca="1"/>
        <v>OK</v>
      </c>
    </row>
    <row r="6204" spans="2:34" x14ac:dyDescent="0.2">
      <c r="B6204" s="2">
        <f ca="1"/>
        <v>0.80652258525677678</v>
      </c>
      <c r="O6204" s="2">
        <f ca="1"/>
        <v>0.27018596282199353</v>
      </c>
      <c r="X6204" s="2">
        <f ca="1"/>
        <v>48.336226755157099</v>
      </c>
      <c r="AG6204" s="2">
        <f ca="1"/>
        <v>1.9223256670807931E-2</v>
      </c>
      <c r="AH6204" s="2" t="str">
        <f ca="1"/>
        <v>Good</v>
      </c>
    </row>
    <row r="6205" spans="2:34" x14ac:dyDescent="0.2">
      <c r="B6205" s="2">
        <f ca="1"/>
        <v>0.17640222237131931</v>
      </c>
      <c r="O6205" s="2">
        <f ca="1"/>
        <v>-6.0598300152572414E-2</v>
      </c>
      <c r="X6205" s="2">
        <f ca="1"/>
        <v>46.294058761999672</v>
      </c>
      <c r="AG6205" s="2">
        <f ca="1"/>
        <v>0.14065537731829592</v>
      </c>
      <c r="AH6205" s="2" t="str">
        <f ca="1"/>
        <v>OK</v>
      </c>
    </row>
    <row r="6206" spans="2:34" x14ac:dyDescent="0.2">
      <c r="B6206" s="2">
        <f ca="1"/>
        <v>8.9659587958276887E-2</v>
      </c>
      <c r="O6206" s="2">
        <f ca="1"/>
        <v>1.8967631576863289</v>
      </c>
      <c r="X6206" s="2">
        <f ca="1"/>
        <v>58.83444479269108</v>
      </c>
      <c r="AG6206" s="2">
        <f ca="1"/>
        <v>0.39411181744981483</v>
      </c>
      <c r="AH6206" s="2" t="str">
        <f ca="1"/>
        <v>OK</v>
      </c>
    </row>
    <row r="6207" spans="2:34" x14ac:dyDescent="0.2">
      <c r="B6207" s="2">
        <f ca="1"/>
        <v>0.5935236314057899</v>
      </c>
      <c r="O6207" s="2">
        <f ca="1"/>
        <v>7.3389531520448609E-2</v>
      </c>
      <c r="X6207" s="2">
        <f ca="1"/>
        <v>37.187755518525954</v>
      </c>
      <c r="AG6207" s="2">
        <f ca="1"/>
        <v>0.1608631275391641</v>
      </c>
      <c r="AH6207" s="2" t="str">
        <f ca="1"/>
        <v>OK</v>
      </c>
    </row>
    <row r="6208" spans="2:34" x14ac:dyDescent="0.2">
      <c r="B6208" s="2">
        <f ca="1"/>
        <v>0.29539602749792215</v>
      </c>
      <c r="O6208" s="2">
        <f ca="1"/>
        <v>0.70592172124200425</v>
      </c>
      <c r="X6208" s="2">
        <f ca="1"/>
        <v>53.479380152153951</v>
      </c>
      <c r="AG6208" s="2">
        <f ca="1"/>
        <v>0.13622300823434208</v>
      </c>
      <c r="AH6208" s="2" t="str">
        <f ca="1"/>
        <v>OK</v>
      </c>
    </row>
    <row r="6209" spans="2:34" x14ac:dyDescent="0.2">
      <c r="B6209" s="2">
        <f ca="1"/>
        <v>0.29676824933316603</v>
      </c>
      <c r="O6209" s="2">
        <f ca="1"/>
        <v>-2.3151340628153281</v>
      </c>
      <c r="X6209" s="2">
        <f ca="1"/>
        <v>41.492717870573188</v>
      </c>
      <c r="AG6209" s="2">
        <f ca="1"/>
        <v>0.3583129926899189</v>
      </c>
      <c r="AH6209" s="2" t="str">
        <f ca="1"/>
        <v>OK</v>
      </c>
    </row>
    <row r="6210" spans="2:34" x14ac:dyDescent="0.2">
      <c r="B6210" s="2">
        <f ca="1"/>
        <v>0.73687495917815093</v>
      </c>
      <c r="O6210" s="2">
        <f ca="1"/>
        <v>-1.1477263093041763</v>
      </c>
      <c r="X6210" s="2">
        <f ca="1"/>
        <v>46.658961437320805</v>
      </c>
      <c r="AG6210" s="2">
        <f ca="1"/>
        <v>0.14396944454328597</v>
      </c>
      <c r="AH6210" s="2" t="str">
        <f ca="1"/>
        <v>OK</v>
      </c>
    </row>
    <row r="6211" spans="2:34" x14ac:dyDescent="0.2">
      <c r="B6211" s="2">
        <f ca="1"/>
        <v>4.8374188254150186E-2</v>
      </c>
      <c r="O6211" s="2">
        <f ca="1"/>
        <v>-0.43860902672053015</v>
      </c>
      <c r="X6211" s="2">
        <f ca="1"/>
        <v>52.031799272133682</v>
      </c>
      <c r="AG6211" s="2">
        <f ca="1"/>
        <v>0.26488266207149347</v>
      </c>
      <c r="AH6211" s="2" t="str">
        <f ca="1"/>
        <v>OK</v>
      </c>
    </row>
    <row r="6212" spans="2:34" x14ac:dyDescent="0.2">
      <c r="B6212" s="2">
        <f ca="1"/>
        <v>0.34998057855690745</v>
      </c>
      <c r="O6212" s="2">
        <f ca="1"/>
        <v>0.13051536909986111</v>
      </c>
      <c r="X6212" s="2">
        <f ca="1"/>
        <v>50.926001327070253</v>
      </c>
      <c r="AG6212" s="2">
        <f ca="1"/>
        <v>0.64424919372398115</v>
      </c>
      <c r="AH6212" s="2" t="str">
        <f ca="1"/>
        <v>Bad</v>
      </c>
    </row>
    <row r="6213" spans="2:34" x14ac:dyDescent="0.2">
      <c r="B6213" s="2">
        <f ca="1"/>
        <v>0.3697687258834812</v>
      </c>
      <c r="O6213" s="2">
        <f ca="1"/>
        <v>1.5354077573408378</v>
      </c>
      <c r="X6213" s="2">
        <f ca="1"/>
        <v>54.585140142116117</v>
      </c>
      <c r="AG6213" s="2">
        <f ca="1"/>
        <v>0.3425513049452773</v>
      </c>
      <c r="AH6213" s="2" t="str">
        <f ca="1"/>
        <v>OK</v>
      </c>
    </row>
    <row r="6214" spans="2:34" x14ac:dyDescent="0.2">
      <c r="B6214" s="2">
        <f ca="1"/>
        <v>1.3012668650839609E-2</v>
      </c>
      <c r="O6214" s="2">
        <f ca="1"/>
        <v>-0.90516086587170363</v>
      </c>
      <c r="X6214" s="2">
        <f ca="1"/>
        <v>43.404850928138089</v>
      </c>
      <c r="AG6214" s="2">
        <f ca="1"/>
        <v>0.81635940365724236</v>
      </c>
      <c r="AH6214" s="2" t="str">
        <f ca="1"/>
        <v>Bad</v>
      </c>
    </row>
    <row r="6215" spans="2:34" x14ac:dyDescent="0.2">
      <c r="B6215" s="2">
        <f ca="1"/>
        <v>0.53452178689033314</v>
      </c>
      <c r="O6215" s="2">
        <f ca="1"/>
        <v>-1.6496358242826296E-2</v>
      </c>
      <c r="X6215" s="2">
        <f ca="1"/>
        <v>72.091785621760792</v>
      </c>
      <c r="AG6215" s="2">
        <f ca="1"/>
        <v>0.67211697775697066</v>
      </c>
      <c r="AH6215" s="2" t="str">
        <f ca="1"/>
        <v>Bad</v>
      </c>
    </row>
    <row r="6216" spans="2:34" x14ac:dyDescent="0.2">
      <c r="B6216" s="2">
        <f ca="1"/>
        <v>0.70026552508652062</v>
      </c>
      <c r="O6216" s="2">
        <f ca="1"/>
        <v>4.0220557984430895E-2</v>
      </c>
      <c r="X6216" s="2">
        <f ca="1"/>
        <v>49.56374519160736</v>
      </c>
      <c r="AG6216" s="2">
        <f ca="1"/>
        <v>4.1792642627412002E-2</v>
      </c>
      <c r="AH6216" s="2" t="str">
        <f ca="1"/>
        <v>Good</v>
      </c>
    </row>
    <row r="6217" spans="2:34" x14ac:dyDescent="0.2">
      <c r="B6217" s="2">
        <f ca="1"/>
        <v>0.93857758924354395</v>
      </c>
      <c r="O6217" s="2">
        <f ca="1"/>
        <v>-0.23358140313940171</v>
      </c>
      <c r="X6217" s="2">
        <f ca="1"/>
        <v>45.548838676733922</v>
      </c>
      <c r="AG6217" s="2">
        <f ca="1"/>
        <v>0.57852497047996843</v>
      </c>
      <c r="AH6217" s="2" t="str">
        <f ca="1"/>
        <v>Bad</v>
      </c>
    </row>
    <row r="6218" spans="2:34" x14ac:dyDescent="0.2">
      <c r="B6218" s="2">
        <f ca="1"/>
        <v>0.57499957227309073</v>
      </c>
      <c r="O6218" s="2">
        <f ca="1"/>
        <v>0.11730531067782485</v>
      </c>
      <c r="X6218" s="2">
        <f ca="1"/>
        <v>71.545233606004189</v>
      </c>
      <c r="AG6218" s="2">
        <f ca="1"/>
        <v>0.75455070315005468</v>
      </c>
      <c r="AH6218" s="2" t="str">
        <f ca="1"/>
        <v>Bad</v>
      </c>
    </row>
    <row r="6219" spans="2:34" x14ac:dyDescent="0.2">
      <c r="B6219" s="2">
        <f ca="1"/>
        <v>0.65694481166767971</v>
      </c>
      <c r="O6219" s="2">
        <f ca="1"/>
        <v>-1.2743224302996523</v>
      </c>
      <c r="X6219" s="2">
        <f ca="1"/>
        <v>54.063597479144121</v>
      </c>
      <c r="AG6219" s="2">
        <f ca="1"/>
        <v>6.2841972105260435E-2</v>
      </c>
      <c r="AH6219" s="2" t="str">
        <f ca="1"/>
        <v>OK</v>
      </c>
    </row>
    <row r="6220" spans="2:34" x14ac:dyDescent="0.2">
      <c r="B6220" s="2">
        <f ca="1"/>
        <v>0.17815984963372289</v>
      </c>
      <c r="O6220" s="2">
        <f ca="1"/>
        <v>-0.71990677793505509</v>
      </c>
      <c r="X6220" s="2">
        <f ca="1"/>
        <v>64.411394913233494</v>
      </c>
      <c r="AG6220" s="2">
        <f ca="1"/>
        <v>0.77863606816475484</v>
      </c>
      <c r="AH6220" s="2" t="str">
        <f ca="1"/>
        <v>Bad</v>
      </c>
    </row>
    <row r="6221" spans="2:34" x14ac:dyDescent="0.2">
      <c r="B6221" s="2">
        <f ca="1"/>
        <v>0.44725458824316178</v>
      </c>
      <c r="O6221" s="2">
        <f ca="1"/>
        <v>0.26843566499092464</v>
      </c>
      <c r="X6221" s="2">
        <f ca="1"/>
        <v>26.576078900524884</v>
      </c>
      <c r="AG6221" s="2">
        <f ca="1"/>
        <v>0.24687091600241073</v>
      </c>
      <c r="AH6221" s="2" t="str">
        <f ca="1"/>
        <v>OK</v>
      </c>
    </row>
    <row r="6222" spans="2:34" x14ac:dyDescent="0.2">
      <c r="B6222" s="2">
        <f ca="1"/>
        <v>0.56003367802919213</v>
      </c>
      <c r="O6222" s="2">
        <f ca="1"/>
        <v>0.45594135468149743</v>
      </c>
      <c r="X6222" s="2">
        <f ca="1"/>
        <v>30.088691862896141</v>
      </c>
      <c r="AG6222" s="2">
        <f ca="1"/>
        <v>0.63800395989677705</v>
      </c>
      <c r="AH6222" s="2" t="str">
        <f ca="1"/>
        <v>Bad</v>
      </c>
    </row>
    <row r="6223" spans="2:34" x14ac:dyDescent="0.2">
      <c r="B6223" s="2">
        <f ca="1"/>
        <v>0.33403751730096398</v>
      </c>
      <c r="O6223" s="2">
        <f ca="1"/>
        <v>-6.3017013233828661E-2</v>
      </c>
      <c r="X6223" s="2">
        <f ca="1"/>
        <v>54.419284182392111</v>
      </c>
      <c r="AG6223" s="2">
        <f ca="1"/>
        <v>0.8922741572074897</v>
      </c>
      <c r="AH6223" s="2" t="str">
        <f ca="1"/>
        <v>Bad</v>
      </c>
    </row>
    <row r="6224" spans="2:34" x14ac:dyDescent="0.2">
      <c r="B6224" s="2">
        <f ca="1"/>
        <v>0.62720993577190653</v>
      </c>
      <c r="O6224" s="2">
        <f ca="1"/>
        <v>-0.30804276637197947</v>
      </c>
      <c r="X6224" s="2">
        <f ca="1"/>
        <v>46.820280743809882</v>
      </c>
      <c r="AG6224" s="2">
        <f ca="1"/>
        <v>9.6799452961142451E-2</v>
      </c>
      <c r="AH6224" s="2" t="str">
        <f ca="1"/>
        <v>OK</v>
      </c>
    </row>
    <row r="6225" spans="2:34" x14ac:dyDescent="0.2">
      <c r="B6225" s="2">
        <f ca="1"/>
        <v>0.32850132765367368</v>
      </c>
      <c r="O6225" s="2">
        <f ca="1"/>
        <v>-0.77477584697484148</v>
      </c>
      <c r="X6225" s="2">
        <f ca="1"/>
        <v>41.44066763467184</v>
      </c>
      <c r="AG6225" s="2">
        <f ca="1"/>
        <v>0.56189821170909426</v>
      </c>
      <c r="AH6225" s="2" t="str">
        <f ca="1"/>
        <v>Bad</v>
      </c>
    </row>
    <row r="6226" spans="2:34" x14ac:dyDescent="0.2">
      <c r="B6226" s="2">
        <f ca="1"/>
        <v>6.290975178399405E-2</v>
      </c>
      <c r="O6226" s="2">
        <f ca="1"/>
        <v>-0.62926984587661028</v>
      </c>
      <c r="X6226" s="2">
        <f ca="1"/>
        <v>52.724405973153061</v>
      </c>
      <c r="AG6226" s="2">
        <f ca="1"/>
        <v>0.31561362398104054</v>
      </c>
      <c r="AH6226" s="2" t="str">
        <f ca="1"/>
        <v>OK</v>
      </c>
    </row>
    <row r="6227" spans="2:34" x14ac:dyDescent="0.2">
      <c r="B6227" s="2">
        <f ca="1"/>
        <v>0.68766975501578065</v>
      </c>
      <c r="O6227" s="2">
        <f ca="1"/>
        <v>2.2604197091425728</v>
      </c>
      <c r="X6227" s="2">
        <f ca="1"/>
        <v>45.16220995509358</v>
      </c>
      <c r="AG6227" s="2">
        <f ca="1"/>
        <v>0.63439352844785235</v>
      </c>
      <c r="AH6227" s="2" t="str">
        <f ca="1"/>
        <v>Bad</v>
      </c>
    </row>
    <row r="6228" spans="2:34" x14ac:dyDescent="0.2">
      <c r="B6228" s="2">
        <f ca="1"/>
        <v>0.96398335651852496</v>
      </c>
      <c r="O6228" s="2">
        <f ca="1"/>
        <v>0.18479046938044497</v>
      </c>
      <c r="X6228" s="2">
        <f ca="1"/>
        <v>55.705747013575355</v>
      </c>
      <c r="AG6228" s="2">
        <f ca="1"/>
        <v>0.98953876567632837</v>
      </c>
      <c r="AH6228" s="2" t="str">
        <f ca="1"/>
        <v>Bad</v>
      </c>
    </row>
    <row r="6229" spans="2:34" x14ac:dyDescent="0.2">
      <c r="B6229" s="2">
        <f ca="1"/>
        <v>0.29548390364312649</v>
      </c>
      <c r="O6229" s="2">
        <f ca="1"/>
        <v>1.3088565026376568</v>
      </c>
      <c r="X6229" s="2">
        <f ca="1"/>
        <v>61.618324003921067</v>
      </c>
      <c r="AG6229" s="2">
        <f ca="1"/>
        <v>0.35237902723644399</v>
      </c>
      <c r="AH6229" s="2" t="str">
        <f ca="1"/>
        <v>OK</v>
      </c>
    </row>
    <row r="6230" spans="2:34" x14ac:dyDescent="0.2">
      <c r="B6230" s="2">
        <f ca="1"/>
        <v>0.55388213165061684</v>
      </c>
      <c r="O6230" s="2">
        <f ca="1"/>
        <v>-0.32864688587062663</v>
      </c>
      <c r="X6230" s="2">
        <f ca="1"/>
        <v>27.649717483239179</v>
      </c>
      <c r="AG6230" s="2">
        <f ca="1"/>
        <v>0.29243625033037257</v>
      </c>
      <c r="AH6230" s="2" t="str">
        <f ca="1"/>
        <v>OK</v>
      </c>
    </row>
    <row r="6231" spans="2:34" x14ac:dyDescent="0.2">
      <c r="B6231" s="2">
        <f ca="1"/>
        <v>0.34268993927308911</v>
      </c>
      <c r="O6231" s="2">
        <f ca="1"/>
        <v>0.86188098694009918</v>
      </c>
      <c r="X6231" s="2">
        <f ca="1"/>
        <v>39.618061665061461</v>
      </c>
      <c r="AG6231" s="2">
        <f ca="1"/>
        <v>0.43923022575231463</v>
      </c>
      <c r="AH6231" s="2" t="str">
        <f ca="1"/>
        <v>Bad</v>
      </c>
    </row>
    <row r="6232" spans="2:34" x14ac:dyDescent="0.2">
      <c r="B6232" s="2">
        <f ca="1"/>
        <v>0.76729758043158114</v>
      </c>
      <c r="O6232" s="2">
        <f ca="1"/>
        <v>1.4498791393694508</v>
      </c>
      <c r="X6232" s="2">
        <f ca="1"/>
        <v>51.353406869607127</v>
      </c>
      <c r="AG6232" s="2">
        <f ca="1"/>
        <v>0.42470863507566481</v>
      </c>
      <c r="AH6232" s="2" t="str">
        <f ca="1"/>
        <v>Bad</v>
      </c>
    </row>
    <row r="6233" spans="2:34" x14ac:dyDescent="0.2">
      <c r="B6233" s="2">
        <f ca="1"/>
        <v>0.68343560143921733</v>
      </c>
      <c r="O6233" s="2">
        <f ca="1"/>
        <v>0.39627768947226416</v>
      </c>
      <c r="X6233" s="2">
        <f ca="1"/>
        <v>30.539495834967845</v>
      </c>
      <c r="AG6233" s="2">
        <f ca="1"/>
        <v>0.53283310258908645</v>
      </c>
      <c r="AH6233" s="2" t="str">
        <f ca="1"/>
        <v>Bad</v>
      </c>
    </row>
    <row r="6234" spans="2:34" x14ac:dyDescent="0.2">
      <c r="B6234" s="2">
        <f ca="1"/>
        <v>0.81353064576532175</v>
      </c>
      <c r="O6234" s="2">
        <f ca="1"/>
        <v>2.0673076814248805</v>
      </c>
      <c r="X6234" s="2">
        <f ca="1"/>
        <v>39.622404101667577</v>
      </c>
      <c r="AG6234" s="2">
        <f ca="1"/>
        <v>1.8890805392374865E-2</v>
      </c>
      <c r="AH6234" s="2" t="str">
        <f ca="1"/>
        <v>Good</v>
      </c>
    </row>
    <row r="6235" spans="2:34" x14ac:dyDescent="0.2">
      <c r="B6235" s="2">
        <f ca="1"/>
        <v>0.12893816971072347</v>
      </c>
      <c r="O6235" s="2">
        <f ca="1"/>
        <v>0.93031922942393286</v>
      </c>
      <c r="X6235" s="2">
        <f ca="1"/>
        <v>60.694889068911628</v>
      </c>
      <c r="AG6235" s="2">
        <f ca="1"/>
        <v>0.17388632059199849</v>
      </c>
      <c r="AH6235" s="2" t="str">
        <f ca="1"/>
        <v>OK</v>
      </c>
    </row>
    <row r="6236" spans="2:34" x14ac:dyDescent="0.2">
      <c r="B6236" s="2">
        <f ca="1"/>
        <v>6.896312346346245E-2</v>
      </c>
      <c r="O6236" s="2">
        <f ca="1"/>
        <v>-0.97988833505462192</v>
      </c>
      <c r="X6236" s="2">
        <f ca="1"/>
        <v>65.482103727902768</v>
      </c>
      <c r="AG6236" s="2">
        <f ca="1"/>
        <v>9.2280269201234111E-2</v>
      </c>
      <c r="AH6236" s="2" t="str">
        <f ca="1"/>
        <v>OK</v>
      </c>
    </row>
    <row r="6237" spans="2:34" x14ac:dyDescent="0.2">
      <c r="B6237" s="2">
        <f ca="1"/>
        <v>0.3642871191961814</v>
      </c>
      <c r="O6237" s="2">
        <f ca="1"/>
        <v>-1.2036524364642291</v>
      </c>
      <c r="X6237" s="2">
        <f ca="1"/>
        <v>48.760804430316966</v>
      </c>
      <c r="AG6237" s="2">
        <f ca="1"/>
        <v>0.88689947091798382</v>
      </c>
      <c r="AH6237" s="2" t="str">
        <f ca="1"/>
        <v>Bad</v>
      </c>
    </row>
    <row r="6238" spans="2:34" x14ac:dyDescent="0.2">
      <c r="B6238" s="2">
        <f ca="1"/>
        <v>0.44127982518157616</v>
      </c>
      <c r="O6238" s="2">
        <f ca="1"/>
        <v>1.5624683280237488</v>
      </c>
      <c r="X6238" s="2">
        <f ca="1"/>
        <v>12.068151895647921</v>
      </c>
      <c r="AG6238" s="2">
        <f ca="1"/>
        <v>0.88748902102445748</v>
      </c>
      <c r="AH6238" s="2" t="str">
        <f ca="1"/>
        <v>Bad</v>
      </c>
    </row>
    <row r="6239" spans="2:34" x14ac:dyDescent="0.2">
      <c r="B6239" s="2">
        <f ca="1"/>
        <v>0.95116812311080223</v>
      </c>
      <c r="O6239" s="2">
        <f ca="1"/>
        <v>0.38416005246907342</v>
      </c>
      <c r="X6239" s="2">
        <f ca="1"/>
        <v>43.008473047781131</v>
      </c>
      <c r="AG6239" s="2">
        <f ca="1"/>
        <v>0.16904523874528499</v>
      </c>
      <c r="AH6239" s="2" t="str">
        <f ca="1"/>
        <v>OK</v>
      </c>
    </row>
    <row r="6240" spans="2:34" x14ac:dyDescent="0.2">
      <c r="B6240" s="2">
        <f ca="1"/>
        <v>0.3684101390123995</v>
      </c>
      <c r="O6240" s="2">
        <f ca="1"/>
        <v>-1.4168188596620324</v>
      </c>
      <c r="X6240" s="2">
        <f ca="1"/>
        <v>48.744997375049294</v>
      </c>
      <c r="AG6240" s="2">
        <f ca="1"/>
        <v>6.1234189180678023E-2</v>
      </c>
      <c r="AH6240" s="2" t="str">
        <f ca="1"/>
        <v>OK</v>
      </c>
    </row>
    <row r="6241" spans="2:34" x14ac:dyDescent="0.2">
      <c r="B6241" s="2">
        <f ca="1"/>
        <v>0.18255448172712874</v>
      </c>
      <c r="O6241" s="2">
        <f ca="1"/>
        <v>-0.54655551003934955</v>
      </c>
      <c r="X6241" s="2">
        <f ca="1"/>
        <v>30.166059295707125</v>
      </c>
      <c r="AG6241" s="2">
        <f ca="1"/>
        <v>0.85741959231223674</v>
      </c>
      <c r="AH6241" s="2" t="str">
        <f ca="1"/>
        <v>Bad</v>
      </c>
    </row>
    <row r="6242" spans="2:34" x14ac:dyDescent="0.2">
      <c r="B6242" s="2">
        <f ca="1"/>
        <v>0.32457942048492305</v>
      </c>
      <c r="O6242" s="2">
        <f ca="1"/>
        <v>-0.85505308430109095</v>
      </c>
      <c r="X6242" s="2">
        <f ca="1"/>
        <v>57.824088016248282</v>
      </c>
      <c r="AG6242" s="2">
        <f ca="1"/>
        <v>0.38839018375743972</v>
      </c>
      <c r="AH6242" s="2" t="str">
        <f ca="1"/>
        <v>OK</v>
      </c>
    </row>
    <row r="6243" spans="2:34" x14ac:dyDescent="0.2">
      <c r="B6243" s="2">
        <f ca="1"/>
        <v>0.2671224948625277</v>
      </c>
      <c r="O6243" s="2">
        <f ca="1"/>
        <v>0.84584286544094489</v>
      </c>
      <c r="X6243" s="2">
        <f ca="1"/>
        <v>36.13497389341974</v>
      </c>
      <c r="AG6243" s="2">
        <f ca="1"/>
        <v>0.3647030494948873</v>
      </c>
      <c r="AH6243" s="2" t="str">
        <f ca="1"/>
        <v>OK</v>
      </c>
    </row>
    <row r="6244" spans="2:34" x14ac:dyDescent="0.2">
      <c r="B6244" s="2">
        <f ca="1"/>
        <v>0.9491835195103917</v>
      </c>
      <c r="O6244" s="2">
        <f ca="1"/>
        <v>-0.53931830595664365</v>
      </c>
      <c r="X6244" s="2">
        <f ca="1"/>
        <v>72.766901655203995</v>
      </c>
      <c r="AG6244" s="2">
        <f ca="1"/>
        <v>0.99233284224887974</v>
      </c>
      <c r="AH6244" s="2" t="str">
        <f ca="1"/>
        <v>Bad</v>
      </c>
    </row>
    <row r="6245" spans="2:34" x14ac:dyDescent="0.2">
      <c r="B6245" s="2">
        <f ca="1"/>
        <v>0.24822377907634641</v>
      </c>
      <c r="O6245" s="2">
        <f ca="1"/>
        <v>-1.1996713203537328</v>
      </c>
      <c r="X6245" s="2">
        <f ca="1"/>
        <v>56.820130095131745</v>
      </c>
      <c r="AG6245" s="2">
        <f ca="1"/>
        <v>0.5901930546260632</v>
      </c>
      <c r="AH6245" s="2" t="str">
        <f ca="1"/>
        <v>Bad</v>
      </c>
    </row>
    <row r="6246" spans="2:34" x14ac:dyDescent="0.2">
      <c r="B6246" s="2">
        <f ca="1"/>
        <v>0.41220548842506166</v>
      </c>
      <c r="O6246" s="2">
        <f ca="1"/>
        <v>-0.18401102994780322</v>
      </c>
      <c r="X6246" s="2">
        <f ca="1"/>
        <v>78.009380859235307</v>
      </c>
      <c r="AG6246" s="2">
        <f ca="1"/>
        <v>0.12354259297115489</v>
      </c>
      <c r="AH6246" s="2" t="str">
        <f ca="1"/>
        <v>OK</v>
      </c>
    </row>
    <row r="6247" spans="2:34" x14ac:dyDescent="0.2">
      <c r="B6247" s="2">
        <f ca="1"/>
        <v>0.49803708431070515</v>
      </c>
      <c r="O6247" s="2">
        <f ca="1"/>
        <v>0.71656105335728437</v>
      </c>
      <c r="X6247" s="2">
        <f ca="1"/>
        <v>45.76110273830875</v>
      </c>
      <c r="AG6247" s="2">
        <f ca="1"/>
        <v>0.91211982358009958</v>
      </c>
      <c r="AH6247" s="2" t="str">
        <f ca="1"/>
        <v>Bad</v>
      </c>
    </row>
    <row r="6248" spans="2:34" x14ac:dyDescent="0.2">
      <c r="B6248" s="2">
        <f ca="1"/>
        <v>0.41335597231748689</v>
      </c>
      <c r="O6248" s="2">
        <f ca="1"/>
        <v>-0.5026744646206962</v>
      </c>
      <c r="X6248" s="2">
        <f ca="1"/>
        <v>22.662197169778917</v>
      </c>
      <c r="AG6248" s="2">
        <f ca="1"/>
        <v>4.5617018074812332E-2</v>
      </c>
      <c r="AH6248" s="2" t="str">
        <f ca="1"/>
        <v>Good</v>
      </c>
    </row>
    <row r="6249" spans="2:34" x14ac:dyDescent="0.2">
      <c r="B6249" s="2">
        <f ca="1"/>
        <v>0.72739317199188602</v>
      </c>
      <c r="O6249" s="2">
        <f ca="1"/>
        <v>-0.2948639283881242</v>
      </c>
      <c r="X6249" s="2">
        <f ca="1"/>
        <v>77.167557920626422</v>
      </c>
      <c r="AG6249" s="2">
        <f ca="1"/>
        <v>0.74319712735810195</v>
      </c>
      <c r="AH6249" s="2" t="str">
        <f ca="1"/>
        <v>Bad</v>
      </c>
    </row>
    <row r="6250" spans="2:34" x14ac:dyDescent="0.2">
      <c r="B6250" s="2">
        <f ca="1"/>
        <v>0.30930004529955379</v>
      </c>
      <c r="O6250" s="2">
        <f ca="1"/>
        <v>0.60927577222807894</v>
      </c>
      <c r="X6250" s="2">
        <f ca="1"/>
        <v>45.778003279793111</v>
      </c>
      <c r="AG6250" s="2">
        <f ca="1"/>
        <v>0.73272277174974931</v>
      </c>
      <c r="AH6250" s="2" t="str">
        <f ca="1"/>
        <v>Bad</v>
      </c>
    </row>
    <row r="6251" spans="2:34" x14ac:dyDescent="0.2">
      <c r="B6251" s="2">
        <f ca="1"/>
        <v>0.23943236896469489</v>
      </c>
      <c r="O6251" s="2">
        <f ca="1"/>
        <v>-0.81161018406332341</v>
      </c>
      <c r="X6251" s="2">
        <f ca="1"/>
        <v>75.993824276311287</v>
      </c>
      <c r="AG6251" s="2">
        <f ca="1"/>
        <v>0.53028898574251571</v>
      </c>
      <c r="AH6251" s="2" t="str">
        <f ca="1"/>
        <v>Bad</v>
      </c>
    </row>
    <row r="6252" spans="2:34" x14ac:dyDescent="0.2">
      <c r="B6252" s="2">
        <f ca="1"/>
        <v>0.70240420445443119</v>
      </c>
      <c r="O6252" s="2">
        <f ca="1"/>
        <v>-1.301379552957882</v>
      </c>
      <c r="X6252" s="2">
        <f ca="1"/>
        <v>19.78625479424149</v>
      </c>
      <c r="AG6252" s="2">
        <f ca="1"/>
        <v>0.85772703166528319</v>
      </c>
      <c r="AH6252" s="2" t="str">
        <f ca="1"/>
        <v>Bad</v>
      </c>
    </row>
    <row r="6253" spans="2:34" x14ac:dyDescent="0.2">
      <c r="B6253" s="2">
        <f ca="1"/>
        <v>0.29183907347252469</v>
      </c>
      <c r="O6253" s="2">
        <f ca="1"/>
        <v>0.48448507181811817</v>
      </c>
      <c r="X6253" s="2">
        <f ca="1"/>
        <v>37.483661895107062</v>
      </c>
      <c r="AG6253" s="2">
        <f ca="1"/>
        <v>0.5385580378518855</v>
      </c>
      <c r="AH6253" s="2" t="str">
        <f ca="1"/>
        <v>Bad</v>
      </c>
    </row>
    <row r="6254" spans="2:34" x14ac:dyDescent="0.2">
      <c r="B6254" s="2">
        <f ca="1"/>
        <v>0.29361872978345516</v>
      </c>
      <c r="O6254" s="2">
        <f ca="1"/>
        <v>-9.7343565119253475E-2</v>
      </c>
      <c r="X6254" s="2">
        <f ca="1"/>
        <v>56.905237832277457</v>
      </c>
      <c r="AG6254" s="2">
        <f ca="1"/>
        <v>2.0456840702311352E-2</v>
      </c>
      <c r="AH6254" s="2" t="str">
        <f ca="1"/>
        <v>Good</v>
      </c>
    </row>
    <row r="6255" spans="2:34" x14ac:dyDescent="0.2">
      <c r="B6255" s="2">
        <f ca="1"/>
        <v>0.59078454113440793</v>
      </c>
      <c r="O6255" s="2">
        <f ca="1"/>
        <v>-1.3700190130521075</v>
      </c>
      <c r="X6255" s="2">
        <f ca="1"/>
        <v>41.548619813693328</v>
      </c>
      <c r="AG6255" s="2">
        <f ca="1"/>
        <v>0.40382264528555067</v>
      </c>
      <c r="AH6255" s="2" t="str">
        <f ca="1"/>
        <v>Bad</v>
      </c>
    </row>
    <row r="6256" spans="2:34" x14ac:dyDescent="0.2">
      <c r="B6256" s="2">
        <f ca="1"/>
        <v>0.90429467637950101</v>
      </c>
      <c r="O6256" s="2">
        <f ca="1"/>
        <v>-1.1447868468435984</v>
      </c>
      <c r="X6256" s="2">
        <f ca="1"/>
        <v>51.755665919894426</v>
      </c>
      <c r="AG6256" s="2">
        <f ca="1"/>
        <v>0.95850471211568067</v>
      </c>
      <c r="AH6256" s="2" t="str">
        <f ca="1"/>
        <v>Bad</v>
      </c>
    </row>
    <row r="6257" spans="2:34" x14ac:dyDescent="0.2">
      <c r="B6257" s="2">
        <f ca="1"/>
        <v>4.5499390544233353E-2</v>
      </c>
      <c r="O6257" s="2">
        <f ca="1"/>
        <v>0.52049932242871855</v>
      </c>
      <c r="X6257" s="2">
        <f ca="1"/>
        <v>54.169382997830638</v>
      </c>
      <c r="AG6257" s="2">
        <f ca="1"/>
        <v>0.40072197866859138</v>
      </c>
      <c r="AH6257" s="2" t="str">
        <f ca="1"/>
        <v>Bad</v>
      </c>
    </row>
    <row r="6258" spans="2:34" x14ac:dyDescent="0.2">
      <c r="B6258" s="2">
        <f ca="1"/>
        <v>0.53910970646457379</v>
      </c>
      <c r="O6258" s="2">
        <f ca="1"/>
        <v>0.67633094789902126</v>
      </c>
      <c r="X6258" s="2">
        <f ca="1"/>
        <v>35.749537430213309</v>
      </c>
      <c r="AG6258" s="2">
        <f ca="1"/>
        <v>0.34048151158414441</v>
      </c>
      <c r="AH6258" s="2" t="str">
        <f ca="1"/>
        <v>OK</v>
      </c>
    </row>
    <row r="6259" spans="2:34" x14ac:dyDescent="0.2">
      <c r="B6259" s="2">
        <f ca="1"/>
        <v>0.62604648516968675</v>
      </c>
      <c r="O6259" s="2">
        <f ca="1"/>
        <v>-4.8733217830376603E-2</v>
      </c>
      <c r="X6259" s="2">
        <f ca="1"/>
        <v>57.822867819165282</v>
      </c>
      <c r="AG6259" s="2">
        <f ca="1"/>
        <v>0.26973654518221069</v>
      </c>
      <c r="AH6259" s="2" t="str">
        <f ca="1"/>
        <v>OK</v>
      </c>
    </row>
    <row r="6260" spans="2:34" x14ac:dyDescent="0.2">
      <c r="B6260" s="2">
        <f ca="1"/>
        <v>3.6088564427455117E-2</v>
      </c>
      <c r="O6260" s="2">
        <f ca="1"/>
        <v>1.1319843026150602</v>
      </c>
      <c r="X6260" s="2">
        <f ca="1"/>
        <v>45.524412229676095</v>
      </c>
      <c r="AG6260" s="2">
        <f ca="1"/>
        <v>0.38362878284489521</v>
      </c>
      <c r="AH6260" s="2" t="str">
        <f ca="1"/>
        <v>OK</v>
      </c>
    </row>
    <row r="6261" spans="2:34" x14ac:dyDescent="0.2">
      <c r="B6261" s="2">
        <f ca="1"/>
        <v>3.6637519922390949E-2</v>
      </c>
      <c r="O6261" s="2">
        <f ca="1"/>
        <v>-1.3347059048407018E-2</v>
      </c>
      <c r="X6261" s="2">
        <f ca="1"/>
        <v>46.702067743379139</v>
      </c>
      <c r="AG6261" s="2">
        <f ca="1"/>
        <v>1.6410239063306742E-2</v>
      </c>
      <c r="AH6261" s="2" t="str">
        <f ca="1"/>
        <v>Good</v>
      </c>
    </row>
    <row r="6262" spans="2:34" x14ac:dyDescent="0.2">
      <c r="B6262" s="2">
        <f ca="1"/>
        <v>0.60059043771417642</v>
      </c>
      <c r="O6262" s="2">
        <f ca="1"/>
        <v>-0.28619272576314109</v>
      </c>
      <c r="X6262" s="2">
        <f ca="1"/>
        <v>31.07357184566024</v>
      </c>
      <c r="AG6262" s="2">
        <f ca="1"/>
        <v>0.78278451339887933</v>
      </c>
      <c r="AH6262" s="2" t="str">
        <f ca="1"/>
        <v>Bad</v>
      </c>
    </row>
    <row r="6263" spans="2:34" x14ac:dyDescent="0.2">
      <c r="B6263" s="2">
        <f ca="1"/>
        <v>0.42320357826703892</v>
      </c>
      <c r="O6263" s="2">
        <f ca="1"/>
        <v>0.83865536726879286</v>
      </c>
      <c r="X6263" s="2">
        <f ca="1"/>
        <v>57.528610115328249</v>
      </c>
      <c r="AG6263" s="2">
        <f ca="1"/>
        <v>0.21612315947437399</v>
      </c>
      <c r="AH6263" s="2" t="str">
        <f ca="1"/>
        <v>OK</v>
      </c>
    </row>
    <row r="6264" spans="2:34" x14ac:dyDescent="0.2">
      <c r="B6264" s="2">
        <f ca="1"/>
        <v>0.90226218930120372</v>
      </c>
      <c r="O6264" s="2">
        <f ca="1"/>
        <v>-0.10384858615892482</v>
      </c>
      <c r="X6264" s="2">
        <f ca="1"/>
        <v>40.386868088437609</v>
      </c>
      <c r="AG6264" s="2">
        <f ca="1"/>
        <v>0.8844611444389272</v>
      </c>
      <c r="AH6264" s="2" t="str">
        <f ca="1"/>
        <v>Bad</v>
      </c>
    </row>
    <row r="6265" spans="2:34" x14ac:dyDescent="0.2">
      <c r="B6265" s="2">
        <f ca="1"/>
        <v>0.96364814692479639</v>
      </c>
      <c r="O6265" s="2">
        <f ca="1"/>
        <v>0.64519847159366228</v>
      </c>
      <c r="X6265" s="2">
        <f ca="1"/>
        <v>34.709953644643896</v>
      </c>
      <c r="AG6265" s="2">
        <f ca="1"/>
        <v>0.68880496128097524</v>
      </c>
      <c r="AH6265" s="2" t="str">
        <f ca="1"/>
        <v>Bad</v>
      </c>
    </row>
    <row r="6266" spans="2:34" x14ac:dyDescent="0.2">
      <c r="B6266" s="2">
        <f ca="1"/>
        <v>1.2838587901921716E-2</v>
      </c>
      <c r="O6266" s="2">
        <f ca="1"/>
        <v>0.11047042003013278</v>
      </c>
      <c r="X6266" s="2">
        <f ca="1"/>
        <v>33.046855397350534</v>
      </c>
      <c r="AG6266" s="2">
        <f ca="1"/>
        <v>0.85075397393055252</v>
      </c>
      <c r="AH6266" s="2" t="str">
        <f ca="1"/>
        <v>Bad</v>
      </c>
    </row>
    <row r="6267" spans="2:34" x14ac:dyDescent="0.2">
      <c r="B6267" s="2">
        <f ca="1"/>
        <v>0.49244683419624136</v>
      </c>
      <c r="O6267" s="2">
        <f ca="1"/>
        <v>-1.3269160259984878</v>
      </c>
      <c r="X6267" s="2">
        <f ca="1"/>
        <v>36.806981309358491</v>
      </c>
      <c r="AG6267" s="2">
        <f ca="1"/>
        <v>0.98212607093908888</v>
      </c>
      <c r="AH6267" s="2" t="str">
        <f ca="1"/>
        <v>Bad</v>
      </c>
    </row>
    <row r="6268" spans="2:34" x14ac:dyDescent="0.2">
      <c r="B6268" s="2">
        <f ca="1"/>
        <v>0.62313344333513299</v>
      </c>
      <c r="O6268" s="2">
        <f ca="1"/>
        <v>0.39977765354960959</v>
      </c>
      <c r="X6268" s="2">
        <f ca="1"/>
        <v>70.115188832679763</v>
      </c>
      <c r="AG6268" s="2">
        <f ca="1"/>
        <v>0.89588440789365342</v>
      </c>
      <c r="AH6268" s="2" t="str">
        <f ca="1"/>
        <v>Bad</v>
      </c>
    </row>
    <row r="6269" spans="2:34" x14ac:dyDescent="0.2">
      <c r="B6269" s="2">
        <f ca="1"/>
        <v>3.8878551426248631E-2</v>
      </c>
      <c r="O6269" s="2">
        <f ca="1"/>
        <v>-0.25537873552190998</v>
      </c>
      <c r="X6269" s="2">
        <f ca="1"/>
        <v>28.816949609798357</v>
      </c>
      <c r="AG6269" s="2">
        <f ca="1"/>
        <v>0.21690234669270736</v>
      </c>
      <c r="AH6269" s="2" t="str">
        <f ca="1"/>
        <v>OK</v>
      </c>
    </row>
    <row r="6270" spans="2:34" x14ac:dyDescent="0.2">
      <c r="B6270" s="2">
        <f ca="1"/>
        <v>0.3083740415881524</v>
      </c>
      <c r="O6270" s="2">
        <f ca="1"/>
        <v>1.3377372166571233</v>
      </c>
      <c r="X6270" s="2">
        <f ca="1"/>
        <v>29.923664532393055</v>
      </c>
      <c r="AG6270" s="2">
        <f ca="1"/>
        <v>0.37444725500390219</v>
      </c>
      <c r="AH6270" s="2" t="str">
        <f ca="1"/>
        <v>OK</v>
      </c>
    </row>
    <row r="6271" spans="2:34" x14ac:dyDescent="0.2">
      <c r="B6271" s="2">
        <f ca="1"/>
        <v>0.85257585281201176</v>
      </c>
      <c r="O6271" s="2">
        <f ca="1"/>
        <v>8.0455179255285739E-2</v>
      </c>
      <c r="X6271" s="2">
        <f ca="1"/>
        <v>65.446051567077447</v>
      </c>
      <c r="AG6271" s="2">
        <f ca="1"/>
        <v>0.86619900459538202</v>
      </c>
      <c r="AH6271" s="2" t="str">
        <f ca="1"/>
        <v>Bad</v>
      </c>
    </row>
    <row r="6272" spans="2:34" x14ac:dyDescent="0.2">
      <c r="B6272" s="2">
        <f ca="1"/>
        <v>0.24954268221445375</v>
      </c>
      <c r="O6272" s="2">
        <f ca="1"/>
        <v>0.1901416030396082</v>
      </c>
      <c r="X6272" s="2">
        <f ca="1"/>
        <v>54.798122084786812</v>
      </c>
      <c r="AG6272" s="2">
        <f ca="1"/>
        <v>0.25216626829927713</v>
      </c>
      <c r="AH6272" s="2" t="str">
        <f ca="1"/>
        <v>OK</v>
      </c>
    </row>
    <row r="6273" spans="2:34" x14ac:dyDescent="0.2">
      <c r="B6273" s="2">
        <f ca="1"/>
        <v>0.67054557828435479</v>
      </c>
      <c r="O6273" s="2">
        <f ca="1"/>
        <v>4.7534666747874883E-2</v>
      </c>
      <c r="X6273" s="2">
        <f ca="1"/>
        <v>72.823454568862886</v>
      </c>
      <c r="AG6273" s="2">
        <f ca="1"/>
        <v>0.89065690808979259</v>
      </c>
      <c r="AH6273" s="2" t="str">
        <f ca="1"/>
        <v>Bad</v>
      </c>
    </row>
    <row r="6274" spans="2:34" x14ac:dyDescent="0.2">
      <c r="B6274" s="2">
        <f ca="1"/>
        <v>0.5156356933284687</v>
      </c>
      <c r="O6274" s="2">
        <f ca="1"/>
        <v>-1.5838486170559218</v>
      </c>
      <c r="X6274" s="2">
        <f ca="1"/>
        <v>57.569946606362272</v>
      </c>
      <c r="AG6274" s="2">
        <f ca="1"/>
        <v>3.3972531236114767E-2</v>
      </c>
      <c r="AH6274" s="2" t="str">
        <f ca="1"/>
        <v>Good</v>
      </c>
    </row>
    <row r="6275" spans="2:34" x14ac:dyDescent="0.2">
      <c r="B6275" s="2">
        <f ca="1"/>
        <v>0.22942901254005044</v>
      </c>
      <c r="O6275" s="2">
        <f ca="1"/>
        <v>-1.176289358911297</v>
      </c>
      <c r="X6275" s="2">
        <f ca="1"/>
        <v>47.964093281970015</v>
      </c>
      <c r="AG6275" s="2">
        <f ca="1"/>
        <v>5.1759550640885221E-2</v>
      </c>
      <c r="AH6275" s="2" t="str">
        <f ca="1"/>
        <v>OK</v>
      </c>
    </row>
    <row r="6276" spans="2:34" x14ac:dyDescent="0.2">
      <c r="B6276" s="2">
        <f ca="1"/>
        <v>0.46998793197038058</v>
      </c>
      <c r="O6276" s="2">
        <f ca="1"/>
        <v>-8.8785017089430505E-3</v>
      </c>
      <c r="X6276" s="2">
        <f ca="1"/>
        <v>72.907367579338228</v>
      </c>
      <c r="AG6276" s="2">
        <f ca="1"/>
        <v>0.92061803504707029</v>
      </c>
      <c r="AH6276" s="2" t="str">
        <f ca="1"/>
        <v>Bad</v>
      </c>
    </row>
    <row r="6277" spans="2:34" x14ac:dyDescent="0.2">
      <c r="B6277" s="2">
        <f ca="1"/>
        <v>0.9455357574122909</v>
      </c>
      <c r="O6277" s="2">
        <f ca="1"/>
        <v>-4.9178730196079323E-2</v>
      </c>
      <c r="X6277" s="2">
        <f ca="1"/>
        <v>46.632938682308378</v>
      </c>
      <c r="AG6277" s="2">
        <f ca="1"/>
        <v>0.70687935695775983</v>
      </c>
      <c r="AH6277" s="2" t="str">
        <f ca="1"/>
        <v>Bad</v>
      </c>
    </row>
    <row r="6278" spans="2:34" x14ac:dyDescent="0.2">
      <c r="B6278" s="2">
        <f ca="1"/>
        <v>0.38781577448881732</v>
      </c>
      <c r="O6278" s="2">
        <f ca="1"/>
        <v>-2.3278789743576906</v>
      </c>
      <c r="X6278" s="2">
        <f ca="1"/>
        <v>70.575153869076189</v>
      </c>
      <c r="AG6278" s="2">
        <f ca="1"/>
        <v>0.14288333046032098</v>
      </c>
      <c r="AH6278" s="2" t="str">
        <f ca="1"/>
        <v>OK</v>
      </c>
    </row>
    <row r="6279" spans="2:34" x14ac:dyDescent="0.2">
      <c r="B6279" s="2">
        <f ca="1"/>
        <v>0.27924550344581389</v>
      </c>
      <c r="O6279" s="2">
        <f ca="1"/>
        <v>0.34063666590398389</v>
      </c>
      <c r="X6279" s="2">
        <f ca="1"/>
        <v>63.9880125442684</v>
      </c>
      <c r="AG6279" s="2">
        <f ca="1"/>
        <v>0.98393031910436091</v>
      </c>
      <c r="AH6279" s="2" t="str">
        <f ca="1"/>
        <v>Bad</v>
      </c>
    </row>
    <row r="6280" spans="2:34" x14ac:dyDescent="0.2">
      <c r="B6280" s="2">
        <f ca="1"/>
        <v>0.34119439654045047</v>
      </c>
      <c r="O6280" s="2">
        <f ca="1"/>
        <v>-0.45051051828548205</v>
      </c>
      <c r="X6280" s="2">
        <f ca="1"/>
        <v>84.648430152778204</v>
      </c>
      <c r="AG6280" s="2">
        <f ca="1"/>
        <v>0.40541224897829276</v>
      </c>
      <c r="AH6280" s="2" t="str">
        <f ca="1"/>
        <v>Bad</v>
      </c>
    </row>
    <row r="6281" spans="2:34" x14ac:dyDescent="0.2">
      <c r="B6281" s="2">
        <f ca="1"/>
        <v>0.21657050153478985</v>
      </c>
      <c r="O6281" s="2">
        <f ca="1"/>
        <v>-1.4224925669484563</v>
      </c>
      <c r="X6281" s="2">
        <f ca="1"/>
        <v>51.778898919044813</v>
      </c>
      <c r="AG6281" s="2">
        <f ca="1"/>
        <v>0.10995475818595946</v>
      </c>
      <c r="AH6281" s="2" t="str">
        <f ca="1"/>
        <v>OK</v>
      </c>
    </row>
    <row r="6282" spans="2:34" x14ac:dyDescent="0.2">
      <c r="B6282" s="2">
        <f ca="1"/>
        <v>0.52309508648104908</v>
      </c>
      <c r="O6282" s="2">
        <f ca="1"/>
        <v>-0.30378770807141481</v>
      </c>
      <c r="X6282" s="2">
        <f ca="1"/>
        <v>40.507399938503539</v>
      </c>
      <c r="AG6282" s="2">
        <f ca="1"/>
        <v>0.17550606449934403</v>
      </c>
      <c r="AH6282" s="2" t="str">
        <f ca="1"/>
        <v>OK</v>
      </c>
    </row>
    <row r="6283" spans="2:34" x14ac:dyDescent="0.2">
      <c r="B6283" s="2">
        <f ca="1"/>
        <v>0.77973899044147599</v>
      </c>
      <c r="O6283" s="2">
        <f ca="1"/>
        <v>-1.1107628215641476</v>
      </c>
      <c r="X6283" s="2">
        <f ca="1"/>
        <v>36.43744875117995</v>
      </c>
      <c r="AG6283" s="2">
        <f ca="1"/>
        <v>0.75491474252076385</v>
      </c>
      <c r="AH6283" s="2" t="str">
        <f ca="1"/>
        <v>Bad</v>
      </c>
    </row>
    <row r="6284" spans="2:34" x14ac:dyDescent="0.2">
      <c r="B6284" s="2">
        <f ca="1"/>
        <v>6.9881483088602758E-2</v>
      </c>
      <c r="O6284" s="2">
        <f ca="1"/>
        <v>-1.0486794328440641</v>
      </c>
      <c r="X6284" s="2">
        <f ca="1"/>
        <v>51.947799637306069</v>
      </c>
      <c r="AG6284" s="2">
        <f ca="1"/>
        <v>0.38972728011870039</v>
      </c>
      <c r="AH6284" s="2" t="str">
        <f ca="1"/>
        <v>OK</v>
      </c>
    </row>
    <row r="6285" spans="2:34" x14ac:dyDescent="0.2">
      <c r="B6285" s="2">
        <f ca="1"/>
        <v>0.23247480852661129</v>
      </c>
      <c r="O6285" s="2">
        <f ca="1"/>
        <v>-0.10302469988990912</v>
      </c>
      <c r="X6285" s="2">
        <f ca="1"/>
        <v>49.185920584365348</v>
      </c>
      <c r="AG6285" s="2">
        <f ca="1"/>
        <v>0.40656369027613914</v>
      </c>
      <c r="AH6285" s="2" t="str">
        <f ca="1"/>
        <v>Bad</v>
      </c>
    </row>
    <row r="6286" spans="2:34" x14ac:dyDescent="0.2">
      <c r="B6286" s="2">
        <f ca="1"/>
        <v>0.41383451423032702</v>
      </c>
      <c r="O6286" s="2">
        <f ca="1"/>
        <v>1.2578153339115026</v>
      </c>
      <c r="X6286" s="2">
        <f ca="1"/>
        <v>43.244087799801569</v>
      </c>
      <c r="AG6286" s="2">
        <f ca="1"/>
        <v>0.90560924475469839</v>
      </c>
      <c r="AH6286" s="2" t="str">
        <f ca="1"/>
        <v>Bad</v>
      </c>
    </row>
    <row r="6287" spans="2:34" x14ac:dyDescent="0.2">
      <c r="B6287" s="2">
        <f ca="1"/>
        <v>0.38254981887259043</v>
      </c>
      <c r="O6287" s="2">
        <f ca="1"/>
        <v>0.15793853166211577</v>
      </c>
      <c r="X6287" s="2">
        <f ca="1"/>
        <v>30.979145920374549</v>
      </c>
      <c r="AG6287" s="2">
        <f ca="1"/>
        <v>0.98509347180938733</v>
      </c>
      <c r="AH6287" s="2" t="str">
        <f ca="1"/>
        <v>Bad</v>
      </c>
    </row>
    <row r="6288" spans="2:34" x14ac:dyDescent="0.2">
      <c r="B6288" s="2">
        <f ca="1"/>
        <v>0.68258007143026478</v>
      </c>
      <c r="O6288" s="2">
        <f ca="1"/>
        <v>0.58550945981413371</v>
      </c>
      <c r="X6288" s="2">
        <f ca="1"/>
        <v>19.675557103864357</v>
      </c>
      <c r="AG6288" s="2">
        <f ca="1"/>
        <v>0.29275407802203479</v>
      </c>
      <c r="AH6288" s="2" t="str">
        <f ca="1"/>
        <v>OK</v>
      </c>
    </row>
    <row r="6289" spans="2:34" x14ac:dyDescent="0.2">
      <c r="B6289" s="2">
        <f ca="1"/>
        <v>0.7454974299933137</v>
      </c>
      <c r="O6289" s="2">
        <f ca="1"/>
        <v>-0.13697840691557062</v>
      </c>
      <c r="X6289" s="2">
        <f ca="1"/>
        <v>52.184616986814312</v>
      </c>
      <c r="AG6289" s="2">
        <f ca="1"/>
        <v>1.5937908318845118E-2</v>
      </c>
      <c r="AH6289" s="2" t="str">
        <f ca="1"/>
        <v>Good</v>
      </c>
    </row>
    <row r="6290" spans="2:34" x14ac:dyDescent="0.2">
      <c r="B6290" s="2">
        <f ca="1"/>
        <v>0.28523864578277247</v>
      </c>
      <c r="O6290" s="2">
        <f ca="1"/>
        <v>1.1101320332264646</v>
      </c>
      <c r="X6290" s="2">
        <f ca="1"/>
        <v>22.409134022497842</v>
      </c>
      <c r="AG6290" s="2">
        <f ca="1"/>
        <v>0.56621492931102813</v>
      </c>
      <c r="AH6290" s="2" t="str">
        <f ca="1"/>
        <v>Bad</v>
      </c>
    </row>
    <row r="6291" spans="2:34" x14ac:dyDescent="0.2">
      <c r="B6291" s="2">
        <f ca="1"/>
        <v>0.28288631437544876</v>
      </c>
      <c r="O6291" s="2">
        <f ca="1"/>
        <v>0.1810182160586965</v>
      </c>
      <c r="X6291" s="2">
        <f ca="1"/>
        <v>28.765515324571776</v>
      </c>
      <c r="AG6291" s="2">
        <f ca="1"/>
        <v>0.85997371844859427</v>
      </c>
      <c r="AH6291" s="2" t="str">
        <f ca="1"/>
        <v>Bad</v>
      </c>
    </row>
    <row r="6292" spans="2:34" x14ac:dyDescent="0.2">
      <c r="B6292" s="2">
        <f ca="1"/>
        <v>0.84518747422076212</v>
      </c>
      <c r="O6292" s="2">
        <f ca="1"/>
        <v>-1.2110947710653981</v>
      </c>
      <c r="X6292" s="2">
        <f ca="1"/>
        <v>58.201932377813279</v>
      </c>
      <c r="AG6292" s="2">
        <f ca="1"/>
        <v>0.1664160476805574</v>
      </c>
      <c r="AH6292" s="2" t="str">
        <f ca="1"/>
        <v>OK</v>
      </c>
    </row>
    <row r="6293" spans="2:34" x14ac:dyDescent="0.2">
      <c r="B6293" s="2">
        <f ca="1"/>
        <v>0.29282433479940417</v>
      </c>
      <c r="O6293" s="2">
        <f ca="1"/>
        <v>0.20439013435435127</v>
      </c>
      <c r="X6293" s="2">
        <f ca="1"/>
        <v>46.233701807889972</v>
      </c>
      <c r="AG6293" s="2">
        <f ca="1"/>
        <v>0.72384427632412596</v>
      </c>
      <c r="AH6293" s="2" t="str">
        <f ca="1"/>
        <v>Bad</v>
      </c>
    </row>
    <row r="6294" spans="2:34" x14ac:dyDescent="0.2">
      <c r="B6294" s="2">
        <f ca="1"/>
        <v>0.55794257372039535</v>
      </c>
      <c r="O6294" s="2">
        <f ca="1"/>
        <v>6.3256510360189963E-2</v>
      </c>
      <c r="X6294" s="2">
        <f ca="1"/>
        <v>77.570454915770441</v>
      </c>
      <c r="AG6294" s="2">
        <f ca="1"/>
        <v>0.3329998565655512</v>
      </c>
      <c r="AH6294" s="2" t="str">
        <f ca="1"/>
        <v>OK</v>
      </c>
    </row>
    <row r="6295" spans="2:34" x14ac:dyDescent="0.2">
      <c r="B6295" s="2">
        <f ca="1"/>
        <v>0.21939660947665596</v>
      </c>
      <c r="O6295" s="2">
        <f ca="1"/>
        <v>0.29379018887238817</v>
      </c>
      <c r="X6295" s="2">
        <f ca="1"/>
        <v>64.734477639654187</v>
      </c>
      <c r="AG6295" s="2">
        <f ca="1"/>
        <v>0.93413620806928277</v>
      </c>
      <c r="AH6295" s="2" t="str">
        <f ca="1"/>
        <v>Bad</v>
      </c>
    </row>
    <row r="6296" spans="2:34" x14ac:dyDescent="0.2">
      <c r="B6296" s="2">
        <f ca="1"/>
        <v>0.90928621452183256</v>
      </c>
      <c r="O6296" s="2">
        <f ca="1"/>
        <v>0.79290472537215262</v>
      </c>
      <c r="X6296" s="2">
        <f ca="1"/>
        <v>18.531453267305491</v>
      </c>
      <c r="AG6296" s="2">
        <f ca="1"/>
        <v>0.55387420749670868</v>
      </c>
      <c r="AH6296" s="2" t="str">
        <f ca="1"/>
        <v>Bad</v>
      </c>
    </row>
    <row r="6297" spans="2:34" x14ac:dyDescent="0.2">
      <c r="B6297" s="2">
        <f ca="1"/>
        <v>0.36465926897721879</v>
      </c>
      <c r="O6297" s="2">
        <f ca="1"/>
        <v>-1.1730193477845554</v>
      </c>
      <c r="X6297" s="2">
        <f ca="1"/>
        <v>73.801894448688671</v>
      </c>
      <c r="AG6297" s="2">
        <f ca="1"/>
        <v>0.932091028267795</v>
      </c>
      <c r="AH6297" s="2" t="str">
        <f ca="1"/>
        <v>Bad</v>
      </c>
    </row>
    <row r="6298" spans="2:34" x14ac:dyDescent="0.2">
      <c r="B6298" s="2">
        <f ca="1"/>
        <v>0.37157039104741485</v>
      </c>
      <c r="O6298" s="2">
        <f ca="1"/>
        <v>-1.1894721532783601</v>
      </c>
      <c r="X6298" s="2">
        <f ca="1"/>
        <v>65.446561612321773</v>
      </c>
      <c r="AG6298" s="2">
        <f ca="1"/>
        <v>0.48781301807607824</v>
      </c>
      <c r="AH6298" s="2" t="str">
        <f ca="1"/>
        <v>Bad</v>
      </c>
    </row>
    <row r="6299" spans="2:34" x14ac:dyDescent="0.2">
      <c r="B6299" s="2">
        <f ca="1"/>
        <v>1.2378647446330993E-2</v>
      </c>
      <c r="O6299" s="2">
        <f ca="1"/>
        <v>-0.51288500760303668</v>
      </c>
      <c r="X6299" s="2">
        <f ca="1"/>
        <v>43.796591187855313</v>
      </c>
      <c r="AG6299" s="2">
        <f ca="1"/>
        <v>9.8830540664789801E-2</v>
      </c>
      <c r="AH6299" s="2" t="str">
        <f ca="1"/>
        <v>OK</v>
      </c>
    </row>
    <row r="6300" spans="2:34" x14ac:dyDescent="0.2">
      <c r="B6300" s="2">
        <f ca="1"/>
        <v>0.37962234471888445</v>
      </c>
      <c r="O6300" s="2">
        <f ca="1"/>
        <v>1.1180805808272851</v>
      </c>
      <c r="X6300" s="2">
        <f ca="1"/>
        <v>46.809716009076112</v>
      </c>
      <c r="AG6300" s="2">
        <f ca="1"/>
        <v>0.13564360165600586</v>
      </c>
      <c r="AH6300" s="2" t="str">
        <f ca="1"/>
        <v>OK</v>
      </c>
    </row>
    <row r="6301" spans="2:34" x14ac:dyDescent="0.2">
      <c r="B6301" s="2">
        <f ca="1"/>
        <v>0.28902824793707493</v>
      </c>
      <c r="O6301" s="2">
        <f ca="1"/>
        <v>0.5685803063073368</v>
      </c>
      <c r="X6301" s="2">
        <f ca="1"/>
        <v>36.261200466752193</v>
      </c>
      <c r="AG6301" s="2">
        <f ca="1"/>
        <v>6.8940527078135805E-2</v>
      </c>
      <c r="AH6301" s="2" t="str">
        <f ca="1"/>
        <v>OK</v>
      </c>
    </row>
    <row r="6302" spans="2:34" x14ac:dyDescent="0.2">
      <c r="B6302" s="2">
        <f ca="1"/>
        <v>0.11848043092688032</v>
      </c>
      <c r="O6302" s="2">
        <f ca="1"/>
        <v>0.35565875572670508</v>
      </c>
      <c r="X6302" s="2">
        <f ca="1"/>
        <v>74.174161935976343</v>
      </c>
      <c r="AG6302" s="2">
        <f ca="1"/>
        <v>0.70111938663682882</v>
      </c>
      <c r="AH6302" s="2" t="str">
        <f ca="1"/>
        <v>Bad</v>
      </c>
    </row>
    <row r="6303" spans="2:34" x14ac:dyDescent="0.2">
      <c r="B6303" s="2">
        <f ca="1"/>
        <v>0.53709141777801639</v>
      </c>
      <c r="O6303" s="2">
        <f ca="1"/>
        <v>-0.12196591505288301</v>
      </c>
      <c r="X6303" s="2">
        <f ca="1"/>
        <v>37.351628823774746</v>
      </c>
      <c r="AG6303" s="2">
        <f ca="1"/>
        <v>0.24871496712575825</v>
      </c>
      <c r="AH6303" s="2" t="str">
        <f ca="1"/>
        <v>OK</v>
      </c>
    </row>
    <row r="6304" spans="2:34" x14ac:dyDescent="0.2">
      <c r="B6304" s="2">
        <f ca="1"/>
        <v>0.30913174620331541</v>
      </c>
      <c r="O6304" s="2">
        <f ca="1"/>
        <v>-0.10456594254928001</v>
      </c>
      <c r="X6304" s="2">
        <f ca="1"/>
        <v>54.93111313304528</v>
      </c>
      <c r="AG6304" s="2">
        <f ca="1"/>
        <v>0.61675945295178791</v>
      </c>
      <c r="AH6304" s="2" t="str">
        <f ca="1"/>
        <v>Bad</v>
      </c>
    </row>
    <row r="6305" spans="2:34" x14ac:dyDescent="0.2">
      <c r="B6305" s="2">
        <f ca="1"/>
        <v>0.95253705775898823</v>
      </c>
      <c r="O6305" s="2">
        <f ca="1"/>
        <v>1.363707283949577</v>
      </c>
      <c r="X6305" s="2">
        <f ca="1"/>
        <v>70.31845322207387</v>
      </c>
      <c r="AG6305" s="2">
        <f ca="1"/>
        <v>0.23191034052100412</v>
      </c>
      <c r="AH6305" s="2" t="str">
        <f ca="1"/>
        <v>OK</v>
      </c>
    </row>
    <row r="6306" spans="2:34" x14ac:dyDescent="0.2">
      <c r="B6306" s="2">
        <f ca="1"/>
        <v>0.78688955494522328</v>
      </c>
      <c r="O6306" s="2">
        <f ca="1"/>
        <v>-0.12234280658980458</v>
      </c>
      <c r="X6306" s="2">
        <f ca="1"/>
        <v>57.068615767704173</v>
      </c>
      <c r="AG6306" s="2">
        <f ca="1"/>
        <v>0.65784534437592157</v>
      </c>
      <c r="AH6306" s="2" t="str">
        <f ca="1"/>
        <v>Bad</v>
      </c>
    </row>
    <row r="6307" spans="2:34" x14ac:dyDescent="0.2">
      <c r="B6307" s="2">
        <f ca="1"/>
        <v>0.63580549730276426</v>
      </c>
      <c r="O6307" s="2">
        <f ca="1"/>
        <v>-0.22861281539653019</v>
      </c>
      <c r="X6307" s="2">
        <f ca="1"/>
        <v>50.776484385881737</v>
      </c>
      <c r="AG6307" s="2">
        <f ca="1"/>
        <v>0.12204445608482328</v>
      </c>
      <c r="AH6307" s="2" t="str">
        <f ca="1"/>
        <v>OK</v>
      </c>
    </row>
    <row r="6308" spans="2:34" x14ac:dyDescent="0.2">
      <c r="B6308" s="2">
        <f ca="1"/>
        <v>0.5206050569694225</v>
      </c>
      <c r="O6308" s="2">
        <f ca="1"/>
        <v>-0.86961620842129106</v>
      </c>
      <c r="X6308" s="2">
        <f ca="1"/>
        <v>44.216999617692778</v>
      </c>
      <c r="AG6308" s="2">
        <f ca="1"/>
        <v>0.52868811212777178</v>
      </c>
      <c r="AH6308" s="2" t="str">
        <f ca="1"/>
        <v>Bad</v>
      </c>
    </row>
    <row r="6309" spans="2:34" x14ac:dyDescent="0.2">
      <c r="B6309" s="2">
        <f ca="1"/>
        <v>1.7008419868115077E-2</v>
      </c>
      <c r="O6309" s="2">
        <f ca="1"/>
        <v>1.1665325918541669</v>
      </c>
      <c r="X6309" s="2">
        <f ca="1"/>
        <v>59.134261047016153</v>
      </c>
      <c r="AG6309" s="2">
        <f ca="1"/>
        <v>0.43352287254701838</v>
      </c>
      <c r="AH6309" s="2" t="str">
        <f ca="1"/>
        <v>Bad</v>
      </c>
    </row>
    <row r="6310" spans="2:34" x14ac:dyDescent="0.2">
      <c r="B6310" s="2">
        <f ca="1"/>
        <v>0.87712624146494922</v>
      </c>
      <c r="O6310" s="2">
        <f ca="1"/>
        <v>1.2177965416782277</v>
      </c>
      <c r="X6310" s="2">
        <f ca="1"/>
        <v>48.697946358419941</v>
      </c>
      <c r="AG6310" s="2">
        <f ca="1"/>
        <v>0.38677621152210406</v>
      </c>
      <c r="AH6310" s="2" t="str">
        <f ca="1"/>
        <v>OK</v>
      </c>
    </row>
    <row r="6311" spans="2:34" x14ac:dyDescent="0.2">
      <c r="B6311" s="2">
        <f ca="1"/>
        <v>0.66628775671878437</v>
      </c>
      <c r="O6311" s="2">
        <f ca="1"/>
        <v>0.87670257721450939</v>
      </c>
      <c r="X6311" s="2">
        <f ca="1"/>
        <v>38.849920909422167</v>
      </c>
      <c r="AG6311" s="2">
        <f ca="1"/>
        <v>0.23571329746094949</v>
      </c>
      <c r="AH6311" s="2" t="str">
        <f ca="1"/>
        <v>OK</v>
      </c>
    </row>
    <row r="6312" spans="2:34" x14ac:dyDescent="0.2">
      <c r="B6312" s="2">
        <f ca="1"/>
        <v>0.26191565066968536</v>
      </c>
      <c r="O6312" s="2">
        <f ca="1"/>
        <v>-1.3806199501152028</v>
      </c>
      <c r="X6312" s="2">
        <f ca="1"/>
        <v>59.578729452207511</v>
      </c>
      <c r="AG6312" s="2">
        <f ca="1"/>
        <v>0.12234338159401847</v>
      </c>
      <c r="AH6312" s="2" t="str">
        <f ca="1"/>
        <v>OK</v>
      </c>
    </row>
    <row r="6313" spans="2:34" x14ac:dyDescent="0.2">
      <c r="B6313" s="2">
        <f ca="1"/>
        <v>0.14067963556340368</v>
      </c>
      <c r="O6313" s="2">
        <f ca="1"/>
        <v>-0.9521262720271324</v>
      </c>
      <c r="X6313" s="2">
        <f ca="1"/>
        <v>75.505011361157273</v>
      </c>
      <c r="AG6313" s="2">
        <f ca="1"/>
        <v>0.34798895655553541</v>
      </c>
      <c r="AH6313" s="2" t="str">
        <f ca="1"/>
        <v>OK</v>
      </c>
    </row>
    <row r="6314" spans="2:34" x14ac:dyDescent="0.2">
      <c r="B6314" s="2">
        <f ca="1"/>
        <v>0.10578011309279467</v>
      </c>
      <c r="O6314" s="2">
        <f ca="1"/>
        <v>-0.3129181645637123</v>
      </c>
      <c r="X6314" s="2">
        <f ca="1"/>
        <v>59.277308535171883</v>
      </c>
      <c r="AG6314" s="2">
        <f ca="1"/>
        <v>0.99019838151882311</v>
      </c>
      <c r="AH6314" s="2" t="str">
        <f ca="1"/>
        <v>Bad</v>
      </c>
    </row>
    <row r="6315" spans="2:34" x14ac:dyDescent="0.2">
      <c r="B6315" s="2">
        <f ca="1"/>
        <v>0.39930000910201846</v>
      </c>
      <c r="O6315" s="2">
        <f ca="1"/>
        <v>0.7296994197572747</v>
      </c>
      <c r="X6315" s="2">
        <f ca="1"/>
        <v>58.836276517659627</v>
      </c>
      <c r="AG6315" s="2">
        <f ca="1"/>
        <v>0.70032508508896862</v>
      </c>
      <c r="AH6315" s="2" t="str">
        <f ca="1"/>
        <v>Bad</v>
      </c>
    </row>
    <row r="6316" spans="2:34" x14ac:dyDescent="0.2">
      <c r="B6316" s="2">
        <f ca="1"/>
        <v>0.94262510006333344</v>
      </c>
      <c r="O6316" s="2">
        <f ca="1"/>
        <v>0.33141607004342782</v>
      </c>
      <c r="X6316" s="2">
        <f ca="1"/>
        <v>62.811234586516576</v>
      </c>
      <c r="AG6316" s="2">
        <f ca="1"/>
        <v>0.3018014490818588</v>
      </c>
      <c r="AH6316" s="2" t="str">
        <f ca="1"/>
        <v>OK</v>
      </c>
    </row>
    <row r="6317" spans="2:34" x14ac:dyDescent="0.2">
      <c r="B6317" s="2">
        <f ca="1"/>
        <v>0.21404946213502862</v>
      </c>
      <c r="O6317" s="2">
        <f ca="1"/>
        <v>9.7354898269042221E-3</v>
      </c>
      <c r="X6317" s="2">
        <f ca="1"/>
        <v>92.421014084686291</v>
      </c>
      <c r="AG6317" s="2">
        <f ca="1"/>
        <v>0.7191766271177833</v>
      </c>
      <c r="AH6317" s="2" t="str">
        <f ca="1"/>
        <v>Bad</v>
      </c>
    </row>
    <row r="6318" spans="2:34" x14ac:dyDescent="0.2">
      <c r="B6318" s="2">
        <f ca="1"/>
        <v>0.8578772424097485</v>
      </c>
      <c r="O6318" s="2">
        <f ca="1"/>
        <v>1.4448389701244153</v>
      </c>
      <c r="X6318" s="2">
        <f ca="1"/>
        <v>33.334123859802339</v>
      </c>
      <c r="AG6318" s="2">
        <f ca="1"/>
        <v>0.62228527872617789</v>
      </c>
      <c r="AH6318" s="2" t="str">
        <f ca="1"/>
        <v>Bad</v>
      </c>
    </row>
    <row r="6319" spans="2:34" x14ac:dyDescent="0.2">
      <c r="B6319" s="2">
        <f ca="1"/>
        <v>0.5158819507928718</v>
      </c>
      <c r="O6319" s="2">
        <f ca="1"/>
        <v>-0.83470117439788538</v>
      </c>
      <c r="X6319" s="2">
        <f ca="1"/>
        <v>42.446452898428234</v>
      </c>
      <c r="AG6319" s="2">
        <f ca="1"/>
        <v>0.44324777178122687</v>
      </c>
      <c r="AH6319" s="2" t="str">
        <f ca="1"/>
        <v>Bad</v>
      </c>
    </row>
    <row r="6320" spans="2:34" x14ac:dyDescent="0.2">
      <c r="B6320" s="2">
        <f ca="1"/>
        <v>0.65930190909991349</v>
      </c>
      <c r="O6320" s="2">
        <f ca="1"/>
        <v>-1.9635586095179511</v>
      </c>
      <c r="X6320" s="2">
        <f ca="1"/>
        <v>45.186276548078574</v>
      </c>
      <c r="AG6320" s="2">
        <f ca="1"/>
        <v>0.71137813094867752</v>
      </c>
      <c r="AH6320" s="2" t="str">
        <f ca="1"/>
        <v>Bad</v>
      </c>
    </row>
    <row r="6321" spans="2:34" x14ac:dyDescent="0.2">
      <c r="B6321" s="2">
        <f ca="1"/>
        <v>0.96704128284378932</v>
      </c>
      <c r="O6321" s="2">
        <f ca="1"/>
        <v>2.5467793694321816</v>
      </c>
      <c r="X6321" s="2">
        <f ca="1"/>
        <v>35.890704640626382</v>
      </c>
      <c r="AG6321" s="2">
        <f ca="1"/>
        <v>0.78146833602156152</v>
      </c>
      <c r="AH6321" s="2" t="str">
        <f ca="1"/>
        <v>Bad</v>
      </c>
    </row>
    <row r="6322" spans="2:34" x14ac:dyDescent="0.2">
      <c r="B6322" s="2">
        <f ca="1"/>
        <v>0.25986128360893246</v>
      </c>
      <c r="O6322" s="2">
        <f ca="1"/>
        <v>0.90809311457637398</v>
      </c>
      <c r="X6322" s="2">
        <f ca="1"/>
        <v>65.921494459532283</v>
      </c>
      <c r="AG6322" s="2">
        <f ca="1"/>
        <v>0.72008136582734572</v>
      </c>
      <c r="AH6322" s="2" t="str">
        <f ca="1"/>
        <v>Bad</v>
      </c>
    </row>
    <row r="6323" spans="2:34" x14ac:dyDescent="0.2">
      <c r="B6323" s="2">
        <f ca="1"/>
        <v>0.92510304163743284</v>
      </c>
      <c r="O6323" s="2">
        <f ca="1"/>
        <v>-0.20035340468293111</v>
      </c>
      <c r="X6323" s="2">
        <f ca="1"/>
        <v>24.251431999686019</v>
      </c>
      <c r="AG6323" s="2">
        <f ca="1"/>
        <v>0.70000304950898529</v>
      </c>
      <c r="AH6323" s="2" t="str">
        <f ca="1"/>
        <v>Bad</v>
      </c>
    </row>
    <row r="6324" spans="2:34" x14ac:dyDescent="0.2">
      <c r="B6324" s="2">
        <f ca="1"/>
        <v>0.11634488851261238</v>
      </c>
      <c r="O6324" s="2">
        <f ca="1"/>
        <v>-0.12116870672165723</v>
      </c>
      <c r="X6324" s="2">
        <f ca="1"/>
        <v>28.407577456308495</v>
      </c>
      <c r="AG6324" s="2">
        <f ca="1"/>
        <v>0.29436355658523561</v>
      </c>
      <c r="AH6324" s="2" t="str">
        <f ca="1"/>
        <v>OK</v>
      </c>
    </row>
    <row r="6325" spans="2:34" x14ac:dyDescent="0.2">
      <c r="B6325" s="2">
        <f ca="1"/>
        <v>0.6680304029116988</v>
      </c>
      <c r="O6325" s="2">
        <f ca="1"/>
        <v>-0.44239258772600759</v>
      </c>
      <c r="X6325" s="2">
        <f ca="1"/>
        <v>34.967382081353662</v>
      </c>
      <c r="AG6325" s="2">
        <f ca="1"/>
        <v>0.42955553801356205</v>
      </c>
      <c r="AH6325" s="2" t="str">
        <f ca="1"/>
        <v>Bad</v>
      </c>
    </row>
    <row r="6326" spans="2:34" x14ac:dyDescent="0.2">
      <c r="B6326" s="2">
        <f ca="1"/>
        <v>0.3963212107598304</v>
      </c>
      <c r="O6326" s="2">
        <f ca="1"/>
        <v>9.2969422846078439E-2</v>
      </c>
      <c r="X6326" s="2">
        <f ca="1"/>
        <v>54.493017368012325</v>
      </c>
      <c r="AG6326" s="2">
        <f ca="1"/>
        <v>0.28348628718806679</v>
      </c>
      <c r="AH6326" s="2" t="str">
        <f ca="1"/>
        <v>OK</v>
      </c>
    </row>
    <row r="6327" spans="2:34" x14ac:dyDescent="0.2">
      <c r="B6327" s="2">
        <f ca="1"/>
        <v>0.73629473214648211</v>
      </c>
      <c r="O6327" s="2">
        <f ca="1"/>
        <v>-0.81364860827380681</v>
      </c>
      <c r="X6327" s="2">
        <f ca="1"/>
        <v>49.688661252275111</v>
      </c>
      <c r="AG6327" s="2">
        <f ca="1"/>
        <v>0.24182294737152654</v>
      </c>
      <c r="AH6327" s="2" t="str">
        <f ca="1"/>
        <v>OK</v>
      </c>
    </row>
    <row r="6328" spans="2:34" x14ac:dyDescent="0.2">
      <c r="B6328" s="2">
        <f ca="1"/>
        <v>0.37920113754420237</v>
      </c>
      <c r="O6328" s="2">
        <f ca="1"/>
        <v>-0.16543658100165434</v>
      </c>
      <c r="X6328" s="2">
        <f ca="1"/>
        <v>47.301057296330711</v>
      </c>
      <c r="AG6328" s="2">
        <f ca="1"/>
        <v>0.384283087467437</v>
      </c>
      <c r="AH6328" s="2" t="str">
        <f ca="1"/>
        <v>OK</v>
      </c>
    </row>
    <row r="6329" spans="2:34" x14ac:dyDescent="0.2">
      <c r="B6329" s="2">
        <f ca="1"/>
        <v>0.72015614697150543</v>
      </c>
      <c r="O6329" s="2">
        <f ca="1"/>
        <v>-0.29790586777378913</v>
      </c>
      <c r="X6329" s="2">
        <f ca="1"/>
        <v>39.237857155443095</v>
      </c>
      <c r="AG6329" s="2">
        <f ca="1"/>
        <v>0.80961200334880723</v>
      </c>
      <c r="AH6329" s="2" t="str">
        <f ca="1"/>
        <v>Bad</v>
      </c>
    </row>
    <row r="6330" spans="2:34" x14ac:dyDescent="0.2">
      <c r="B6330" s="2">
        <f ca="1"/>
        <v>0.65564205786549956</v>
      </c>
      <c r="O6330" s="2">
        <f ca="1"/>
        <v>-0.54088965210710727</v>
      </c>
      <c r="X6330" s="2">
        <f ca="1"/>
        <v>44.472487972123631</v>
      </c>
      <c r="AG6330" s="2">
        <f ca="1"/>
        <v>0.36460719170529554</v>
      </c>
      <c r="AH6330" s="2" t="str">
        <f ca="1"/>
        <v>OK</v>
      </c>
    </row>
    <row r="6331" spans="2:34" x14ac:dyDescent="0.2">
      <c r="B6331" s="2">
        <f ca="1"/>
        <v>0.91104101810619231</v>
      </c>
      <c r="O6331" s="2">
        <f ca="1"/>
        <v>0.14080063447341135</v>
      </c>
      <c r="X6331" s="2">
        <f ca="1"/>
        <v>71.302951969314677</v>
      </c>
      <c r="AG6331" s="2">
        <f ca="1"/>
        <v>0.57790793335012247</v>
      </c>
      <c r="AH6331" s="2" t="str">
        <f ca="1"/>
        <v>Bad</v>
      </c>
    </row>
    <row r="6332" spans="2:34" x14ac:dyDescent="0.2">
      <c r="B6332" s="2">
        <f ca="1"/>
        <v>0.61540180520394316</v>
      </c>
      <c r="O6332" s="2">
        <f ca="1"/>
        <v>-0.43582334940614481</v>
      </c>
      <c r="X6332" s="2">
        <f ca="1"/>
        <v>63.792590658404265</v>
      </c>
      <c r="AG6332" s="2">
        <f ca="1"/>
        <v>6.4468341382496686E-2</v>
      </c>
      <c r="AH6332" s="2" t="str">
        <f ca="1"/>
        <v>OK</v>
      </c>
    </row>
    <row r="6333" spans="2:34" x14ac:dyDescent="0.2">
      <c r="B6333" s="2">
        <f ca="1"/>
        <v>0.70114894924163917</v>
      </c>
      <c r="O6333" s="2">
        <f ca="1"/>
        <v>0.48879712980251749</v>
      </c>
      <c r="X6333" s="2">
        <f ca="1"/>
        <v>61.044500689894541</v>
      </c>
      <c r="AG6333" s="2">
        <f ca="1"/>
        <v>0.12251106179630389</v>
      </c>
      <c r="AH6333" s="2" t="str">
        <f ca="1"/>
        <v>OK</v>
      </c>
    </row>
    <row r="6334" spans="2:34" x14ac:dyDescent="0.2">
      <c r="B6334" s="2">
        <f ca="1"/>
        <v>0.59110908104133131</v>
      </c>
      <c r="O6334" s="2">
        <f ca="1"/>
        <v>-0.11284769938229494</v>
      </c>
      <c r="X6334" s="2">
        <f ca="1"/>
        <v>38.601536173610924</v>
      </c>
      <c r="AG6334" s="2">
        <f ca="1"/>
        <v>0.4089642243160303</v>
      </c>
      <c r="AH6334" s="2" t="str">
        <f ca="1"/>
        <v>Bad</v>
      </c>
    </row>
    <row r="6335" spans="2:34" x14ac:dyDescent="0.2">
      <c r="B6335" s="2">
        <f ca="1"/>
        <v>0.98887891673643868</v>
      </c>
      <c r="O6335" s="2">
        <f ca="1"/>
        <v>-1.7027330976466946</v>
      </c>
      <c r="X6335" s="2">
        <f ca="1"/>
        <v>45.501131075805425</v>
      </c>
      <c r="AG6335" s="2">
        <f ca="1"/>
        <v>0.93712841437851346</v>
      </c>
      <c r="AH6335" s="2" t="str">
        <f ca="1"/>
        <v>Bad</v>
      </c>
    </row>
    <row r="6336" spans="2:34" x14ac:dyDescent="0.2">
      <c r="B6336" s="2">
        <f ca="1"/>
        <v>0.92811724457217304</v>
      </c>
      <c r="O6336" s="2">
        <f ca="1"/>
        <v>-0.87329108420028811</v>
      </c>
      <c r="X6336" s="2">
        <f ca="1"/>
        <v>69.234923602047559</v>
      </c>
      <c r="AG6336" s="2">
        <f ca="1"/>
        <v>0.61079078910566076</v>
      </c>
      <c r="AH6336" s="2" t="str">
        <f ca="1"/>
        <v>Bad</v>
      </c>
    </row>
    <row r="6337" spans="2:34" x14ac:dyDescent="0.2">
      <c r="B6337" s="2">
        <f ca="1"/>
        <v>0.35991004406124105</v>
      </c>
      <c r="O6337" s="2">
        <f ca="1"/>
        <v>-0.7915618301327394</v>
      </c>
      <c r="X6337" s="2">
        <f ca="1"/>
        <v>49.561580037951828</v>
      </c>
      <c r="AG6337" s="2">
        <f ca="1"/>
        <v>0.10685038762948951</v>
      </c>
      <c r="AH6337" s="2" t="str">
        <f ca="1"/>
        <v>OK</v>
      </c>
    </row>
    <row r="6338" spans="2:34" x14ac:dyDescent="0.2">
      <c r="B6338" s="2">
        <f ca="1"/>
        <v>7.9608936509564465E-2</v>
      </c>
      <c r="O6338" s="2">
        <f ca="1"/>
        <v>1.443953497612499</v>
      </c>
      <c r="X6338" s="2">
        <f ca="1"/>
        <v>85.219199133966654</v>
      </c>
      <c r="AG6338" s="2">
        <f ca="1"/>
        <v>0.69501535440166573</v>
      </c>
      <c r="AH6338" s="2" t="str">
        <f ca="1"/>
        <v>Bad</v>
      </c>
    </row>
    <row r="6339" spans="2:34" x14ac:dyDescent="0.2">
      <c r="B6339" s="2">
        <f ca="1"/>
        <v>0.36848334925879223</v>
      </c>
      <c r="O6339" s="2">
        <f ca="1"/>
        <v>-1.160708822567333</v>
      </c>
      <c r="X6339" s="2">
        <f ca="1"/>
        <v>34.396960758247346</v>
      </c>
      <c r="AG6339" s="2">
        <f ca="1"/>
        <v>0.83796665360304523</v>
      </c>
      <c r="AH6339" s="2" t="str">
        <f ca="1"/>
        <v>Bad</v>
      </c>
    </row>
    <row r="6340" spans="2:34" x14ac:dyDescent="0.2">
      <c r="B6340" s="2">
        <f ca="1"/>
        <v>0.86665090323127614</v>
      </c>
      <c r="O6340" s="2">
        <f ca="1"/>
        <v>-1.5450688464096387</v>
      </c>
      <c r="X6340" s="2">
        <f ca="1"/>
        <v>36.733250462973494</v>
      </c>
      <c r="AG6340" s="2">
        <f ca="1"/>
        <v>0.21424213694003513</v>
      </c>
      <c r="AH6340" s="2" t="str">
        <f ca="1"/>
        <v>OK</v>
      </c>
    </row>
    <row r="6341" spans="2:34" x14ac:dyDescent="0.2">
      <c r="B6341" s="2">
        <f ca="1"/>
        <v>0.26907558377585761</v>
      </c>
      <c r="O6341" s="2">
        <f ca="1"/>
        <v>0.35333613475606912</v>
      </c>
      <c r="X6341" s="2">
        <f ca="1"/>
        <v>30.95106886673392</v>
      </c>
      <c r="AG6341" s="2">
        <f ca="1"/>
        <v>0.70007159728886648</v>
      </c>
      <c r="AH6341" s="2" t="str">
        <f ca="1"/>
        <v>Bad</v>
      </c>
    </row>
    <row r="6342" spans="2:34" x14ac:dyDescent="0.2">
      <c r="B6342" s="2">
        <f ca="1"/>
        <v>0.48988195040447891</v>
      </c>
      <c r="O6342" s="2">
        <f ca="1"/>
        <v>-0.22131694538563271</v>
      </c>
      <c r="X6342" s="2">
        <f ca="1"/>
        <v>54.518109060387019</v>
      </c>
      <c r="AG6342" s="2">
        <f ca="1"/>
        <v>0.42635090638701945</v>
      </c>
      <c r="AH6342" s="2" t="str">
        <f ca="1"/>
        <v>Bad</v>
      </c>
    </row>
    <row r="6343" spans="2:34" x14ac:dyDescent="0.2">
      <c r="B6343" s="2">
        <f ca="1"/>
        <v>0.84618369788375647</v>
      </c>
      <c r="O6343" s="2">
        <f ca="1"/>
        <v>-0.3348692650091285</v>
      </c>
      <c r="X6343" s="2">
        <f ca="1"/>
        <v>35.28838240240384</v>
      </c>
      <c r="AG6343" s="2">
        <f ca="1"/>
        <v>0.90342841410870922</v>
      </c>
      <c r="AH6343" s="2" t="str">
        <f ca="1"/>
        <v>Bad</v>
      </c>
    </row>
    <row r="6344" spans="2:34" x14ac:dyDescent="0.2">
      <c r="B6344" s="2">
        <f ca="1"/>
        <v>0.22631640873693981</v>
      </c>
      <c r="O6344" s="2">
        <f ca="1"/>
        <v>-0.24107913721236565</v>
      </c>
      <c r="X6344" s="2">
        <f ca="1"/>
        <v>47.357003370790991</v>
      </c>
      <c r="AG6344" s="2">
        <f ca="1"/>
        <v>0.64463446035006866</v>
      </c>
      <c r="AH6344" s="2" t="str">
        <f ca="1"/>
        <v>Bad</v>
      </c>
    </row>
    <row r="6345" spans="2:34" x14ac:dyDescent="0.2">
      <c r="B6345" s="2">
        <f ca="1"/>
        <v>0.15998083999611157</v>
      </c>
      <c r="O6345" s="2">
        <f ca="1"/>
        <v>-0.11726939501034543</v>
      </c>
      <c r="X6345" s="2">
        <f ca="1"/>
        <v>48.474368653377255</v>
      </c>
      <c r="AG6345" s="2">
        <f ca="1"/>
        <v>0.90497872569747462</v>
      </c>
      <c r="AH6345" s="2" t="str">
        <f ca="1"/>
        <v>Bad</v>
      </c>
    </row>
    <row r="6346" spans="2:34" x14ac:dyDescent="0.2">
      <c r="B6346" s="2">
        <f ca="1"/>
        <v>0.88483651789255902</v>
      </c>
      <c r="O6346" s="2">
        <f ca="1"/>
        <v>-0.40139946909241203</v>
      </c>
      <c r="X6346" s="2">
        <f ca="1"/>
        <v>47.181799248698965</v>
      </c>
      <c r="AG6346" s="2">
        <f ca="1"/>
        <v>0.62001780182862642</v>
      </c>
      <c r="AH6346" s="2" t="str">
        <f ca="1"/>
        <v>Bad</v>
      </c>
    </row>
    <row r="6347" spans="2:34" x14ac:dyDescent="0.2">
      <c r="B6347" s="2">
        <f ca="1"/>
        <v>0.15256928648460666</v>
      </c>
      <c r="O6347" s="2">
        <f ca="1"/>
        <v>0.24517829556426746</v>
      </c>
      <c r="X6347" s="2">
        <f ca="1"/>
        <v>44.128269401370027</v>
      </c>
      <c r="AG6347" s="2">
        <f ca="1"/>
        <v>0.27154277853525621</v>
      </c>
      <c r="AH6347" s="2" t="str">
        <f ca="1"/>
        <v>OK</v>
      </c>
    </row>
    <row r="6348" spans="2:34" x14ac:dyDescent="0.2">
      <c r="B6348" s="2">
        <f ca="1"/>
        <v>0.89027144452286322</v>
      </c>
      <c r="O6348" s="2">
        <f ca="1"/>
        <v>5.3788959954466559E-2</v>
      </c>
      <c r="X6348" s="2">
        <f ca="1"/>
        <v>69.055160942713712</v>
      </c>
      <c r="AG6348" s="2">
        <f ca="1"/>
        <v>0.82911282423404131</v>
      </c>
      <c r="AH6348" s="2" t="str">
        <f ca="1"/>
        <v>Bad</v>
      </c>
    </row>
    <row r="6349" spans="2:34" x14ac:dyDescent="0.2">
      <c r="B6349" s="2">
        <f ca="1"/>
        <v>0.89515029310148675</v>
      </c>
      <c r="O6349" s="2">
        <f ca="1"/>
        <v>-1.0924793426725745</v>
      </c>
      <c r="X6349" s="2">
        <f ca="1"/>
        <v>53.363041565847354</v>
      </c>
      <c r="AG6349" s="2">
        <f ca="1"/>
        <v>0.27496154036388609</v>
      </c>
      <c r="AH6349" s="2" t="str">
        <f ca="1"/>
        <v>OK</v>
      </c>
    </row>
    <row r="6350" spans="2:34" x14ac:dyDescent="0.2">
      <c r="B6350" s="2">
        <f ca="1"/>
        <v>0.58802944434559357</v>
      </c>
      <c r="O6350" s="2">
        <f ca="1"/>
        <v>0.27404968554549819</v>
      </c>
      <c r="X6350" s="2">
        <f ca="1"/>
        <v>37.596372055020616</v>
      </c>
      <c r="AG6350" s="2">
        <f ca="1"/>
        <v>0.17772088724569257</v>
      </c>
      <c r="AH6350" s="2" t="str">
        <f ca="1"/>
        <v>OK</v>
      </c>
    </row>
    <row r="6351" spans="2:34" x14ac:dyDescent="0.2">
      <c r="B6351" s="2">
        <f ca="1"/>
        <v>0.80935006673898013</v>
      </c>
      <c r="O6351" s="2">
        <f ca="1"/>
        <v>-3.4415221874822148E-2</v>
      </c>
      <c r="X6351" s="2">
        <f ca="1"/>
        <v>26.042856859128211</v>
      </c>
      <c r="AG6351" s="2">
        <f ca="1"/>
        <v>0.95283227018175509</v>
      </c>
      <c r="AH6351" s="2" t="str">
        <f ca="1"/>
        <v>Bad</v>
      </c>
    </row>
    <row r="6352" spans="2:34" x14ac:dyDescent="0.2">
      <c r="B6352" s="2">
        <f ca="1"/>
        <v>0.25426369901922108</v>
      </c>
      <c r="O6352" s="2">
        <f ca="1"/>
        <v>-0.53855458767278852</v>
      </c>
      <c r="X6352" s="2">
        <f ca="1"/>
        <v>42.693659123076422</v>
      </c>
      <c r="AG6352" s="2">
        <f ca="1"/>
        <v>0.75742654786108043</v>
      </c>
      <c r="AH6352" s="2" t="str">
        <f ca="1"/>
        <v>Bad</v>
      </c>
    </row>
    <row r="6353" spans="2:34" x14ac:dyDescent="0.2">
      <c r="B6353" s="2">
        <f ca="1"/>
        <v>0.67265666915063549</v>
      </c>
      <c r="O6353" s="2">
        <f ca="1"/>
        <v>-1.0010483313348526</v>
      </c>
      <c r="X6353" s="2">
        <f ca="1"/>
        <v>40.962327709627587</v>
      </c>
      <c r="AG6353" s="2">
        <f ca="1"/>
        <v>0.42189294842983349</v>
      </c>
      <c r="AH6353" s="2" t="str">
        <f ca="1"/>
        <v>Bad</v>
      </c>
    </row>
    <row r="6354" spans="2:34" x14ac:dyDescent="0.2">
      <c r="B6354" s="2">
        <f ca="1"/>
        <v>0.4395971212835712</v>
      </c>
      <c r="O6354" s="2">
        <f ca="1"/>
        <v>-0.8700795649395261</v>
      </c>
      <c r="X6354" s="2">
        <f ca="1"/>
        <v>108.51362695924718</v>
      </c>
      <c r="AG6354" s="2">
        <f ca="1"/>
        <v>0.54448631401981173</v>
      </c>
      <c r="AH6354" s="2" t="str">
        <f ca="1"/>
        <v>Bad</v>
      </c>
    </row>
    <row r="6355" spans="2:34" x14ac:dyDescent="0.2">
      <c r="B6355" s="2">
        <f ca="1"/>
        <v>0.95792988694334213</v>
      </c>
      <c r="O6355" s="2">
        <f ca="1"/>
        <v>0.20863334078611226</v>
      </c>
      <c r="X6355" s="2">
        <f ca="1"/>
        <v>57.198275903264879</v>
      </c>
      <c r="AG6355" s="2">
        <f ca="1"/>
        <v>0.43181106208838704</v>
      </c>
      <c r="AH6355" s="2" t="str">
        <f ca="1"/>
        <v>Bad</v>
      </c>
    </row>
    <row r="6356" spans="2:34" x14ac:dyDescent="0.2">
      <c r="B6356" s="2">
        <f ca="1"/>
        <v>0.49118341972994783</v>
      </c>
      <c r="O6356" s="2">
        <f ca="1"/>
        <v>1.3687441569369558</v>
      </c>
      <c r="X6356" s="2">
        <f ca="1"/>
        <v>46.507872471728085</v>
      </c>
      <c r="AG6356" s="2">
        <f ca="1"/>
        <v>0.5780073939462631</v>
      </c>
      <c r="AH6356" s="2" t="str">
        <f ca="1"/>
        <v>Bad</v>
      </c>
    </row>
    <row r="6357" spans="2:34" x14ac:dyDescent="0.2">
      <c r="B6357" s="2">
        <f ca="1"/>
        <v>0.41625689331258786</v>
      </c>
      <c r="O6357" s="2">
        <f ca="1"/>
        <v>1.0196583543946405</v>
      </c>
      <c r="X6357" s="2">
        <f ca="1"/>
        <v>79.733105577295248</v>
      </c>
      <c r="AG6357" s="2">
        <f ca="1"/>
        <v>0.11004040194599374</v>
      </c>
      <c r="AH6357" s="2" t="str">
        <f ca="1"/>
        <v>OK</v>
      </c>
    </row>
    <row r="6358" spans="2:34" x14ac:dyDescent="0.2">
      <c r="B6358" s="2">
        <f ca="1"/>
        <v>0.26850478598833449</v>
      </c>
      <c r="O6358" s="2">
        <f ca="1"/>
        <v>0.3237165186832866</v>
      </c>
      <c r="X6358" s="2">
        <f ca="1"/>
        <v>55.981225475063766</v>
      </c>
      <c r="AG6358" s="2">
        <f ca="1"/>
        <v>0.16727744068945105</v>
      </c>
      <c r="AH6358" s="2" t="str">
        <f ca="1"/>
        <v>OK</v>
      </c>
    </row>
    <row r="6359" spans="2:34" x14ac:dyDescent="0.2">
      <c r="B6359" s="2">
        <f ca="1"/>
        <v>8.1274202763025327E-2</v>
      </c>
      <c r="O6359" s="2">
        <f ca="1"/>
        <v>1.0194287206034287</v>
      </c>
      <c r="X6359" s="2">
        <f ca="1"/>
        <v>61.217627885674816</v>
      </c>
      <c r="AG6359" s="2">
        <f ca="1"/>
        <v>0.24341568466271823</v>
      </c>
      <c r="AH6359" s="2" t="str">
        <f ca="1"/>
        <v>OK</v>
      </c>
    </row>
    <row r="6360" spans="2:34" x14ac:dyDescent="0.2">
      <c r="B6360" s="2">
        <f ca="1"/>
        <v>0.29192588358923421</v>
      </c>
      <c r="O6360" s="2">
        <f ca="1"/>
        <v>-0.72605631228719691</v>
      </c>
      <c r="X6360" s="2">
        <f ca="1"/>
        <v>49.533998810333486</v>
      </c>
      <c r="AG6360" s="2">
        <f ca="1"/>
        <v>0.76602226538949747</v>
      </c>
      <c r="AH6360" s="2" t="str">
        <f ca="1"/>
        <v>Bad</v>
      </c>
    </row>
    <row r="6361" spans="2:34" x14ac:dyDescent="0.2">
      <c r="B6361" s="2">
        <f ca="1"/>
        <v>0.91290303856845267</v>
      </c>
      <c r="O6361" s="2">
        <f ca="1"/>
        <v>-1.3508730511373357</v>
      </c>
      <c r="X6361" s="2">
        <f ca="1"/>
        <v>53.462804461865588</v>
      </c>
      <c r="AG6361" s="2">
        <f ca="1"/>
        <v>0.40314996866566832</v>
      </c>
      <c r="AH6361" s="2" t="str">
        <f ca="1"/>
        <v>Bad</v>
      </c>
    </row>
    <row r="6362" spans="2:34" x14ac:dyDescent="0.2">
      <c r="B6362" s="2">
        <f ca="1"/>
        <v>0.47817977184386007</v>
      </c>
      <c r="O6362" s="2">
        <f ca="1"/>
        <v>-0.88777999679490038</v>
      </c>
      <c r="X6362" s="2">
        <f ca="1"/>
        <v>70.995077535142144</v>
      </c>
      <c r="AG6362" s="2">
        <f ca="1"/>
        <v>0.95955490489344752</v>
      </c>
      <c r="AH6362" s="2" t="str">
        <f ca="1"/>
        <v>Bad</v>
      </c>
    </row>
    <row r="6363" spans="2:34" x14ac:dyDescent="0.2">
      <c r="B6363" s="2">
        <f ca="1"/>
        <v>8.6925473531814124E-2</v>
      </c>
      <c r="O6363" s="2">
        <f ca="1"/>
        <v>1.0845450352604005</v>
      </c>
      <c r="X6363" s="2">
        <f ca="1"/>
        <v>64.98043891389149</v>
      </c>
      <c r="AG6363" s="2">
        <f ca="1"/>
        <v>0.58030372534603236</v>
      </c>
      <c r="AH6363" s="2" t="str">
        <f ca="1"/>
        <v>Bad</v>
      </c>
    </row>
    <row r="6364" spans="2:34" x14ac:dyDescent="0.2">
      <c r="B6364" s="2">
        <f ca="1"/>
        <v>0.73302744550806254</v>
      </c>
      <c r="O6364" s="2">
        <f ca="1"/>
        <v>-0.51485931243676597</v>
      </c>
      <c r="X6364" s="2">
        <f ca="1"/>
        <v>45.295232481730736</v>
      </c>
      <c r="AG6364" s="2">
        <f ca="1"/>
        <v>0.30887355097704439</v>
      </c>
      <c r="AH6364" s="2" t="str">
        <f ca="1"/>
        <v>OK</v>
      </c>
    </row>
    <row r="6365" spans="2:34" x14ac:dyDescent="0.2">
      <c r="B6365" s="2">
        <f ca="1"/>
        <v>0.16351567280019741</v>
      </c>
      <c r="O6365" s="2">
        <f ca="1"/>
        <v>-0.68924695403331304</v>
      </c>
      <c r="X6365" s="2">
        <f ca="1"/>
        <v>56.71639346793522</v>
      </c>
      <c r="AG6365" s="2">
        <f ca="1"/>
        <v>0.4986175897607199</v>
      </c>
      <c r="AH6365" s="2" t="str">
        <f ca="1"/>
        <v>Bad</v>
      </c>
    </row>
    <row r="6366" spans="2:34" x14ac:dyDescent="0.2">
      <c r="B6366" s="2">
        <f ca="1"/>
        <v>0.50165417420195202</v>
      </c>
      <c r="O6366" s="2">
        <f ca="1"/>
        <v>3.8732958827571939E-2</v>
      </c>
      <c r="X6366" s="2">
        <f ca="1"/>
        <v>41.583232947071266</v>
      </c>
      <c r="AG6366" s="2">
        <f ca="1"/>
        <v>0.72080297718960962</v>
      </c>
      <c r="AH6366" s="2" t="str">
        <f ca="1"/>
        <v>Bad</v>
      </c>
    </row>
    <row r="6367" spans="2:34" x14ac:dyDescent="0.2">
      <c r="B6367" s="2">
        <f ca="1"/>
        <v>6.924580378712708E-2</v>
      </c>
      <c r="O6367" s="2">
        <f ca="1"/>
        <v>-0.13559148836840909</v>
      </c>
      <c r="X6367" s="2">
        <f ca="1"/>
        <v>43.906057957636136</v>
      </c>
      <c r="AG6367" s="2">
        <f ca="1"/>
        <v>0.98695236574364387</v>
      </c>
      <c r="AH6367" s="2" t="str">
        <f ca="1"/>
        <v>Bad</v>
      </c>
    </row>
    <row r="6368" spans="2:34" x14ac:dyDescent="0.2">
      <c r="B6368" s="2">
        <f ca="1"/>
        <v>0.78174996791953277</v>
      </c>
      <c r="O6368" s="2">
        <f ca="1"/>
        <v>0.26545314949858689</v>
      </c>
      <c r="X6368" s="2">
        <f ca="1"/>
        <v>43.669814359083972</v>
      </c>
      <c r="AG6368" s="2">
        <f ca="1"/>
        <v>0.99005738048386638</v>
      </c>
      <c r="AH6368" s="2" t="str">
        <f ca="1"/>
        <v>Bad</v>
      </c>
    </row>
    <row r="6369" spans="2:34" x14ac:dyDescent="0.2">
      <c r="B6369" s="2">
        <f ca="1"/>
        <v>0.94049388142576107</v>
      </c>
      <c r="O6369" s="2">
        <f ca="1"/>
        <v>-0.63360844951649076</v>
      </c>
      <c r="X6369" s="2">
        <f ca="1"/>
        <v>51.073778656062565</v>
      </c>
      <c r="AG6369" s="2">
        <f ca="1"/>
        <v>0.71788349800487938</v>
      </c>
      <c r="AH6369" s="2" t="str">
        <f ca="1"/>
        <v>Bad</v>
      </c>
    </row>
    <row r="6370" spans="2:34" x14ac:dyDescent="0.2">
      <c r="B6370" s="2">
        <f ca="1"/>
        <v>2.8088069192986564E-2</v>
      </c>
      <c r="O6370" s="2">
        <f ca="1"/>
        <v>0.6609450502391806</v>
      </c>
      <c r="X6370" s="2">
        <f ca="1"/>
        <v>28.755719448349922</v>
      </c>
      <c r="AG6370" s="2">
        <f ca="1"/>
        <v>0.27131088659514124</v>
      </c>
      <c r="AH6370" s="2" t="str">
        <f ca="1"/>
        <v>OK</v>
      </c>
    </row>
    <row r="6371" spans="2:34" x14ac:dyDescent="0.2">
      <c r="B6371" s="2">
        <f ca="1"/>
        <v>0.66904649050500464</v>
      </c>
      <c r="O6371" s="2">
        <f ca="1"/>
        <v>0.44217092201176728</v>
      </c>
      <c r="X6371" s="2">
        <f ca="1"/>
        <v>50.155545426742862</v>
      </c>
      <c r="AG6371" s="2">
        <f ca="1"/>
        <v>0.78268514793765687</v>
      </c>
      <c r="AH6371" s="2" t="str">
        <f ca="1"/>
        <v>Bad</v>
      </c>
    </row>
    <row r="6372" spans="2:34" x14ac:dyDescent="0.2">
      <c r="B6372" s="2">
        <f ca="1"/>
        <v>0.82390044219009262</v>
      </c>
      <c r="O6372" s="2">
        <f ca="1"/>
        <v>5.1065355722163489E-2</v>
      </c>
      <c r="X6372" s="2">
        <f ca="1"/>
        <v>53.412564619938806</v>
      </c>
      <c r="AG6372" s="2">
        <f ca="1"/>
        <v>0.64175347575586494</v>
      </c>
      <c r="AH6372" s="2" t="str">
        <f ca="1"/>
        <v>Bad</v>
      </c>
    </row>
    <row r="6373" spans="2:34" x14ac:dyDescent="0.2">
      <c r="B6373" s="2">
        <f ca="1"/>
        <v>1.5646957917338167E-2</v>
      </c>
      <c r="O6373" s="2">
        <f ca="1"/>
        <v>0.70528936046457869</v>
      </c>
      <c r="X6373" s="2">
        <f ca="1"/>
        <v>52.818449159319634</v>
      </c>
      <c r="AG6373" s="2">
        <f ca="1"/>
        <v>0.99567542733652092</v>
      </c>
      <c r="AH6373" s="2" t="str">
        <f ca="1"/>
        <v>Bad</v>
      </c>
    </row>
    <row r="6374" spans="2:34" x14ac:dyDescent="0.2">
      <c r="B6374" s="2">
        <f ca="1"/>
        <v>0.1206273805286795</v>
      </c>
      <c r="O6374" s="2">
        <f ca="1"/>
        <v>-0.35455143622462298</v>
      </c>
      <c r="X6374" s="2">
        <f ca="1"/>
        <v>45.591728902133617</v>
      </c>
      <c r="AG6374" s="2">
        <f ca="1"/>
        <v>1.5171961847662896E-2</v>
      </c>
      <c r="AH6374" s="2" t="str">
        <f ca="1"/>
        <v>Good</v>
      </c>
    </row>
    <row r="6375" spans="2:34" x14ac:dyDescent="0.2">
      <c r="B6375" s="2">
        <f ca="1"/>
        <v>0.93212124096307769</v>
      </c>
      <c r="O6375" s="2">
        <f ca="1"/>
        <v>-1.1018247004179968</v>
      </c>
      <c r="X6375" s="2">
        <f ca="1"/>
        <v>63.06493369181122</v>
      </c>
      <c r="AG6375" s="2">
        <f ca="1"/>
        <v>7.1042959852912535E-2</v>
      </c>
      <c r="AH6375" s="2" t="str">
        <f ca="1"/>
        <v>OK</v>
      </c>
    </row>
    <row r="6376" spans="2:34" x14ac:dyDescent="0.2">
      <c r="B6376" s="2">
        <f ca="1"/>
        <v>0.54789411582297243</v>
      </c>
      <c r="O6376" s="2">
        <f ca="1"/>
        <v>-0.37548852443076641</v>
      </c>
      <c r="X6376" s="2">
        <f ca="1"/>
        <v>30.744243370088782</v>
      </c>
      <c r="AG6376" s="2">
        <f ca="1"/>
        <v>0.86901454847461479</v>
      </c>
      <c r="AH6376" s="2" t="str">
        <f ca="1"/>
        <v>Bad</v>
      </c>
    </row>
    <row r="6377" spans="2:34" x14ac:dyDescent="0.2">
      <c r="B6377" s="2">
        <f ca="1"/>
        <v>0.8162373796588136</v>
      </c>
      <c r="O6377" s="2">
        <f ca="1"/>
        <v>-1.1521889543678896</v>
      </c>
      <c r="X6377" s="2">
        <f ca="1"/>
        <v>51.05028717196496</v>
      </c>
      <c r="AG6377" s="2">
        <f ca="1"/>
        <v>0.849433302593817</v>
      </c>
      <c r="AH6377" s="2" t="str">
        <f ca="1"/>
        <v>Bad</v>
      </c>
    </row>
    <row r="6378" spans="2:34" x14ac:dyDescent="0.2">
      <c r="B6378" s="2">
        <f ca="1"/>
        <v>0.66859054372206428</v>
      </c>
      <c r="O6378" s="2">
        <f ca="1"/>
        <v>-1.6638401681533082</v>
      </c>
      <c r="X6378" s="2">
        <f ca="1"/>
        <v>50.011325494232878</v>
      </c>
      <c r="AG6378" s="2">
        <f ca="1"/>
        <v>0.16358933349175819</v>
      </c>
      <c r="AH6378" s="2" t="str">
        <f ca="1"/>
        <v>OK</v>
      </c>
    </row>
    <row r="6379" spans="2:34" x14ac:dyDescent="0.2">
      <c r="B6379" s="2">
        <f ca="1"/>
        <v>0.2079963657280981</v>
      </c>
      <c r="O6379" s="2">
        <f ca="1"/>
        <v>1.0858244117626972</v>
      </c>
      <c r="X6379" s="2">
        <f ca="1"/>
        <v>72.52399218663561</v>
      </c>
      <c r="AG6379" s="2">
        <f ca="1"/>
        <v>0.5611414231508276</v>
      </c>
      <c r="AH6379" s="2" t="str">
        <f ca="1"/>
        <v>Bad</v>
      </c>
    </row>
    <row r="6380" spans="2:34" x14ac:dyDescent="0.2">
      <c r="B6380" s="2">
        <f ca="1"/>
        <v>0.2412482873061419</v>
      </c>
      <c r="O6380" s="2">
        <f ca="1"/>
        <v>-0.6067853318339772</v>
      </c>
      <c r="X6380" s="2">
        <f ca="1"/>
        <v>34.027189788580813</v>
      </c>
      <c r="AG6380" s="2">
        <f ca="1"/>
        <v>1.3714690256942053E-2</v>
      </c>
      <c r="AH6380" s="2" t="str">
        <f ca="1"/>
        <v>Good</v>
      </c>
    </row>
    <row r="6381" spans="2:34" x14ac:dyDescent="0.2">
      <c r="B6381" s="2">
        <f ca="1"/>
        <v>0.4009568139321753</v>
      </c>
      <c r="O6381" s="2">
        <f ca="1"/>
        <v>-0.58474106484108845</v>
      </c>
      <c r="X6381" s="2">
        <f ca="1"/>
        <v>61.833078923185518</v>
      </c>
      <c r="AG6381" s="2">
        <f ca="1"/>
        <v>0.7508011372889567</v>
      </c>
      <c r="AH6381" s="2" t="str">
        <f ca="1"/>
        <v>Bad</v>
      </c>
    </row>
    <row r="6382" spans="2:34" x14ac:dyDescent="0.2">
      <c r="B6382" s="2">
        <f ca="1"/>
        <v>0.42063161588930997</v>
      </c>
      <c r="O6382" s="2">
        <f ca="1"/>
        <v>-0.86748309580638516</v>
      </c>
      <c r="X6382" s="2">
        <f ca="1"/>
        <v>48.102835457635081</v>
      </c>
      <c r="AG6382" s="2">
        <f ca="1"/>
        <v>0.54964287575132809</v>
      </c>
      <c r="AH6382" s="2" t="str">
        <f ca="1"/>
        <v>Bad</v>
      </c>
    </row>
    <row r="6383" spans="2:34" x14ac:dyDescent="0.2">
      <c r="B6383" s="2">
        <f ca="1"/>
        <v>0.90382599798204133</v>
      </c>
      <c r="O6383" s="2">
        <f ca="1"/>
        <v>-0.10321845964586274</v>
      </c>
      <c r="X6383" s="2">
        <f ca="1"/>
        <v>50.028451399699414</v>
      </c>
      <c r="AG6383" s="2">
        <f ca="1"/>
        <v>0.48447421393598211</v>
      </c>
      <c r="AH6383" s="2" t="str">
        <f ca="1"/>
        <v>Bad</v>
      </c>
    </row>
    <row r="6384" spans="2:34" x14ac:dyDescent="0.2">
      <c r="B6384" s="2">
        <f ca="1"/>
        <v>0.45389580970042354</v>
      </c>
      <c r="O6384" s="2">
        <f ca="1"/>
        <v>-0.69967637133609684</v>
      </c>
      <c r="X6384" s="2">
        <f ca="1"/>
        <v>59.876959245392428</v>
      </c>
      <c r="AG6384" s="2">
        <f ca="1"/>
        <v>0.57307505107310996</v>
      </c>
      <c r="AH6384" s="2" t="str">
        <f ca="1"/>
        <v>Bad</v>
      </c>
    </row>
    <row r="6385" spans="2:34" x14ac:dyDescent="0.2">
      <c r="B6385" s="2">
        <f ca="1"/>
        <v>0.72839495292890977</v>
      </c>
      <c r="O6385" s="2">
        <f ca="1"/>
        <v>0.18463917687756018</v>
      </c>
      <c r="X6385" s="2">
        <f ca="1"/>
        <v>28.627525628086723</v>
      </c>
      <c r="AG6385" s="2">
        <f ca="1"/>
        <v>0.60244918653698121</v>
      </c>
      <c r="AH6385" s="2" t="str">
        <f ca="1"/>
        <v>Bad</v>
      </c>
    </row>
    <row r="6386" spans="2:34" x14ac:dyDescent="0.2">
      <c r="B6386" s="2">
        <f ca="1"/>
        <v>8.3876889525065002E-2</v>
      </c>
      <c r="O6386" s="2">
        <f ca="1"/>
        <v>2.0255412489309332</v>
      </c>
      <c r="X6386" s="2">
        <f ca="1"/>
        <v>36.402502402131553</v>
      </c>
      <c r="AG6386" s="2">
        <f ca="1"/>
        <v>0.10347652453863065</v>
      </c>
      <c r="AH6386" s="2" t="str">
        <f ca="1"/>
        <v>OK</v>
      </c>
    </row>
    <row r="6387" spans="2:34" x14ac:dyDescent="0.2">
      <c r="B6387" s="2">
        <f ca="1"/>
        <v>0.94065789414829704</v>
      </c>
      <c r="O6387" s="2">
        <f ca="1"/>
        <v>-0.2780432887017481</v>
      </c>
      <c r="X6387" s="2">
        <f ca="1"/>
        <v>66.518811668403004</v>
      </c>
      <c r="AG6387" s="2">
        <f ca="1"/>
        <v>0.82953601002192046</v>
      </c>
      <c r="AH6387" s="2" t="str">
        <f ca="1"/>
        <v>Bad</v>
      </c>
    </row>
    <row r="6388" spans="2:34" x14ac:dyDescent="0.2">
      <c r="B6388" s="2">
        <f ca="1"/>
        <v>0.30990765773088813</v>
      </c>
      <c r="O6388" s="2">
        <f ca="1"/>
        <v>-0.62656906932111811</v>
      </c>
      <c r="X6388" s="2">
        <f ca="1"/>
        <v>43.564379214522717</v>
      </c>
      <c r="AG6388" s="2">
        <f ca="1"/>
        <v>0.80142489267661543</v>
      </c>
      <c r="AH6388" s="2" t="str">
        <f ca="1"/>
        <v>Bad</v>
      </c>
    </row>
    <row r="6389" spans="2:34" x14ac:dyDescent="0.2">
      <c r="B6389" s="2">
        <f ca="1"/>
        <v>3.8954613639663238E-2</v>
      </c>
      <c r="O6389" s="2">
        <f ca="1"/>
        <v>0.23650022834839898</v>
      </c>
      <c r="X6389" s="2">
        <f ca="1"/>
        <v>62.225045963456836</v>
      </c>
      <c r="AG6389" s="2">
        <f ca="1"/>
        <v>0.57364529390787422</v>
      </c>
      <c r="AH6389" s="2" t="str">
        <f ca="1"/>
        <v>Bad</v>
      </c>
    </row>
    <row r="6390" spans="2:34" x14ac:dyDescent="0.2">
      <c r="B6390" s="2">
        <f ca="1"/>
        <v>0.67951652695817821</v>
      </c>
      <c r="O6390" s="2">
        <f ca="1"/>
        <v>-1.2571337010254604</v>
      </c>
      <c r="X6390" s="2">
        <f ca="1"/>
        <v>62.357939463657807</v>
      </c>
      <c r="AG6390" s="2">
        <f ca="1"/>
        <v>0.37398670796021305</v>
      </c>
      <c r="AH6390" s="2" t="str">
        <f ca="1"/>
        <v>OK</v>
      </c>
    </row>
    <row r="6391" spans="2:34" x14ac:dyDescent="0.2">
      <c r="B6391" s="2">
        <f ca="1"/>
        <v>0.13721969564185499</v>
      </c>
      <c r="O6391" s="2">
        <f ca="1"/>
        <v>-0.81365857076761738</v>
      </c>
      <c r="X6391" s="2">
        <f ca="1"/>
        <v>48.365263657905786</v>
      </c>
      <c r="AG6391" s="2">
        <f ca="1"/>
        <v>0.57344143037049777</v>
      </c>
      <c r="AH6391" s="2" t="str">
        <f ca="1"/>
        <v>Bad</v>
      </c>
    </row>
    <row r="6392" spans="2:34" x14ac:dyDescent="0.2">
      <c r="B6392" s="2">
        <f ca="1"/>
        <v>0.67725986862288012</v>
      </c>
      <c r="O6392" s="2">
        <f ca="1"/>
        <v>1.1290066176721727</v>
      </c>
      <c r="X6392" s="2">
        <f ca="1"/>
        <v>49.036321397309798</v>
      </c>
      <c r="AG6392" s="2">
        <f ca="1"/>
        <v>0.37749748154095286</v>
      </c>
      <c r="AH6392" s="2" t="str">
        <f ca="1"/>
        <v>OK</v>
      </c>
    </row>
    <row r="6393" spans="2:34" x14ac:dyDescent="0.2">
      <c r="B6393" s="2">
        <f ca="1"/>
        <v>0.42088596889471175</v>
      </c>
      <c r="O6393" s="2">
        <f ca="1"/>
        <v>1.6784725027074496E-2</v>
      </c>
      <c r="X6393" s="2">
        <f ca="1"/>
        <v>62.639607351166831</v>
      </c>
      <c r="AG6393" s="2">
        <f ca="1"/>
        <v>0.72565187512219698</v>
      </c>
      <c r="AH6393" s="2" t="str">
        <f ca="1"/>
        <v>Bad</v>
      </c>
    </row>
    <row r="6394" spans="2:34" x14ac:dyDescent="0.2">
      <c r="B6394" s="2">
        <f ca="1"/>
        <v>0.17185600872369133</v>
      </c>
      <c r="O6394" s="2">
        <f ca="1"/>
        <v>-2.6173113148941067</v>
      </c>
      <c r="X6394" s="2">
        <f ca="1"/>
        <v>48.566842589521137</v>
      </c>
      <c r="AG6394" s="2">
        <f ca="1"/>
        <v>0.88285238080009498</v>
      </c>
      <c r="AH6394" s="2" t="str">
        <f ca="1"/>
        <v>Bad</v>
      </c>
    </row>
    <row r="6395" spans="2:34" x14ac:dyDescent="0.2">
      <c r="B6395" s="2">
        <f ca="1"/>
        <v>0.37535080677163113</v>
      </c>
      <c r="O6395" s="2">
        <f ca="1"/>
        <v>1.2541169403654215</v>
      </c>
      <c r="X6395" s="2">
        <f ca="1"/>
        <v>43.152032201544046</v>
      </c>
      <c r="AG6395" s="2">
        <f ca="1"/>
        <v>0.43434842060332879</v>
      </c>
      <c r="AH6395" s="2" t="str">
        <f ca="1"/>
        <v>Bad</v>
      </c>
    </row>
    <row r="6396" spans="2:34" x14ac:dyDescent="0.2">
      <c r="B6396" s="2">
        <f ca="1"/>
        <v>3.3941541299518985E-2</v>
      </c>
      <c r="O6396" s="2">
        <f ca="1"/>
        <v>-0.48771976181154142</v>
      </c>
      <c r="X6396" s="2">
        <f ca="1"/>
        <v>60.200824970008696</v>
      </c>
      <c r="AG6396" s="2">
        <f ca="1"/>
        <v>0.26144671406840136</v>
      </c>
      <c r="AH6396" s="2" t="str">
        <f ca="1"/>
        <v>OK</v>
      </c>
    </row>
    <row r="6397" spans="2:34" x14ac:dyDescent="0.2">
      <c r="B6397" s="2">
        <f ca="1"/>
        <v>0.40620676983984261</v>
      </c>
      <c r="O6397" s="2">
        <f ca="1"/>
        <v>0.99828069875918202</v>
      </c>
      <c r="X6397" s="2">
        <f ca="1"/>
        <v>41.968040575255046</v>
      </c>
      <c r="AG6397" s="2">
        <f ca="1"/>
        <v>5.6989340852965809E-2</v>
      </c>
      <c r="AH6397" s="2" t="str">
        <f ca="1"/>
        <v>OK</v>
      </c>
    </row>
    <row r="6398" spans="2:34" x14ac:dyDescent="0.2">
      <c r="B6398" s="2">
        <f ca="1"/>
        <v>0.87112303027886595</v>
      </c>
      <c r="O6398" s="2">
        <f ca="1"/>
        <v>-1.1027948249923432</v>
      </c>
      <c r="X6398" s="2">
        <f ca="1"/>
        <v>75.429138305192566</v>
      </c>
      <c r="AG6398" s="2">
        <f ca="1"/>
        <v>2.0325696066449073E-2</v>
      </c>
      <c r="AH6398" s="2" t="str">
        <f ca="1"/>
        <v>Good</v>
      </c>
    </row>
    <row r="6399" spans="2:34" x14ac:dyDescent="0.2">
      <c r="B6399" s="2">
        <f ca="1"/>
        <v>0.35988937876338634</v>
      </c>
      <c r="O6399" s="2">
        <f ca="1"/>
        <v>0.55898550497710897</v>
      </c>
      <c r="X6399" s="2">
        <f ca="1"/>
        <v>45.838414361412497</v>
      </c>
      <c r="AG6399" s="2">
        <f ca="1"/>
        <v>0.59346164306651517</v>
      </c>
      <c r="AH6399" s="2" t="str">
        <f ca="1"/>
        <v>Bad</v>
      </c>
    </row>
    <row r="6400" spans="2:34" x14ac:dyDescent="0.2">
      <c r="B6400" s="2">
        <f ca="1"/>
        <v>0.585161719961653</v>
      </c>
      <c r="O6400" s="2">
        <f ca="1"/>
        <v>-0.83738177712504414</v>
      </c>
      <c r="X6400" s="2">
        <f ca="1"/>
        <v>57.565104175878105</v>
      </c>
      <c r="AG6400" s="2">
        <f ca="1"/>
        <v>0.8466462599784943</v>
      </c>
      <c r="AH6400" s="2" t="str">
        <f ca="1"/>
        <v>Bad</v>
      </c>
    </row>
    <row r="6401" spans="2:34" x14ac:dyDescent="0.2">
      <c r="B6401" s="2">
        <f ca="1"/>
        <v>0.70701674128009517</v>
      </c>
      <c r="O6401" s="2">
        <f ca="1"/>
        <v>-0.52817566296015239</v>
      </c>
      <c r="X6401" s="2">
        <f ca="1"/>
        <v>32.717555132618415</v>
      </c>
      <c r="AG6401" s="2">
        <f ca="1"/>
        <v>0.26290735649640884</v>
      </c>
      <c r="AH6401" s="2" t="str">
        <f ca="1"/>
        <v>OK</v>
      </c>
    </row>
    <row r="6402" spans="2:34" x14ac:dyDescent="0.2">
      <c r="B6402" s="2">
        <f ca="1"/>
        <v>0.73332708566717075</v>
      </c>
      <c r="O6402" s="2">
        <f ca="1"/>
        <v>1.1575352640501311</v>
      </c>
      <c r="X6402" s="2">
        <f ca="1"/>
        <v>61.219180715469285</v>
      </c>
      <c r="AG6402" s="2">
        <f ca="1"/>
        <v>0.54649174994483585</v>
      </c>
      <c r="AH6402" s="2" t="str">
        <f ca="1"/>
        <v>Bad</v>
      </c>
    </row>
    <row r="6403" spans="2:34" x14ac:dyDescent="0.2">
      <c r="B6403" s="2">
        <f ca="1"/>
        <v>0.4924273474909131</v>
      </c>
      <c r="O6403" s="2">
        <f ca="1"/>
        <v>1.0749837692966662</v>
      </c>
      <c r="X6403" s="2">
        <f ca="1"/>
        <v>49.542007244217167</v>
      </c>
      <c r="AG6403" s="2">
        <f ca="1"/>
        <v>0.18545847175845354</v>
      </c>
      <c r="AH6403" s="2" t="str">
        <f ca="1"/>
        <v>OK</v>
      </c>
    </row>
    <row r="6404" spans="2:34" x14ac:dyDescent="0.2">
      <c r="B6404" s="2">
        <f ca="1"/>
        <v>0.21473345371811581</v>
      </c>
      <c r="O6404" s="2">
        <f ca="1"/>
        <v>-0.67354523044430736</v>
      </c>
      <c r="X6404" s="2">
        <f ca="1"/>
        <v>32.162362031032806</v>
      </c>
      <c r="AG6404" s="2">
        <f ca="1"/>
        <v>0.68316923139801622</v>
      </c>
      <c r="AH6404" s="2" t="str">
        <f ca="1"/>
        <v>Bad</v>
      </c>
    </row>
    <row r="6405" spans="2:34" x14ac:dyDescent="0.2">
      <c r="B6405" s="2">
        <f ca="1"/>
        <v>0.92990051966829057</v>
      </c>
      <c r="O6405" s="2">
        <f ca="1"/>
        <v>0.99469251373444445</v>
      </c>
      <c r="X6405" s="2">
        <f ca="1"/>
        <v>110.81197663264142</v>
      </c>
      <c r="AG6405" s="2">
        <f ca="1"/>
        <v>0.54933428064295864</v>
      </c>
      <c r="AH6405" s="2" t="str">
        <f ca="1"/>
        <v>Bad</v>
      </c>
    </row>
    <row r="6406" spans="2:34" x14ac:dyDescent="0.2">
      <c r="B6406" s="2">
        <f ca="1"/>
        <v>0.82828456806585837</v>
      </c>
      <c r="O6406" s="2">
        <f ca="1"/>
        <v>-1.0320878503281197</v>
      </c>
      <c r="X6406" s="2">
        <f ca="1"/>
        <v>41.444857240560836</v>
      </c>
      <c r="AG6406" s="2">
        <f ca="1"/>
        <v>0.18977000116589737</v>
      </c>
      <c r="AH6406" s="2" t="str">
        <f ca="1"/>
        <v>OK</v>
      </c>
    </row>
    <row r="6407" spans="2:34" x14ac:dyDescent="0.2">
      <c r="B6407" s="2">
        <f ca="1"/>
        <v>0.73944692676597357</v>
      </c>
      <c r="O6407" s="2">
        <f ca="1"/>
        <v>0.1174546325184548</v>
      </c>
      <c r="X6407" s="2">
        <f ca="1"/>
        <v>32.419645234700681</v>
      </c>
      <c r="AG6407" s="2">
        <f ca="1"/>
        <v>0.66355873684720978</v>
      </c>
      <c r="AH6407" s="2" t="str">
        <f ca="1"/>
        <v>Bad</v>
      </c>
    </row>
    <row r="6408" spans="2:34" x14ac:dyDescent="0.2">
      <c r="B6408" s="2">
        <f ca="1"/>
        <v>0.98089468719517314</v>
      </c>
      <c r="O6408" s="2">
        <f ca="1"/>
        <v>0.91262675499269919</v>
      </c>
      <c r="X6408" s="2">
        <f ca="1"/>
        <v>50.594722990042982</v>
      </c>
      <c r="AG6408" s="2">
        <f ca="1"/>
        <v>0.96381210293359088</v>
      </c>
      <c r="AH6408" s="2" t="str">
        <f ca="1"/>
        <v>Bad</v>
      </c>
    </row>
    <row r="6409" spans="2:34" x14ac:dyDescent="0.2">
      <c r="B6409" s="2">
        <f ca="1"/>
        <v>0.19642229728148153</v>
      </c>
      <c r="O6409" s="2">
        <f ca="1"/>
        <v>-0.25316478207806875</v>
      </c>
      <c r="X6409" s="2">
        <f ca="1"/>
        <v>72.726250632703383</v>
      </c>
      <c r="AG6409" s="2">
        <f ca="1"/>
        <v>0.25360290300885824</v>
      </c>
      <c r="AH6409" s="2" t="str">
        <f ca="1"/>
        <v>OK</v>
      </c>
    </row>
    <row r="6410" spans="2:34" x14ac:dyDescent="0.2">
      <c r="B6410" s="2">
        <f ca="1"/>
        <v>0.60607711628082073</v>
      </c>
      <c r="O6410" s="2">
        <f ca="1"/>
        <v>0.11101605515867266</v>
      </c>
      <c r="X6410" s="2">
        <f ca="1"/>
        <v>44.545686668996716</v>
      </c>
      <c r="AG6410" s="2">
        <f ca="1"/>
        <v>1.2325656303336041E-2</v>
      </c>
      <c r="AH6410" s="2" t="str">
        <f ca="1"/>
        <v>Good</v>
      </c>
    </row>
    <row r="6411" spans="2:34" x14ac:dyDescent="0.2">
      <c r="B6411" s="2">
        <f ca="1"/>
        <v>0.37345100480430626</v>
      </c>
      <c r="O6411" s="2">
        <f ca="1"/>
        <v>4.9457353220388266E-2</v>
      </c>
      <c r="X6411" s="2">
        <f ca="1"/>
        <v>54.776820836390371</v>
      </c>
      <c r="AG6411" s="2">
        <f ca="1"/>
        <v>0.96157209316473824</v>
      </c>
      <c r="AH6411" s="2" t="str">
        <f ca="1"/>
        <v>Bad</v>
      </c>
    </row>
    <row r="6412" spans="2:34" x14ac:dyDescent="0.2">
      <c r="B6412" s="2">
        <f ca="1"/>
        <v>0.71860482428491124</v>
      </c>
      <c r="O6412" s="2">
        <f ca="1"/>
        <v>-0.40807561260426489</v>
      </c>
      <c r="X6412" s="2">
        <f ca="1"/>
        <v>37.918138921854798</v>
      </c>
      <c r="AG6412" s="2">
        <f ca="1"/>
        <v>0.35174707851336695</v>
      </c>
      <c r="AH6412" s="2" t="str">
        <f ca="1"/>
        <v>OK</v>
      </c>
    </row>
    <row r="6413" spans="2:34" x14ac:dyDescent="0.2">
      <c r="B6413" s="2">
        <f ca="1"/>
        <v>0.45355897071172668</v>
      </c>
      <c r="O6413" s="2">
        <f ca="1"/>
        <v>-0.12380148498115806</v>
      </c>
      <c r="X6413" s="2">
        <f ca="1"/>
        <v>43.143186312387122</v>
      </c>
      <c r="AG6413" s="2">
        <f ca="1"/>
        <v>7.2271275766654819E-2</v>
      </c>
      <c r="AH6413" s="2" t="str">
        <f ca="1"/>
        <v>OK</v>
      </c>
    </row>
    <row r="6414" spans="2:34" x14ac:dyDescent="0.2">
      <c r="B6414" s="2">
        <f ca="1"/>
        <v>0.95829299686255598</v>
      </c>
      <c r="O6414" s="2">
        <f ca="1"/>
        <v>0.7641315690672853</v>
      </c>
      <c r="X6414" s="2">
        <f ca="1"/>
        <v>52.958703903586006</v>
      </c>
      <c r="AG6414" s="2">
        <f ca="1"/>
        <v>0.87662930956335439</v>
      </c>
      <c r="AH6414" s="2" t="str">
        <f ca="1"/>
        <v>Bad</v>
      </c>
    </row>
    <row r="6415" spans="2:34" x14ac:dyDescent="0.2">
      <c r="B6415" s="2">
        <f ca="1"/>
        <v>0.45152539895203914</v>
      </c>
      <c r="O6415" s="2">
        <f ca="1"/>
        <v>0.95683503253115854</v>
      </c>
      <c r="X6415" s="2">
        <f ca="1"/>
        <v>40.916577640140815</v>
      </c>
      <c r="AG6415" s="2">
        <f ca="1"/>
        <v>0.13694302573757744</v>
      </c>
      <c r="AH6415" s="2" t="str">
        <f ca="1"/>
        <v>OK</v>
      </c>
    </row>
    <row r="6416" spans="2:34" x14ac:dyDescent="0.2">
      <c r="B6416" s="2">
        <f ca="1"/>
        <v>0.70368620487166389</v>
      </c>
      <c r="O6416" s="2">
        <f ca="1"/>
        <v>0.80536333048319997</v>
      </c>
      <c r="X6416" s="2">
        <f ca="1"/>
        <v>65.009085345825042</v>
      </c>
      <c r="AG6416" s="2">
        <f ca="1"/>
        <v>0.90088113515629864</v>
      </c>
      <c r="AH6416" s="2" t="str">
        <f ca="1"/>
        <v>Bad</v>
      </c>
    </row>
    <row r="6417" spans="2:34" x14ac:dyDescent="0.2">
      <c r="B6417" s="2">
        <f ca="1"/>
        <v>0.53203948900676568</v>
      </c>
      <c r="O6417" s="2">
        <f ca="1"/>
        <v>-0.30123903086465553</v>
      </c>
      <c r="X6417" s="2">
        <f ca="1"/>
        <v>45.825898070146359</v>
      </c>
      <c r="AG6417" s="2">
        <f ca="1"/>
        <v>5.3680341811587873E-2</v>
      </c>
      <c r="AH6417" s="2" t="str">
        <f ca="1"/>
        <v>OK</v>
      </c>
    </row>
    <row r="6418" spans="2:34" x14ac:dyDescent="0.2">
      <c r="B6418" s="2">
        <f ca="1"/>
        <v>0.36893257864337747</v>
      </c>
      <c r="O6418" s="2">
        <f ca="1"/>
        <v>0.75301621087339532</v>
      </c>
      <c r="X6418" s="2">
        <f ca="1"/>
        <v>39.635357802520531</v>
      </c>
      <c r="AG6418" s="2">
        <f ca="1"/>
        <v>0.27482797799371084</v>
      </c>
      <c r="AH6418" s="2" t="str">
        <f ca="1"/>
        <v>OK</v>
      </c>
    </row>
    <row r="6419" spans="2:34" x14ac:dyDescent="0.2">
      <c r="B6419" s="2">
        <f ca="1"/>
        <v>0.10133623606770659</v>
      </c>
      <c r="O6419" s="2">
        <f ca="1"/>
        <v>0.94937575730705526</v>
      </c>
      <c r="X6419" s="2">
        <f ca="1"/>
        <v>25.050787554822023</v>
      </c>
      <c r="AG6419" s="2">
        <f ca="1"/>
        <v>0.39783514574685763</v>
      </c>
      <c r="AH6419" s="2" t="str">
        <f ca="1"/>
        <v>OK</v>
      </c>
    </row>
    <row r="6420" spans="2:34" x14ac:dyDescent="0.2">
      <c r="B6420" s="2">
        <f ca="1"/>
        <v>0.53809884415380904</v>
      </c>
      <c r="O6420" s="2">
        <f ca="1"/>
        <v>-0.55849189011865175</v>
      </c>
      <c r="X6420" s="2">
        <f ca="1"/>
        <v>25.066795066397365</v>
      </c>
      <c r="AG6420" s="2">
        <f ca="1"/>
        <v>0.46941330444781704</v>
      </c>
      <c r="AH6420" s="2" t="str">
        <f ca="1"/>
        <v>Bad</v>
      </c>
    </row>
    <row r="6421" spans="2:34" x14ac:dyDescent="0.2">
      <c r="B6421" s="2">
        <f ca="1"/>
        <v>0.59193936186401586</v>
      </c>
      <c r="O6421" s="2">
        <f ca="1"/>
        <v>-7.9517016454265482E-2</v>
      </c>
      <c r="X6421" s="2">
        <f ca="1"/>
        <v>34.794690583310818</v>
      </c>
      <c r="AG6421" s="2">
        <f ca="1"/>
        <v>0.30741005275956668</v>
      </c>
      <c r="AH6421" s="2" t="str">
        <f ca="1"/>
        <v>OK</v>
      </c>
    </row>
    <row r="6422" spans="2:34" x14ac:dyDescent="0.2">
      <c r="B6422" s="2">
        <f ca="1"/>
        <v>0.35465541582998794</v>
      </c>
      <c r="O6422" s="2">
        <f ca="1"/>
        <v>0.87358322943121636</v>
      </c>
      <c r="X6422" s="2">
        <f ca="1"/>
        <v>29.647490086247288</v>
      </c>
      <c r="AG6422" s="2">
        <f ca="1"/>
        <v>0.17723473813448054</v>
      </c>
      <c r="AH6422" s="2" t="str">
        <f ca="1"/>
        <v>OK</v>
      </c>
    </row>
    <row r="6423" spans="2:34" x14ac:dyDescent="0.2">
      <c r="B6423" s="2">
        <f ca="1"/>
        <v>0.51652302289587526</v>
      </c>
      <c r="O6423" s="2">
        <f ca="1"/>
        <v>0.12337998805712873</v>
      </c>
      <c r="X6423" s="2">
        <f ca="1"/>
        <v>54.167268147169565</v>
      </c>
      <c r="AG6423" s="2">
        <f ca="1"/>
        <v>0.9561433858917423</v>
      </c>
      <c r="AH6423" s="2" t="str">
        <f ca="1"/>
        <v>Bad</v>
      </c>
    </row>
    <row r="6424" spans="2:34" x14ac:dyDescent="0.2">
      <c r="B6424" s="2">
        <f ca="1"/>
        <v>0.72395156325689825</v>
      </c>
      <c r="O6424" s="2">
        <f ca="1"/>
        <v>-1.709887929482552</v>
      </c>
      <c r="X6424" s="2">
        <f ca="1"/>
        <v>38.736180338463171</v>
      </c>
      <c r="AG6424" s="2">
        <f ca="1"/>
        <v>0.47960091313747033</v>
      </c>
      <c r="AH6424" s="2" t="str">
        <f ca="1"/>
        <v>Bad</v>
      </c>
    </row>
    <row r="6425" spans="2:34" x14ac:dyDescent="0.2">
      <c r="B6425" s="2">
        <f ca="1"/>
        <v>7.4594770500739926E-3</v>
      </c>
      <c r="O6425" s="2">
        <f ca="1"/>
        <v>0.58775908777310315</v>
      </c>
      <c r="X6425" s="2">
        <f ca="1"/>
        <v>60.931248358316083</v>
      </c>
      <c r="AG6425" s="2">
        <f ca="1"/>
        <v>0.98128027006948448</v>
      </c>
      <c r="AH6425" s="2" t="str">
        <f ca="1"/>
        <v>Bad</v>
      </c>
    </row>
    <row r="6426" spans="2:34" x14ac:dyDescent="0.2">
      <c r="B6426" s="2">
        <f ca="1"/>
        <v>0.36399510244215549</v>
      </c>
      <c r="O6426" s="2">
        <f ca="1"/>
        <v>-3.8584595341628558E-2</v>
      </c>
      <c r="X6426" s="2">
        <f ca="1"/>
        <v>66.6050955290155</v>
      </c>
      <c r="AG6426" s="2">
        <f ca="1"/>
        <v>0.14720333168236954</v>
      </c>
      <c r="AH6426" s="2" t="str">
        <f ca="1"/>
        <v>OK</v>
      </c>
    </row>
    <row r="6427" spans="2:34" x14ac:dyDescent="0.2">
      <c r="B6427" s="2">
        <f ca="1"/>
        <v>0.5004157979803725</v>
      </c>
      <c r="O6427" s="2">
        <f ca="1"/>
        <v>0.91882757103529289</v>
      </c>
      <c r="X6427" s="2">
        <f ca="1"/>
        <v>69.997741040011846</v>
      </c>
      <c r="AG6427" s="2">
        <f ca="1"/>
        <v>0.86979821427530801</v>
      </c>
      <c r="AH6427" s="2" t="str">
        <f ca="1"/>
        <v>Bad</v>
      </c>
    </row>
    <row r="6428" spans="2:34" x14ac:dyDescent="0.2">
      <c r="B6428" s="2">
        <f ca="1"/>
        <v>3.986637998795195E-2</v>
      </c>
      <c r="O6428" s="2">
        <f ca="1"/>
        <v>0.1348431107388792</v>
      </c>
      <c r="X6428" s="2">
        <f ca="1"/>
        <v>72.07503565113656</v>
      </c>
      <c r="AG6428" s="2">
        <f ca="1"/>
        <v>0.53941276959718376</v>
      </c>
      <c r="AH6428" s="2" t="str">
        <f ca="1"/>
        <v>Bad</v>
      </c>
    </row>
    <row r="6429" spans="2:34" x14ac:dyDescent="0.2">
      <c r="B6429" s="2">
        <f ca="1"/>
        <v>0.84731661151796911</v>
      </c>
      <c r="O6429" s="2">
        <f ca="1"/>
        <v>0.81108183688280444</v>
      </c>
      <c r="X6429" s="2">
        <f ca="1"/>
        <v>45.990713750666643</v>
      </c>
      <c r="AG6429" s="2">
        <f ca="1"/>
        <v>0.97846437648488283</v>
      </c>
      <c r="AH6429" s="2" t="str">
        <f ca="1"/>
        <v>Bad</v>
      </c>
    </row>
    <row r="6430" spans="2:34" x14ac:dyDescent="0.2">
      <c r="B6430" s="2">
        <f ca="1"/>
        <v>0.4905456357978466</v>
      </c>
      <c r="O6430" s="2">
        <f ca="1"/>
        <v>0.32272499357260354</v>
      </c>
      <c r="X6430" s="2">
        <f ca="1"/>
        <v>60.600757699179709</v>
      </c>
      <c r="AG6430" s="2">
        <f ca="1"/>
        <v>4.0531480669807607E-2</v>
      </c>
      <c r="AH6430" s="2" t="str">
        <f ca="1"/>
        <v>Good</v>
      </c>
    </row>
    <row r="6431" spans="2:34" x14ac:dyDescent="0.2">
      <c r="B6431" s="2">
        <f ca="1"/>
        <v>0.56128380140721768</v>
      </c>
      <c r="O6431" s="2">
        <f ca="1"/>
        <v>-1.7856714874377206</v>
      </c>
      <c r="X6431" s="2">
        <f ca="1"/>
        <v>63.456572957022303</v>
      </c>
      <c r="AG6431" s="2">
        <f ca="1"/>
        <v>0.34559198434365324</v>
      </c>
      <c r="AH6431" s="2" t="str">
        <f ca="1"/>
        <v>OK</v>
      </c>
    </row>
    <row r="6432" spans="2:34" x14ac:dyDescent="0.2">
      <c r="B6432" s="2">
        <f ca="1"/>
        <v>0.37459325846129299</v>
      </c>
      <c r="O6432" s="2">
        <f ca="1"/>
        <v>-0.93136128430711174</v>
      </c>
      <c r="X6432" s="2">
        <f ca="1"/>
        <v>28.71109852847221</v>
      </c>
      <c r="AG6432" s="2">
        <f ca="1"/>
        <v>6.2033493715891508E-2</v>
      </c>
      <c r="AH6432" s="2" t="str">
        <f ca="1"/>
        <v>OK</v>
      </c>
    </row>
    <row r="6433" spans="2:34" x14ac:dyDescent="0.2">
      <c r="B6433" s="2">
        <f ca="1"/>
        <v>0.76268238055699911</v>
      </c>
      <c r="O6433" s="2">
        <f ca="1"/>
        <v>1.2895546343175348</v>
      </c>
      <c r="X6433" s="2">
        <f ca="1"/>
        <v>48.780585583436597</v>
      </c>
      <c r="AG6433" s="2">
        <f ca="1"/>
        <v>0.2171216849778117</v>
      </c>
      <c r="AH6433" s="2" t="str">
        <f ca="1"/>
        <v>OK</v>
      </c>
    </row>
    <row r="6434" spans="2:34" x14ac:dyDescent="0.2">
      <c r="B6434" s="2">
        <f ca="1"/>
        <v>0.51922575013531147</v>
      </c>
      <c r="O6434" s="2">
        <f ca="1"/>
        <v>-0.32270920938046216</v>
      </c>
      <c r="X6434" s="2">
        <f ca="1"/>
        <v>65.570022590097167</v>
      </c>
      <c r="AG6434" s="2">
        <f ca="1"/>
        <v>0.78162248541857449</v>
      </c>
      <c r="AH6434" s="2" t="str">
        <f ca="1"/>
        <v>Bad</v>
      </c>
    </row>
    <row r="6435" spans="2:34" x14ac:dyDescent="0.2">
      <c r="B6435" s="2">
        <f ca="1"/>
        <v>0.16034183153616777</v>
      </c>
      <c r="O6435" s="2">
        <f ca="1"/>
        <v>-1.7093427865909134</v>
      </c>
      <c r="X6435" s="2">
        <f ca="1"/>
        <v>39.876022277166577</v>
      </c>
      <c r="AG6435" s="2">
        <f ca="1"/>
        <v>0.64417972108416044</v>
      </c>
      <c r="AH6435" s="2" t="str">
        <f ca="1"/>
        <v>Bad</v>
      </c>
    </row>
    <row r="6436" spans="2:34" x14ac:dyDescent="0.2">
      <c r="B6436" s="2">
        <f ca="1"/>
        <v>0.58250981799639723</v>
      </c>
      <c r="O6436" s="2">
        <f ca="1"/>
        <v>-0.92101325388912325</v>
      </c>
      <c r="X6436" s="2">
        <f ca="1"/>
        <v>68.279781907237648</v>
      </c>
      <c r="AG6436" s="2">
        <f ca="1"/>
        <v>0.96856574946269403</v>
      </c>
      <c r="AH6436" s="2" t="str">
        <f ca="1"/>
        <v>Bad</v>
      </c>
    </row>
    <row r="6437" spans="2:34" x14ac:dyDescent="0.2">
      <c r="B6437" s="2">
        <f ca="1"/>
        <v>0.67191702704296952</v>
      </c>
      <c r="O6437" s="2">
        <f ca="1"/>
        <v>1.6643702474575066</v>
      </c>
      <c r="X6437" s="2">
        <f ca="1"/>
        <v>22.838685521112208</v>
      </c>
      <c r="AG6437" s="2">
        <f ca="1"/>
        <v>0.58495307736528157</v>
      </c>
      <c r="AH6437" s="2" t="str">
        <f ca="1"/>
        <v>Bad</v>
      </c>
    </row>
    <row r="6438" spans="2:34" x14ac:dyDescent="0.2">
      <c r="B6438" s="2">
        <f ca="1"/>
        <v>0.67000963248671908</v>
      </c>
      <c r="O6438" s="2">
        <f ca="1"/>
        <v>-1.4769668300205705</v>
      </c>
      <c r="X6438" s="2">
        <f ca="1"/>
        <v>59.037057109268865</v>
      </c>
      <c r="AG6438" s="2">
        <f ca="1"/>
        <v>0.26436921140509995</v>
      </c>
      <c r="AH6438" s="2" t="str">
        <f ca="1"/>
        <v>OK</v>
      </c>
    </row>
    <row r="6439" spans="2:34" x14ac:dyDescent="0.2">
      <c r="B6439" s="2">
        <f ca="1"/>
        <v>0.35098057317238451</v>
      </c>
      <c r="O6439" s="2">
        <f ca="1"/>
        <v>-1.9056078189035604E-2</v>
      </c>
      <c r="X6439" s="2">
        <f ca="1"/>
        <v>28.676073086079708</v>
      </c>
      <c r="AG6439" s="2">
        <f ca="1"/>
        <v>0.83552442297319884</v>
      </c>
      <c r="AH6439" s="2" t="str">
        <f ca="1"/>
        <v>Bad</v>
      </c>
    </row>
    <row r="6440" spans="2:34" x14ac:dyDescent="0.2">
      <c r="B6440" s="2">
        <f ca="1"/>
        <v>0.14445368658730251</v>
      </c>
      <c r="O6440" s="2">
        <f ca="1"/>
        <v>0.50035034856866512</v>
      </c>
      <c r="X6440" s="2">
        <f ca="1"/>
        <v>79.559355868398626</v>
      </c>
      <c r="AG6440" s="2">
        <f ca="1"/>
        <v>0.68853068028984254</v>
      </c>
      <c r="AH6440" s="2" t="str">
        <f ca="1"/>
        <v>Bad</v>
      </c>
    </row>
    <row r="6441" spans="2:34" x14ac:dyDescent="0.2">
      <c r="B6441" s="2">
        <f ca="1"/>
        <v>0.47362545632680186</v>
      </c>
      <c r="O6441" s="2">
        <f ca="1"/>
        <v>4.6056841038922339E-2</v>
      </c>
      <c r="X6441" s="2">
        <f ca="1"/>
        <v>47.030880216055529</v>
      </c>
      <c r="AG6441" s="2">
        <f ca="1"/>
        <v>0.43944466739213794</v>
      </c>
      <c r="AH6441" s="2" t="str">
        <f ca="1"/>
        <v>Bad</v>
      </c>
    </row>
    <row r="6442" spans="2:34" x14ac:dyDescent="0.2">
      <c r="B6442" s="2">
        <f ca="1"/>
        <v>0.42474914547566223</v>
      </c>
      <c r="O6442" s="2">
        <f ca="1"/>
        <v>-0.13423537749681835</v>
      </c>
      <c r="X6442" s="2">
        <f ca="1"/>
        <v>38.138201649483008</v>
      </c>
      <c r="AG6442" s="2">
        <f ca="1"/>
        <v>0.30754678318778073</v>
      </c>
      <c r="AH6442" s="2" t="str">
        <f ca="1"/>
        <v>OK</v>
      </c>
    </row>
    <row r="6443" spans="2:34" x14ac:dyDescent="0.2">
      <c r="B6443" s="2">
        <f ca="1"/>
        <v>0.27474799879859124</v>
      </c>
      <c r="O6443" s="2">
        <f ca="1"/>
        <v>0.50168867119738214</v>
      </c>
      <c r="X6443" s="2">
        <f ca="1"/>
        <v>63.285818405503719</v>
      </c>
      <c r="AG6443" s="2">
        <f ca="1"/>
        <v>0.34276130545270389</v>
      </c>
      <c r="AH6443" s="2" t="str">
        <f ca="1"/>
        <v>OK</v>
      </c>
    </row>
    <row r="6444" spans="2:34" x14ac:dyDescent="0.2">
      <c r="B6444" s="2">
        <f ca="1"/>
        <v>0.67248182594503225</v>
      </c>
      <c r="O6444" s="2">
        <f ca="1"/>
        <v>0.59345812689131272</v>
      </c>
      <c r="X6444" s="2">
        <f ca="1"/>
        <v>39.607385134974479</v>
      </c>
      <c r="AG6444" s="2">
        <f ca="1"/>
        <v>0.17862580860746458</v>
      </c>
      <c r="AH6444" s="2" t="str">
        <f ca="1"/>
        <v>OK</v>
      </c>
    </row>
    <row r="6445" spans="2:34" x14ac:dyDescent="0.2">
      <c r="B6445" s="2">
        <f ca="1"/>
        <v>0.33593672227355675</v>
      </c>
      <c r="O6445" s="2">
        <f ca="1"/>
        <v>-0.4755100519105126</v>
      </c>
      <c r="X6445" s="2">
        <f ca="1"/>
        <v>51.010354645217262</v>
      </c>
      <c r="AG6445" s="2">
        <f ca="1"/>
        <v>1.5191529915050683E-2</v>
      </c>
      <c r="AH6445" s="2" t="str">
        <f ca="1"/>
        <v>Good</v>
      </c>
    </row>
    <row r="6446" spans="2:34" x14ac:dyDescent="0.2">
      <c r="B6446" s="2">
        <f ca="1"/>
        <v>0.40134941717460038</v>
      </c>
      <c r="O6446" s="2">
        <f ca="1"/>
        <v>-0.3568499544174969</v>
      </c>
      <c r="X6446" s="2">
        <f ca="1"/>
        <v>59.111306381105571</v>
      </c>
      <c r="AG6446" s="2">
        <f ca="1"/>
        <v>0.36676661852429748</v>
      </c>
      <c r="AH6446" s="2" t="str">
        <f ca="1"/>
        <v>OK</v>
      </c>
    </row>
    <row r="6447" spans="2:34" x14ac:dyDescent="0.2">
      <c r="B6447" s="2">
        <f ca="1"/>
        <v>0.99179488239377211</v>
      </c>
      <c r="O6447" s="2">
        <f ca="1"/>
        <v>-0.19896743269385081</v>
      </c>
      <c r="X6447" s="2">
        <f ca="1"/>
        <v>60.433677512386311</v>
      </c>
      <c r="AG6447" s="2">
        <f ca="1"/>
        <v>0.86022030714104281</v>
      </c>
      <c r="AH6447" s="2" t="str">
        <f ca="1"/>
        <v>Bad</v>
      </c>
    </row>
    <row r="6448" spans="2:34" x14ac:dyDescent="0.2">
      <c r="B6448" s="2">
        <f ca="1"/>
        <v>0.47076403596947269</v>
      </c>
      <c r="O6448" s="2">
        <f ca="1"/>
        <v>-0.61859504280575583</v>
      </c>
      <c r="X6448" s="2">
        <f ca="1"/>
        <v>44.002489339015121</v>
      </c>
      <c r="AG6448" s="2">
        <f ca="1"/>
        <v>0.55835673491482041</v>
      </c>
      <c r="AH6448" s="2" t="str">
        <f ca="1"/>
        <v>Bad</v>
      </c>
    </row>
    <row r="6449" spans="2:34" x14ac:dyDescent="0.2">
      <c r="B6449" s="2">
        <f ca="1"/>
        <v>0.52933374748752482</v>
      </c>
      <c r="O6449" s="2">
        <f ca="1"/>
        <v>-0.95575628348948072</v>
      </c>
      <c r="X6449" s="2">
        <f ca="1"/>
        <v>77.388298280778343</v>
      </c>
      <c r="AG6449" s="2">
        <f ca="1"/>
        <v>0.45213460354778556</v>
      </c>
      <c r="AH6449" s="2" t="str">
        <f ca="1"/>
        <v>Bad</v>
      </c>
    </row>
    <row r="6450" spans="2:34" x14ac:dyDescent="0.2">
      <c r="B6450" s="2">
        <f ca="1"/>
        <v>0.64493654972314496</v>
      </c>
      <c r="O6450" s="2">
        <f ca="1"/>
        <v>-0.75856269420203515</v>
      </c>
      <c r="X6450" s="2">
        <f ca="1"/>
        <v>31.534918299286666</v>
      </c>
      <c r="AG6450" s="2">
        <f ca="1"/>
        <v>0.66767762978073719</v>
      </c>
      <c r="AH6450" s="2" t="str">
        <f ca="1"/>
        <v>Bad</v>
      </c>
    </row>
    <row r="6451" spans="2:34" x14ac:dyDescent="0.2">
      <c r="B6451" s="2">
        <f ca="1"/>
        <v>0.34264852703459181</v>
      </c>
      <c r="O6451" s="2">
        <f ca="1"/>
        <v>6.6228552000060267E-2</v>
      </c>
      <c r="X6451" s="2">
        <f ca="1"/>
        <v>36.222964363481658</v>
      </c>
      <c r="AG6451" s="2">
        <f ca="1"/>
        <v>0.25135489064555783</v>
      </c>
      <c r="AH6451" s="2" t="str">
        <f ca="1"/>
        <v>OK</v>
      </c>
    </row>
    <row r="6452" spans="2:34" x14ac:dyDescent="0.2">
      <c r="B6452" s="2">
        <f ca="1"/>
        <v>0.35493853465783887</v>
      </c>
      <c r="O6452" s="2">
        <f ca="1"/>
        <v>-0.78662114935106675</v>
      </c>
      <c r="X6452" s="2">
        <f ca="1"/>
        <v>40.92279887045607</v>
      </c>
      <c r="AG6452" s="2">
        <f ca="1"/>
        <v>0.93838730250623015</v>
      </c>
      <c r="AH6452" s="2" t="str">
        <f ca="1"/>
        <v>Bad</v>
      </c>
    </row>
    <row r="6453" spans="2:34" x14ac:dyDescent="0.2">
      <c r="B6453" s="2">
        <f ca="1"/>
        <v>0.4500155657656546</v>
      </c>
      <c r="O6453" s="2">
        <f ca="1"/>
        <v>0.19747932610690949</v>
      </c>
      <c r="X6453" s="2">
        <f ca="1"/>
        <v>50.234509278764847</v>
      </c>
      <c r="AG6453" s="2">
        <f ca="1"/>
        <v>0.86140140627832396</v>
      </c>
      <c r="AH6453" s="2" t="str">
        <f ca="1"/>
        <v>Bad</v>
      </c>
    </row>
    <row r="6454" spans="2:34" x14ac:dyDescent="0.2">
      <c r="B6454" s="2">
        <f ca="1"/>
        <v>0.57994109901598545</v>
      </c>
      <c r="O6454" s="2">
        <f ca="1"/>
        <v>-0.69128997964559613</v>
      </c>
      <c r="X6454" s="2">
        <f ca="1"/>
        <v>52.383613364866228</v>
      </c>
      <c r="AG6454" s="2">
        <f ca="1"/>
        <v>5.2781768177675437E-2</v>
      </c>
      <c r="AH6454" s="2" t="str">
        <f ca="1"/>
        <v>OK</v>
      </c>
    </row>
    <row r="6455" spans="2:34" x14ac:dyDescent="0.2">
      <c r="B6455" s="2">
        <f ca="1"/>
        <v>8.9655531453280979E-3</v>
      </c>
      <c r="O6455" s="2">
        <f ca="1"/>
        <v>-0.13064349332115183</v>
      </c>
      <c r="X6455" s="2">
        <f ca="1"/>
        <v>56.948358040258285</v>
      </c>
      <c r="AG6455" s="2">
        <f ca="1"/>
        <v>0.31130734180935349</v>
      </c>
      <c r="AH6455" s="2" t="str">
        <f ca="1"/>
        <v>OK</v>
      </c>
    </row>
    <row r="6456" spans="2:34" x14ac:dyDescent="0.2">
      <c r="B6456" s="2">
        <f ca="1"/>
        <v>0.91940246763245637</v>
      </c>
      <c r="O6456" s="2">
        <f ca="1"/>
        <v>0.70590706923112978</v>
      </c>
      <c r="X6456" s="2">
        <f ca="1"/>
        <v>51.448162097831386</v>
      </c>
      <c r="AG6456" s="2">
        <f ca="1"/>
        <v>0.26974720955819675</v>
      </c>
      <c r="AH6456" s="2" t="str">
        <f ca="1"/>
        <v>OK</v>
      </c>
    </row>
    <row r="6457" spans="2:34" x14ac:dyDescent="0.2">
      <c r="B6457" s="2">
        <f ca="1"/>
        <v>0.67296751423540502</v>
      </c>
      <c r="O6457" s="2">
        <f ca="1"/>
        <v>1.8830542860252959</v>
      </c>
      <c r="X6457" s="2">
        <f ca="1"/>
        <v>50.659338092431838</v>
      </c>
      <c r="AG6457" s="2">
        <f ca="1"/>
        <v>0.5730359564302383</v>
      </c>
      <c r="AH6457" s="2" t="str">
        <f ca="1"/>
        <v>Bad</v>
      </c>
    </row>
    <row r="6458" spans="2:34" x14ac:dyDescent="0.2">
      <c r="B6458" s="2">
        <f ca="1"/>
        <v>0.55331881927935544</v>
      </c>
      <c r="O6458" s="2">
        <f ca="1"/>
        <v>-0.31820067818108111</v>
      </c>
      <c r="X6458" s="2">
        <f ca="1"/>
        <v>44.127505354092513</v>
      </c>
      <c r="AG6458" s="2">
        <f ca="1"/>
        <v>0.76659516916583259</v>
      </c>
      <c r="AH6458" s="2" t="str">
        <f ca="1"/>
        <v>Bad</v>
      </c>
    </row>
    <row r="6459" spans="2:34" x14ac:dyDescent="0.2">
      <c r="B6459" s="2">
        <f ca="1"/>
        <v>0.40461429865276788</v>
      </c>
      <c r="O6459" s="2">
        <f ca="1"/>
        <v>-0.11650101921982892</v>
      </c>
      <c r="X6459" s="2">
        <f ca="1"/>
        <v>29.133797695108129</v>
      </c>
      <c r="AG6459" s="2">
        <f ca="1"/>
        <v>0.14017329140227908</v>
      </c>
      <c r="AH6459" s="2" t="str">
        <f ca="1"/>
        <v>OK</v>
      </c>
    </row>
    <row r="6460" spans="2:34" x14ac:dyDescent="0.2">
      <c r="B6460" s="2">
        <f ca="1"/>
        <v>5.0170183846701244E-2</v>
      </c>
      <c r="O6460" s="2">
        <f ca="1"/>
        <v>-0.810198494911199</v>
      </c>
      <c r="X6460" s="2">
        <f ca="1"/>
        <v>65.456472836710006</v>
      </c>
      <c r="AG6460" s="2">
        <f ca="1"/>
        <v>0.30322374009259145</v>
      </c>
      <c r="AH6460" s="2" t="str">
        <f ca="1"/>
        <v>OK</v>
      </c>
    </row>
    <row r="6461" spans="2:34" x14ac:dyDescent="0.2">
      <c r="B6461" s="2">
        <f ca="1"/>
        <v>0.73358506354455399</v>
      </c>
      <c r="O6461" s="2">
        <f ca="1"/>
        <v>-0.58462539476457565</v>
      </c>
      <c r="X6461" s="2">
        <f ca="1"/>
        <v>50.977266775155115</v>
      </c>
      <c r="AG6461" s="2">
        <f ca="1"/>
        <v>0.22113282184782457</v>
      </c>
      <c r="AH6461" s="2" t="str">
        <f ca="1"/>
        <v>OK</v>
      </c>
    </row>
    <row r="6462" spans="2:34" x14ac:dyDescent="0.2">
      <c r="B6462" s="2">
        <f ca="1"/>
        <v>0.23331059108563168</v>
      </c>
      <c r="O6462" s="2">
        <f ca="1"/>
        <v>0.60165954347874051</v>
      </c>
      <c r="X6462" s="2">
        <f ca="1"/>
        <v>63.551061058386381</v>
      </c>
      <c r="AG6462" s="2">
        <f ca="1"/>
        <v>0.52720954146601939</v>
      </c>
      <c r="AH6462" s="2" t="str">
        <f ca="1"/>
        <v>Bad</v>
      </c>
    </row>
    <row r="6463" spans="2:34" x14ac:dyDescent="0.2">
      <c r="B6463" s="2">
        <f ca="1"/>
        <v>0.39341569617524152</v>
      </c>
      <c r="O6463" s="2">
        <f ca="1"/>
        <v>1.1769602779330521</v>
      </c>
      <c r="X6463" s="2">
        <f ca="1"/>
        <v>39.595354668307635</v>
      </c>
      <c r="AG6463" s="2">
        <f ca="1"/>
        <v>0.5768108807518284</v>
      </c>
      <c r="AH6463" s="2" t="str">
        <f ca="1"/>
        <v>Bad</v>
      </c>
    </row>
    <row r="6464" spans="2:34" x14ac:dyDescent="0.2">
      <c r="B6464" s="2">
        <f ca="1"/>
        <v>0.74400549518300152</v>
      </c>
      <c r="O6464" s="2">
        <f ca="1"/>
        <v>4.6920088267554359E-2</v>
      </c>
      <c r="X6464" s="2">
        <f ca="1"/>
        <v>57.842594494076145</v>
      </c>
      <c r="AG6464" s="2">
        <f ca="1"/>
        <v>9.7462069600361856E-2</v>
      </c>
      <c r="AH6464" s="2" t="str">
        <f ca="1"/>
        <v>OK</v>
      </c>
    </row>
    <row r="6465" spans="2:34" x14ac:dyDescent="0.2">
      <c r="B6465" s="2">
        <f ca="1"/>
        <v>0.75316360191365628</v>
      </c>
      <c r="O6465" s="2">
        <f ca="1"/>
        <v>0.13336461401058955</v>
      </c>
      <c r="X6465" s="2">
        <f ca="1"/>
        <v>45.495787534437952</v>
      </c>
      <c r="AG6465" s="2">
        <f ca="1"/>
        <v>0.34822089564102998</v>
      </c>
      <c r="AH6465" s="2" t="str">
        <f ca="1"/>
        <v>OK</v>
      </c>
    </row>
    <row r="6466" spans="2:34" x14ac:dyDescent="0.2">
      <c r="B6466" s="2">
        <f ca="1"/>
        <v>0.58523739431779798</v>
      </c>
      <c r="O6466" s="2">
        <f ca="1"/>
        <v>-1.0145662185040778</v>
      </c>
      <c r="X6466" s="2">
        <f ca="1"/>
        <v>34.459327518533549</v>
      </c>
      <c r="AG6466" s="2">
        <f ca="1"/>
        <v>0.67928037314462197</v>
      </c>
      <c r="AH6466" s="2" t="str">
        <f ca="1"/>
        <v>Bad</v>
      </c>
    </row>
    <row r="6467" spans="2:34" x14ac:dyDescent="0.2">
      <c r="B6467" s="2">
        <f ca="1"/>
        <v>0.80870071110800357</v>
      </c>
      <c r="O6467" s="2">
        <f ca="1"/>
        <v>1.3305863076315874</v>
      </c>
      <c r="X6467" s="2">
        <f ca="1"/>
        <v>36.781817458377247</v>
      </c>
      <c r="AG6467" s="2">
        <f ca="1"/>
        <v>0.73593832207370546</v>
      </c>
      <c r="AH6467" s="2" t="str">
        <f ca="1"/>
        <v>Bad</v>
      </c>
    </row>
    <row r="6468" spans="2:34" x14ac:dyDescent="0.2">
      <c r="B6468" s="2">
        <f ca="1"/>
        <v>0.69747976321647909</v>
      </c>
      <c r="O6468" s="2">
        <f ca="1"/>
        <v>0.53727600855204061</v>
      </c>
      <c r="X6468" s="2">
        <f ca="1"/>
        <v>49.809653930406725</v>
      </c>
      <c r="AG6468" s="2">
        <f ca="1"/>
        <v>0.5614824527041502</v>
      </c>
      <c r="AH6468" s="2" t="str">
        <f ca="1"/>
        <v>Bad</v>
      </c>
    </row>
    <row r="6469" spans="2:34" x14ac:dyDescent="0.2">
      <c r="B6469" s="2">
        <f ca="1"/>
        <v>0.796795719218647</v>
      </c>
      <c r="O6469" s="2">
        <f ca="1"/>
        <v>0.38908883605175026</v>
      </c>
      <c r="X6469" s="2">
        <f ca="1"/>
        <v>73.863078692902235</v>
      </c>
      <c r="AG6469" s="2">
        <f ca="1"/>
        <v>0.20887502390474122</v>
      </c>
      <c r="AH6469" s="2" t="str">
        <f ca="1"/>
        <v>OK</v>
      </c>
    </row>
    <row r="6470" spans="2:34" x14ac:dyDescent="0.2">
      <c r="B6470" s="2">
        <f ca="1"/>
        <v>0.39155808715760876</v>
      </c>
      <c r="O6470" s="2">
        <f ca="1"/>
        <v>-0.45268553159527697</v>
      </c>
      <c r="X6470" s="2">
        <f ca="1"/>
        <v>32.285228748531416</v>
      </c>
      <c r="AG6470" s="2">
        <f ca="1"/>
        <v>0.87432567448355436</v>
      </c>
      <c r="AH6470" s="2" t="str">
        <f ca="1"/>
        <v>Bad</v>
      </c>
    </row>
    <row r="6471" spans="2:34" x14ac:dyDescent="0.2">
      <c r="B6471" s="2">
        <f ca="1"/>
        <v>0.16031458221904082</v>
      </c>
      <c r="O6471" s="2">
        <f ca="1"/>
        <v>0.13632810090865566</v>
      </c>
      <c r="X6471" s="2">
        <f ca="1"/>
        <v>27.580274651950848</v>
      </c>
      <c r="AG6471" s="2">
        <f ca="1"/>
        <v>0.2164155715958942</v>
      </c>
      <c r="AH6471" s="2" t="str">
        <f ca="1"/>
        <v>OK</v>
      </c>
    </row>
    <row r="6472" spans="2:34" x14ac:dyDescent="0.2">
      <c r="B6472" s="2">
        <f ca="1"/>
        <v>0.17084878985354202</v>
      </c>
      <c r="O6472" s="2">
        <f ca="1"/>
        <v>-1.2709606459839704</v>
      </c>
      <c r="X6472" s="2">
        <f ca="1"/>
        <v>41.881916122828706</v>
      </c>
      <c r="AG6472" s="2">
        <f ca="1"/>
        <v>0.33696063761915895</v>
      </c>
      <c r="AH6472" s="2" t="str">
        <f ca="1"/>
        <v>OK</v>
      </c>
    </row>
    <row r="6473" spans="2:34" x14ac:dyDescent="0.2">
      <c r="B6473" s="2">
        <f ca="1"/>
        <v>0.60544791000458997</v>
      </c>
      <c r="O6473" s="2">
        <f ca="1"/>
        <v>-2.1357558346464018</v>
      </c>
      <c r="X6473" s="2">
        <f ca="1"/>
        <v>41.339137590684814</v>
      </c>
      <c r="AG6473" s="2">
        <f ca="1"/>
        <v>0.23174883989157524</v>
      </c>
      <c r="AH6473" s="2" t="str">
        <f ca="1"/>
        <v>OK</v>
      </c>
    </row>
    <row r="6474" spans="2:34" x14ac:dyDescent="0.2">
      <c r="B6474" s="2">
        <f ca="1"/>
        <v>0.72968090134002961</v>
      </c>
      <c r="O6474" s="2">
        <f ca="1"/>
        <v>0.49148909827976728</v>
      </c>
      <c r="X6474" s="2">
        <f ca="1"/>
        <v>47.717608937348224</v>
      </c>
      <c r="AG6474" s="2">
        <f ca="1"/>
        <v>0.11302040572193972</v>
      </c>
      <c r="AH6474" s="2" t="str">
        <f ca="1"/>
        <v>OK</v>
      </c>
    </row>
    <row r="6475" spans="2:34" x14ac:dyDescent="0.2">
      <c r="B6475" s="2">
        <f ca="1"/>
        <v>0.2464847836881281</v>
      </c>
      <c r="O6475" s="2">
        <f ca="1"/>
        <v>-1.1900916320221924</v>
      </c>
      <c r="X6475" s="2">
        <f ca="1"/>
        <v>32.943894368130096</v>
      </c>
      <c r="AG6475" s="2">
        <f ca="1"/>
        <v>0.39494498687372492</v>
      </c>
      <c r="AH6475" s="2" t="str">
        <f ca="1"/>
        <v>OK</v>
      </c>
    </row>
    <row r="6476" spans="2:34" x14ac:dyDescent="0.2">
      <c r="B6476" s="2">
        <f ca="1"/>
        <v>0.41619927134693468</v>
      </c>
      <c r="O6476" s="2">
        <f ca="1"/>
        <v>-1.0399347522130136</v>
      </c>
      <c r="X6476" s="2">
        <f ca="1"/>
        <v>59.876626446268546</v>
      </c>
      <c r="AG6476" s="2">
        <f ca="1"/>
        <v>0.86328010774977559</v>
      </c>
      <c r="AH6476" s="2" t="str">
        <f ca="1"/>
        <v>Bad</v>
      </c>
    </row>
    <row r="6477" spans="2:34" x14ac:dyDescent="0.2">
      <c r="B6477" s="2">
        <f ca="1"/>
        <v>0.25010810909719638</v>
      </c>
      <c r="O6477" s="2">
        <f ca="1"/>
        <v>0.42027676676227987</v>
      </c>
      <c r="X6477" s="2">
        <f ca="1"/>
        <v>55.93139580628214</v>
      </c>
      <c r="AG6477" s="2">
        <f ca="1"/>
        <v>0.56573118324391758</v>
      </c>
      <c r="AH6477" s="2" t="str">
        <f ca="1"/>
        <v>Bad</v>
      </c>
    </row>
    <row r="6478" spans="2:34" x14ac:dyDescent="0.2">
      <c r="B6478" s="2">
        <f ca="1"/>
        <v>0.73598860085958839</v>
      </c>
      <c r="O6478" s="2">
        <f ca="1"/>
        <v>0.2749118159973179</v>
      </c>
      <c r="X6478" s="2">
        <f ca="1"/>
        <v>19.135641289176071</v>
      </c>
      <c r="AG6478" s="2">
        <f ca="1"/>
        <v>3.6883102013547608E-2</v>
      </c>
      <c r="AH6478" s="2" t="str">
        <f ca="1"/>
        <v>Good</v>
      </c>
    </row>
    <row r="6479" spans="2:34" x14ac:dyDescent="0.2">
      <c r="B6479" s="2">
        <f ca="1"/>
        <v>2.0604301547283876E-2</v>
      </c>
      <c r="O6479" s="2">
        <f ca="1"/>
        <v>0.92018108997652293</v>
      </c>
      <c r="X6479" s="2">
        <f ca="1"/>
        <v>42.127073742439208</v>
      </c>
      <c r="AG6479" s="2">
        <f ca="1"/>
        <v>0.76437357604023148</v>
      </c>
      <c r="AH6479" s="2" t="str">
        <f ca="1"/>
        <v>Bad</v>
      </c>
    </row>
    <row r="6480" spans="2:34" x14ac:dyDescent="0.2">
      <c r="B6480" s="2">
        <f ca="1"/>
        <v>0.49092947018610045</v>
      </c>
      <c r="O6480" s="2">
        <f ca="1"/>
        <v>0.67495736547433416</v>
      </c>
      <c r="X6480" s="2">
        <f ca="1"/>
        <v>61.557034388038005</v>
      </c>
      <c r="AG6480" s="2">
        <f ca="1"/>
        <v>0.92020401692924403</v>
      </c>
      <c r="AH6480" s="2" t="str">
        <f ca="1"/>
        <v>Bad</v>
      </c>
    </row>
    <row r="6481" spans="2:34" x14ac:dyDescent="0.2">
      <c r="B6481" s="2">
        <f ca="1"/>
        <v>0.74468671786031604</v>
      </c>
      <c r="O6481" s="2">
        <f ca="1"/>
        <v>-0.47643514891442551</v>
      </c>
      <c r="X6481" s="2">
        <f ca="1"/>
        <v>63.171664241502882</v>
      </c>
      <c r="AG6481" s="2">
        <f ca="1"/>
        <v>0.5744685682463424</v>
      </c>
      <c r="AH6481" s="2" t="str">
        <f ca="1"/>
        <v>Bad</v>
      </c>
    </row>
    <row r="6482" spans="2:34" x14ac:dyDescent="0.2">
      <c r="B6482" s="2">
        <f ca="1"/>
        <v>0.88304582521151231</v>
      </c>
      <c r="O6482" s="2">
        <f ca="1"/>
        <v>-1.3313428583059217</v>
      </c>
      <c r="X6482" s="2">
        <f ca="1"/>
        <v>49.952324632894744</v>
      </c>
      <c r="AG6482" s="2">
        <f ca="1"/>
        <v>0.64873033271582514</v>
      </c>
      <c r="AH6482" s="2" t="str">
        <f ca="1"/>
        <v>Bad</v>
      </c>
    </row>
    <row r="6483" spans="2:34" x14ac:dyDescent="0.2">
      <c r="B6483" s="2">
        <f ca="1"/>
        <v>0.16696188377898169</v>
      </c>
      <c r="O6483" s="2">
        <f ca="1"/>
        <v>0.32662819127734055</v>
      </c>
      <c r="X6483" s="2">
        <f ca="1"/>
        <v>44.454980199762922</v>
      </c>
      <c r="AG6483" s="2">
        <f ca="1"/>
        <v>6.4518905812239069E-2</v>
      </c>
      <c r="AH6483" s="2" t="str">
        <f ca="1"/>
        <v>OK</v>
      </c>
    </row>
    <row r="6484" spans="2:34" x14ac:dyDescent="0.2">
      <c r="B6484" s="2">
        <f ca="1"/>
        <v>0.48713135239141314</v>
      </c>
      <c r="O6484" s="2">
        <f ca="1"/>
        <v>-0.87053018316678121</v>
      </c>
      <c r="X6484" s="2">
        <f ca="1"/>
        <v>25.454837531599367</v>
      </c>
      <c r="AG6484" s="2">
        <f ca="1"/>
        <v>0.82683260553583304</v>
      </c>
      <c r="AH6484" s="2" t="str">
        <f ca="1"/>
        <v>Bad</v>
      </c>
    </row>
    <row r="6485" spans="2:34" x14ac:dyDescent="0.2">
      <c r="B6485" s="2">
        <f ca="1"/>
        <v>0.14654892145878717</v>
      </c>
      <c r="O6485" s="2">
        <f ca="1"/>
        <v>-0.80716888314439283</v>
      </c>
      <c r="X6485" s="2">
        <f ca="1"/>
        <v>53.166488820019424</v>
      </c>
      <c r="AG6485" s="2">
        <f ca="1"/>
        <v>0.46750317334967195</v>
      </c>
      <c r="AH6485" s="2" t="str">
        <f ca="1"/>
        <v>Bad</v>
      </c>
    </row>
    <row r="6486" spans="2:34" x14ac:dyDescent="0.2">
      <c r="B6486" s="2">
        <f ca="1"/>
        <v>0.29535973532118054</v>
      </c>
      <c r="O6486" s="2">
        <f ca="1"/>
        <v>-2.2223990444584127</v>
      </c>
      <c r="X6486" s="2">
        <f ca="1"/>
        <v>54.462523738759742</v>
      </c>
      <c r="AG6486" s="2">
        <f ca="1"/>
        <v>0.51227904381650835</v>
      </c>
      <c r="AH6486" s="2" t="str">
        <f ca="1"/>
        <v>Bad</v>
      </c>
    </row>
    <row r="6487" spans="2:34" x14ac:dyDescent="0.2">
      <c r="B6487" s="2">
        <f ca="1"/>
        <v>0.19082937448775183</v>
      </c>
      <c r="O6487" s="2">
        <f ca="1"/>
        <v>0.37731882535293371</v>
      </c>
      <c r="X6487" s="2">
        <f ca="1"/>
        <v>41.080951094918987</v>
      </c>
      <c r="AG6487" s="2">
        <f ca="1"/>
        <v>7.9475221449703426E-2</v>
      </c>
      <c r="AH6487" s="2" t="str">
        <f ca="1"/>
        <v>OK</v>
      </c>
    </row>
    <row r="6488" spans="2:34" x14ac:dyDescent="0.2">
      <c r="B6488" s="2">
        <f ca="1"/>
        <v>5.5583812043848768E-2</v>
      </c>
      <c r="O6488" s="2">
        <f ca="1"/>
        <v>5.7785082066412169E-2</v>
      </c>
      <c r="X6488" s="2">
        <f ca="1"/>
        <v>54.083664775226552</v>
      </c>
      <c r="AG6488" s="2">
        <f ca="1"/>
        <v>0.79043869944451473</v>
      </c>
      <c r="AH6488" s="2" t="str">
        <f ca="1"/>
        <v>Bad</v>
      </c>
    </row>
    <row r="6489" spans="2:34" x14ac:dyDescent="0.2">
      <c r="B6489" s="2">
        <f ca="1"/>
        <v>0.73375895111282263</v>
      </c>
      <c r="O6489" s="2">
        <f ca="1"/>
        <v>-8.0243360934747821E-2</v>
      </c>
      <c r="X6489" s="2">
        <f ca="1"/>
        <v>38.58328580701339</v>
      </c>
      <c r="AG6489" s="2">
        <f ca="1"/>
        <v>0.3024282244764096</v>
      </c>
      <c r="AH6489" s="2" t="str">
        <f ca="1"/>
        <v>OK</v>
      </c>
    </row>
    <row r="6490" spans="2:34" x14ac:dyDescent="0.2">
      <c r="B6490" s="2">
        <f ca="1"/>
        <v>0.82570646317778462</v>
      </c>
      <c r="O6490" s="2">
        <f ca="1"/>
        <v>-0.91047811289778258</v>
      </c>
      <c r="X6490" s="2">
        <f ca="1"/>
        <v>34.110921390667556</v>
      </c>
      <c r="AG6490" s="2">
        <f ca="1"/>
        <v>0.85003091316587986</v>
      </c>
      <c r="AH6490" s="2" t="str">
        <f ca="1"/>
        <v>Bad</v>
      </c>
    </row>
    <row r="6491" spans="2:34" x14ac:dyDescent="0.2">
      <c r="B6491" s="2">
        <f ca="1"/>
        <v>0.35236480896084865</v>
      </c>
      <c r="O6491" s="2">
        <f ca="1"/>
        <v>-0.62050641396795858</v>
      </c>
      <c r="X6491" s="2">
        <f ca="1"/>
        <v>63.372312381351385</v>
      </c>
      <c r="AG6491" s="2">
        <f ca="1"/>
        <v>0.89135563188547651</v>
      </c>
      <c r="AH6491" s="2" t="str">
        <f ca="1"/>
        <v>Bad</v>
      </c>
    </row>
    <row r="6492" spans="2:34" x14ac:dyDescent="0.2">
      <c r="B6492" s="2">
        <f ca="1"/>
        <v>0.30946622748753505</v>
      </c>
      <c r="O6492" s="2">
        <f ca="1"/>
        <v>0.54107035355737376</v>
      </c>
      <c r="X6492" s="2">
        <f ca="1"/>
        <v>64.249818403912187</v>
      </c>
      <c r="AG6492" s="2">
        <f ca="1"/>
        <v>0.10461445019521154</v>
      </c>
      <c r="AH6492" s="2" t="str">
        <f ca="1"/>
        <v>OK</v>
      </c>
    </row>
    <row r="6493" spans="2:34" x14ac:dyDescent="0.2">
      <c r="B6493" s="2">
        <f ca="1"/>
        <v>0.82659262157134306</v>
      </c>
      <c r="O6493" s="2">
        <f ca="1"/>
        <v>1.1142114863659798</v>
      </c>
      <c r="X6493" s="2">
        <f ca="1"/>
        <v>59.30182450544109</v>
      </c>
      <c r="AG6493" s="2">
        <f ca="1"/>
        <v>9.1852735315401057E-2</v>
      </c>
      <c r="AH6493" s="2" t="str">
        <f ca="1"/>
        <v>OK</v>
      </c>
    </row>
    <row r="6494" spans="2:34" x14ac:dyDescent="0.2">
      <c r="B6494" s="2">
        <f ca="1"/>
        <v>0.24510763557739335</v>
      </c>
      <c r="O6494" s="2">
        <f ca="1"/>
        <v>0.47558075475213729</v>
      </c>
      <c r="X6494" s="2">
        <f ca="1"/>
        <v>28.218346576145031</v>
      </c>
      <c r="AG6494" s="2">
        <f ca="1"/>
        <v>0.32059899882085796</v>
      </c>
      <c r="AH6494" s="2" t="str">
        <f ca="1"/>
        <v>OK</v>
      </c>
    </row>
    <row r="6495" spans="2:34" x14ac:dyDescent="0.2">
      <c r="B6495" s="2">
        <f ca="1"/>
        <v>0.85137420913600259</v>
      </c>
      <c r="O6495" s="2">
        <f ca="1"/>
        <v>-0.86696653753807063</v>
      </c>
      <c r="X6495" s="2">
        <f ca="1"/>
        <v>52.694243083919119</v>
      </c>
      <c r="AG6495" s="2">
        <f ca="1"/>
        <v>0.28105609416011013</v>
      </c>
      <c r="AH6495" s="2" t="str">
        <f ca="1"/>
        <v>OK</v>
      </c>
    </row>
    <row r="6496" spans="2:34" x14ac:dyDescent="0.2">
      <c r="B6496" s="2">
        <f ca="1"/>
        <v>0.35260620061778525</v>
      </c>
      <c r="O6496" s="2">
        <f ca="1"/>
        <v>-0.69149433304890973</v>
      </c>
      <c r="X6496" s="2">
        <f ca="1"/>
        <v>78.022774447230972</v>
      </c>
      <c r="AG6496" s="2">
        <f ca="1"/>
        <v>0.20333861441193135</v>
      </c>
      <c r="AH6496" s="2" t="str">
        <f ca="1"/>
        <v>OK</v>
      </c>
    </row>
    <row r="6497" spans="2:34" x14ac:dyDescent="0.2">
      <c r="B6497" s="2">
        <f ca="1"/>
        <v>0.84706530057007967</v>
      </c>
      <c r="O6497" s="2">
        <f ca="1"/>
        <v>-7.2728970833913359E-2</v>
      </c>
      <c r="X6497" s="2">
        <f ca="1"/>
        <v>52.006966792682817</v>
      </c>
      <c r="AG6497" s="2">
        <f ca="1"/>
        <v>0.59444188567663803</v>
      </c>
      <c r="AH6497" s="2" t="str">
        <f ca="1"/>
        <v>Bad</v>
      </c>
    </row>
    <row r="6498" spans="2:34" x14ac:dyDescent="0.2">
      <c r="B6498" s="2">
        <f ca="1"/>
        <v>0.89786775680494313</v>
      </c>
      <c r="O6498" s="2">
        <f ca="1"/>
        <v>-0.8146909429017255</v>
      </c>
      <c r="X6498" s="2">
        <f ca="1"/>
        <v>44.721362885454468</v>
      </c>
      <c r="AG6498" s="2">
        <f ca="1"/>
        <v>0.44369942787864813</v>
      </c>
      <c r="AH6498" s="2" t="str">
        <f ca="1"/>
        <v>Bad</v>
      </c>
    </row>
    <row r="6499" spans="2:34" x14ac:dyDescent="0.2">
      <c r="B6499" s="2">
        <f ca="1"/>
        <v>0.25151650567968264</v>
      </c>
      <c r="O6499" s="2">
        <f ca="1"/>
        <v>1.1720872391713291</v>
      </c>
      <c r="X6499" s="2">
        <f ca="1"/>
        <v>17.042346606562482</v>
      </c>
      <c r="AG6499" s="2">
        <f ca="1"/>
        <v>0.86112946611302865</v>
      </c>
      <c r="AH6499" s="2" t="str">
        <f ca="1"/>
        <v>Bad</v>
      </c>
    </row>
    <row r="6500" spans="2:34" x14ac:dyDescent="0.2">
      <c r="B6500" s="2">
        <f ca="1"/>
        <v>0.59774937106792403</v>
      </c>
      <c r="O6500" s="2">
        <f ca="1"/>
        <v>0.50804445219473182</v>
      </c>
      <c r="X6500" s="2">
        <f ca="1"/>
        <v>84.828910519023708</v>
      </c>
      <c r="AG6500" s="2">
        <f ca="1"/>
        <v>0.38194717146193113</v>
      </c>
      <c r="AH6500" s="2" t="str">
        <f ca="1"/>
        <v>OK</v>
      </c>
    </row>
    <row r="6501" spans="2:34" x14ac:dyDescent="0.2">
      <c r="B6501" s="2">
        <f ca="1"/>
        <v>1.728239001908638E-2</v>
      </c>
      <c r="O6501" s="2">
        <f ca="1"/>
        <v>-0.57363033169527955</v>
      </c>
      <c r="X6501" s="2">
        <f ca="1"/>
        <v>43.812654182518919</v>
      </c>
      <c r="AG6501" s="2">
        <f ca="1"/>
        <v>0.77504491596413105</v>
      </c>
      <c r="AH6501" s="2" t="str">
        <f ca="1"/>
        <v>Bad</v>
      </c>
    </row>
    <row r="6502" spans="2:34" x14ac:dyDescent="0.2">
      <c r="B6502" s="2">
        <f ca="1"/>
        <v>0.81088550165620177</v>
      </c>
      <c r="O6502" s="2">
        <f ca="1"/>
        <v>-1.130972288492667</v>
      </c>
      <c r="X6502" s="2">
        <f ca="1"/>
        <v>63.011763128634428</v>
      </c>
      <c r="AG6502" s="2">
        <f ca="1"/>
        <v>0.97276212510621307</v>
      </c>
      <c r="AH6502" s="2" t="str">
        <f ca="1"/>
        <v>Bad</v>
      </c>
    </row>
    <row r="6503" spans="2:34" x14ac:dyDescent="0.2">
      <c r="B6503" s="2">
        <f ca="1"/>
        <v>0.19854748570552871</v>
      </c>
      <c r="O6503" s="2">
        <f ca="1"/>
        <v>-0.48388719690247656</v>
      </c>
      <c r="X6503" s="2">
        <f ca="1"/>
        <v>21.081427322301892</v>
      </c>
      <c r="AG6503" s="2">
        <f ca="1"/>
        <v>3.9346342230941467E-3</v>
      </c>
      <c r="AH6503" s="2" t="str">
        <f ca="1"/>
        <v>Good</v>
      </c>
    </row>
    <row r="6504" spans="2:34" x14ac:dyDescent="0.2">
      <c r="B6504" s="2">
        <f ca="1"/>
        <v>0.67965393827357379</v>
      </c>
      <c r="O6504" s="2">
        <f ca="1"/>
        <v>8.93346893920689E-2</v>
      </c>
      <c r="X6504" s="2">
        <f ca="1"/>
        <v>52.732831996318751</v>
      </c>
      <c r="AG6504" s="2">
        <f ca="1"/>
        <v>0.76077436338567939</v>
      </c>
      <c r="AH6504" s="2" t="str">
        <f ca="1"/>
        <v>Bad</v>
      </c>
    </row>
    <row r="6505" spans="2:34" x14ac:dyDescent="0.2">
      <c r="B6505" s="2">
        <f ca="1"/>
        <v>0.97302120100552614</v>
      </c>
      <c r="O6505" s="2">
        <f ca="1"/>
        <v>-1.4552418747519116</v>
      </c>
      <c r="X6505" s="2">
        <f ca="1"/>
        <v>32.535546640193857</v>
      </c>
      <c r="AG6505" s="2">
        <f ca="1"/>
        <v>0.98388876944338666</v>
      </c>
      <c r="AH6505" s="2" t="str">
        <f ca="1"/>
        <v>Bad</v>
      </c>
    </row>
    <row r="6506" spans="2:34" x14ac:dyDescent="0.2">
      <c r="B6506" s="2">
        <f ca="1"/>
        <v>0.54350769819454614</v>
      </c>
      <c r="O6506" s="2">
        <f ca="1"/>
        <v>0.23004210388063542</v>
      </c>
      <c r="X6506" s="2">
        <f ca="1"/>
        <v>45.275940823670453</v>
      </c>
      <c r="AG6506" s="2">
        <f ca="1"/>
        <v>7.9336497307232356E-2</v>
      </c>
      <c r="AH6506" s="2" t="str">
        <f ca="1"/>
        <v>OK</v>
      </c>
    </row>
    <row r="6507" spans="2:34" x14ac:dyDescent="0.2">
      <c r="B6507" s="2">
        <f ca="1"/>
        <v>0.17667940140741756</v>
      </c>
      <c r="O6507" s="2">
        <f ca="1"/>
        <v>2.7411981193235868</v>
      </c>
      <c r="X6507" s="2">
        <f ca="1"/>
        <v>45.962854468941821</v>
      </c>
      <c r="AG6507" s="2">
        <f ca="1"/>
        <v>0.57144497962691232</v>
      </c>
      <c r="AH6507" s="2" t="str">
        <f ca="1"/>
        <v>Bad</v>
      </c>
    </row>
    <row r="6508" spans="2:34" x14ac:dyDescent="0.2">
      <c r="B6508" s="2">
        <f ca="1"/>
        <v>0.17767944179859696</v>
      </c>
      <c r="O6508" s="2">
        <f ca="1"/>
        <v>-0.9416186003304523</v>
      </c>
      <c r="X6508" s="2">
        <f ca="1"/>
        <v>57.695541646470652</v>
      </c>
      <c r="AG6508" s="2">
        <f ca="1"/>
        <v>0.41505572490132558</v>
      </c>
      <c r="AH6508" s="2" t="str">
        <f ca="1"/>
        <v>Bad</v>
      </c>
    </row>
    <row r="6509" spans="2:34" x14ac:dyDescent="0.2">
      <c r="B6509" s="2">
        <f ca="1"/>
        <v>0.42235998955352327</v>
      </c>
      <c r="O6509" s="2">
        <f ca="1"/>
        <v>1.2122676182668315</v>
      </c>
      <c r="X6509" s="2">
        <f ca="1"/>
        <v>20.672810918539682</v>
      </c>
      <c r="AG6509" s="2">
        <f ca="1"/>
        <v>0.43183619163090037</v>
      </c>
      <c r="AH6509" s="2" t="str">
        <f ca="1"/>
        <v>Bad</v>
      </c>
    </row>
    <row r="6510" spans="2:34" x14ac:dyDescent="0.2">
      <c r="B6510" s="2">
        <f ca="1"/>
        <v>0.63749761133819471</v>
      </c>
      <c r="O6510" s="2">
        <f ca="1"/>
        <v>-1.1647897321357261</v>
      </c>
      <c r="X6510" s="2">
        <f ca="1"/>
        <v>67.46927455804132</v>
      </c>
      <c r="AG6510" s="2">
        <f ca="1"/>
        <v>0.57184963898161301</v>
      </c>
      <c r="AH6510" s="2" t="str">
        <f ca="1"/>
        <v>Bad</v>
      </c>
    </row>
    <row r="6511" spans="2:34" x14ac:dyDescent="0.2">
      <c r="B6511" s="2">
        <f ca="1"/>
        <v>0.60338866793792345</v>
      </c>
      <c r="O6511" s="2">
        <f ca="1"/>
        <v>-0.16287734459507094</v>
      </c>
      <c r="X6511" s="2">
        <f ca="1"/>
        <v>44.382002138663729</v>
      </c>
      <c r="AG6511" s="2">
        <f ca="1"/>
        <v>0.33145888835981041</v>
      </c>
      <c r="AH6511" s="2" t="str">
        <f ca="1"/>
        <v>OK</v>
      </c>
    </row>
    <row r="6512" spans="2:34" x14ac:dyDescent="0.2">
      <c r="B6512" s="2">
        <f ca="1"/>
        <v>0.80199294710430435</v>
      </c>
      <c r="O6512" s="2">
        <f ca="1"/>
        <v>-0.19627797708390271</v>
      </c>
      <c r="X6512" s="2">
        <f ca="1"/>
        <v>42.481995022588734</v>
      </c>
      <c r="AG6512" s="2">
        <f ca="1"/>
        <v>0.10984970134092142</v>
      </c>
      <c r="AH6512" s="2" t="str">
        <f ca="1"/>
        <v>OK</v>
      </c>
    </row>
    <row r="6513" spans="2:34" x14ac:dyDescent="0.2">
      <c r="B6513" s="2">
        <f ca="1"/>
        <v>0.55637801606994719</v>
      </c>
      <c r="O6513" s="2">
        <f ca="1"/>
        <v>0.30425149728117423</v>
      </c>
      <c r="X6513" s="2">
        <f ca="1"/>
        <v>41.784245213074236</v>
      </c>
      <c r="AG6513" s="2">
        <f ca="1"/>
        <v>0.291398166141416</v>
      </c>
      <c r="AH6513" s="2" t="str">
        <f ca="1"/>
        <v>OK</v>
      </c>
    </row>
    <row r="6514" spans="2:34" x14ac:dyDescent="0.2">
      <c r="B6514" s="2">
        <f ca="1"/>
        <v>0.53373441359811524</v>
      </c>
      <c r="O6514" s="2">
        <f ca="1"/>
        <v>-0.30307018987491879</v>
      </c>
      <c r="X6514" s="2">
        <f ca="1"/>
        <v>41.815840773223883</v>
      </c>
      <c r="AG6514" s="2">
        <f ca="1"/>
        <v>0.13091302338913136</v>
      </c>
      <c r="AH6514" s="2" t="str">
        <f ca="1"/>
        <v>OK</v>
      </c>
    </row>
    <row r="6515" spans="2:34" x14ac:dyDescent="0.2">
      <c r="B6515" s="2">
        <f ca="1"/>
        <v>0.87054878248595724</v>
      </c>
      <c r="O6515" s="2">
        <f ca="1"/>
        <v>1.4461686739028679</v>
      </c>
      <c r="X6515" s="2">
        <f ca="1"/>
        <v>87.025077429631793</v>
      </c>
      <c r="AG6515" s="2">
        <f ca="1"/>
        <v>0.1811469569335058</v>
      </c>
      <c r="AH6515" s="2" t="str">
        <f ca="1"/>
        <v>OK</v>
      </c>
    </row>
    <row r="6516" spans="2:34" x14ac:dyDescent="0.2">
      <c r="B6516" s="2">
        <f ca="1"/>
        <v>0.61904290607182899</v>
      </c>
      <c r="O6516" s="2">
        <f ca="1"/>
        <v>-1.350984156439837</v>
      </c>
      <c r="X6516" s="2">
        <f ca="1"/>
        <v>38.005086485268592</v>
      </c>
      <c r="AG6516" s="2">
        <f ca="1"/>
        <v>0.60942144395893583</v>
      </c>
      <c r="AH6516" s="2" t="str">
        <f ca="1"/>
        <v>Bad</v>
      </c>
    </row>
    <row r="6517" spans="2:34" x14ac:dyDescent="0.2">
      <c r="B6517" s="2">
        <f ca="1"/>
        <v>9.2299142013326341E-2</v>
      </c>
      <c r="O6517" s="2">
        <f ca="1"/>
        <v>-1.1821017863382428</v>
      </c>
      <c r="X6517" s="2">
        <f ca="1"/>
        <v>42.156594036310821</v>
      </c>
      <c r="AG6517" s="2">
        <f ca="1"/>
        <v>0.48015653794658064</v>
      </c>
      <c r="AH6517" s="2" t="str">
        <f ca="1"/>
        <v>Bad</v>
      </c>
    </row>
    <row r="6518" spans="2:34" x14ac:dyDescent="0.2">
      <c r="B6518" s="2">
        <f ca="1"/>
        <v>0.3440085808232165</v>
      </c>
      <c r="O6518" s="2">
        <f ca="1"/>
        <v>1.4840611446668983</v>
      </c>
      <c r="X6518" s="2">
        <f ca="1"/>
        <v>29.633782952641766</v>
      </c>
      <c r="AG6518" s="2">
        <f ca="1"/>
        <v>3.898313097354289E-2</v>
      </c>
      <c r="AH6518" s="2" t="str">
        <f ca="1"/>
        <v>Good</v>
      </c>
    </row>
    <row r="6519" spans="2:34" x14ac:dyDescent="0.2">
      <c r="B6519" s="2">
        <f ca="1"/>
        <v>0.85850295849434777</v>
      </c>
      <c r="O6519" s="2">
        <f ca="1"/>
        <v>0.50524541655253163</v>
      </c>
      <c r="X6519" s="2">
        <f ca="1"/>
        <v>29.715234403586489</v>
      </c>
      <c r="AG6519" s="2">
        <f ca="1"/>
        <v>0.46031222244868109</v>
      </c>
      <c r="AH6519" s="2" t="str">
        <f ca="1"/>
        <v>Bad</v>
      </c>
    </row>
    <row r="6520" spans="2:34" x14ac:dyDescent="0.2">
      <c r="B6520" s="2">
        <f ca="1"/>
        <v>0.40641915971059284</v>
      </c>
      <c r="O6520" s="2">
        <f ca="1"/>
        <v>-0.45130083746897282</v>
      </c>
      <c r="X6520" s="2">
        <f ca="1"/>
        <v>77.862443733596635</v>
      </c>
      <c r="AG6520" s="2">
        <f ca="1"/>
        <v>0.9100255864579756</v>
      </c>
      <c r="AH6520" s="2" t="str">
        <f ca="1"/>
        <v>Bad</v>
      </c>
    </row>
    <row r="6521" spans="2:34" x14ac:dyDescent="0.2">
      <c r="B6521" s="2">
        <f ca="1"/>
        <v>0.26621342518078017</v>
      </c>
      <c r="O6521" s="2">
        <f ca="1"/>
        <v>-0.57205720649123248</v>
      </c>
      <c r="X6521" s="2">
        <f ca="1"/>
        <v>55.951114049560161</v>
      </c>
      <c r="AG6521" s="2">
        <f ca="1"/>
        <v>0.96250203175526461</v>
      </c>
      <c r="AH6521" s="2" t="str">
        <f ca="1"/>
        <v>Bad</v>
      </c>
    </row>
    <row r="6522" spans="2:34" x14ac:dyDescent="0.2">
      <c r="B6522" s="2">
        <f ca="1"/>
        <v>0.53176242381868843</v>
      </c>
      <c r="O6522" s="2">
        <f ca="1"/>
        <v>-0.69269309921932809</v>
      </c>
      <c r="X6522" s="2">
        <f ca="1"/>
        <v>38.030739856095124</v>
      </c>
      <c r="AG6522" s="2">
        <f ca="1"/>
        <v>0.6279327044541414</v>
      </c>
      <c r="AH6522" s="2" t="str">
        <f ca="1"/>
        <v>Bad</v>
      </c>
    </row>
    <row r="6523" spans="2:34" x14ac:dyDescent="0.2">
      <c r="B6523" s="2">
        <f ca="1"/>
        <v>0.70693118973601665</v>
      </c>
      <c r="O6523" s="2">
        <f ca="1"/>
        <v>-3.0959978392199338E-2</v>
      </c>
      <c r="X6523" s="2">
        <f ca="1"/>
        <v>25.824768213801121</v>
      </c>
      <c r="AG6523" s="2">
        <f ca="1"/>
        <v>8.8075030713495206E-2</v>
      </c>
      <c r="AH6523" s="2" t="str">
        <f ca="1"/>
        <v>OK</v>
      </c>
    </row>
    <row r="6524" spans="2:34" x14ac:dyDescent="0.2">
      <c r="B6524" s="2">
        <f ca="1"/>
        <v>0.87335455710184662</v>
      </c>
      <c r="O6524" s="2">
        <f ca="1"/>
        <v>0.24991851202091253</v>
      </c>
      <c r="X6524" s="2">
        <f ca="1"/>
        <v>38.586985359834713</v>
      </c>
      <c r="AG6524" s="2">
        <f ca="1"/>
        <v>0.8953056315899639</v>
      </c>
      <c r="AH6524" s="2" t="str">
        <f ca="1"/>
        <v>Bad</v>
      </c>
    </row>
    <row r="6525" spans="2:34" x14ac:dyDescent="0.2">
      <c r="B6525" s="2">
        <f ca="1"/>
        <v>0.53783216849716609</v>
      </c>
      <c r="O6525" s="2">
        <f ca="1"/>
        <v>1.2572281544789357</v>
      </c>
      <c r="X6525" s="2">
        <f ca="1"/>
        <v>61.742269257661881</v>
      </c>
      <c r="AG6525" s="2">
        <f ca="1"/>
        <v>0.36239694983167192</v>
      </c>
      <c r="AH6525" s="2" t="str">
        <f ca="1"/>
        <v>OK</v>
      </c>
    </row>
    <row r="6526" spans="2:34" x14ac:dyDescent="0.2">
      <c r="B6526" s="2">
        <f ca="1"/>
        <v>0.62588563281542098</v>
      </c>
      <c r="O6526" s="2">
        <f ca="1"/>
        <v>-1.1533769876927515</v>
      </c>
      <c r="X6526" s="2">
        <f ca="1"/>
        <v>51.646937294978194</v>
      </c>
      <c r="AG6526" s="2">
        <f ca="1"/>
        <v>0.15765553869538285</v>
      </c>
      <c r="AH6526" s="2" t="str">
        <f ca="1"/>
        <v>OK</v>
      </c>
    </row>
    <row r="6527" spans="2:34" x14ac:dyDescent="0.2">
      <c r="B6527" s="2">
        <f ca="1"/>
        <v>0.14815253848908538</v>
      </c>
      <c r="O6527" s="2">
        <f ca="1"/>
        <v>-0.83075482596281258</v>
      </c>
      <c r="X6527" s="2">
        <f ca="1"/>
        <v>68.056844027530104</v>
      </c>
      <c r="AG6527" s="2">
        <f ca="1"/>
        <v>0.28089286717057216</v>
      </c>
      <c r="AH6527" s="2" t="str">
        <f ca="1"/>
        <v>OK</v>
      </c>
    </row>
    <row r="6528" spans="2:34" x14ac:dyDescent="0.2">
      <c r="B6528" s="2">
        <f ca="1"/>
        <v>0.66304763711590797</v>
      </c>
      <c r="O6528" s="2">
        <f ca="1"/>
        <v>1.4457847910641641</v>
      </c>
      <c r="X6528" s="2">
        <f ca="1"/>
        <v>36.878068289456749</v>
      </c>
      <c r="AG6528" s="2">
        <f ca="1"/>
        <v>0.48426562298176901</v>
      </c>
      <c r="AH6528" s="2" t="str">
        <f ca="1"/>
        <v>Bad</v>
      </c>
    </row>
    <row r="6529" spans="2:34" x14ac:dyDescent="0.2">
      <c r="B6529" s="2">
        <f ca="1"/>
        <v>8.3447649958157344E-2</v>
      </c>
      <c r="O6529" s="2">
        <f ca="1"/>
        <v>-1.0078128427557607</v>
      </c>
      <c r="X6529" s="2">
        <f ca="1"/>
        <v>51.389064729081454</v>
      </c>
      <c r="AG6529" s="2">
        <f ca="1"/>
        <v>6.0905519241627903E-2</v>
      </c>
      <c r="AH6529" s="2" t="str">
        <f ca="1"/>
        <v>OK</v>
      </c>
    </row>
    <row r="6530" spans="2:34" x14ac:dyDescent="0.2">
      <c r="B6530" s="2">
        <f ca="1"/>
        <v>0.88071110769368222</v>
      </c>
      <c r="O6530" s="2">
        <f ca="1"/>
        <v>-1.7738257590948594</v>
      </c>
      <c r="X6530" s="2">
        <f ca="1"/>
        <v>63.879098844687761</v>
      </c>
      <c r="AG6530" s="2">
        <f ca="1"/>
        <v>2.1133298528422717E-2</v>
      </c>
      <c r="AH6530" s="2" t="str">
        <f ca="1"/>
        <v>Good</v>
      </c>
    </row>
    <row r="6531" spans="2:34" x14ac:dyDescent="0.2">
      <c r="B6531" s="2">
        <f ca="1"/>
        <v>0.92980725185193402</v>
      </c>
      <c r="O6531" s="2">
        <f ca="1"/>
        <v>0.16781680820012854</v>
      </c>
      <c r="X6531" s="2">
        <f ca="1"/>
        <v>62.354530175779544</v>
      </c>
      <c r="AG6531" s="2">
        <f ca="1"/>
        <v>0.2351779349331593</v>
      </c>
      <c r="AH6531" s="2" t="str">
        <f ca="1"/>
        <v>OK</v>
      </c>
    </row>
    <row r="6532" spans="2:34" x14ac:dyDescent="0.2">
      <c r="B6532" s="2">
        <f ca="1"/>
        <v>0.15623248251860478</v>
      </c>
      <c r="O6532" s="2">
        <f ca="1"/>
        <v>0.50930847887461994</v>
      </c>
      <c r="X6532" s="2">
        <f ca="1"/>
        <v>59.016073800779061</v>
      </c>
      <c r="AG6532" s="2">
        <f ca="1"/>
        <v>0.56853424696049326</v>
      </c>
      <c r="AH6532" s="2" t="str">
        <f ca="1"/>
        <v>Bad</v>
      </c>
    </row>
    <row r="6533" spans="2:34" x14ac:dyDescent="0.2">
      <c r="B6533" s="2">
        <f ca="1"/>
        <v>0.51746507141049847</v>
      </c>
      <c r="O6533" s="2">
        <f ca="1"/>
        <v>5.2827112599227732E-2</v>
      </c>
      <c r="X6533" s="2">
        <f ca="1"/>
        <v>50.552601281726204</v>
      </c>
      <c r="AG6533" s="2">
        <f ca="1"/>
        <v>0.16939281803181716</v>
      </c>
      <c r="AH6533" s="2" t="str">
        <f ca="1"/>
        <v>OK</v>
      </c>
    </row>
    <row r="6534" spans="2:34" x14ac:dyDescent="0.2">
      <c r="B6534" s="2">
        <f ca="1"/>
        <v>0.91687946387809882</v>
      </c>
      <c r="O6534" s="2">
        <f ca="1"/>
        <v>-1.7824419126708766</v>
      </c>
      <c r="X6534" s="2">
        <f ca="1"/>
        <v>42.984925017031287</v>
      </c>
      <c r="AG6534" s="2">
        <f ca="1"/>
        <v>0.26843972391052451</v>
      </c>
      <c r="AH6534" s="2" t="str">
        <f ca="1"/>
        <v>OK</v>
      </c>
    </row>
    <row r="6535" spans="2:34" x14ac:dyDescent="0.2">
      <c r="B6535" s="2">
        <f ca="1"/>
        <v>0.86623066099008827</v>
      </c>
      <c r="O6535" s="2">
        <f ca="1"/>
        <v>-0.16933623516165022</v>
      </c>
      <c r="X6535" s="2">
        <f ca="1"/>
        <v>72.365444525104749</v>
      </c>
      <c r="AG6535" s="2">
        <f ca="1"/>
        <v>0.79579775486656201</v>
      </c>
      <c r="AH6535" s="2" t="str">
        <f ca="1"/>
        <v>Bad</v>
      </c>
    </row>
    <row r="6536" spans="2:34" x14ac:dyDescent="0.2">
      <c r="B6536" s="2">
        <f ca="1"/>
        <v>0.34363396120369916</v>
      </c>
      <c r="O6536" s="2">
        <f ca="1"/>
        <v>-0.77186317722779751</v>
      </c>
      <c r="X6536" s="2">
        <f ca="1"/>
        <v>41.555385872593803</v>
      </c>
      <c r="AG6536" s="2">
        <f ca="1"/>
        <v>0.71686164761905613</v>
      </c>
      <c r="AH6536" s="2" t="str">
        <f ca="1"/>
        <v>Bad</v>
      </c>
    </row>
    <row r="6537" spans="2:34" x14ac:dyDescent="0.2">
      <c r="B6537" s="2">
        <f ca="1"/>
        <v>0.35876636625174818</v>
      </c>
      <c r="O6537" s="2">
        <f ca="1"/>
        <v>1.9381365265738435</v>
      </c>
      <c r="X6537" s="2">
        <f ca="1"/>
        <v>40.738454118880242</v>
      </c>
      <c r="AG6537" s="2">
        <f ca="1"/>
        <v>0.5626994163944965</v>
      </c>
      <c r="AH6537" s="2" t="str">
        <f ca="1"/>
        <v>Bad</v>
      </c>
    </row>
    <row r="6538" spans="2:34" x14ac:dyDescent="0.2">
      <c r="B6538" s="2">
        <f ca="1"/>
        <v>0.67984315478452473</v>
      </c>
      <c r="O6538" s="2">
        <f ca="1"/>
        <v>0.71413282634961484</v>
      </c>
      <c r="X6538" s="2">
        <f ca="1"/>
        <v>46.373482737601961</v>
      </c>
      <c r="AG6538" s="2">
        <f ca="1"/>
        <v>0.98862392352169093</v>
      </c>
      <c r="AH6538" s="2" t="str">
        <f ca="1"/>
        <v>Bad</v>
      </c>
    </row>
    <row r="6539" spans="2:34" x14ac:dyDescent="0.2">
      <c r="B6539" s="2">
        <f ca="1"/>
        <v>0.75933759806402046</v>
      </c>
      <c r="O6539" s="2">
        <f ca="1"/>
        <v>1.23920683279905</v>
      </c>
      <c r="X6539" s="2">
        <f ca="1"/>
        <v>44.300947125716277</v>
      </c>
      <c r="AG6539" s="2">
        <f ca="1"/>
        <v>0.75880727991538621</v>
      </c>
      <c r="AH6539" s="2" t="str">
        <f ca="1"/>
        <v>Bad</v>
      </c>
    </row>
    <row r="6540" spans="2:34" x14ac:dyDescent="0.2">
      <c r="B6540" s="2">
        <f ca="1"/>
        <v>0.26534149691927778</v>
      </c>
      <c r="O6540" s="2">
        <f ca="1"/>
        <v>-0.94976038383059558</v>
      </c>
      <c r="X6540" s="2">
        <f ca="1"/>
        <v>38.99593649577541</v>
      </c>
      <c r="AG6540" s="2">
        <f ca="1"/>
        <v>0.10032607039973263</v>
      </c>
      <c r="AH6540" s="2" t="str">
        <f ca="1"/>
        <v>OK</v>
      </c>
    </row>
    <row r="6541" spans="2:34" x14ac:dyDescent="0.2">
      <c r="B6541" s="2">
        <f ca="1"/>
        <v>0.15200799620888406</v>
      </c>
      <c r="O6541" s="2">
        <f ca="1"/>
        <v>1.2076685981036173</v>
      </c>
      <c r="X6541" s="2">
        <f ca="1"/>
        <v>44.767744182242659</v>
      </c>
      <c r="AG6541" s="2">
        <f ca="1"/>
        <v>0.65824560347571937</v>
      </c>
      <c r="AH6541" s="2" t="str">
        <f ca="1"/>
        <v>Bad</v>
      </c>
    </row>
    <row r="6542" spans="2:34" x14ac:dyDescent="0.2">
      <c r="B6542" s="2">
        <f ca="1"/>
        <v>0.27539331572857617</v>
      </c>
      <c r="O6542" s="2">
        <f ca="1"/>
        <v>-1.2872480712953671</v>
      </c>
      <c r="X6542" s="2">
        <f ca="1"/>
        <v>38.020179209551969</v>
      </c>
      <c r="AG6542" s="2">
        <f ca="1"/>
        <v>0.94933445806759709</v>
      </c>
      <c r="AH6542" s="2" t="str">
        <f ca="1"/>
        <v>Bad</v>
      </c>
    </row>
    <row r="6543" spans="2:34" x14ac:dyDescent="0.2">
      <c r="B6543" s="2">
        <f ca="1"/>
        <v>0.3021756120379524</v>
      </c>
      <c r="O6543" s="2">
        <f ca="1"/>
        <v>0.41793253065966329</v>
      </c>
      <c r="X6543" s="2">
        <f ca="1"/>
        <v>63.780986264774803</v>
      </c>
      <c r="AG6543" s="2">
        <f ca="1"/>
        <v>0.46804750694341157</v>
      </c>
      <c r="AH6543" s="2" t="str">
        <f ca="1"/>
        <v>Bad</v>
      </c>
    </row>
    <row r="6544" spans="2:34" x14ac:dyDescent="0.2">
      <c r="B6544" s="2">
        <f ca="1"/>
        <v>0.61535742318417586</v>
      </c>
      <c r="O6544" s="2">
        <f ca="1"/>
        <v>0.32398190463353183</v>
      </c>
      <c r="X6544" s="2">
        <f ca="1"/>
        <v>40.889649759315134</v>
      </c>
      <c r="AG6544" s="2">
        <f ca="1"/>
        <v>0.65394993997050688</v>
      </c>
      <c r="AH6544" s="2" t="str">
        <f ca="1"/>
        <v>Bad</v>
      </c>
    </row>
    <row r="6545" spans="2:34" x14ac:dyDescent="0.2">
      <c r="B6545" s="2">
        <f ca="1"/>
        <v>0.58832278308962516</v>
      </c>
      <c r="O6545" s="2">
        <f ca="1"/>
        <v>0.18647939230218866</v>
      </c>
      <c r="X6545" s="2">
        <f ca="1"/>
        <v>55.182924627744605</v>
      </c>
      <c r="AG6545" s="2">
        <f ca="1"/>
        <v>0.32690143313824249</v>
      </c>
      <c r="AH6545" s="2" t="str">
        <f ca="1"/>
        <v>OK</v>
      </c>
    </row>
    <row r="6546" spans="2:34" x14ac:dyDescent="0.2">
      <c r="B6546" s="2">
        <f ca="1"/>
        <v>0.18340636179259828</v>
      </c>
      <c r="O6546" s="2">
        <f ca="1"/>
        <v>-0.41888677243264616</v>
      </c>
      <c r="X6546" s="2">
        <f ca="1"/>
        <v>41.050300996708422</v>
      </c>
      <c r="AG6546" s="2">
        <f ca="1"/>
        <v>0.48545958617004037</v>
      </c>
      <c r="AH6546" s="2" t="str">
        <f ca="1"/>
        <v>Bad</v>
      </c>
    </row>
    <row r="6547" spans="2:34" x14ac:dyDescent="0.2">
      <c r="B6547" s="2">
        <f ca="1"/>
        <v>0.92028804947005471</v>
      </c>
      <c r="O6547" s="2">
        <f ca="1"/>
        <v>1.248511778842144</v>
      </c>
      <c r="X6547" s="2">
        <f ca="1"/>
        <v>43.008152613895675</v>
      </c>
      <c r="AG6547" s="2">
        <f ca="1"/>
        <v>0.64728032867530327</v>
      </c>
      <c r="AH6547" s="2" t="str">
        <f ca="1"/>
        <v>Bad</v>
      </c>
    </row>
    <row r="6548" spans="2:34" x14ac:dyDescent="0.2">
      <c r="B6548" s="2">
        <f ca="1"/>
        <v>0.30030961688526681</v>
      </c>
      <c r="O6548" s="2">
        <f ca="1"/>
        <v>1.072018229997618</v>
      </c>
      <c r="X6548" s="2">
        <f ca="1"/>
        <v>41.668845522442481</v>
      </c>
      <c r="AG6548" s="2">
        <f ca="1"/>
        <v>0.78074936277921436</v>
      </c>
      <c r="AH6548" s="2" t="str">
        <f ca="1"/>
        <v>Bad</v>
      </c>
    </row>
    <row r="6549" spans="2:34" x14ac:dyDescent="0.2">
      <c r="B6549" s="2">
        <f ca="1"/>
        <v>0.93594792175580355</v>
      </c>
      <c r="O6549" s="2">
        <f ca="1"/>
        <v>0.49825397522798925</v>
      </c>
      <c r="X6549" s="2">
        <f ca="1"/>
        <v>58.849408319565072</v>
      </c>
      <c r="AG6549" s="2">
        <f ca="1"/>
        <v>0.40408745556416958</v>
      </c>
      <c r="AH6549" s="2" t="str">
        <f ca="1"/>
        <v>Bad</v>
      </c>
    </row>
    <row r="6550" spans="2:34" x14ac:dyDescent="0.2">
      <c r="B6550" s="2">
        <f ca="1"/>
        <v>0.86801600680268942</v>
      </c>
      <c r="O6550" s="2">
        <f ca="1"/>
        <v>-0.46415489929892734</v>
      </c>
      <c r="X6550" s="2">
        <f ca="1"/>
        <v>45.859628096153671</v>
      </c>
      <c r="AG6550" s="2">
        <f ca="1"/>
        <v>0.14012161365392739</v>
      </c>
      <c r="AH6550" s="2" t="str">
        <f ca="1"/>
        <v>OK</v>
      </c>
    </row>
    <row r="6551" spans="2:34" x14ac:dyDescent="0.2">
      <c r="B6551" s="2">
        <f ca="1"/>
        <v>0.61337919571350041</v>
      </c>
      <c r="O6551" s="2">
        <f ca="1"/>
        <v>3.3079860558899907E-3</v>
      </c>
      <c r="X6551" s="2">
        <f ca="1"/>
        <v>50.943617415634954</v>
      </c>
      <c r="AG6551" s="2">
        <f ca="1"/>
        <v>1.5427241490400867E-2</v>
      </c>
      <c r="AH6551" s="2" t="str">
        <f ca="1"/>
        <v>Good</v>
      </c>
    </row>
    <row r="6552" spans="2:34" x14ac:dyDescent="0.2">
      <c r="B6552" s="2">
        <f ca="1"/>
        <v>0.48701548724070576</v>
      </c>
      <c r="O6552" s="2">
        <f ca="1"/>
        <v>0.6112108903716722</v>
      </c>
      <c r="X6552" s="2">
        <f ca="1"/>
        <v>66.755293324119776</v>
      </c>
      <c r="AG6552" s="2">
        <f ca="1"/>
        <v>0.53142602492548363</v>
      </c>
      <c r="AH6552" s="2" t="str">
        <f ca="1"/>
        <v>Bad</v>
      </c>
    </row>
    <row r="6553" spans="2:34" x14ac:dyDescent="0.2">
      <c r="B6553" s="2">
        <f ca="1"/>
        <v>0.11224812207752821</v>
      </c>
      <c r="O6553" s="2">
        <f ca="1"/>
        <v>1.2383893229302017</v>
      </c>
      <c r="X6553" s="2">
        <f ca="1"/>
        <v>43.632766210962899</v>
      </c>
      <c r="AG6553" s="2">
        <f ca="1"/>
        <v>0.82757093517750602</v>
      </c>
      <c r="AH6553" s="2" t="str">
        <f ca="1"/>
        <v>Bad</v>
      </c>
    </row>
    <row r="6554" spans="2:34" x14ac:dyDescent="0.2">
      <c r="B6554" s="2">
        <f ca="1"/>
        <v>0.77812201072626586</v>
      </c>
      <c r="O6554" s="2">
        <f ca="1"/>
        <v>-0.52432581228199071</v>
      </c>
      <c r="X6554" s="2">
        <f ca="1"/>
        <v>75.359262343493583</v>
      </c>
      <c r="AG6554" s="2">
        <f ca="1"/>
        <v>7.0718805955088282E-2</v>
      </c>
      <c r="AH6554" s="2" t="str">
        <f ca="1"/>
        <v>OK</v>
      </c>
    </row>
    <row r="6555" spans="2:34" x14ac:dyDescent="0.2">
      <c r="B6555" s="2">
        <f ca="1"/>
        <v>4.7560384106750231E-2</v>
      </c>
      <c r="O6555" s="2">
        <f ca="1"/>
        <v>-0.98223298461518049</v>
      </c>
      <c r="X6555" s="2">
        <f ca="1"/>
        <v>24.728757156125294</v>
      </c>
      <c r="AG6555" s="2">
        <f ca="1"/>
        <v>0.16764671918350982</v>
      </c>
      <c r="AH6555" s="2" t="str">
        <f ca="1"/>
        <v>OK</v>
      </c>
    </row>
    <row r="6556" spans="2:34" x14ac:dyDescent="0.2">
      <c r="B6556" s="2">
        <f ca="1"/>
        <v>0.46245386594739779</v>
      </c>
      <c r="O6556" s="2">
        <f ca="1"/>
        <v>0.72500010532627157</v>
      </c>
      <c r="X6556" s="2">
        <f ca="1"/>
        <v>29.250460280578405</v>
      </c>
      <c r="AG6556" s="2">
        <f ca="1"/>
        <v>3.6453362907980402E-2</v>
      </c>
      <c r="AH6556" s="2" t="str">
        <f ca="1"/>
        <v>Good</v>
      </c>
    </row>
    <row r="6557" spans="2:34" x14ac:dyDescent="0.2">
      <c r="B6557" s="2">
        <f ca="1"/>
        <v>0.26295761359306735</v>
      </c>
      <c r="O6557" s="2">
        <f ca="1"/>
        <v>-0.47176051428276228</v>
      </c>
      <c r="X6557" s="2">
        <f ca="1"/>
        <v>29.298362050092955</v>
      </c>
      <c r="AG6557" s="2">
        <f ca="1"/>
        <v>9.9899818916967309E-2</v>
      </c>
      <c r="AH6557" s="2" t="str">
        <f ca="1"/>
        <v>OK</v>
      </c>
    </row>
    <row r="6558" spans="2:34" x14ac:dyDescent="0.2">
      <c r="B6558" s="2">
        <f ca="1"/>
        <v>0.4574082714618799</v>
      </c>
      <c r="O6558" s="2">
        <f ca="1"/>
        <v>0.36864327222775328</v>
      </c>
      <c r="X6558" s="2">
        <f ca="1"/>
        <v>40.694283758974379</v>
      </c>
      <c r="AG6558" s="2">
        <f ca="1"/>
        <v>0.93432320109815858</v>
      </c>
      <c r="AH6558" s="2" t="str">
        <f ca="1"/>
        <v>Bad</v>
      </c>
    </row>
    <row r="6559" spans="2:34" x14ac:dyDescent="0.2">
      <c r="B6559" s="2">
        <f ca="1"/>
        <v>0.81774503894606676</v>
      </c>
      <c r="O6559" s="2">
        <f ca="1"/>
        <v>-0.88667498616220131</v>
      </c>
      <c r="X6559" s="2">
        <f ca="1"/>
        <v>31.961708149235328</v>
      </c>
      <c r="AG6559" s="2">
        <f ca="1"/>
        <v>0.90455377815693483</v>
      </c>
      <c r="AH6559" s="2" t="str">
        <f ca="1"/>
        <v>Bad</v>
      </c>
    </row>
    <row r="6560" spans="2:34" x14ac:dyDescent="0.2">
      <c r="B6560" s="2">
        <f ca="1"/>
        <v>0.64004391987895382</v>
      </c>
      <c r="O6560" s="2">
        <f ca="1"/>
        <v>0.2320551134967683</v>
      </c>
      <c r="X6560" s="2">
        <f ca="1"/>
        <v>41.307100129191525</v>
      </c>
      <c r="AG6560" s="2">
        <f ca="1"/>
        <v>0.99687408295334023</v>
      </c>
      <c r="AH6560" s="2" t="str">
        <f ca="1"/>
        <v>Bad</v>
      </c>
    </row>
    <row r="6561" spans="2:34" x14ac:dyDescent="0.2">
      <c r="B6561" s="2">
        <f ca="1"/>
        <v>0.14427420579523309</v>
      </c>
      <c r="O6561" s="2">
        <f ca="1"/>
        <v>0.29806768624921676</v>
      </c>
      <c r="X6561" s="2">
        <f ca="1"/>
        <v>38.7227162961318</v>
      </c>
      <c r="AG6561" s="2">
        <f ca="1"/>
        <v>0.51661590112108002</v>
      </c>
      <c r="AH6561" s="2" t="str">
        <f ca="1"/>
        <v>Bad</v>
      </c>
    </row>
    <row r="6562" spans="2:34" x14ac:dyDescent="0.2">
      <c r="B6562" s="2">
        <f ca="1"/>
        <v>0.3475501135082788</v>
      </c>
      <c r="O6562" s="2">
        <f ca="1"/>
        <v>1.5788074844612272</v>
      </c>
      <c r="X6562" s="2">
        <f ca="1"/>
        <v>38.498034786775364</v>
      </c>
      <c r="AG6562" s="2">
        <f ca="1"/>
        <v>0.1668805311831365</v>
      </c>
      <c r="AH6562" s="2" t="str">
        <f ca="1"/>
        <v>OK</v>
      </c>
    </row>
    <row r="6563" spans="2:34" x14ac:dyDescent="0.2">
      <c r="B6563" s="2">
        <f ca="1"/>
        <v>0.39358003338195391</v>
      </c>
      <c r="O6563" s="2">
        <f ca="1"/>
        <v>-2.9849932695795816</v>
      </c>
      <c r="X6563" s="2">
        <f ca="1"/>
        <v>59.184030177807486</v>
      </c>
      <c r="AG6563" s="2">
        <f ca="1"/>
        <v>0.31237023584895263</v>
      </c>
      <c r="AH6563" s="2" t="str">
        <f ca="1"/>
        <v>OK</v>
      </c>
    </row>
    <row r="6564" spans="2:34" x14ac:dyDescent="0.2">
      <c r="B6564" s="2">
        <f ca="1"/>
        <v>0.94847769022251027</v>
      </c>
      <c r="O6564" s="2">
        <f ca="1"/>
        <v>1.1331676768786165</v>
      </c>
      <c r="X6564" s="2">
        <f ca="1"/>
        <v>115.56257386824372</v>
      </c>
      <c r="AG6564" s="2">
        <f ca="1"/>
        <v>9.8367113603229583E-2</v>
      </c>
      <c r="AH6564" s="2" t="str">
        <f ca="1"/>
        <v>OK</v>
      </c>
    </row>
    <row r="6565" spans="2:34" x14ac:dyDescent="0.2">
      <c r="B6565" s="2">
        <f ca="1"/>
        <v>0.65086218696498777</v>
      </c>
      <c r="O6565" s="2">
        <f ca="1"/>
        <v>0.15599514125288169</v>
      </c>
      <c r="X6565" s="2">
        <f ca="1"/>
        <v>48.290546351317509</v>
      </c>
      <c r="AG6565" s="2">
        <f ca="1"/>
        <v>0.18250443938743466</v>
      </c>
      <c r="AH6565" s="2" t="str">
        <f ca="1"/>
        <v>OK</v>
      </c>
    </row>
    <row r="6566" spans="2:34" x14ac:dyDescent="0.2">
      <c r="B6566" s="2">
        <f ca="1"/>
        <v>0.60484598078658069</v>
      </c>
      <c r="O6566" s="2">
        <f ca="1"/>
        <v>0.16028527575344123</v>
      </c>
      <c r="X6566" s="2">
        <f ca="1"/>
        <v>55.771531029035913</v>
      </c>
      <c r="AG6566" s="2">
        <f ca="1"/>
        <v>0.34257540503299255</v>
      </c>
      <c r="AH6566" s="2" t="str">
        <f ca="1"/>
        <v>OK</v>
      </c>
    </row>
    <row r="6567" spans="2:34" x14ac:dyDescent="0.2">
      <c r="B6567" s="2">
        <f ca="1"/>
        <v>0.58405621430422805</v>
      </c>
      <c r="O6567" s="2">
        <f ca="1"/>
        <v>-0.2924853086945774</v>
      </c>
      <c r="X6567" s="2">
        <f ca="1"/>
        <v>45.764283669491007</v>
      </c>
      <c r="AG6567" s="2">
        <f ca="1"/>
        <v>7.8715408585428692E-2</v>
      </c>
      <c r="AH6567" s="2" t="str">
        <f ca="1"/>
        <v>OK</v>
      </c>
    </row>
    <row r="6568" spans="2:34" x14ac:dyDescent="0.2">
      <c r="B6568" s="2">
        <f ca="1"/>
        <v>0.47340807396309792</v>
      </c>
      <c r="O6568" s="2">
        <f ca="1"/>
        <v>2.233469540948553</v>
      </c>
      <c r="X6568" s="2">
        <f ca="1"/>
        <v>49.115317692504917</v>
      </c>
      <c r="AG6568" s="2">
        <f ca="1"/>
        <v>0.72360987397096044</v>
      </c>
      <c r="AH6568" s="2" t="str">
        <f ca="1"/>
        <v>Bad</v>
      </c>
    </row>
    <row r="6569" spans="2:34" x14ac:dyDescent="0.2">
      <c r="B6569" s="2">
        <f ca="1"/>
        <v>4.4270230873718619E-2</v>
      </c>
      <c r="O6569" s="2">
        <f ca="1"/>
        <v>-1.6825744553994813</v>
      </c>
      <c r="X6569" s="2">
        <f ca="1"/>
        <v>52.298725688348675</v>
      </c>
      <c r="AG6569" s="2">
        <f ca="1"/>
        <v>2.8737496561442866E-2</v>
      </c>
      <c r="AH6569" s="2" t="str">
        <f ca="1"/>
        <v>Good</v>
      </c>
    </row>
    <row r="6570" spans="2:34" x14ac:dyDescent="0.2">
      <c r="B6570" s="2">
        <f ca="1"/>
        <v>3.7448606569218779E-2</v>
      </c>
      <c r="O6570" s="2">
        <f ca="1"/>
        <v>0.12199508124041659</v>
      </c>
      <c r="X6570" s="2">
        <f ca="1"/>
        <v>43.962463563732008</v>
      </c>
      <c r="AG6570" s="2">
        <f ca="1"/>
        <v>0.14914017381635936</v>
      </c>
      <c r="AH6570" s="2" t="str">
        <f ca="1"/>
        <v>OK</v>
      </c>
    </row>
    <row r="6571" spans="2:34" x14ac:dyDescent="0.2">
      <c r="B6571" s="2">
        <f ca="1"/>
        <v>0.20985972337533298</v>
      </c>
      <c r="O6571" s="2">
        <f ca="1"/>
        <v>0.60366904650970277</v>
      </c>
      <c r="X6571" s="2">
        <f ca="1"/>
        <v>72.77724996386678</v>
      </c>
      <c r="AG6571" s="2">
        <f ca="1"/>
        <v>0.88024400831822702</v>
      </c>
      <c r="AH6571" s="2" t="str">
        <f ca="1"/>
        <v>Bad</v>
      </c>
    </row>
    <row r="6572" spans="2:34" x14ac:dyDescent="0.2">
      <c r="B6572" s="2">
        <f ca="1"/>
        <v>0.7861306891477069</v>
      </c>
      <c r="O6572" s="2">
        <f ca="1"/>
        <v>0.18052822148865891</v>
      </c>
      <c r="X6572" s="2">
        <f ca="1"/>
        <v>56.414642621518915</v>
      </c>
      <c r="AG6572" s="2">
        <f ca="1"/>
        <v>0.82398865626003048</v>
      </c>
      <c r="AH6572" s="2" t="str">
        <f ca="1"/>
        <v>Bad</v>
      </c>
    </row>
    <row r="6573" spans="2:34" x14ac:dyDescent="0.2">
      <c r="B6573" s="2">
        <f ca="1"/>
        <v>0.50636465507111161</v>
      </c>
      <c r="O6573" s="2">
        <f ca="1"/>
        <v>3.8803382527780157E-2</v>
      </c>
      <c r="X6573" s="2">
        <f ca="1"/>
        <v>60.334922476415144</v>
      </c>
      <c r="AG6573" s="2">
        <f ca="1"/>
        <v>0.58713454528220677</v>
      </c>
      <c r="AH6573" s="2" t="str">
        <f ca="1"/>
        <v>Bad</v>
      </c>
    </row>
    <row r="6574" spans="2:34" x14ac:dyDescent="0.2">
      <c r="B6574" s="2">
        <f ca="1"/>
        <v>0.87979399359010002</v>
      </c>
      <c r="O6574" s="2">
        <f ca="1"/>
        <v>2.3549452490501497</v>
      </c>
      <c r="X6574" s="2">
        <f ca="1"/>
        <v>69.33775760449339</v>
      </c>
      <c r="AG6574" s="2">
        <f ca="1"/>
        <v>0.61402522860256359</v>
      </c>
      <c r="AH6574" s="2" t="str">
        <f ca="1"/>
        <v>Bad</v>
      </c>
    </row>
    <row r="6575" spans="2:34" x14ac:dyDescent="0.2">
      <c r="B6575" s="2">
        <f ca="1"/>
        <v>0.12847802670014241</v>
      </c>
      <c r="O6575" s="2">
        <f ca="1"/>
        <v>-0.96828450243362496</v>
      </c>
      <c r="X6575" s="2">
        <f ca="1"/>
        <v>38.793796887302904</v>
      </c>
      <c r="AG6575" s="2">
        <f ca="1"/>
        <v>0.57917589299653494</v>
      </c>
      <c r="AH6575" s="2" t="str">
        <f ca="1"/>
        <v>Bad</v>
      </c>
    </row>
    <row r="6576" spans="2:34" x14ac:dyDescent="0.2">
      <c r="B6576" s="2">
        <f ca="1"/>
        <v>0.15346179360017054</v>
      </c>
      <c r="O6576" s="2">
        <f ca="1"/>
        <v>-2.8216222214093076E-2</v>
      </c>
      <c r="X6576" s="2">
        <f ca="1"/>
        <v>49.19107419438614</v>
      </c>
      <c r="AG6576" s="2">
        <f ca="1"/>
        <v>0.40037079177612145</v>
      </c>
      <c r="AH6576" s="2" t="str">
        <f ca="1"/>
        <v>Bad</v>
      </c>
    </row>
    <row r="6577" spans="2:34" x14ac:dyDescent="0.2">
      <c r="B6577" s="2">
        <f ca="1"/>
        <v>0.26598682592958833</v>
      </c>
      <c r="O6577" s="2">
        <f ca="1"/>
        <v>1.2022484338291912</v>
      </c>
      <c r="X6577" s="2">
        <f ca="1"/>
        <v>29.301190213449427</v>
      </c>
      <c r="AG6577" s="2">
        <f ca="1"/>
        <v>0.52584076840725924</v>
      </c>
      <c r="AH6577" s="2" t="str">
        <f ca="1"/>
        <v>Bad</v>
      </c>
    </row>
    <row r="6578" spans="2:34" x14ac:dyDescent="0.2">
      <c r="B6578" s="2">
        <f ca="1"/>
        <v>7.0813868162028282E-2</v>
      </c>
      <c r="O6578" s="2">
        <f ca="1"/>
        <v>-5.7108340207296694E-2</v>
      </c>
      <c r="X6578" s="2">
        <f ca="1"/>
        <v>62.899632203600071</v>
      </c>
      <c r="AG6578" s="2">
        <f ca="1"/>
        <v>0.52067651978360585</v>
      </c>
      <c r="AH6578" s="2" t="str">
        <f ca="1"/>
        <v>Bad</v>
      </c>
    </row>
    <row r="6579" spans="2:34" x14ac:dyDescent="0.2">
      <c r="B6579" s="2">
        <f ca="1"/>
        <v>0.23305826638951288</v>
      </c>
      <c r="O6579" s="2">
        <f ca="1"/>
        <v>-1.5517021580059558</v>
      </c>
      <c r="X6579" s="2">
        <f ca="1"/>
        <v>80.437124707150531</v>
      </c>
      <c r="AG6579" s="2">
        <f ca="1"/>
        <v>0.51837884729452854</v>
      </c>
      <c r="AH6579" s="2" t="str">
        <f ca="1"/>
        <v>Bad</v>
      </c>
    </row>
    <row r="6580" spans="2:34" x14ac:dyDescent="0.2">
      <c r="B6580" s="2">
        <f ca="1"/>
        <v>0.83448792976279029</v>
      </c>
      <c r="O6580" s="2">
        <f ca="1"/>
        <v>0.29711853779842246</v>
      </c>
      <c r="X6580" s="2">
        <f ca="1"/>
        <v>40.554286277412757</v>
      </c>
      <c r="AG6580" s="2">
        <f ca="1"/>
        <v>0.54843372145198521</v>
      </c>
      <c r="AH6580" s="2" t="str">
        <f ca="1"/>
        <v>Bad</v>
      </c>
    </row>
    <row r="6581" spans="2:34" x14ac:dyDescent="0.2">
      <c r="B6581" s="2">
        <f ca="1"/>
        <v>0.79012893752688451</v>
      </c>
      <c r="O6581" s="2">
        <f ca="1"/>
        <v>-0.27650368019169325</v>
      </c>
      <c r="X6581" s="2">
        <f ca="1"/>
        <v>62.067181060074923</v>
      </c>
      <c r="AG6581" s="2">
        <f ca="1"/>
        <v>0.61345742685797089</v>
      </c>
      <c r="AH6581" s="2" t="str">
        <f ca="1"/>
        <v>Bad</v>
      </c>
    </row>
    <row r="6582" spans="2:34" x14ac:dyDescent="0.2">
      <c r="B6582" s="2">
        <f ca="1"/>
        <v>0.24289044701380957</v>
      </c>
      <c r="O6582" s="2">
        <f ca="1"/>
        <v>-0.22237974455717929</v>
      </c>
      <c r="X6582" s="2">
        <f ca="1"/>
        <v>74.708042775179095</v>
      </c>
      <c r="AG6582" s="2">
        <f ca="1"/>
        <v>0.92091174916283336</v>
      </c>
      <c r="AH6582" s="2" t="str">
        <f ca="1"/>
        <v>Bad</v>
      </c>
    </row>
    <row r="6583" spans="2:34" x14ac:dyDescent="0.2">
      <c r="B6583" s="2">
        <f ca="1"/>
        <v>0.41733089551064451</v>
      </c>
      <c r="O6583" s="2">
        <f ca="1"/>
        <v>0.1609054970717726</v>
      </c>
      <c r="X6583" s="2">
        <f ca="1"/>
        <v>34.964336590795298</v>
      </c>
      <c r="AG6583" s="2">
        <f ca="1"/>
        <v>0.14684856427623139</v>
      </c>
      <c r="AH6583" s="2" t="str">
        <f ca="1"/>
        <v>OK</v>
      </c>
    </row>
    <row r="6584" spans="2:34" x14ac:dyDescent="0.2">
      <c r="B6584" s="2">
        <f ca="1"/>
        <v>0.77443571280837675</v>
      </c>
      <c r="O6584" s="2">
        <f ca="1"/>
        <v>-0.35448568645089007</v>
      </c>
      <c r="X6584" s="2">
        <f ca="1"/>
        <v>37.65479143002262</v>
      </c>
      <c r="AG6584" s="2">
        <f ca="1"/>
        <v>0.31684520579602871</v>
      </c>
      <c r="AH6584" s="2" t="str">
        <f ca="1"/>
        <v>OK</v>
      </c>
    </row>
    <row r="6585" spans="2:34" x14ac:dyDescent="0.2">
      <c r="B6585" s="2">
        <f ca="1"/>
        <v>0.65872932711732268</v>
      </c>
      <c r="O6585" s="2">
        <f ca="1"/>
        <v>-1.8873461062051888</v>
      </c>
      <c r="X6585" s="2">
        <f ca="1"/>
        <v>42.247774873457359</v>
      </c>
      <c r="AG6585" s="2">
        <f ca="1"/>
        <v>0.73598744726506471</v>
      </c>
      <c r="AH6585" s="2" t="str">
        <f ca="1"/>
        <v>Bad</v>
      </c>
    </row>
    <row r="6586" spans="2:34" x14ac:dyDescent="0.2">
      <c r="B6586" s="2">
        <f ca="1"/>
        <v>0.63671321946257153</v>
      </c>
      <c r="O6586" s="2">
        <f ca="1"/>
        <v>1.0000530662213625</v>
      </c>
      <c r="X6586" s="2">
        <f ca="1"/>
        <v>61.937890228312611</v>
      </c>
      <c r="AG6586" s="2">
        <f ca="1"/>
        <v>0.80873488786475622</v>
      </c>
      <c r="AH6586" s="2" t="str">
        <f ca="1"/>
        <v>Bad</v>
      </c>
    </row>
    <row r="6587" spans="2:34" x14ac:dyDescent="0.2">
      <c r="B6587" s="2">
        <f ca="1"/>
        <v>0.4537342168990055</v>
      </c>
      <c r="O6587" s="2">
        <f ca="1"/>
        <v>0.36113641800244173</v>
      </c>
      <c r="X6587" s="2">
        <f ca="1"/>
        <v>48.950154300602023</v>
      </c>
      <c r="AG6587" s="2">
        <f ca="1"/>
        <v>3.6482092438843372E-2</v>
      </c>
      <c r="AH6587" s="2" t="str">
        <f ca="1"/>
        <v>Good</v>
      </c>
    </row>
    <row r="6588" spans="2:34" x14ac:dyDescent="0.2">
      <c r="B6588" s="2">
        <f ca="1"/>
        <v>0.79818788490785342</v>
      </c>
      <c r="O6588" s="2">
        <f ca="1"/>
        <v>-0.42294456480915432</v>
      </c>
      <c r="X6588" s="2">
        <f ca="1"/>
        <v>70.620209760970283</v>
      </c>
      <c r="AG6588" s="2">
        <f ca="1"/>
        <v>0.58678856195137841</v>
      </c>
      <c r="AH6588" s="2" t="str">
        <f ca="1"/>
        <v>Bad</v>
      </c>
    </row>
    <row r="6589" spans="2:34" x14ac:dyDescent="0.2">
      <c r="B6589" s="2">
        <f ca="1"/>
        <v>0.52645430318627229</v>
      </c>
      <c r="O6589" s="2">
        <f ca="1"/>
        <v>0.62390559442255222</v>
      </c>
      <c r="X6589" s="2">
        <f ca="1"/>
        <v>57.986402144540634</v>
      </c>
      <c r="AG6589" s="2">
        <f ca="1"/>
        <v>0.82197698379156381</v>
      </c>
      <c r="AH6589" s="2" t="str">
        <f ca="1"/>
        <v>Bad</v>
      </c>
    </row>
    <row r="6590" spans="2:34" x14ac:dyDescent="0.2">
      <c r="B6590" s="2">
        <f ca="1"/>
        <v>0.20119416486429209</v>
      </c>
      <c r="O6590" s="2">
        <f ca="1"/>
        <v>-0.53000063607014414</v>
      </c>
      <c r="X6590" s="2">
        <f ca="1"/>
        <v>48.544871286484501</v>
      </c>
      <c r="AG6590" s="2">
        <f ca="1"/>
        <v>0.50740458306893088</v>
      </c>
      <c r="AH6590" s="2" t="str">
        <f ca="1"/>
        <v>Bad</v>
      </c>
    </row>
    <row r="6591" spans="2:34" x14ac:dyDescent="0.2">
      <c r="B6591" s="2">
        <f ca="1"/>
        <v>0.69592867544138781</v>
      </c>
      <c r="O6591" s="2">
        <f ca="1"/>
        <v>-0.66659722602019744</v>
      </c>
      <c r="X6591" s="2">
        <f ca="1"/>
        <v>51.139651234334735</v>
      </c>
      <c r="AG6591" s="2">
        <f ca="1"/>
        <v>4.7266281830906864E-2</v>
      </c>
      <c r="AH6591" s="2" t="str">
        <f ca="1"/>
        <v>Good</v>
      </c>
    </row>
    <row r="6592" spans="2:34" x14ac:dyDescent="0.2">
      <c r="B6592" s="2">
        <f ca="1"/>
        <v>0.69203225166110327</v>
      </c>
      <c r="O6592" s="2">
        <f ca="1"/>
        <v>1.5806835539388819</v>
      </c>
      <c r="X6592" s="2">
        <f ca="1"/>
        <v>39.413220443558188</v>
      </c>
      <c r="AG6592" s="2">
        <f ca="1"/>
        <v>0.67966912964315873</v>
      </c>
      <c r="AH6592" s="2" t="str">
        <f ca="1"/>
        <v>Bad</v>
      </c>
    </row>
    <row r="6593" spans="2:34" x14ac:dyDescent="0.2">
      <c r="B6593" s="2">
        <f ca="1"/>
        <v>0.11903899030921972</v>
      </c>
      <c r="O6593" s="2">
        <f ca="1"/>
        <v>0.18212596110990423</v>
      </c>
      <c r="X6593" s="2">
        <f ca="1"/>
        <v>45.458987238393803</v>
      </c>
      <c r="AG6593" s="2">
        <f ca="1"/>
        <v>0.62677341318059487</v>
      </c>
      <c r="AH6593" s="2" t="str">
        <f ca="1"/>
        <v>Bad</v>
      </c>
    </row>
    <row r="6594" spans="2:34" x14ac:dyDescent="0.2">
      <c r="B6594" s="2">
        <f ca="1"/>
        <v>0.7908373963808375</v>
      </c>
      <c r="O6594" s="2">
        <f ca="1"/>
        <v>-0.1996812944778332</v>
      </c>
      <c r="X6594" s="2">
        <f ca="1"/>
        <v>56.702158153766177</v>
      </c>
      <c r="AG6594" s="2">
        <f ca="1"/>
        <v>0.21590165727679445</v>
      </c>
      <c r="AH6594" s="2" t="str">
        <f ca="1"/>
        <v>OK</v>
      </c>
    </row>
    <row r="6595" spans="2:34" x14ac:dyDescent="0.2">
      <c r="B6595" s="2">
        <f ca="1"/>
        <v>0.86776015798777362</v>
      </c>
      <c r="O6595" s="2">
        <f ca="1"/>
        <v>-0.78098560082773016</v>
      </c>
      <c r="X6595" s="2">
        <f ca="1"/>
        <v>57.237582791555141</v>
      </c>
      <c r="AG6595" s="2">
        <f ca="1"/>
        <v>0.41050165363987179</v>
      </c>
      <c r="AH6595" s="2" t="str">
        <f ca="1"/>
        <v>Bad</v>
      </c>
    </row>
    <row r="6596" spans="2:34" x14ac:dyDescent="0.2">
      <c r="B6596" s="2">
        <f ca="1"/>
        <v>0.5587741236373156</v>
      </c>
      <c r="O6596" s="2">
        <f ca="1"/>
        <v>0.86228467501853689</v>
      </c>
      <c r="X6596" s="2">
        <f ca="1"/>
        <v>56.801184163373918</v>
      </c>
      <c r="AG6596" s="2">
        <f ca="1"/>
        <v>0.89190010060960656</v>
      </c>
      <c r="AH6596" s="2" t="str">
        <f ca="1"/>
        <v>Bad</v>
      </c>
    </row>
    <row r="6597" spans="2:34" x14ac:dyDescent="0.2">
      <c r="B6597" s="2">
        <f ca="1"/>
        <v>9.7722635662600421E-2</v>
      </c>
      <c r="O6597" s="2">
        <f ca="1"/>
        <v>0.17065843838855935</v>
      </c>
      <c r="X6597" s="2">
        <f ca="1"/>
        <v>26.132631705785592</v>
      </c>
      <c r="AG6597" s="2">
        <f ca="1"/>
        <v>0.30228585447137446</v>
      </c>
      <c r="AH6597" s="2" t="str">
        <f ca="1"/>
        <v>OK</v>
      </c>
    </row>
    <row r="6598" spans="2:34" x14ac:dyDescent="0.2">
      <c r="B6598" s="2">
        <f ca="1"/>
        <v>0.40776305861035245</v>
      </c>
      <c r="O6598" s="2">
        <f ca="1"/>
        <v>0.14700236761585292</v>
      </c>
      <c r="X6598" s="2">
        <f ca="1"/>
        <v>47.766197631325483</v>
      </c>
      <c r="AG6598" s="2">
        <f ca="1"/>
        <v>0.74154710771355514</v>
      </c>
      <c r="AH6598" s="2" t="str">
        <f ca="1"/>
        <v>Bad</v>
      </c>
    </row>
    <row r="6599" spans="2:34" x14ac:dyDescent="0.2">
      <c r="B6599" s="2">
        <f ca="1"/>
        <v>8.6690397824709997E-2</v>
      </c>
      <c r="O6599" s="2">
        <f ca="1"/>
        <v>0.63290732754082224</v>
      </c>
      <c r="X6599" s="2">
        <f ca="1"/>
        <v>44.551715208687774</v>
      </c>
      <c r="AG6599" s="2">
        <f ca="1"/>
        <v>0.12751922094472312</v>
      </c>
      <c r="AH6599" s="2" t="str">
        <f ca="1"/>
        <v>OK</v>
      </c>
    </row>
    <row r="6600" spans="2:34" x14ac:dyDescent="0.2">
      <c r="B6600" s="2">
        <f ca="1"/>
        <v>0.22047268950083687</v>
      </c>
      <c r="O6600" s="2">
        <f ca="1"/>
        <v>1.1417032438884893</v>
      </c>
      <c r="X6600" s="2">
        <f ca="1"/>
        <v>43.007296811772598</v>
      </c>
      <c r="AG6600" s="2">
        <f ca="1"/>
        <v>0.38217148930039446</v>
      </c>
      <c r="AH6600" s="2" t="str">
        <f ca="1"/>
        <v>OK</v>
      </c>
    </row>
    <row r="6601" spans="2:34" x14ac:dyDescent="0.2">
      <c r="B6601" s="2">
        <f ca="1"/>
        <v>6.6745489583199813E-2</v>
      </c>
      <c r="O6601" s="2">
        <f ca="1"/>
        <v>-0.63315415307507639</v>
      </c>
      <c r="X6601" s="2">
        <f ca="1"/>
        <v>35.982596764573174</v>
      </c>
      <c r="AG6601" s="2">
        <f ca="1"/>
        <v>0.18529390120208888</v>
      </c>
      <c r="AH6601" s="2" t="str">
        <f ca="1"/>
        <v>OK</v>
      </c>
    </row>
    <row r="6602" spans="2:34" x14ac:dyDescent="0.2">
      <c r="B6602" s="2">
        <f ca="1"/>
        <v>0.51609773688824512</v>
      </c>
      <c r="O6602" s="2">
        <f ca="1"/>
        <v>0.4277099150393025</v>
      </c>
      <c r="X6602" s="2">
        <f ca="1"/>
        <v>80.166561468583382</v>
      </c>
      <c r="AG6602" s="2">
        <f ca="1"/>
        <v>0.88689425584268067</v>
      </c>
      <c r="AH6602" s="2" t="str">
        <f ca="1"/>
        <v>Bad</v>
      </c>
    </row>
    <row r="6603" spans="2:34" x14ac:dyDescent="0.2">
      <c r="B6603" s="2">
        <f ca="1"/>
        <v>0.67826813090392157</v>
      </c>
      <c r="O6603" s="2">
        <f ca="1"/>
        <v>-5.5540345454447755E-2</v>
      </c>
      <c r="X6603" s="2">
        <f ca="1"/>
        <v>51.689879431808954</v>
      </c>
      <c r="AG6603" s="2">
        <f ca="1"/>
        <v>0.12258447347746215</v>
      </c>
      <c r="AH6603" s="2" t="str">
        <f ca="1"/>
        <v>OK</v>
      </c>
    </row>
    <row r="6604" spans="2:34" x14ac:dyDescent="0.2">
      <c r="B6604" s="2">
        <f ca="1"/>
        <v>0.25932639612872355</v>
      </c>
      <c r="O6604" s="2">
        <f ca="1"/>
        <v>0.92875977657655384</v>
      </c>
      <c r="X6604" s="2">
        <f ca="1"/>
        <v>43.824459281746385</v>
      </c>
      <c r="AG6604" s="2">
        <f ca="1"/>
        <v>0.78255372509000143</v>
      </c>
      <c r="AH6604" s="2" t="str">
        <f ca="1"/>
        <v>Bad</v>
      </c>
    </row>
    <row r="6605" spans="2:34" x14ac:dyDescent="0.2">
      <c r="B6605" s="2">
        <f ca="1"/>
        <v>0.58980877290144185</v>
      </c>
      <c r="O6605" s="2">
        <f ca="1"/>
        <v>-2.0381956140189024</v>
      </c>
      <c r="X6605" s="2">
        <f ca="1"/>
        <v>44.777465464716826</v>
      </c>
      <c r="AG6605" s="2">
        <f ca="1"/>
        <v>0.76261133881508014</v>
      </c>
      <c r="AH6605" s="2" t="str">
        <f ca="1"/>
        <v>Bad</v>
      </c>
    </row>
    <row r="6606" spans="2:34" x14ac:dyDescent="0.2">
      <c r="B6606" s="2">
        <f ca="1"/>
        <v>0.73212668785073354</v>
      </c>
      <c r="O6606" s="2">
        <f ca="1"/>
        <v>0.98711570138006854</v>
      </c>
      <c r="X6606" s="2">
        <f ca="1"/>
        <v>30.010295216112407</v>
      </c>
      <c r="AG6606" s="2">
        <f ca="1"/>
        <v>0.70899854685582442</v>
      </c>
      <c r="AH6606" s="2" t="str">
        <f ca="1"/>
        <v>Bad</v>
      </c>
    </row>
    <row r="6607" spans="2:34" x14ac:dyDescent="0.2">
      <c r="B6607" s="2">
        <f ca="1"/>
        <v>0.79296380555949852</v>
      </c>
      <c r="O6607" s="2">
        <f ca="1"/>
        <v>0.73797683938982417</v>
      </c>
      <c r="X6607" s="2">
        <f ca="1"/>
        <v>78.898441170291363</v>
      </c>
      <c r="AG6607" s="2">
        <f ca="1"/>
        <v>0.63980077073563679</v>
      </c>
      <c r="AH6607" s="2" t="str">
        <f ca="1"/>
        <v>Bad</v>
      </c>
    </row>
    <row r="6608" spans="2:34" x14ac:dyDescent="0.2">
      <c r="B6608" s="2">
        <f ca="1"/>
        <v>0.61457620302776772</v>
      </c>
      <c r="O6608" s="2">
        <f ca="1"/>
        <v>0.65237317797081307</v>
      </c>
      <c r="X6608" s="2">
        <f ca="1"/>
        <v>25.966194232995043</v>
      </c>
      <c r="AG6608" s="2">
        <f ca="1"/>
        <v>0.29593117225257681</v>
      </c>
      <c r="AH6608" s="2" t="str">
        <f ca="1"/>
        <v>OK</v>
      </c>
    </row>
    <row r="6609" spans="2:34" x14ac:dyDescent="0.2">
      <c r="B6609" s="2">
        <f ca="1"/>
        <v>0.75446892947813238</v>
      </c>
      <c r="O6609" s="2">
        <f ca="1"/>
        <v>-1.2616983256454013</v>
      </c>
      <c r="X6609" s="2">
        <f ca="1"/>
        <v>40.553803308436763</v>
      </c>
      <c r="AG6609" s="2">
        <f ca="1"/>
        <v>0.20671616274607962</v>
      </c>
      <c r="AH6609" s="2" t="str">
        <f ca="1"/>
        <v>OK</v>
      </c>
    </row>
    <row r="6610" spans="2:34" x14ac:dyDescent="0.2">
      <c r="B6610" s="2">
        <f ca="1"/>
        <v>0.63617812687620301</v>
      </c>
      <c r="O6610" s="2">
        <f ca="1"/>
        <v>0.22001008730706403</v>
      </c>
      <c r="X6610" s="2">
        <f ca="1"/>
        <v>58.31877344954043</v>
      </c>
      <c r="AG6610" s="2">
        <f ca="1"/>
        <v>0.218403407772362</v>
      </c>
      <c r="AH6610" s="2" t="str">
        <f ca="1"/>
        <v>OK</v>
      </c>
    </row>
    <row r="6611" spans="2:34" x14ac:dyDescent="0.2">
      <c r="B6611" s="2">
        <f ca="1"/>
        <v>0.61070483290263988</v>
      </c>
      <c r="O6611" s="2">
        <f ca="1"/>
        <v>1.0839631546070247</v>
      </c>
      <c r="X6611" s="2">
        <f ca="1"/>
        <v>69.41326948214946</v>
      </c>
      <c r="AG6611" s="2">
        <f ca="1"/>
        <v>0.90258356913141902</v>
      </c>
      <c r="AH6611" s="2" t="str">
        <f ca="1"/>
        <v>Bad</v>
      </c>
    </row>
    <row r="6612" spans="2:34" x14ac:dyDescent="0.2">
      <c r="B6612" s="2">
        <f ca="1"/>
        <v>0.48136020251231559</v>
      </c>
      <c r="O6612" s="2">
        <f ca="1"/>
        <v>0.49155599379171461</v>
      </c>
      <c r="X6612" s="2">
        <f ca="1"/>
        <v>70.310150862431797</v>
      </c>
      <c r="AG6612" s="2">
        <f ca="1"/>
        <v>3.3335299921660955E-2</v>
      </c>
      <c r="AH6612" s="2" t="str">
        <f ca="1"/>
        <v>Good</v>
      </c>
    </row>
    <row r="6613" spans="2:34" x14ac:dyDescent="0.2">
      <c r="B6613" s="2">
        <f ca="1"/>
        <v>0.68384005696543571</v>
      </c>
      <c r="O6613" s="2">
        <f ca="1"/>
        <v>0.75715552701645761</v>
      </c>
      <c r="X6613" s="2">
        <f ca="1"/>
        <v>60.226786969697521</v>
      </c>
      <c r="AG6613" s="2">
        <f ca="1"/>
        <v>0.67852554371121454</v>
      </c>
      <c r="AH6613" s="2" t="str">
        <f ca="1"/>
        <v>Bad</v>
      </c>
    </row>
    <row r="6614" spans="2:34" x14ac:dyDescent="0.2">
      <c r="B6614" s="2">
        <f ca="1"/>
        <v>0.33427872233052347</v>
      </c>
      <c r="O6614" s="2">
        <f ca="1"/>
        <v>-1.1426101848005488</v>
      </c>
      <c r="X6614" s="2">
        <f ca="1"/>
        <v>66.219147419900622</v>
      </c>
      <c r="AG6614" s="2">
        <f ca="1"/>
        <v>0.29820421722641632</v>
      </c>
      <c r="AH6614" s="2" t="str">
        <f ca="1"/>
        <v>OK</v>
      </c>
    </row>
    <row r="6615" spans="2:34" x14ac:dyDescent="0.2">
      <c r="B6615" s="2">
        <f ca="1"/>
        <v>0.4906121799715355</v>
      </c>
      <c r="O6615" s="2">
        <f ca="1"/>
        <v>0.18304231077123329</v>
      </c>
      <c r="X6615" s="2">
        <f ca="1"/>
        <v>75.289331043154306</v>
      </c>
      <c r="AG6615" s="2">
        <f ca="1"/>
        <v>0.28689274868303816</v>
      </c>
      <c r="AH6615" s="2" t="str">
        <f ca="1"/>
        <v>OK</v>
      </c>
    </row>
    <row r="6616" spans="2:34" x14ac:dyDescent="0.2">
      <c r="B6616" s="2">
        <f ca="1"/>
        <v>0.24196743737328252</v>
      </c>
      <c r="O6616" s="2">
        <f ca="1"/>
        <v>-0.90279769792189957</v>
      </c>
      <c r="X6616" s="2">
        <f ca="1"/>
        <v>26.60294539772736</v>
      </c>
      <c r="AG6616" s="2">
        <f ca="1"/>
        <v>0.55931739700516547</v>
      </c>
      <c r="AH6616" s="2" t="str">
        <f ca="1"/>
        <v>Bad</v>
      </c>
    </row>
    <row r="6617" spans="2:34" x14ac:dyDescent="0.2">
      <c r="B6617" s="2">
        <f ca="1"/>
        <v>0.61662219182524503</v>
      </c>
      <c r="O6617" s="2">
        <f ca="1"/>
        <v>4.917868189426431E-2</v>
      </c>
      <c r="X6617" s="2">
        <f ca="1"/>
        <v>40.630459876580275</v>
      </c>
      <c r="AG6617" s="2">
        <f ca="1"/>
        <v>0.87686636973412369</v>
      </c>
      <c r="AH6617" s="2" t="str">
        <f ca="1"/>
        <v>Bad</v>
      </c>
    </row>
    <row r="6618" spans="2:34" x14ac:dyDescent="0.2">
      <c r="B6618" s="2">
        <f ca="1"/>
        <v>0.17086909951890461</v>
      </c>
      <c r="O6618" s="2">
        <f ca="1"/>
        <v>6.4788346816306033E-2</v>
      </c>
      <c r="X6618" s="2">
        <f ca="1"/>
        <v>49.755054685529025</v>
      </c>
      <c r="AG6618" s="2">
        <f ca="1"/>
        <v>8.3746570884343008E-2</v>
      </c>
      <c r="AH6618" s="2" t="str">
        <f ca="1"/>
        <v>OK</v>
      </c>
    </row>
    <row r="6619" spans="2:34" x14ac:dyDescent="0.2">
      <c r="B6619" s="2">
        <f ca="1"/>
        <v>0.79523084408875588</v>
      </c>
      <c r="O6619" s="2">
        <f ca="1"/>
        <v>0.44887956544110991</v>
      </c>
      <c r="X6619" s="2">
        <f ca="1"/>
        <v>56.410142327131034</v>
      </c>
      <c r="AG6619" s="2">
        <f ca="1"/>
        <v>0.63431764820714065</v>
      </c>
      <c r="AH6619" s="2" t="str">
        <f ca="1"/>
        <v>Bad</v>
      </c>
    </row>
    <row r="6620" spans="2:34" x14ac:dyDescent="0.2">
      <c r="B6620" s="2">
        <f ca="1"/>
        <v>0.63791457334430235</v>
      </c>
      <c r="O6620" s="2">
        <f ca="1"/>
        <v>-1.9144254126479154</v>
      </c>
      <c r="X6620" s="2">
        <f ca="1"/>
        <v>51.363270861369593</v>
      </c>
      <c r="AG6620" s="2">
        <f ca="1"/>
        <v>0.82931616814826903</v>
      </c>
      <c r="AH6620" s="2" t="str">
        <f ca="1"/>
        <v>Bad</v>
      </c>
    </row>
    <row r="6621" spans="2:34" x14ac:dyDescent="0.2">
      <c r="B6621" s="2">
        <f ca="1"/>
        <v>0.30659150877513519</v>
      </c>
      <c r="O6621" s="2">
        <f ca="1"/>
        <v>0.19193161932149452</v>
      </c>
      <c r="X6621" s="2">
        <f ca="1"/>
        <v>25.985398061957639</v>
      </c>
      <c r="AG6621" s="2">
        <f ca="1"/>
        <v>0.88189451295396104</v>
      </c>
      <c r="AH6621" s="2" t="str">
        <f ca="1"/>
        <v>Bad</v>
      </c>
    </row>
    <row r="6622" spans="2:34" x14ac:dyDescent="0.2">
      <c r="B6622" s="2">
        <f ca="1"/>
        <v>0.8389093023545473</v>
      </c>
      <c r="O6622" s="2">
        <f ca="1"/>
        <v>0.2315570839429964</v>
      </c>
      <c r="X6622" s="2">
        <f ca="1"/>
        <v>38.599618437663111</v>
      </c>
      <c r="AG6622" s="2">
        <f ca="1"/>
        <v>0.31787854719642428</v>
      </c>
      <c r="AH6622" s="2" t="str">
        <f ca="1"/>
        <v>OK</v>
      </c>
    </row>
    <row r="6623" spans="2:34" x14ac:dyDescent="0.2">
      <c r="B6623" s="2">
        <f ca="1"/>
        <v>0.61531575827812257</v>
      </c>
      <c r="O6623" s="2">
        <f ca="1"/>
        <v>-0.92223924456314121</v>
      </c>
      <c r="X6623" s="2">
        <f ca="1"/>
        <v>43.158179239480994</v>
      </c>
      <c r="AG6623" s="2">
        <f ca="1"/>
        <v>0.65292703780869688</v>
      </c>
      <c r="AH6623" s="2" t="str">
        <f ca="1"/>
        <v>Bad</v>
      </c>
    </row>
    <row r="6624" spans="2:34" x14ac:dyDescent="0.2">
      <c r="B6624" s="2">
        <f ca="1"/>
        <v>0.97135126159960428</v>
      </c>
      <c r="O6624" s="2">
        <f ca="1"/>
        <v>-0.63972262400226998</v>
      </c>
      <c r="X6624" s="2">
        <f ca="1"/>
        <v>64.244766410501498</v>
      </c>
      <c r="AG6624" s="2">
        <f ca="1"/>
        <v>0.39556312036960617</v>
      </c>
      <c r="AH6624" s="2" t="str">
        <f ca="1"/>
        <v>OK</v>
      </c>
    </row>
    <row r="6625" spans="2:34" x14ac:dyDescent="0.2">
      <c r="B6625" s="2">
        <f ca="1"/>
        <v>0.59492817413105814</v>
      </c>
      <c r="O6625" s="2">
        <f ca="1"/>
        <v>-1.6536509190778224</v>
      </c>
      <c r="X6625" s="2">
        <f ca="1"/>
        <v>69.537272813927103</v>
      </c>
      <c r="AG6625" s="2">
        <f ca="1"/>
        <v>0.39340802599650204</v>
      </c>
      <c r="AH6625" s="2" t="str">
        <f ca="1"/>
        <v>OK</v>
      </c>
    </row>
    <row r="6626" spans="2:34" x14ac:dyDescent="0.2">
      <c r="B6626" s="2">
        <f ca="1"/>
        <v>0.8697421287618643</v>
      </c>
      <c r="O6626" s="2">
        <f ca="1"/>
        <v>-0.13462173827207605</v>
      </c>
      <c r="X6626" s="2">
        <f ca="1"/>
        <v>101.23927586225577</v>
      </c>
      <c r="AG6626" s="2">
        <f ca="1"/>
        <v>0.74788842564423308</v>
      </c>
      <c r="AH6626" s="2" t="str">
        <f ca="1"/>
        <v>Bad</v>
      </c>
    </row>
    <row r="6627" spans="2:34" x14ac:dyDescent="0.2">
      <c r="B6627" s="2">
        <f ca="1"/>
        <v>0.14520664528427707</v>
      </c>
      <c r="O6627" s="2">
        <f ca="1"/>
        <v>-1.7193273354677892</v>
      </c>
      <c r="X6627" s="2">
        <f ca="1"/>
        <v>33.826105821586722</v>
      </c>
      <c r="AG6627" s="2">
        <f ca="1"/>
        <v>0.20597539804405463</v>
      </c>
      <c r="AH6627" s="2" t="str">
        <f ca="1"/>
        <v>OK</v>
      </c>
    </row>
    <row r="6628" spans="2:34" x14ac:dyDescent="0.2">
      <c r="B6628" s="2">
        <f ca="1"/>
        <v>0.52087950666303406</v>
      </c>
      <c r="O6628" s="2">
        <f ca="1"/>
        <v>-1.0109444817457158</v>
      </c>
      <c r="X6628" s="2">
        <f ca="1"/>
        <v>65.397843042409789</v>
      </c>
      <c r="AG6628" s="2">
        <f ca="1"/>
        <v>0.97786145093438659</v>
      </c>
      <c r="AH6628" s="2" t="str">
        <f ca="1"/>
        <v>Bad</v>
      </c>
    </row>
    <row r="6629" spans="2:34" x14ac:dyDescent="0.2">
      <c r="B6629" s="2">
        <f ca="1"/>
        <v>0.38233589494598985</v>
      </c>
      <c r="O6629" s="2">
        <f ca="1"/>
        <v>0.49753626888493485</v>
      </c>
      <c r="X6629" s="2">
        <f ca="1"/>
        <v>63.012556984265274</v>
      </c>
      <c r="AG6629" s="2">
        <f ca="1"/>
        <v>0.8715459935658616</v>
      </c>
      <c r="AH6629" s="2" t="str">
        <f ca="1"/>
        <v>Bad</v>
      </c>
    </row>
    <row r="6630" spans="2:34" x14ac:dyDescent="0.2">
      <c r="B6630" s="2">
        <f ca="1"/>
        <v>1.0141355284492004E-2</v>
      </c>
      <c r="O6630" s="2">
        <f ca="1"/>
        <v>9.9575061860982916E-2</v>
      </c>
      <c r="X6630" s="2">
        <f ca="1"/>
        <v>43.218785859145513</v>
      </c>
      <c r="AG6630" s="2">
        <f ca="1"/>
        <v>0.40685993053344771</v>
      </c>
      <c r="AH6630" s="2" t="str">
        <f ca="1"/>
        <v>Bad</v>
      </c>
    </row>
    <row r="6631" spans="2:34" x14ac:dyDescent="0.2">
      <c r="B6631" s="2">
        <f ca="1"/>
        <v>0.25727259299352201</v>
      </c>
      <c r="O6631" s="2">
        <f ca="1"/>
        <v>0.4298521815502569</v>
      </c>
      <c r="X6631" s="2">
        <f ca="1"/>
        <v>42.38274174977343</v>
      </c>
      <c r="AG6631" s="2">
        <f ca="1"/>
        <v>0.32678203177732912</v>
      </c>
      <c r="AH6631" s="2" t="str">
        <f ca="1"/>
        <v>OK</v>
      </c>
    </row>
    <row r="6632" spans="2:34" x14ac:dyDescent="0.2">
      <c r="B6632" s="2">
        <f ca="1"/>
        <v>5.5415740201722574E-2</v>
      </c>
      <c r="O6632" s="2">
        <f ca="1"/>
        <v>1.1033824312696734</v>
      </c>
      <c r="X6632" s="2">
        <f ca="1"/>
        <v>46.890965641472633</v>
      </c>
      <c r="AG6632" s="2">
        <f ca="1"/>
        <v>0.94703868044332817</v>
      </c>
      <c r="AH6632" s="2" t="str">
        <f ca="1"/>
        <v>Bad</v>
      </c>
    </row>
    <row r="6633" spans="2:34" x14ac:dyDescent="0.2">
      <c r="B6633" s="2">
        <f ca="1"/>
        <v>0.17342994904846543</v>
      </c>
      <c r="O6633" s="2">
        <f ca="1"/>
        <v>-0.10900962321383878</v>
      </c>
      <c r="X6633" s="2">
        <f ca="1"/>
        <v>47.740517157957918</v>
      </c>
      <c r="AG6633" s="2">
        <f ca="1"/>
        <v>0.32038569480442813</v>
      </c>
      <c r="AH6633" s="2" t="str">
        <f ca="1"/>
        <v>OK</v>
      </c>
    </row>
    <row r="6634" spans="2:34" x14ac:dyDescent="0.2">
      <c r="B6634" s="2">
        <f ca="1"/>
        <v>0.29411908054425706</v>
      </c>
      <c r="O6634" s="2">
        <f ca="1"/>
        <v>-1.3888457256967277</v>
      </c>
      <c r="X6634" s="2">
        <f ca="1"/>
        <v>44.523615536463517</v>
      </c>
      <c r="AG6634" s="2">
        <f ca="1"/>
        <v>0.55788202081156602</v>
      </c>
      <c r="AH6634" s="2" t="str">
        <f ca="1"/>
        <v>Bad</v>
      </c>
    </row>
    <row r="6635" spans="2:34" x14ac:dyDescent="0.2">
      <c r="B6635" s="2">
        <f ca="1"/>
        <v>0.84108081810804003</v>
      </c>
      <c r="O6635" s="2">
        <f ca="1"/>
        <v>-0.33619848526348944</v>
      </c>
      <c r="X6635" s="2">
        <f ca="1"/>
        <v>64.070619390122118</v>
      </c>
      <c r="AG6635" s="2">
        <f ca="1"/>
        <v>0.94517374483304573</v>
      </c>
      <c r="AH6635" s="2" t="str">
        <f ca="1"/>
        <v>Bad</v>
      </c>
    </row>
    <row r="6636" spans="2:34" x14ac:dyDescent="0.2">
      <c r="B6636" s="2">
        <f ca="1"/>
        <v>0.59713283098486514</v>
      </c>
      <c r="O6636" s="2">
        <f ca="1"/>
        <v>-0.43807713547177063</v>
      </c>
      <c r="X6636" s="2">
        <f ca="1"/>
        <v>42.521965567589277</v>
      </c>
      <c r="AG6636" s="2">
        <f ca="1"/>
        <v>8.7775616564462755E-3</v>
      </c>
      <c r="AH6636" s="2" t="str">
        <f ca="1"/>
        <v>Good</v>
      </c>
    </row>
    <row r="6637" spans="2:34" x14ac:dyDescent="0.2">
      <c r="B6637" s="2">
        <f ca="1"/>
        <v>0.18769907342835568</v>
      </c>
      <c r="O6637" s="2">
        <f ca="1"/>
        <v>-9.2409855166030397E-2</v>
      </c>
      <c r="X6637" s="2">
        <f ca="1"/>
        <v>74.292502784124125</v>
      </c>
      <c r="AG6637" s="2">
        <f ca="1"/>
        <v>0.98374522469214898</v>
      </c>
      <c r="AH6637" s="2" t="str">
        <f ca="1"/>
        <v>Bad</v>
      </c>
    </row>
    <row r="6638" spans="2:34" x14ac:dyDescent="0.2">
      <c r="B6638" s="2">
        <f ca="1"/>
        <v>0.99954830653995108</v>
      </c>
      <c r="O6638" s="2">
        <f ca="1"/>
        <v>-1.4615013944289177</v>
      </c>
      <c r="X6638" s="2">
        <f ca="1"/>
        <v>48.976355061993466</v>
      </c>
      <c r="AG6638" s="2">
        <f ca="1"/>
        <v>0.8457749679612403</v>
      </c>
      <c r="AH6638" s="2" t="str">
        <f ca="1"/>
        <v>Bad</v>
      </c>
    </row>
    <row r="6639" spans="2:34" x14ac:dyDescent="0.2">
      <c r="B6639" s="2">
        <f ca="1"/>
        <v>0.5810144087543716</v>
      </c>
      <c r="O6639" s="2">
        <f ca="1"/>
        <v>-0.52371345577144757</v>
      </c>
      <c r="X6639" s="2">
        <f ca="1"/>
        <v>50.561830932951011</v>
      </c>
      <c r="AG6639" s="2">
        <f ca="1"/>
        <v>0.30516402973775469</v>
      </c>
      <c r="AH6639" s="2" t="str">
        <f ca="1"/>
        <v>OK</v>
      </c>
    </row>
    <row r="6640" spans="2:34" x14ac:dyDescent="0.2">
      <c r="B6640" s="2">
        <f ca="1"/>
        <v>0.98635003579597047</v>
      </c>
      <c r="O6640" s="2">
        <f ca="1"/>
        <v>-0.43618160294131419</v>
      </c>
      <c r="X6640" s="2">
        <f ca="1"/>
        <v>52.666310547488813</v>
      </c>
      <c r="AG6640" s="2">
        <f ca="1"/>
        <v>0.38476474894356483</v>
      </c>
      <c r="AH6640" s="2" t="str">
        <f ca="1"/>
        <v>OK</v>
      </c>
    </row>
    <row r="6641" spans="2:34" x14ac:dyDescent="0.2">
      <c r="B6641" s="2">
        <f ca="1"/>
        <v>6.6328206461938821E-2</v>
      </c>
      <c r="O6641" s="2">
        <f ca="1"/>
        <v>-0.44405846374251284</v>
      </c>
      <c r="X6641" s="2">
        <f ca="1"/>
        <v>24.7953534289271</v>
      </c>
      <c r="AG6641" s="2">
        <f ca="1"/>
        <v>0.36683129926453173</v>
      </c>
      <c r="AH6641" s="2" t="str">
        <f ca="1"/>
        <v>OK</v>
      </c>
    </row>
    <row r="6642" spans="2:34" x14ac:dyDescent="0.2">
      <c r="B6642" s="2">
        <f ca="1"/>
        <v>0.88851675751167103</v>
      </c>
      <c r="O6642" s="2">
        <f ca="1"/>
        <v>-0.11239647778184668</v>
      </c>
      <c r="X6642" s="2">
        <f ca="1"/>
        <v>40.418443760831543</v>
      </c>
      <c r="AG6642" s="2">
        <f ca="1"/>
        <v>0.83845111186041077</v>
      </c>
      <c r="AH6642" s="2" t="str">
        <f ca="1"/>
        <v>Bad</v>
      </c>
    </row>
    <row r="6643" spans="2:34" x14ac:dyDescent="0.2">
      <c r="B6643" s="2">
        <f ca="1"/>
        <v>0.19071372057541192</v>
      </c>
      <c r="O6643" s="2">
        <f ca="1"/>
        <v>-0.531905866748701</v>
      </c>
      <c r="X6643" s="2">
        <f ca="1"/>
        <v>43.80852859270184</v>
      </c>
      <c r="AG6643" s="2">
        <f ca="1"/>
        <v>0.22564657268817201</v>
      </c>
      <c r="AH6643" s="2" t="str">
        <f ca="1"/>
        <v>OK</v>
      </c>
    </row>
    <row r="6644" spans="2:34" x14ac:dyDescent="0.2">
      <c r="B6644" s="2">
        <f ca="1"/>
        <v>0.21812223238548745</v>
      </c>
      <c r="O6644" s="2">
        <f ca="1"/>
        <v>0.18629899723691729</v>
      </c>
      <c r="X6644" s="2">
        <f ca="1"/>
        <v>38.575802725444333</v>
      </c>
      <c r="AG6644" s="2">
        <f ca="1"/>
        <v>0.45571008093751852</v>
      </c>
      <c r="AH6644" s="2" t="str">
        <f ca="1"/>
        <v>Bad</v>
      </c>
    </row>
    <row r="6645" spans="2:34" x14ac:dyDescent="0.2">
      <c r="B6645" s="2">
        <f ca="1"/>
        <v>0.96400681159870261</v>
      </c>
      <c r="O6645" s="2">
        <f ca="1"/>
        <v>-1.7080733051767947</v>
      </c>
      <c r="X6645" s="2">
        <f ca="1"/>
        <v>50.724519134853459</v>
      </c>
      <c r="AG6645" s="2">
        <f ca="1"/>
        <v>0.83862721532483819</v>
      </c>
      <c r="AH6645" s="2" t="str">
        <f ca="1"/>
        <v>Bad</v>
      </c>
    </row>
    <row r="6646" spans="2:34" x14ac:dyDescent="0.2">
      <c r="B6646" s="2">
        <f ca="1"/>
        <v>0.33143838054272745</v>
      </c>
      <c r="O6646" s="2">
        <f ca="1"/>
        <v>1.8690601288134909</v>
      </c>
      <c r="X6646" s="2">
        <f ca="1"/>
        <v>42.239685755067377</v>
      </c>
      <c r="AG6646" s="2">
        <f ca="1"/>
        <v>0.47660315410279952</v>
      </c>
      <c r="AH6646" s="2" t="str">
        <f ca="1"/>
        <v>Bad</v>
      </c>
    </row>
    <row r="6647" spans="2:34" x14ac:dyDescent="0.2">
      <c r="B6647" s="2">
        <f ca="1"/>
        <v>0.64816506768769733</v>
      </c>
      <c r="O6647" s="2">
        <f ca="1"/>
        <v>-2.4369867820966373</v>
      </c>
      <c r="X6647" s="2">
        <f ca="1"/>
        <v>44.809330741037527</v>
      </c>
      <c r="AG6647" s="2">
        <f ca="1"/>
        <v>0.7662525143292771</v>
      </c>
      <c r="AH6647" s="2" t="str">
        <f ca="1"/>
        <v>Bad</v>
      </c>
    </row>
    <row r="6648" spans="2:34" x14ac:dyDescent="0.2">
      <c r="B6648" s="2">
        <f ca="1"/>
        <v>0.28106903012861228</v>
      </c>
      <c r="O6648" s="2">
        <f ca="1"/>
        <v>0.17506444192189285</v>
      </c>
      <c r="X6648" s="2">
        <f ca="1"/>
        <v>30.492651229453731</v>
      </c>
      <c r="AG6648" s="2">
        <f ca="1"/>
        <v>0.30444220067015881</v>
      </c>
      <c r="AH6648" s="2" t="str">
        <f ca="1"/>
        <v>OK</v>
      </c>
    </row>
    <row r="6649" spans="2:34" x14ac:dyDescent="0.2">
      <c r="B6649" s="2">
        <f ca="1"/>
        <v>0.38935144276971578</v>
      </c>
      <c r="O6649" s="2">
        <f ca="1"/>
        <v>1.3609281849714534</v>
      </c>
      <c r="X6649" s="2">
        <f ca="1"/>
        <v>40.656786747717774</v>
      </c>
      <c r="AG6649" s="2">
        <f ca="1"/>
        <v>0.37856980442192345</v>
      </c>
      <c r="AH6649" s="2" t="str">
        <f ca="1"/>
        <v>OK</v>
      </c>
    </row>
    <row r="6650" spans="2:34" x14ac:dyDescent="0.2">
      <c r="B6650" s="2">
        <f ca="1"/>
        <v>0.25479765224052864</v>
      </c>
      <c r="O6650" s="2">
        <f ca="1"/>
        <v>-0.34911291218770579</v>
      </c>
      <c r="X6650" s="2">
        <f ca="1"/>
        <v>69.349129328126764</v>
      </c>
      <c r="AG6650" s="2">
        <f ca="1"/>
        <v>6.3125855872496972E-2</v>
      </c>
      <c r="AH6650" s="2" t="str">
        <f ca="1"/>
        <v>OK</v>
      </c>
    </row>
    <row r="6651" spans="2:34" x14ac:dyDescent="0.2">
      <c r="B6651" s="2">
        <f ca="1"/>
        <v>0.1833827392123879</v>
      </c>
      <c r="O6651" s="2">
        <f ca="1"/>
        <v>-0.46549152847343811</v>
      </c>
      <c r="X6651" s="2">
        <f ca="1"/>
        <v>56.742950067034585</v>
      </c>
      <c r="AG6651" s="2">
        <f ca="1"/>
        <v>0.17081505523471585</v>
      </c>
      <c r="AH6651" s="2" t="str">
        <f ca="1"/>
        <v>OK</v>
      </c>
    </row>
    <row r="6652" spans="2:34" x14ac:dyDescent="0.2">
      <c r="B6652" s="2">
        <f ca="1"/>
        <v>0.43223785316873431</v>
      </c>
      <c r="O6652" s="2">
        <f ca="1"/>
        <v>-0.16924033387233678</v>
      </c>
      <c r="X6652" s="2">
        <f ca="1"/>
        <v>35.991934080574197</v>
      </c>
      <c r="AG6652" s="2">
        <f ca="1"/>
        <v>4.9282305390259573E-2</v>
      </c>
      <c r="AH6652" s="2" t="str">
        <f ca="1"/>
        <v>Good</v>
      </c>
    </row>
    <row r="6653" spans="2:34" x14ac:dyDescent="0.2">
      <c r="B6653" s="2">
        <f ca="1"/>
        <v>0.62153811449423269</v>
      </c>
      <c r="O6653" s="2">
        <f ca="1"/>
        <v>0.74963841932281972</v>
      </c>
      <c r="X6653" s="2">
        <f ca="1"/>
        <v>57.954172587120439</v>
      </c>
      <c r="AG6653" s="2">
        <f ca="1"/>
        <v>0.94727888118240222</v>
      </c>
      <c r="AH6653" s="2" t="str">
        <f ca="1"/>
        <v>Bad</v>
      </c>
    </row>
    <row r="6654" spans="2:34" x14ac:dyDescent="0.2">
      <c r="B6654" s="2">
        <f ca="1"/>
        <v>0.60557270247092365</v>
      </c>
      <c r="O6654" s="2">
        <f ca="1"/>
        <v>-0.82770721448043005</v>
      </c>
      <c r="X6654" s="2">
        <f ca="1"/>
        <v>72.993738832936415</v>
      </c>
      <c r="AG6654" s="2">
        <f ca="1"/>
        <v>0.54615731699307646</v>
      </c>
      <c r="AH6654" s="2" t="str">
        <f ca="1"/>
        <v>Bad</v>
      </c>
    </row>
    <row r="6655" spans="2:34" x14ac:dyDescent="0.2">
      <c r="B6655" s="2">
        <f ca="1"/>
        <v>0.54212425094066741</v>
      </c>
      <c r="O6655" s="2">
        <f ca="1"/>
        <v>-0.9029948326393995</v>
      </c>
      <c r="X6655" s="2">
        <f ca="1"/>
        <v>51.352626162068759</v>
      </c>
      <c r="AG6655" s="2">
        <f ca="1"/>
        <v>0.95668915605483873</v>
      </c>
      <c r="AH6655" s="2" t="str">
        <f ca="1"/>
        <v>Bad</v>
      </c>
    </row>
    <row r="6656" spans="2:34" x14ac:dyDescent="0.2">
      <c r="B6656" s="2">
        <f ca="1"/>
        <v>0.31275664077491094</v>
      </c>
      <c r="O6656" s="2">
        <f ca="1"/>
        <v>-0.88774137393865649</v>
      </c>
      <c r="X6656" s="2">
        <f ca="1"/>
        <v>88.068060419930575</v>
      </c>
      <c r="AG6656" s="2">
        <f ca="1"/>
        <v>0.76392574016764825</v>
      </c>
      <c r="AH6656" s="2" t="str">
        <f ca="1"/>
        <v>Bad</v>
      </c>
    </row>
    <row r="6657" spans="2:34" x14ac:dyDescent="0.2">
      <c r="B6657" s="2">
        <f ca="1"/>
        <v>0.11776071963334322</v>
      </c>
      <c r="O6657" s="2">
        <f ca="1"/>
        <v>-0.18941523816496303</v>
      </c>
      <c r="X6657" s="2">
        <f ca="1"/>
        <v>31.255268738967459</v>
      </c>
      <c r="AG6657" s="2">
        <f ca="1"/>
        <v>0.60025228340040626</v>
      </c>
      <c r="AH6657" s="2" t="str">
        <f ca="1"/>
        <v>Bad</v>
      </c>
    </row>
    <row r="6658" spans="2:34" x14ac:dyDescent="0.2">
      <c r="B6658" s="2">
        <f ca="1"/>
        <v>0.78017691186864635</v>
      </c>
      <c r="O6658" s="2">
        <f ca="1"/>
        <v>1.7135309059945987</v>
      </c>
      <c r="X6658" s="2">
        <f ca="1"/>
        <v>87.458225167576103</v>
      </c>
      <c r="AG6658" s="2">
        <f ca="1"/>
        <v>0.28169652815025459</v>
      </c>
      <c r="AH6658" s="2" t="str">
        <f ca="1"/>
        <v>OK</v>
      </c>
    </row>
    <row r="6659" spans="2:34" x14ac:dyDescent="0.2">
      <c r="B6659" s="2">
        <f ca="1"/>
        <v>0.76204802887867173</v>
      </c>
      <c r="O6659" s="2">
        <f ca="1"/>
        <v>-0.7229276860754853</v>
      </c>
      <c r="X6659" s="2">
        <f ca="1"/>
        <v>51.273190774029885</v>
      </c>
      <c r="AG6659" s="2">
        <f ca="1"/>
        <v>0.35327598720751952</v>
      </c>
      <c r="AH6659" s="2" t="str">
        <f ca="1"/>
        <v>OK</v>
      </c>
    </row>
    <row r="6660" spans="2:34" x14ac:dyDescent="0.2">
      <c r="B6660" s="2">
        <f ca="1"/>
        <v>0.41453526377669236</v>
      </c>
      <c r="O6660" s="2">
        <f ca="1"/>
        <v>0.86712696214415952</v>
      </c>
      <c r="X6660" s="2">
        <f ca="1"/>
        <v>55.445664908165064</v>
      </c>
      <c r="AG6660" s="2">
        <f ca="1"/>
        <v>8.9648807999287428E-3</v>
      </c>
      <c r="AH6660" s="2" t="str">
        <f ca="1"/>
        <v>Good</v>
      </c>
    </row>
    <row r="6661" spans="2:34" x14ac:dyDescent="0.2">
      <c r="B6661" s="2">
        <f ca="1"/>
        <v>2.9844824301371586E-2</v>
      </c>
      <c r="O6661" s="2">
        <f ca="1"/>
        <v>-1.6708043911962323</v>
      </c>
      <c r="X6661" s="2">
        <f ca="1"/>
        <v>53.440091974863797</v>
      </c>
      <c r="AG6661" s="2">
        <f ca="1"/>
        <v>8.3940851390724935E-2</v>
      </c>
      <c r="AH6661" s="2" t="str">
        <f ca="1"/>
        <v>OK</v>
      </c>
    </row>
    <row r="6662" spans="2:34" x14ac:dyDescent="0.2">
      <c r="B6662" s="2">
        <f ca="1"/>
        <v>0.26250174342000432</v>
      </c>
      <c r="O6662" s="2">
        <f ca="1"/>
        <v>0.33541935781387028</v>
      </c>
      <c r="X6662" s="2">
        <f ca="1"/>
        <v>32.420525391498273</v>
      </c>
      <c r="AG6662" s="2">
        <f ca="1"/>
        <v>0.28981838357415834</v>
      </c>
      <c r="AH6662" s="2" t="str">
        <f ca="1"/>
        <v>OK</v>
      </c>
    </row>
    <row r="6663" spans="2:34" x14ac:dyDescent="0.2">
      <c r="B6663" s="2">
        <f ca="1"/>
        <v>0.98585250756535192</v>
      </c>
      <c r="O6663" s="2">
        <f ca="1"/>
        <v>-1.0265617034723651</v>
      </c>
      <c r="X6663" s="2">
        <f ca="1"/>
        <v>50.339203088377865</v>
      </c>
      <c r="AG6663" s="2">
        <f ca="1"/>
        <v>0.20013814892106985</v>
      </c>
      <c r="AH6663" s="2" t="str">
        <f ca="1"/>
        <v>OK</v>
      </c>
    </row>
    <row r="6664" spans="2:34" x14ac:dyDescent="0.2">
      <c r="B6664" s="2">
        <f ca="1"/>
        <v>0.68423252147261837</v>
      </c>
      <c r="O6664" s="2">
        <f ca="1"/>
        <v>0.61448578555368583</v>
      </c>
      <c r="X6664" s="2">
        <f ca="1"/>
        <v>69.411071528978994</v>
      </c>
      <c r="AG6664" s="2">
        <f ca="1"/>
        <v>0.13540988888974126</v>
      </c>
      <c r="AH6664" s="2" t="str">
        <f ca="1"/>
        <v>OK</v>
      </c>
    </row>
    <row r="6665" spans="2:34" x14ac:dyDescent="0.2">
      <c r="B6665" s="2">
        <f ca="1"/>
        <v>0.26698354086727782</v>
      </c>
      <c r="O6665" s="2">
        <f ca="1"/>
        <v>-0.47146393504839168</v>
      </c>
      <c r="X6665" s="2">
        <f ca="1"/>
        <v>74.834881040560177</v>
      </c>
      <c r="AG6665" s="2">
        <f ca="1"/>
        <v>0.50237993760277533</v>
      </c>
      <c r="AH6665" s="2" t="str">
        <f ca="1"/>
        <v>Bad</v>
      </c>
    </row>
    <row r="6666" spans="2:34" x14ac:dyDescent="0.2">
      <c r="B6666" s="2">
        <f ca="1"/>
        <v>0.49021799216428552</v>
      </c>
      <c r="O6666" s="2">
        <f ca="1"/>
        <v>0.20181880217392564</v>
      </c>
      <c r="X6666" s="2">
        <f ca="1"/>
        <v>55.937094561292433</v>
      </c>
      <c r="AG6666" s="2">
        <f ca="1"/>
        <v>3.5780938749151669E-2</v>
      </c>
      <c r="AH6666" s="2" t="str">
        <f ca="1"/>
        <v>Good</v>
      </c>
    </row>
    <row r="6667" spans="2:34" x14ac:dyDescent="0.2">
      <c r="B6667" s="2">
        <f ca="1"/>
        <v>0.73129822872637273</v>
      </c>
      <c r="O6667" s="2">
        <f ca="1"/>
        <v>1.8494135760318853</v>
      </c>
      <c r="X6667" s="2">
        <f ca="1"/>
        <v>39.830329874940439</v>
      </c>
      <c r="AG6667" s="2">
        <f ca="1"/>
        <v>0.99564300473496292</v>
      </c>
      <c r="AH6667" s="2" t="str">
        <f ca="1"/>
        <v>Bad</v>
      </c>
    </row>
    <row r="6668" spans="2:34" x14ac:dyDescent="0.2">
      <c r="B6668" s="2">
        <f ca="1"/>
        <v>0.38306474698404669</v>
      </c>
      <c r="O6668" s="2">
        <f ca="1"/>
        <v>-0.37811439761070553</v>
      </c>
      <c r="X6668" s="2">
        <f ca="1"/>
        <v>51.730625648388241</v>
      </c>
      <c r="AG6668" s="2">
        <f ca="1"/>
        <v>0.38855518855088622</v>
      </c>
      <c r="AH6668" s="2" t="str">
        <f ca="1"/>
        <v>OK</v>
      </c>
    </row>
    <row r="6669" spans="2:34" x14ac:dyDescent="0.2">
      <c r="B6669" s="2">
        <f ca="1"/>
        <v>4.9800092248876826E-2</v>
      </c>
      <c r="O6669" s="2">
        <f ca="1"/>
        <v>1.9698042992168139</v>
      </c>
      <c r="X6669" s="2">
        <f ca="1"/>
        <v>41.25946919366784</v>
      </c>
      <c r="AG6669" s="2">
        <f ca="1"/>
        <v>0.93526273072371957</v>
      </c>
      <c r="AH6669" s="2" t="str">
        <f ca="1"/>
        <v>Bad</v>
      </c>
    </row>
    <row r="6670" spans="2:34" x14ac:dyDescent="0.2">
      <c r="B6670" s="2">
        <f ca="1"/>
        <v>3.6765563036632809E-2</v>
      </c>
      <c r="O6670" s="2">
        <f ca="1"/>
        <v>-1.2074538879637708</v>
      </c>
      <c r="X6670" s="2">
        <f ca="1"/>
        <v>31.839007241827076</v>
      </c>
      <c r="AG6670" s="2">
        <f ca="1"/>
        <v>0.74033032219640438</v>
      </c>
      <c r="AH6670" s="2" t="str">
        <f ca="1"/>
        <v>Bad</v>
      </c>
    </row>
    <row r="6671" spans="2:34" x14ac:dyDescent="0.2">
      <c r="B6671" s="2">
        <f ca="1"/>
        <v>0.77112129412150532</v>
      </c>
      <c r="O6671" s="2">
        <f ca="1"/>
        <v>0.35738023318823836</v>
      </c>
      <c r="X6671" s="2">
        <f ca="1"/>
        <v>60.926533065933128</v>
      </c>
      <c r="AG6671" s="2">
        <f ca="1"/>
        <v>0.54264072426842591</v>
      </c>
      <c r="AH6671" s="2" t="str">
        <f ca="1"/>
        <v>Bad</v>
      </c>
    </row>
    <row r="6672" spans="2:34" x14ac:dyDescent="0.2">
      <c r="B6672" s="2">
        <f ca="1"/>
        <v>0.67888239901645298</v>
      </c>
      <c r="O6672" s="2">
        <f ca="1"/>
        <v>-0.17034308652636795</v>
      </c>
      <c r="X6672" s="2">
        <f ca="1"/>
        <v>31.478023477486069</v>
      </c>
      <c r="AG6672" s="2">
        <f ca="1"/>
        <v>0.43720020731291931</v>
      </c>
      <c r="AH6672" s="2" t="str">
        <f ca="1"/>
        <v>Bad</v>
      </c>
    </row>
    <row r="6673" spans="2:34" x14ac:dyDescent="0.2">
      <c r="B6673" s="2">
        <f ca="1"/>
        <v>0.66828303454155424</v>
      </c>
      <c r="O6673" s="2">
        <f ca="1"/>
        <v>-7.5853156872849742E-2</v>
      </c>
      <c r="X6673" s="2">
        <f ca="1"/>
        <v>33.718854551018453</v>
      </c>
      <c r="AG6673" s="2">
        <f ca="1"/>
        <v>0.86529566536075486</v>
      </c>
      <c r="AH6673" s="2" t="str">
        <f ca="1"/>
        <v>Bad</v>
      </c>
    </row>
    <row r="6674" spans="2:34" x14ac:dyDescent="0.2">
      <c r="B6674" s="2">
        <f ca="1"/>
        <v>0.34209170604165196</v>
      </c>
      <c r="O6674" s="2">
        <f ca="1"/>
        <v>0.95591651514263198</v>
      </c>
      <c r="X6674" s="2">
        <f ca="1"/>
        <v>40.7665817070245</v>
      </c>
      <c r="AG6674" s="2">
        <f ca="1"/>
        <v>9.1482144837660151E-2</v>
      </c>
      <c r="AH6674" s="2" t="str">
        <f ca="1"/>
        <v>OK</v>
      </c>
    </row>
    <row r="6675" spans="2:34" x14ac:dyDescent="0.2">
      <c r="B6675" s="2">
        <f ca="1"/>
        <v>0.45467171113900196</v>
      </c>
      <c r="O6675" s="2">
        <f ca="1"/>
        <v>1.1237389105008346</v>
      </c>
      <c r="X6675" s="2">
        <f ca="1"/>
        <v>45.904495215438018</v>
      </c>
      <c r="AG6675" s="2">
        <f ca="1"/>
        <v>4.5610619656388796E-3</v>
      </c>
      <c r="AH6675" s="2" t="str">
        <f ca="1"/>
        <v>Good</v>
      </c>
    </row>
    <row r="6676" spans="2:34" x14ac:dyDescent="0.2">
      <c r="B6676" s="2">
        <f ca="1"/>
        <v>0.72069906626358615</v>
      </c>
      <c r="O6676" s="2">
        <f ca="1"/>
        <v>0.75434746669555186</v>
      </c>
      <c r="X6676" s="2">
        <f ca="1"/>
        <v>68.461723920733021</v>
      </c>
      <c r="AG6676" s="2">
        <f ca="1"/>
        <v>0.71910217123408882</v>
      </c>
      <c r="AH6676" s="2" t="str">
        <f ca="1"/>
        <v>Bad</v>
      </c>
    </row>
    <row r="6677" spans="2:34" x14ac:dyDescent="0.2">
      <c r="B6677" s="2">
        <f ca="1"/>
        <v>0.3520365629071549</v>
      </c>
      <c r="O6677" s="2">
        <f ca="1"/>
        <v>-0.95665414540024851</v>
      </c>
      <c r="X6677" s="2">
        <f ca="1"/>
        <v>67.574862495003771</v>
      </c>
      <c r="AG6677" s="2">
        <f ca="1"/>
        <v>0.36696902372502027</v>
      </c>
      <c r="AH6677" s="2" t="str">
        <f ca="1"/>
        <v>OK</v>
      </c>
    </row>
    <row r="6678" spans="2:34" x14ac:dyDescent="0.2">
      <c r="B6678" s="2">
        <f ca="1"/>
        <v>0.29728961891586669</v>
      </c>
      <c r="O6678" s="2">
        <f ca="1"/>
        <v>-0.1485372592868561</v>
      </c>
      <c r="X6678" s="2">
        <f ca="1"/>
        <v>84.374013852532457</v>
      </c>
      <c r="AG6678" s="2">
        <f ca="1"/>
        <v>0.82723505798041064</v>
      </c>
      <c r="AH6678" s="2" t="str">
        <f ca="1"/>
        <v>Bad</v>
      </c>
    </row>
    <row r="6679" spans="2:34" x14ac:dyDescent="0.2">
      <c r="B6679" s="2">
        <f ca="1"/>
        <v>0.1012915037127422</v>
      </c>
      <c r="O6679" s="2">
        <f ca="1"/>
        <v>0.31010285238416613</v>
      </c>
      <c r="X6679" s="2">
        <f ca="1"/>
        <v>49.344305509464839</v>
      </c>
      <c r="AG6679" s="2">
        <f ca="1"/>
        <v>0.89191377645095815</v>
      </c>
      <c r="AH6679" s="2" t="str">
        <f ca="1"/>
        <v>Bad</v>
      </c>
    </row>
    <row r="6680" spans="2:34" x14ac:dyDescent="0.2">
      <c r="B6680" s="2">
        <f ca="1"/>
        <v>0.95840804213048147</v>
      </c>
      <c r="O6680" s="2">
        <f ca="1"/>
        <v>-0.20286890710441807</v>
      </c>
      <c r="X6680" s="2">
        <f ca="1"/>
        <v>65.238402108045875</v>
      </c>
      <c r="AG6680" s="2">
        <f ca="1"/>
        <v>0.53280433616232692</v>
      </c>
      <c r="AH6680" s="2" t="str">
        <f ca="1"/>
        <v>Bad</v>
      </c>
    </row>
    <row r="6681" spans="2:34" x14ac:dyDescent="0.2">
      <c r="B6681" s="2">
        <f ca="1"/>
        <v>0.47058143877468073</v>
      </c>
      <c r="O6681" s="2">
        <f ca="1"/>
        <v>-3.0847392140750773E-2</v>
      </c>
      <c r="X6681" s="2">
        <f ca="1"/>
        <v>36.040473080528159</v>
      </c>
      <c r="AG6681" s="2">
        <f ca="1"/>
        <v>0.46021833676902424</v>
      </c>
      <c r="AH6681" s="2" t="str">
        <f ca="1"/>
        <v>Bad</v>
      </c>
    </row>
    <row r="6682" spans="2:34" x14ac:dyDescent="0.2">
      <c r="B6682" s="2">
        <f ca="1"/>
        <v>0.85184323373740356</v>
      </c>
      <c r="O6682" s="2">
        <f ca="1"/>
        <v>-1.8067895842436197</v>
      </c>
      <c r="X6682" s="2">
        <f ca="1"/>
        <v>54.02417581598862</v>
      </c>
      <c r="AG6682" s="2">
        <f ca="1"/>
        <v>0.14646659533455098</v>
      </c>
      <c r="AH6682" s="2" t="str">
        <f ca="1"/>
        <v>OK</v>
      </c>
    </row>
    <row r="6683" spans="2:34" x14ac:dyDescent="0.2">
      <c r="B6683" s="2">
        <f ca="1"/>
        <v>0.31714143855797694</v>
      </c>
      <c r="O6683" s="2">
        <f ca="1"/>
        <v>-0.3940595808465156</v>
      </c>
      <c r="X6683" s="2">
        <f ca="1"/>
        <v>60.592037704250536</v>
      </c>
      <c r="AG6683" s="2">
        <f ca="1"/>
        <v>0.45037380168848373</v>
      </c>
      <c r="AH6683" s="2" t="str">
        <f ca="1"/>
        <v>Bad</v>
      </c>
    </row>
    <row r="6684" spans="2:34" x14ac:dyDescent="0.2">
      <c r="B6684" s="2">
        <f ca="1"/>
        <v>3.6762868656935899E-2</v>
      </c>
      <c r="O6684" s="2">
        <f ca="1"/>
        <v>-0.37985256406966689</v>
      </c>
      <c r="X6684" s="2">
        <f ca="1"/>
        <v>53.358322088814688</v>
      </c>
      <c r="AG6684" s="2">
        <f ca="1"/>
        <v>0.78052014980919893</v>
      </c>
      <c r="AH6684" s="2" t="str">
        <f ca="1"/>
        <v>Bad</v>
      </c>
    </row>
    <row r="6685" spans="2:34" x14ac:dyDescent="0.2">
      <c r="B6685" s="2">
        <f ca="1"/>
        <v>0.19672073484201791</v>
      </c>
      <c r="O6685" s="2">
        <f ca="1"/>
        <v>0.49131902819063089</v>
      </c>
      <c r="X6685" s="2">
        <f ca="1"/>
        <v>36.609813215488181</v>
      </c>
      <c r="AG6685" s="2">
        <f ca="1"/>
        <v>0.42087398201738391</v>
      </c>
      <c r="AH6685" s="2" t="str">
        <f ca="1"/>
        <v>Bad</v>
      </c>
    </row>
    <row r="6686" spans="2:34" x14ac:dyDescent="0.2">
      <c r="B6686" s="2">
        <f ca="1"/>
        <v>0.36227782734509106</v>
      </c>
      <c r="O6686" s="2">
        <f ca="1"/>
        <v>-1.0782367230415113</v>
      </c>
      <c r="X6686" s="2">
        <f ca="1"/>
        <v>39.87974960802098</v>
      </c>
      <c r="AG6686" s="2">
        <f ca="1"/>
        <v>0.93506639331370356</v>
      </c>
      <c r="AH6686" s="2" t="str">
        <f ca="1"/>
        <v>Bad</v>
      </c>
    </row>
    <row r="6687" spans="2:34" x14ac:dyDescent="0.2">
      <c r="B6687" s="2">
        <f ca="1"/>
        <v>0.59353441437220189</v>
      </c>
      <c r="O6687" s="2">
        <f ca="1"/>
        <v>-0.34819213741279181</v>
      </c>
      <c r="X6687" s="2">
        <f ca="1"/>
        <v>51.474808149727536</v>
      </c>
      <c r="AG6687" s="2">
        <f ca="1"/>
        <v>0.75122604743873156</v>
      </c>
      <c r="AH6687" s="2" t="str">
        <f ca="1"/>
        <v>Bad</v>
      </c>
    </row>
    <row r="6688" spans="2:34" x14ac:dyDescent="0.2">
      <c r="B6688" s="2">
        <f ca="1"/>
        <v>0.75585071542266147</v>
      </c>
      <c r="O6688" s="2">
        <f ca="1"/>
        <v>0.36539615898673494</v>
      </c>
      <c r="X6688" s="2">
        <f ca="1"/>
        <v>49.917447283454592</v>
      </c>
      <c r="AG6688" s="2">
        <f ca="1"/>
        <v>0.75999540567601187</v>
      </c>
      <c r="AH6688" s="2" t="str">
        <f ca="1"/>
        <v>Bad</v>
      </c>
    </row>
    <row r="6689" spans="2:34" x14ac:dyDescent="0.2">
      <c r="B6689" s="2">
        <f ca="1"/>
        <v>4.3089259098022081E-2</v>
      </c>
      <c r="O6689" s="2">
        <f ca="1"/>
        <v>-1.9446318892299034E-2</v>
      </c>
      <c r="X6689" s="2">
        <f ca="1"/>
        <v>56.881430177490849</v>
      </c>
      <c r="AG6689" s="2">
        <f ca="1"/>
        <v>0.11419422362410536</v>
      </c>
      <c r="AH6689" s="2" t="str">
        <f ca="1"/>
        <v>OK</v>
      </c>
    </row>
    <row r="6690" spans="2:34" x14ac:dyDescent="0.2">
      <c r="B6690" s="2">
        <f ca="1"/>
        <v>0.57853224873926168</v>
      </c>
      <c r="O6690" s="2">
        <f ca="1"/>
        <v>0.33345635470684754</v>
      </c>
      <c r="X6690" s="2">
        <f ca="1"/>
        <v>50.532424335483398</v>
      </c>
      <c r="AG6690" s="2">
        <f ca="1"/>
        <v>0.51618782085322978</v>
      </c>
      <c r="AH6690" s="2" t="str">
        <f ca="1"/>
        <v>Bad</v>
      </c>
    </row>
    <row r="6691" spans="2:34" x14ac:dyDescent="0.2">
      <c r="B6691" s="2">
        <f ca="1"/>
        <v>0.80581296409385983</v>
      </c>
      <c r="O6691" s="2">
        <f ca="1"/>
        <v>-1.5367201929351628</v>
      </c>
      <c r="X6691" s="2">
        <f ca="1"/>
        <v>30.638581279485066</v>
      </c>
      <c r="AG6691" s="2">
        <f ca="1"/>
        <v>0.66057776087244324</v>
      </c>
      <c r="AH6691" s="2" t="str">
        <f ca="1"/>
        <v>Bad</v>
      </c>
    </row>
    <row r="6692" spans="2:34" x14ac:dyDescent="0.2">
      <c r="B6692" s="2">
        <f ca="1"/>
        <v>0.22791530558250717</v>
      </c>
      <c r="O6692" s="2">
        <f ca="1"/>
        <v>-2.2617225066892486E-2</v>
      </c>
      <c r="X6692" s="2">
        <f ca="1"/>
        <v>75.667314246643272</v>
      </c>
      <c r="AG6692" s="2">
        <f ca="1"/>
        <v>0.31110597502654458</v>
      </c>
      <c r="AH6692" s="2" t="str">
        <f ca="1"/>
        <v>OK</v>
      </c>
    </row>
    <row r="6693" spans="2:34" x14ac:dyDescent="0.2">
      <c r="B6693" s="2">
        <f ca="1"/>
        <v>0.115514347074124</v>
      </c>
      <c r="O6693" s="2">
        <f ca="1"/>
        <v>-1.1853227452531994</v>
      </c>
      <c r="X6693" s="2">
        <f ca="1"/>
        <v>64.405270924756067</v>
      </c>
      <c r="AG6693" s="2">
        <f ca="1"/>
        <v>4.6161620225772193E-2</v>
      </c>
      <c r="AH6693" s="2" t="str">
        <f ca="1"/>
        <v>Good</v>
      </c>
    </row>
    <row r="6694" spans="2:34" x14ac:dyDescent="0.2">
      <c r="B6694" s="2">
        <f ca="1"/>
        <v>0.77932768155455068</v>
      </c>
      <c r="O6694" s="2">
        <f ca="1"/>
        <v>0.59798916438912919</v>
      </c>
      <c r="X6694" s="2">
        <f ca="1"/>
        <v>38.021417052743814</v>
      </c>
      <c r="AG6694" s="2">
        <f ca="1"/>
        <v>0.30514249263004789</v>
      </c>
      <c r="AH6694" s="2" t="str">
        <f ca="1"/>
        <v>OK</v>
      </c>
    </row>
    <row r="6695" spans="2:34" x14ac:dyDescent="0.2">
      <c r="B6695" s="2">
        <f ca="1"/>
        <v>0.90889089228847375</v>
      </c>
      <c r="O6695" s="2">
        <f ca="1"/>
        <v>1.4089080723502583</v>
      </c>
      <c r="X6695" s="2">
        <f ca="1"/>
        <v>44.921631713827395</v>
      </c>
      <c r="AG6695" s="2">
        <f ca="1"/>
        <v>3.9978702183007364E-2</v>
      </c>
      <c r="AH6695" s="2" t="str">
        <f ca="1"/>
        <v>Good</v>
      </c>
    </row>
    <row r="6696" spans="2:34" x14ac:dyDescent="0.2">
      <c r="B6696" s="2">
        <f ca="1"/>
        <v>0.85906915913252946</v>
      </c>
      <c r="O6696" s="2">
        <f ca="1"/>
        <v>-2.8257231783688663</v>
      </c>
      <c r="X6696" s="2">
        <f ca="1"/>
        <v>64.735194816247144</v>
      </c>
      <c r="AG6696" s="2">
        <f ca="1"/>
        <v>0.46219017546929386</v>
      </c>
      <c r="AH6696" s="2" t="str">
        <f ca="1"/>
        <v>Bad</v>
      </c>
    </row>
    <row r="6697" spans="2:34" x14ac:dyDescent="0.2">
      <c r="B6697" s="2">
        <f ca="1"/>
        <v>0.661308961193249</v>
      </c>
      <c r="O6697" s="2">
        <f ca="1"/>
        <v>-0.29447939000948642</v>
      </c>
      <c r="X6697" s="2">
        <f ca="1"/>
        <v>32.13621269455588</v>
      </c>
      <c r="AG6697" s="2">
        <f ca="1"/>
        <v>0.67006929109790647</v>
      </c>
      <c r="AH6697" s="2" t="str">
        <f ca="1"/>
        <v>Bad</v>
      </c>
    </row>
    <row r="6698" spans="2:34" x14ac:dyDescent="0.2">
      <c r="B6698" s="2">
        <f ca="1"/>
        <v>0.18604169551917282</v>
      </c>
      <c r="O6698" s="2">
        <f ca="1"/>
        <v>0.47051047480285613</v>
      </c>
      <c r="X6698" s="2">
        <f ca="1"/>
        <v>38.374969044382937</v>
      </c>
      <c r="AG6698" s="2">
        <f ca="1"/>
        <v>0.13439072007056052</v>
      </c>
      <c r="AH6698" s="2" t="str">
        <f ca="1"/>
        <v>OK</v>
      </c>
    </row>
    <row r="6699" spans="2:34" x14ac:dyDescent="0.2">
      <c r="B6699" s="2">
        <f ca="1"/>
        <v>0.85502937708014715</v>
      </c>
      <c r="O6699" s="2">
        <f ca="1"/>
        <v>-0.29083832919988045</v>
      </c>
      <c r="X6699" s="2">
        <f ca="1"/>
        <v>77.914295147534389</v>
      </c>
      <c r="AG6699" s="2">
        <f ca="1"/>
        <v>0.66871477830004222</v>
      </c>
      <c r="AH6699" s="2" t="str">
        <f ca="1"/>
        <v>Bad</v>
      </c>
    </row>
    <row r="6700" spans="2:34" x14ac:dyDescent="0.2">
      <c r="B6700" s="2">
        <f ca="1"/>
        <v>0.85514126035212201</v>
      </c>
      <c r="O6700" s="2">
        <f ca="1"/>
        <v>1.2251573278513033</v>
      </c>
      <c r="X6700" s="2">
        <f ca="1"/>
        <v>44.883974357854513</v>
      </c>
      <c r="AG6700" s="2">
        <f ca="1"/>
        <v>8.0173313446502359E-2</v>
      </c>
      <c r="AH6700" s="2" t="str">
        <f ca="1"/>
        <v>OK</v>
      </c>
    </row>
    <row r="6701" spans="2:34" x14ac:dyDescent="0.2">
      <c r="B6701" s="2">
        <f ca="1"/>
        <v>0.33270999294377979</v>
      </c>
      <c r="O6701" s="2">
        <f ca="1"/>
        <v>1.7961225512230732</v>
      </c>
      <c r="X6701" s="2">
        <f ca="1"/>
        <v>49.882492160387606</v>
      </c>
      <c r="AG6701" s="2">
        <f ca="1"/>
        <v>0.17218052623705571</v>
      </c>
      <c r="AH6701" s="2" t="str">
        <f ca="1"/>
        <v>OK</v>
      </c>
    </row>
    <row r="6702" spans="2:34" x14ac:dyDescent="0.2">
      <c r="B6702" s="2">
        <f ca="1"/>
        <v>0.9138232358486793</v>
      </c>
      <c r="O6702" s="2">
        <f ca="1"/>
        <v>-1.3950008209007503</v>
      </c>
      <c r="X6702" s="2">
        <f ca="1"/>
        <v>43.595015230851914</v>
      </c>
      <c r="AG6702" s="2">
        <f ca="1"/>
        <v>0.33192483308110043</v>
      </c>
      <c r="AH6702" s="2" t="str">
        <f ca="1"/>
        <v>OK</v>
      </c>
    </row>
    <row r="6703" spans="2:34" x14ac:dyDescent="0.2">
      <c r="B6703" s="2">
        <f ca="1"/>
        <v>0.18660025544816761</v>
      </c>
      <c r="O6703" s="2">
        <f ca="1"/>
        <v>-0.14118577181533729</v>
      </c>
      <c r="X6703" s="2">
        <f ca="1"/>
        <v>45.057707538556912</v>
      </c>
      <c r="AG6703" s="2">
        <f ca="1"/>
        <v>0.94615753306469386</v>
      </c>
      <c r="AH6703" s="2" t="str">
        <f ca="1"/>
        <v>Bad</v>
      </c>
    </row>
    <row r="6704" spans="2:34" x14ac:dyDescent="0.2">
      <c r="B6704" s="2">
        <f ca="1"/>
        <v>0.22134508098666528</v>
      </c>
      <c r="O6704" s="2">
        <f ca="1"/>
        <v>3.9976295692777553E-2</v>
      </c>
      <c r="X6704" s="2">
        <f ca="1"/>
        <v>34.118084152901595</v>
      </c>
      <c r="AG6704" s="2">
        <f ca="1"/>
        <v>0.73014106595829231</v>
      </c>
      <c r="AH6704" s="2" t="str">
        <f ca="1"/>
        <v>Bad</v>
      </c>
    </row>
    <row r="6705" spans="2:34" x14ac:dyDescent="0.2">
      <c r="B6705" s="2">
        <f ca="1"/>
        <v>0.7641059932948342</v>
      </c>
      <c r="O6705" s="2">
        <f ca="1"/>
        <v>5.9085852470839445E-2</v>
      </c>
      <c r="X6705" s="2">
        <f ca="1"/>
        <v>54.447793302975811</v>
      </c>
      <c r="AG6705" s="2">
        <f ca="1"/>
        <v>0.8439600780509926</v>
      </c>
      <c r="AH6705" s="2" t="str">
        <f ca="1"/>
        <v>Bad</v>
      </c>
    </row>
    <row r="6706" spans="2:34" x14ac:dyDescent="0.2">
      <c r="B6706" s="2">
        <f ca="1"/>
        <v>0.51241444304387596</v>
      </c>
      <c r="O6706" s="2">
        <f ca="1"/>
        <v>1.0226552696643911</v>
      </c>
      <c r="X6706" s="2">
        <f ca="1"/>
        <v>46.423963779477162</v>
      </c>
      <c r="AG6706" s="2">
        <f ca="1"/>
        <v>0.32574583912708199</v>
      </c>
      <c r="AH6706" s="2" t="str">
        <f ca="1"/>
        <v>OK</v>
      </c>
    </row>
    <row r="6707" spans="2:34" x14ac:dyDescent="0.2">
      <c r="B6707" s="2">
        <f ca="1"/>
        <v>0.7427493090977435</v>
      </c>
      <c r="O6707" s="2">
        <f ca="1"/>
        <v>-1.3868433118016856</v>
      </c>
      <c r="X6707" s="2">
        <f ca="1"/>
        <v>62.635399612525376</v>
      </c>
      <c r="AG6707" s="2">
        <f ca="1"/>
        <v>0.3924897289985676</v>
      </c>
      <c r="AH6707" s="2" t="str">
        <f ca="1"/>
        <v>OK</v>
      </c>
    </row>
    <row r="6708" spans="2:34" x14ac:dyDescent="0.2">
      <c r="B6708" s="2">
        <f ca="1"/>
        <v>0.68097077762510994</v>
      </c>
      <c r="O6708" s="2">
        <f ca="1"/>
        <v>-0.43197920642837223</v>
      </c>
      <c r="X6708" s="2">
        <f ca="1"/>
        <v>38.257039098819646</v>
      </c>
      <c r="AG6708" s="2">
        <f ca="1"/>
        <v>3.6392790035534528E-2</v>
      </c>
      <c r="AH6708" s="2" t="str">
        <f ca="1"/>
        <v>Good</v>
      </c>
    </row>
    <row r="6709" spans="2:34" x14ac:dyDescent="0.2">
      <c r="B6709" s="2">
        <f ca="1"/>
        <v>0.57000296730380362</v>
      </c>
      <c r="O6709" s="2">
        <f ca="1"/>
        <v>-0.21725031315055904</v>
      </c>
      <c r="X6709" s="2">
        <f ca="1"/>
        <v>37.881583144871776</v>
      </c>
      <c r="AG6709" s="2">
        <f ca="1"/>
        <v>0.30718139774268605</v>
      </c>
      <c r="AH6709" s="2" t="str">
        <f ca="1"/>
        <v>OK</v>
      </c>
    </row>
    <row r="6710" spans="2:34" x14ac:dyDescent="0.2">
      <c r="B6710" s="2">
        <f ca="1"/>
        <v>0.43493697340949744</v>
      </c>
      <c r="O6710" s="2">
        <f ca="1"/>
        <v>-1.0538983512796463</v>
      </c>
      <c r="X6710" s="2">
        <f ca="1"/>
        <v>81.095841753858181</v>
      </c>
      <c r="AG6710" s="2">
        <f ca="1"/>
        <v>0.80882840050946103</v>
      </c>
      <c r="AH6710" s="2" t="str">
        <f ca="1"/>
        <v>Bad</v>
      </c>
    </row>
    <row r="6711" spans="2:34" x14ac:dyDescent="0.2">
      <c r="B6711" s="2">
        <f ca="1"/>
        <v>0.96321415694121781</v>
      </c>
      <c r="O6711" s="2">
        <f ca="1"/>
        <v>0.49248269022097962</v>
      </c>
      <c r="X6711" s="2">
        <f ca="1"/>
        <v>41.132003126367671</v>
      </c>
      <c r="AG6711" s="2">
        <f ca="1"/>
        <v>0.56280611677673775</v>
      </c>
      <c r="AH6711" s="2" t="str">
        <f ca="1"/>
        <v>Bad</v>
      </c>
    </row>
    <row r="6712" spans="2:34" x14ac:dyDescent="0.2">
      <c r="B6712" s="2">
        <f ca="1"/>
        <v>0.7745419102376554</v>
      </c>
      <c r="O6712" s="2">
        <f ca="1"/>
        <v>0.27055876091668413</v>
      </c>
      <c r="X6712" s="2">
        <f ca="1"/>
        <v>47.87604098738268</v>
      </c>
      <c r="AG6712" s="2">
        <f ca="1"/>
        <v>0.6314025857109975</v>
      </c>
      <c r="AH6712" s="2" t="str">
        <f ca="1"/>
        <v>Bad</v>
      </c>
    </row>
    <row r="6713" spans="2:34" x14ac:dyDescent="0.2">
      <c r="B6713" s="2">
        <f ca="1"/>
        <v>0.1763658632280547</v>
      </c>
      <c r="O6713" s="2">
        <f ca="1"/>
        <v>0.27070740903898249</v>
      </c>
      <c r="X6713" s="2">
        <f ca="1"/>
        <v>66.652503314717165</v>
      </c>
      <c r="AG6713" s="2">
        <f ca="1"/>
        <v>0.10154435933855654</v>
      </c>
      <c r="AH6713" s="2" t="str">
        <f ca="1"/>
        <v>OK</v>
      </c>
    </row>
    <row r="6714" spans="2:34" x14ac:dyDescent="0.2">
      <c r="B6714" s="2">
        <f ca="1"/>
        <v>0.36737371604719149</v>
      </c>
      <c r="O6714" s="2">
        <f ca="1"/>
        <v>0.43076355755596352</v>
      </c>
      <c r="X6714" s="2">
        <f ca="1"/>
        <v>28.511394492913695</v>
      </c>
      <c r="AG6714" s="2">
        <f ca="1"/>
        <v>0.1595407048393731</v>
      </c>
      <c r="AH6714" s="2" t="str">
        <f ca="1"/>
        <v>OK</v>
      </c>
    </row>
    <row r="6715" spans="2:34" x14ac:dyDescent="0.2">
      <c r="B6715" s="2">
        <f ca="1"/>
        <v>0.9083630473361699</v>
      </c>
      <c r="O6715" s="2">
        <f ca="1"/>
        <v>1.3737103340050127</v>
      </c>
      <c r="X6715" s="2">
        <f ca="1"/>
        <v>68.10965091201453</v>
      </c>
      <c r="AG6715" s="2">
        <f ca="1"/>
        <v>0.43316908525043063</v>
      </c>
      <c r="AH6715" s="2" t="str">
        <f ca="1"/>
        <v>Bad</v>
      </c>
    </row>
    <row r="6716" spans="2:34" x14ac:dyDescent="0.2">
      <c r="B6716" s="2">
        <f ca="1"/>
        <v>0.14924746952849732</v>
      </c>
      <c r="O6716" s="2">
        <f ca="1"/>
        <v>-2.5936912117777799</v>
      </c>
      <c r="X6716" s="2">
        <f ca="1"/>
        <v>71.37425516026174</v>
      </c>
      <c r="AG6716" s="2">
        <f ca="1"/>
        <v>0.15174917775698749</v>
      </c>
      <c r="AH6716" s="2" t="str">
        <f ca="1"/>
        <v>OK</v>
      </c>
    </row>
    <row r="6717" spans="2:34" x14ac:dyDescent="0.2">
      <c r="B6717" s="2">
        <f ca="1"/>
        <v>0.53764983349582263</v>
      </c>
      <c r="O6717" s="2">
        <f ca="1"/>
        <v>-0.69691256512929545</v>
      </c>
      <c r="X6717" s="2">
        <f ca="1"/>
        <v>64.288766489437492</v>
      </c>
      <c r="AG6717" s="2">
        <f ca="1"/>
        <v>0.12148516330266212</v>
      </c>
      <c r="AH6717" s="2" t="str">
        <f ca="1"/>
        <v>OK</v>
      </c>
    </row>
    <row r="6718" spans="2:34" x14ac:dyDescent="0.2">
      <c r="B6718" s="2">
        <f ca="1"/>
        <v>0.87993663333307492</v>
      </c>
      <c r="O6718" s="2">
        <f ca="1"/>
        <v>-0.99769024821015273</v>
      </c>
      <c r="X6718" s="2">
        <f ca="1"/>
        <v>53.886510704124532</v>
      </c>
      <c r="AG6718" s="2">
        <f ca="1"/>
        <v>0.82883236001242699</v>
      </c>
      <c r="AH6718" s="2" t="str">
        <f ca="1"/>
        <v>Bad</v>
      </c>
    </row>
    <row r="6719" spans="2:34" x14ac:dyDescent="0.2">
      <c r="B6719" s="2">
        <f ca="1"/>
        <v>0.31184473933831058</v>
      </c>
      <c r="O6719" s="2">
        <f ca="1"/>
        <v>-2.4328647184037086E-2</v>
      </c>
      <c r="X6719" s="2">
        <f ca="1"/>
        <v>50.20759765570552</v>
      </c>
      <c r="AG6719" s="2">
        <f ca="1"/>
        <v>0.63715961116072584</v>
      </c>
      <c r="AH6719" s="2" t="str">
        <f ca="1"/>
        <v>Bad</v>
      </c>
    </row>
    <row r="6720" spans="2:34" x14ac:dyDescent="0.2">
      <c r="B6720" s="2">
        <f ca="1"/>
        <v>0.77869715500010139</v>
      </c>
      <c r="O6720" s="2">
        <f ca="1"/>
        <v>0.45594176461364311</v>
      </c>
      <c r="X6720" s="2">
        <f ca="1"/>
        <v>72.596790228228386</v>
      </c>
      <c r="AG6720" s="2">
        <f ca="1"/>
        <v>0.94758743865095907</v>
      </c>
      <c r="AH6720" s="2" t="str">
        <f ca="1"/>
        <v>Bad</v>
      </c>
    </row>
    <row r="6721" spans="2:34" x14ac:dyDescent="0.2">
      <c r="B6721" s="2">
        <f ca="1"/>
        <v>0.92884720372487983</v>
      </c>
      <c r="O6721" s="2">
        <f ca="1"/>
        <v>0.63394168249727822</v>
      </c>
      <c r="X6721" s="2">
        <f ca="1"/>
        <v>39.512163072175269</v>
      </c>
      <c r="AG6721" s="2">
        <f ca="1"/>
        <v>0.53281289472227344</v>
      </c>
      <c r="AH6721" s="2" t="str">
        <f ca="1"/>
        <v>Bad</v>
      </c>
    </row>
    <row r="6722" spans="2:34" x14ac:dyDescent="0.2">
      <c r="B6722" s="2">
        <f ca="1"/>
        <v>3.3429319575833727E-2</v>
      </c>
      <c r="O6722" s="2">
        <f ca="1"/>
        <v>-1.4157948867247623E-2</v>
      </c>
      <c r="X6722" s="2">
        <f ca="1"/>
        <v>27.912108389181679</v>
      </c>
      <c r="AG6722" s="2">
        <f ca="1"/>
        <v>0.56897738089061489</v>
      </c>
      <c r="AH6722" s="2" t="str">
        <f ca="1"/>
        <v>Bad</v>
      </c>
    </row>
    <row r="6723" spans="2:34" x14ac:dyDescent="0.2">
      <c r="B6723" s="2">
        <f ca="1"/>
        <v>0.15141843862358684</v>
      </c>
      <c r="O6723" s="2">
        <f ca="1"/>
        <v>-0.99714150742392305</v>
      </c>
      <c r="X6723" s="2">
        <f ca="1"/>
        <v>43.264382540828066</v>
      </c>
      <c r="AG6723" s="2">
        <f ca="1"/>
        <v>0.82803185747344354</v>
      </c>
      <c r="AH6723" s="2" t="str">
        <f ca="1"/>
        <v>Bad</v>
      </c>
    </row>
    <row r="6724" spans="2:34" x14ac:dyDescent="0.2">
      <c r="B6724" s="2">
        <f ca="1"/>
        <v>0.4041517238909107</v>
      </c>
      <c r="O6724" s="2">
        <f ca="1"/>
        <v>0.34198259650317642</v>
      </c>
      <c r="X6724" s="2">
        <f ca="1"/>
        <v>49.58367503891418</v>
      </c>
      <c r="AG6724" s="2">
        <f ca="1"/>
        <v>0.58917111676445089</v>
      </c>
      <c r="AH6724" s="2" t="str">
        <f ca="1"/>
        <v>Bad</v>
      </c>
    </row>
    <row r="6725" spans="2:34" x14ac:dyDescent="0.2">
      <c r="B6725" s="2">
        <f ca="1"/>
        <v>0.59244742032657394</v>
      </c>
      <c r="O6725" s="2">
        <f ca="1"/>
        <v>0.60430020140888685</v>
      </c>
      <c r="X6725" s="2">
        <f ca="1"/>
        <v>53.498678460720825</v>
      </c>
      <c r="AG6725" s="2">
        <f ca="1"/>
        <v>0.60822643766999795</v>
      </c>
      <c r="AH6725" s="2" t="str">
        <f ca="1"/>
        <v>Bad</v>
      </c>
    </row>
    <row r="6726" spans="2:34" x14ac:dyDescent="0.2">
      <c r="B6726" s="2">
        <f ca="1"/>
        <v>8.0331653548719739E-3</v>
      </c>
      <c r="O6726" s="2">
        <f ca="1"/>
        <v>-0.56718201412536473</v>
      </c>
      <c r="X6726" s="2">
        <f ca="1"/>
        <v>64.283480916542487</v>
      </c>
      <c r="AG6726" s="2">
        <f ca="1"/>
        <v>0.20716636435745728</v>
      </c>
      <c r="AH6726" s="2" t="str">
        <f ca="1"/>
        <v>OK</v>
      </c>
    </row>
    <row r="6727" spans="2:34" x14ac:dyDescent="0.2">
      <c r="B6727" s="2">
        <f ca="1"/>
        <v>0.37690647833819524</v>
      </c>
      <c r="O6727" s="2">
        <f ca="1"/>
        <v>-1.948694542967377</v>
      </c>
      <c r="X6727" s="2">
        <f ca="1"/>
        <v>44.048945750539772</v>
      </c>
      <c r="AG6727" s="2">
        <f ca="1"/>
        <v>0.84713758609055367</v>
      </c>
      <c r="AH6727" s="2" t="str">
        <f ca="1"/>
        <v>Bad</v>
      </c>
    </row>
    <row r="6728" spans="2:34" x14ac:dyDescent="0.2">
      <c r="B6728" s="2">
        <f ca="1"/>
        <v>0.29463417244839851</v>
      </c>
      <c r="O6728" s="2">
        <f ca="1"/>
        <v>-5.8353707410176758E-2</v>
      </c>
      <c r="X6728" s="2">
        <f ca="1"/>
        <v>73.604754947064833</v>
      </c>
      <c r="AG6728" s="2">
        <f ca="1"/>
        <v>0.14830631934746563</v>
      </c>
      <c r="AH6728" s="2" t="str">
        <f ca="1"/>
        <v>OK</v>
      </c>
    </row>
    <row r="6729" spans="2:34" x14ac:dyDescent="0.2">
      <c r="B6729" s="2">
        <f ca="1"/>
        <v>0.439119119291558</v>
      </c>
      <c r="O6729" s="2">
        <f ca="1"/>
        <v>3.4478585180875196E-2</v>
      </c>
      <c r="X6729" s="2">
        <f ca="1"/>
        <v>46.78649125345531</v>
      </c>
      <c r="AG6729" s="2">
        <f ca="1"/>
        <v>0.5082859106561648</v>
      </c>
      <c r="AH6729" s="2" t="str">
        <f ca="1"/>
        <v>Bad</v>
      </c>
    </row>
    <row r="6730" spans="2:34" x14ac:dyDescent="0.2">
      <c r="B6730" s="2">
        <f ca="1"/>
        <v>0.39860143353393518</v>
      </c>
      <c r="O6730" s="2">
        <f ca="1"/>
        <v>0.54360594710250498</v>
      </c>
      <c r="X6730" s="2">
        <f ca="1"/>
        <v>65.675981065916403</v>
      </c>
      <c r="AG6730" s="2">
        <f ca="1"/>
        <v>6.7944212913342739E-2</v>
      </c>
      <c r="AH6730" s="2" t="str">
        <f ca="1"/>
        <v>OK</v>
      </c>
    </row>
    <row r="6731" spans="2:34" x14ac:dyDescent="0.2">
      <c r="B6731" s="2">
        <f ca="1"/>
        <v>0.62520349209890869</v>
      </c>
      <c r="O6731" s="2">
        <f ca="1"/>
        <v>-0.74449375411917129</v>
      </c>
      <c r="X6731" s="2">
        <f ca="1"/>
        <v>54.600202756960179</v>
      </c>
      <c r="AG6731" s="2">
        <f ca="1"/>
        <v>0.51653460384879235</v>
      </c>
      <c r="AH6731" s="2" t="str">
        <f ca="1"/>
        <v>Bad</v>
      </c>
    </row>
    <row r="6732" spans="2:34" x14ac:dyDescent="0.2">
      <c r="B6732" s="2">
        <f ca="1"/>
        <v>0.47878065816542481</v>
      </c>
      <c r="O6732" s="2">
        <f ca="1"/>
        <v>0.18761589005597945</v>
      </c>
      <c r="X6732" s="2">
        <f ca="1"/>
        <v>37.985784918026226</v>
      </c>
      <c r="AG6732" s="2">
        <f ca="1"/>
        <v>0.70235897816432868</v>
      </c>
      <c r="AH6732" s="2" t="str">
        <f ca="1"/>
        <v>Bad</v>
      </c>
    </row>
    <row r="6733" spans="2:34" x14ac:dyDescent="0.2">
      <c r="B6733" s="2">
        <f ca="1"/>
        <v>0.88779131315123738</v>
      </c>
      <c r="O6733" s="2">
        <f ca="1"/>
        <v>-0.25982722998719804</v>
      </c>
      <c r="X6733" s="2">
        <f ca="1"/>
        <v>35.996453129676716</v>
      </c>
      <c r="AG6733" s="2">
        <f ca="1"/>
        <v>0.12589266357385109</v>
      </c>
      <c r="AH6733" s="2" t="str">
        <f ca="1"/>
        <v>OK</v>
      </c>
    </row>
    <row r="6734" spans="2:34" x14ac:dyDescent="0.2">
      <c r="B6734" s="2">
        <f ca="1"/>
        <v>0.70153670702633031</v>
      </c>
      <c r="O6734" s="2">
        <f ca="1"/>
        <v>-0.91540607788212325</v>
      </c>
      <c r="X6734" s="2">
        <f ca="1"/>
        <v>35.835245131057114</v>
      </c>
      <c r="AG6734" s="2">
        <f ca="1"/>
        <v>0.90422354161435425</v>
      </c>
      <c r="AH6734" s="2" t="str">
        <f ca="1"/>
        <v>Bad</v>
      </c>
    </row>
    <row r="6735" spans="2:34" x14ac:dyDescent="0.2">
      <c r="B6735" s="2">
        <f ca="1"/>
        <v>0.53363564566767385</v>
      </c>
      <c r="O6735" s="2">
        <f ca="1"/>
        <v>0.22267376840581496</v>
      </c>
      <c r="X6735" s="2">
        <f ca="1"/>
        <v>66.825250915150818</v>
      </c>
      <c r="AG6735" s="2">
        <f ca="1"/>
        <v>0.33474191858334246</v>
      </c>
      <c r="AH6735" s="2" t="str">
        <f ca="1"/>
        <v>OK</v>
      </c>
    </row>
    <row r="6736" spans="2:34" x14ac:dyDescent="0.2">
      <c r="B6736" s="2">
        <f ca="1"/>
        <v>0.38629613136382424</v>
      </c>
      <c r="O6736" s="2">
        <f ca="1"/>
        <v>-0.82478801269351221</v>
      </c>
      <c r="X6736" s="2">
        <f ca="1"/>
        <v>39.587850051080082</v>
      </c>
      <c r="AG6736" s="2">
        <f ca="1"/>
        <v>0.67329150282955275</v>
      </c>
      <c r="AH6736" s="2" t="str">
        <f ca="1"/>
        <v>Bad</v>
      </c>
    </row>
    <row r="6737" spans="2:34" x14ac:dyDescent="0.2">
      <c r="B6737" s="2">
        <f ca="1"/>
        <v>0.91267088818931574</v>
      </c>
      <c r="O6737" s="2">
        <f ca="1"/>
        <v>0.16341040351114186</v>
      </c>
      <c r="X6737" s="2">
        <f ca="1"/>
        <v>50.429670926123116</v>
      </c>
      <c r="AG6737" s="2">
        <f ca="1"/>
        <v>0.4059835277516961</v>
      </c>
      <c r="AH6737" s="2" t="str">
        <f ca="1"/>
        <v>Bad</v>
      </c>
    </row>
    <row r="6738" spans="2:34" x14ac:dyDescent="0.2">
      <c r="B6738" s="2">
        <f ca="1"/>
        <v>0.37030626782440157</v>
      </c>
      <c r="O6738" s="2">
        <f ca="1"/>
        <v>1.1436385642800668</v>
      </c>
      <c r="X6738" s="2">
        <f ca="1"/>
        <v>41.928653689271329</v>
      </c>
      <c r="AG6738" s="2">
        <f ca="1"/>
        <v>0.53971119767365661</v>
      </c>
      <c r="AH6738" s="2" t="str">
        <f ca="1"/>
        <v>Bad</v>
      </c>
    </row>
    <row r="6739" spans="2:34" x14ac:dyDescent="0.2">
      <c r="B6739" s="2">
        <f ca="1"/>
        <v>0.18482073369049634</v>
      </c>
      <c r="O6739" s="2">
        <f ca="1"/>
        <v>-0.47496389623773311</v>
      </c>
      <c r="X6739" s="2">
        <f ca="1"/>
        <v>28.352119386247423</v>
      </c>
      <c r="AG6739" s="2">
        <f ca="1"/>
        <v>0.75875452846116409</v>
      </c>
      <c r="AH6739" s="2" t="str">
        <f ca="1"/>
        <v>Bad</v>
      </c>
    </row>
    <row r="6740" spans="2:34" x14ac:dyDescent="0.2">
      <c r="B6740" s="2">
        <f ca="1"/>
        <v>0.6433026901834844</v>
      </c>
      <c r="O6740" s="2">
        <f ca="1"/>
        <v>0.4430198928289662</v>
      </c>
      <c r="X6740" s="2">
        <f ca="1"/>
        <v>34.118153088578168</v>
      </c>
      <c r="AG6740" s="2">
        <f ca="1"/>
        <v>0.12385918686263442</v>
      </c>
      <c r="AH6740" s="2" t="str">
        <f ca="1"/>
        <v>OK</v>
      </c>
    </row>
    <row r="6741" spans="2:34" x14ac:dyDescent="0.2">
      <c r="B6741" s="2">
        <f ca="1"/>
        <v>6.5707531520786455E-2</v>
      </c>
      <c r="O6741" s="2">
        <f ca="1"/>
        <v>2.1021587566681825</v>
      </c>
      <c r="X6741" s="2">
        <f ca="1"/>
        <v>31.21266250166034</v>
      </c>
      <c r="AG6741" s="2">
        <f ca="1"/>
        <v>0.41650539389489571</v>
      </c>
      <c r="AH6741" s="2" t="str">
        <f ca="1"/>
        <v>Bad</v>
      </c>
    </row>
    <row r="6742" spans="2:34" x14ac:dyDescent="0.2">
      <c r="B6742" s="2">
        <f ca="1"/>
        <v>0.21502546154668489</v>
      </c>
      <c r="O6742" s="2">
        <f ca="1"/>
        <v>-0.16082138221982867</v>
      </c>
      <c r="X6742" s="2">
        <f ca="1"/>
        <v>76.447910292258456</v>
      </c>
      <c r="AG6742" s="2">
        <f ca="1"/>
        <v>0.29066658458620265</v>
      </c>
      <c r="AH6742" s="2" t="str">
        <f ca="1"/>
        <v>OK</v>
      </c>
    </row>
    <row r="6743" spans="2:34" x14ac:dyDescent="0.2">
      <c r="B6743" s="2">
        <f ca="1"/>
        <v>0.88631900598853908</v>
      </c>
      <c r="O6743" s="2">
        <f ca="1"/>
        <v>0.80774813885648922</v>
      </c>
      <c r="X6743" s="2">
        <f ca="1"/>
        <v>54.602435796928994</v>
      </c>
      <c r="AG6743" s="2">
        <f ca="1"/>
        <v>0.56899396802319546</v>
      </c>
      <c r="AH6743" s="2" t="str">
        <f ca="1"/>
        <v>Bad</v>
      </c>
    </row>
    <row r="6744" spans="2:34" x14ac:dyDescent="0.2">
      <c r="B6744" s="2">
        <f ca="1"/>
        <v>0.24554900603988283</v>
      </c>
      <c r="O6744" s="2">
        <f ca="1"/>
        <v>0.68208431651622237</v>
      </c>
      <c r="X6744" s="2">
        <f ca="1"/>
        <v>24.722319969032075</v>
      </c>
      <c r="AG6744" s="2">
        <f ca="1"/>
        <v>0.81494705817255153</v>
      </c>
      <c r="AH6744" s="2" t="str">
        <f ca="1"/>
        <v>Bad</v>
      </c>
    </row>
    <row r="6745" spans="2:34" x14ac:dyDescent="0.2">
      <c r="B6745" s="2">
        <f ca="1"/>
        <v>0.28366172316434857</v>
      </c>
      <c r="O6745" s="2">
        <f ca="1"/>
        <v>1.5568331084240215</v>
      </c>
      <c r="X6745" s="2">
        <f ca="1"/>
        <v>28.14782790114122</v>
      </c>
      <c r="AG6745" s="2">
        <f ca="1"/>
        <v>0.36637360399551877</v>
      </c>
      <c r="AH6745" s="2" t="str">
        <f ca="1"/>
        <v>OK</v>
      </c>
    </row>
    <row r="6746" spans="2:34" x14ac:dyDescent="0.2">
      <c r="B6746" s="2">
        <f ca="1"/>
        <v>0.17361012739295711</v>
      </c>
      <c r="O6746" s="2">
        <f ca="1"/>
        <v>-0.66814384710473007</v>
      </c>
      <c r="X6746" s="2">
        <f ca="1"/>
        <v>53.261983788365477</v>
      </c>
      <c r="AG6746" s="2">
        <f ca="1"/>
        <v>0.77455629589244435</v>
      </c>
      <c r="AH6746" s="2" t="str">
        <f ca="1"/>
        <v>Bad</v>
      </c>
    </row>
    <row r="6747" spans="2:34" x14ac:dyDescent="0.2">
      <c r="B6747" s="2">
        <f ca="1"/>
        <v>0.72238759495069038</v>
      </c>
      <c r="O6747" s="2">
        <f ca="1"/>
        <v>1.0127857330241454</v>
      </c>
      <c r="X6747" s="2">
        <f ca="1"/>
        <v>32.041128694397997</v>
      </c>
      <c r="AG6747" s="2">
        <f ca="1"/>
        <v>0.28341845783047281</v>
      </c>
      <c r="AH6747" s="2" t="str">
        <f ca="1"/>
        <v>OK</v>
      </c>
    </row>
    <row r="6748" spans="2:34" x14ac:dyDescent="0.2">
      <c r="B6748" s="2">
        <f ca="1"/>
        <v>0.80581503353674289</v>
      </c>
      <c r="O6748" s="2">
        <f ca="1"/>
        <v>0.27051381761914073</v>
      </c>
      <c r="X6748" s="2">
        <f ca="1"/>
        <v>63.116615541714047</v>
      </c>
      <c r="AG6748" s="2">
        <f ca="1"/>
        <v>0.14035180072176212</v>
      </c>
      <c r="AH6748" s="2" t="str">
        <f ca="1"/>
        <v>OK</v>
      </c>
    </row>
    <row r="6749" spans="2:34" x14ac:dyDescent="0.2">
      <c r="B6749" s="2">
        <f ca="1"/>
        <v>0.78989013406056108</v>
      </c>
      <c r="O6749" s="2">
        <f ca="1"/>
        <v>0.25320565118592303</v>
      </c>
      <c r="X6749" s="2">
        <f ca="1"/>
        <v>41.356512429607768</v>
      </c>
      <c r="AG6749" s="2">
        <f ca="1"/>
        <v>0.18613001300461929</v>
      </c>
      <c r="AH6749" s="2" t="str">
        <f ca="1"/>
        <v>OK</v>
      </c>
    </row>
    <row r="6750" spans="2:34" x14ac:dyDescent="0.2">
      <c r="B6750" s="2">
        <f ca="1"/>
        <v>0.44267850455895541</v>
      </c>
      <c r="O6750" s="2">
        <f ca="1"/>
        <v>-1.3274003327010799</v>
      </c>
      <c r="X6750" s="2">
        <f ca="1"/>
        <v>59.490796062192615</v>
      </c>
      <c r="AG6750" s="2">
        <f ca="1"/>
        <v>0.66332131326082333</v>
      </c>
      <c r="AH6750" s="2" t="str">
        <f ca="1"/>
        <v>Bad</v>
      </c>
    </row>
    <row r="6751" spans="2:34" x14ac:dyDescent="0.2">
      <c r="B6751" s="2">
        <f ca="1"/>
        <v>0.80099559723526181</v>
      </c>
      <c r="O6751" s="2">
        <f ca="1"/>
        <v>-1.0714858900409467</v>
      </c>
      <c r="X6751" s="2">
        <f ca="1"/>
        <v>62.728522041379549</v>
      </c>
      <c r="AG6751" s="2">
        <f ca="1"/>
        <v>0.15546321713975031</v>
      </c>
      <c r="AH6751" s="2" t="str">
        <f ca="1"/>
        <v>OK</v>
      </c>
    </row>
    <row r="6752" spans="2:34" x14ac:dyDescent="0.2">
      <c r="B6752" s="2">
        <f ca="1"/>
        <v>0.10628661709766729</v>
      </c>
      <c r="O6752" s="2">
        <f ca="1"/>
        <v>1.3299977036116568</v>
      </c>
      <c r="X6752" s="2">
        <f ca="1"/>
        <v>40.766816211304466</v>
      </c>
      <c r="AG6752" s="2">
        <f ca="1"/>
        <v>0.20616628396523273</v>
      </c>
      <c r="AH6752" s="2" t="str">
        <f ca="1"/>
        <v>OK</v>
      </c>
    </row>
    <row r="6753" spans="2:34" x14ac:dyDescent="0.2">
      <c r="B6753" s="2">
        <f ca="1"/>
        <v>0.55871877054192343</v>
      </c>
      <c r="O6753" s="2">
        <f ca="1"/>
        <v>-0.92550527821160988</v>
      </c>
      <c r="X6753" s="2">
        <f ca="1"/>
        <v>21.255555299656159</v>
      </c>
      <c r="AG6753" s="2">
        <f ca="1"/>
        <v>0.89344379160391307</v>
      </c>
      <c r="AH6753" s="2" t="str">
        <f ca="1"/>
        <v>Bad</v>
      </c>
    </row>
    <row r="6754" spans="2:34" x14ac:dyDescent="0.2">
      <c r="B6754" s="2">
        <f ca="1"/>
        <v>0.66252194122028119</v>
      </c>
      <c r="O6754" s="2">
        <f ca="1"/>
        <v>-0.80693620638254426</v>
      </c>
      <c r="X6754" s="2">
        <f ca="1"/>
        <v>59.455103656892874</v>
      </c>
      <c r="AG6754" s="2">
        <f ca="1"/>
        <v>0.52195267151235147</v>
      </c>
      <c r="AH6754" s="2" t="str">
        <f ca="1"/>
        <v>Bad</v>
      </c>
    </row>
    <row r="6755" spans="2:34" x14ac:dyDescent="0.2">
      <c r="B6755" s="2">
        <f ca="1"/>
        <v>0.36500853859484228</v>
      </c>
      <c r="O6755" s="2">
        <f ca="1"/>
        <v>0.97312811113222653</v>
      </c>
      <c r="X6755" s="2">
        <f ca="1"/>
        <v>52.79825577121386</v>
      </c>
      <c r="AG6755" s="2">
        <f ca="1"/>
        <v>0.11413053359133696</v>
      </c>
      <c r="AH6755" s="2" t="str">
        <f ca="1"/>
        <v>OK</v>
      </c>
    </row>
    <row r="6756" spans="2:34" x14ac:dyDescent="0.2">
      <c r="B6756" s="2">
        <f ca="1"/>
        <v>0.31116396596491547</v>
      </c>
      <c r="O6756" s="2">
        <f ca="1"/>
        <v>0.87531257884230684</v>
      </c>
      <c r="X6756" s="2">
        <f ca="1"/>
        <v>39.266157499474794</v>
      </c>
      <c r="AG6756" s="2">
        <f ca="1"/>
        <v>0.67462469091624833</v>
      </c>
      <c r="AH6756" s="2" t="str">
        <f ca="1"/>
        <v>Bad</v>
      </c>
    </row>
    <row r="6757" spans="2:34" x14ac:dyDescent="0.2">
      <c r="B6757" s="2">
        <f ca="1"/>
        <v>0.15728727221542727</v>
      </c>
      <c r="O6757" s="2">
        <f ca="1"/>
        <v>0.96427567343277643</v>
      </c>
      <c r="X6757" s="2">
        <f ca="1"/>
        <v>55.045245822954733</v>
      </c>
      <c r="AG6757" s="2">
        <f ca="1"/>
        <v>0.15871617252603576</v>
      </c>
      <c r="AH6757" s="2" t="str">
        <f ca="1"/>
        <v>OK</v>
      </c>
    </row>
    <row r="6758" spans="2:34" x14ac:dyDescent="0.2">
      <c r="B6758" s="2">
        <f ca="1"/>
        <v>0.34697138827776963</v>
      </c>
      <c r="O6758" s="2">
        <f ca="1"/>
        <v>-1.5728261437858053</v>
      </c>
      <c r="X6758" s="2">
        <f ca="1"/>
        <v>56.112383004051281</v>
      </c>
      <c r="AG6758" s="2">
        <f ca="1"/>
        <v>0.92038558890055366</v>
      </c>
      <c r="AH6758" s="2" t="str">
        <f ca="1"/>
        <v>Bad</v>
      </c>
    </row>
    <row r="6759" spans="2:34" x14ac:dyDescent="0.2">
      <c r="B6759" s="2">
        <f ca="1"/>
        <v>0.44163441647871848</v>
      </c>
      <c r="O6759" s="2">
        <f ca="1"/>
        <v>1.1761323648949149</v>
      </c>
      <c r="X6759" s="2">
        <f ca="1"/>
        <v>32.97741589620361</v>
      </c>
      <c r="AG6759" s="2">
        <f ca="1"/>
        <v>0.3669247822069488</v>
      </c>
      <c r="AH6759" s="2" t="str">
        <f ca="1"/>
        <v>OK</v>
      </c>
    </row>
    <row r="6760" spans="2:34" x14ac:dyDescent="0.2">
      <c r="B6760" s="2">
        <f ca="1"/>
        <v>0.13217962594499055</v>
      </c>
      <c r="O6760" s="2">
        <f ca="1"/>
        <v>-0.87585888201780804</v>
      </c>
      <c r="X6760" s="2">
        <f ca="1"/>
        <v>47.325030968512685</v>
      </c>
      <c r="AG6760" s="2">
        <f ca="1"/>
        <v>0.99770000788139157</v>
      </c>
      <c r="AH6760" s="2" t="str">
        <f ca="1"/>
        <v>Bad</v>
      </c>
    </row>
    <row r="6761" spans="2:34" x14ac:dyDescent="0.2">
      <c r="B6761" s="2">
        <f ca="1"/>
        <v>0.10579210284887086</v>
      </c>
      <c r="O6761" s="2">
        <f ca="1"/>
        <v>0.3287359381418985</v>
      </c>
      <c r="X6761" s="2">
        <f ca="1"/>
        <v>42.827104468138813</v>
      </c>
      <c r="AG6761" s="2">
        <f ca="1"/>
        <v>0.19843341548502158</v>
      </c>
      <c r="AH6761" s="2" t="str">
        <f ca="1"/>
        <v>OK</v>
      </c>
    </row>
    <row r="6762" spans="2:34" x14ac:dyDescent="0.2">
      <c r="B6762" s="2">
        <f ca="1"/>
        <v>0.84073578145714123</v>
      </c>
      <c r="O6762" s="2">
        <f ca="1"/>
        <v>0.22392572145359893</v>
      </c>
      <c r="X6762" s="2">
        <f ca="1"/>
        <v>54.332272965858728</v>
      </c>
      <c r="AG6762" s="2">
        <f ca="1"/>
        <v>0.14859820355767184</v>
      </c>
      <c r="AH6762" s="2" t="str">
        <f ca="1"/>
        <v>OK</v>
      </c>
    </row>
    <row r="6763" spans="2:34" x14ac:dyDescent="0.2">
      <c r="B6763" s="2">
        <f ca="1"/>
        <v>0.75955972334927635</v>
      </c>
      <c r="O6763" s="2">
        <f ca="1"/>
        <v>-0.36786452478613052</v>
      </c>
      <c r="X6763" s="2">
        <f ca="1"/>
        <v>34.508385634524913</v>
      </c>
      <c r="AG6763" s="2">
        <f ca="1"/>
        <v>0.13648931210424231</v>
      </c>
      <c r="AH6763" s="2" t="str">
        <f ca="1"/>
        <v>OK</v>
      </c>
    </row>
    <row r="6764" spans="2:34" x14ac:dyDescent="0.2">
      <c r="B6764" s="2">
        <f ca="1"/>
        <v>0.60214612033391579</v>
      </c>
      <c r="O6764" s="2">
        <f ca="1"/>
        <v>-9.4189685602852874E-2</v>
      </c>
      <c r="X6764" s="2">
        <f ca="1"/>
        <v>27.747577431657309</v>
      </c>
      <c r="AG6764" s="2">
        <f ca="1"/>
        <v>0.88602175481384893</v>
      </c>
      <c r="AH6764" s="2" t="str">
        <f ca="1"/>
        <v>Bad</v>
      </c>
    </row>
    <row r="6765" spans="2:34" x14ac:dyDescent="0.2">
      <c r="B6765" s="2">
        <f ca="1"/>
        <v>0.76306546882029358</v>
      </c>
      <c r="O6765" s="2">
        <f ca="1"/>
        <v>-0.90783773830512982</v>
      </c>
      <c r="X6765" s="2">
        <f ca="1"/>
        <v>66.6785626863212</v>
      </c>
      <c r="AG6765" s="2">
        <f ca="1"/>
        <v>6.5004257454886583E-2</v>
      </c>
      <c r="AH6765" s="2" t="str">
        <f ca="1"/>
        <v>OK</v>
      </c>
    </row>
    <row r="6766" spans="2:34" x14ac:dyDescent="0.2">
      <c r="B6766" s="2">
        <f ca="1"/>
        <v>0.89389668427747804</v>
      </c>
      <c r="O6766" s="2">
        <f ca="1"/>
        <v>-0.62874148844097522</v>
      </c>
      <c r="X6766" s="2">
        <f ca="1"/>
        <v>37.199928748621758</v>
      </c>
      <c r="AG6766" s="2">
        <f ca="1"/>
        <v>0.284740869927262</v>
      </c>
      <c r="AH6766" s="2" t="str">
        <f ca="1"/>
        <v>OK</v>
      </c>
    </row>
    <row r="6767" spans="2:34" x14ac:dyDescent="0.2">
      <c r="B6767" s="2">
        <f ca="1"/>
        <v>0.31769553382029314</v>
      </c>
      <c r="O6767" s="2">
        <f ca="1"/>
        <v>0.20238104399851081</v>
      </c>
      <c r="X6767" s="2">
        <f ca="1"/>
        <v>29.162210621228397</v>
      </c>
      <c r="AG6767" s="2">
        <f ca="1"/>
        <v>0.94243405565504923</v>
      </c>
      <c r="AH6767" s="2" t="str">
        <f ca="1"/>
        <v>Bad</v>
      </c>
    </row>
    <row r="6768" spans="2:34" x14ac:dyDescent="0.2">
      <c r="B6768" s="2">
        <f ca="1"/>
        <v>0.86754990845187918</v>
      </c>
      <c r="O6768" s="2">
        <f ca="1"/>
        <v>-0.36230130237168384</v>
      </c>
      <c r="X6768" s="2">
        <f ca="1"/>
        <v>35.849489254580021</v>
      </c>
      <c r="AG6768" s="2">
        <f ca="1"/>
        <v>0.35239999027064073</v>
      </c>
      <c r="AH6768" s="2" t="str">
        <f ca="1"/>
        <v>OK</v>
      </c>
    </row>
    <row r="6769" spans="2:34" x14ac:dyDescent="0.2">
      <c r="B6769" s="2">
        <f ca="1"/>
        <v>0.919674947825047</v>
      </c>
      <c r="O6769" s="2">
        <f ca="1"/>
        <v>-1.1897682982933755</v>
      </c>
      <c r="X6769" s="2">
        <f ca="1"/>
        <v>40.25121603632067</v>
      </c>
      <c r="AG6769" s="2">
        <f ca="1"/>
        <v>0.90128649933322036</v>
      </c>
      <c r="AH6769" s="2" t="str">
        <f ca="1"/>
        <v>Bad</v>
      </c>
    </row>
    <row r="6770" spans="2:34" x14ac:dyDescent="0.2">
      <c r="B6770" s="2">
        <f ca="1"/>
        <v>0.34388651123297675</v>
      </c>
      <c r="O6770" s="2">
        <f ca="1"/>
        <v>1.6574676900942291</v>
      </c>
      <c r="X6770" s="2">
        <f ca="1"/>
        <v>15.29172844766325</v>
      </c>
      <c r="AG6770" s="2">
        <f ca="1"/>
        <v>0.90356323012468498</v>
      </c>
      <c r="AH6770" s="2" t="str">
        <f ca="1"/>
        <v>Bad</v>
      </c>
    </row>
    <row r="6771" spans="2:34" x14ac:dyDescent="0.2">
      <c r="B6771" s="2">
        <f ca="1"/>
        <v>0.26911504860455371</v>
      </c>
      <c r="O6771" s="2">
        <f ca="1"/>
        <v>0.99304023064339997</v>
      </c>
      <c r="X6771" s="2">
        <f ca="1"/>
        <v>67.40660447224711</v>
      </c>
      <c r="AG6771" s="2">
        <f ca="1"/>
        <v>0.5898582091961615</v>
      </c>
      <c r="AH6771" s="2" t="str">
        <f ca="1"/>
        <v>Bad</v>
      </c>
    </row>
    <row r="6772" spans="2:34" x14ac:dyDescent="0.2">
      <c r="B6772" s="2">
        <f ca="1"/>
        <v>0.31881007394207428</v>
      </c>
      <c r="O6772" s="2">
        <f ca="1"/>
        <v>0.56930096765938476</v>
      </c>
      <c r="X6772" s="2">
        <f ca="1"/>
        <v>41.479995463277682</v>
      </c>
      <c r="AG6772" s="2">
        <f ca="1"/>
        <v>0.97873164017671033</v>
      </c>
      <c r="AH6772" s="2" t="str">
        <f ca="1"/>
        <v>Bad</v>
      </c>
    </row>
    <row r="6773" spans="2:34" x14ac:dyDescent="0.2">
      <c r="B6773" s="2">
        <f ca="1"/>
        <v>0.29885486746654411</v>
      </c>
      <c r="O6773" s="2">
        <f ca="1"/>
        <v>-1.9460630769629805</v>
      </c>
      <c r="X6773" s="2">
        <f ca="1"/>
        <v>49.221983079029172</v>
      </c>
      <c r="AG6773" s="2">
        <f ca="1"/>
        <v>0.65909052595444395</v>
      </c>
      <c r="AH6773" s="2" t="str">
        <f ca="1"/>
        <v>Bad</v>
      </c>
    </row>
    <row r="6774" spans="2:34" x14ac:dyDescent="0.2">
      <c r="B6774" s="2">
        <f ca="1"/>
        <v>0.94770529373742174</v>
      </c>
      <c r="O6774" s="2">
        <f ca="1"/>
        <v>0.19721363462679822</v>
      </c>
      <c r="X6774" s="2">
        <f ca="1"/>
        <v>39.107328448273293</v>
      </c>
      <c r="AG6774" s="2">
        <f ca="1"/>
        <v>0.46357215367599025</v>
      </c>
      <c r="AH6774" s="2" t="str">
        <f ca="1"/>
        <v>Bad</v>
      </c>
    </row>
    <row r="6775" spans="2:34" x14ac:dyDescent="0.2">
      <c r="B6775" s="2">
        <f ca="1"/>
        <v>0.56926583705274481</v>
      </c>
      <c r="O6775" s="2">
        <f ca="1"/>
        <v>0.29334287415336513</v>
      </c>
      <c r="X6775" s="2">
        <f ca="1"/>
        <v>57.233005780553057</v>
      </c>
      <c r="AG6775" s="2">
        <f ca="1"/>
        <v>0.4181983727792975</v>
      </c>
      <c r="AH6775" s="2" t="str">
        <f ca="1"/>
        <v>Bad</v>
      </c>
    </row>
    <row r="6776" spans="2:34" x14ac:dyDescent="0.2">
      <c r="B6776" s="2">
        <f ca="1"/>
        <v>0.18132669035113036</v>
      </c>
      <c r="O6776" s="2">
        <f ca="1"/>
        <v>0.88227923012535758</v>
      </c>
      <c r="X6776" s="2">
        <f ca="1"/>
        <v>78.739411407506537</v>
      </c>
      <c r="AG6776" s="2">
        <f ca="1"/>
        <v>0.90867373086458625</v>
      </c>
      <c r="AH6776" s="2" t="str">
        <f ca="1"/>
        <v>Bad</v>
      </c>
    </row>
    <row r="6777" spans="2:34" x14ac:dyDescent="0.2">
      <c r="B6777" s="2">
        <f ca="1"/>
        <v>6.3919987026211933E-2</v>
      </c>
      <c r="O6777" s="2">
        <f ca="1"/>
        <v>-0.72630328605210837</v>
      </c>
      <c r="X6777" s="2">
        <f ca="1"/>
        <v>73.420393192236432</v>
      </c>
      <c r="AG6777" s="2">
        <f ca="1"/>
        <v>0.85795819626695979</v>
      </c>
      <c r="AH6777" s="2" t="str">
        <f ca="1"/>
        <v>Bad</v>
      </c>
    </row>
    <row r="6778" spans="2:34" x14ac:dyDescent="0.2">
      <c r="B6778" s="2">
        <f ca="1"/>
        <v>0.20732538362108155</v>
      </c>
      <c r="O6778" s="2">
        <f ca="1"/>
        <v>-0.83189657476614487</v>
      </c>
      <c r="X6778" s="2">
        <f ca="1"/>
        <v>84.2193783060996</v>
      </c>
      <c r="AG6778" s="2">
        <f ca="1"/>
        <v>0.71853378621498321</v>
      </c>
      <c r="AH6778" s="2" t="str">
        <f ca="1"/>
        <v>Bad</v>
      </c>
    </row>
    <row r="6779" spans="2:34" x14ac:dyDescent="0.2">
      <c r="B6779" s="2">
        <f ca="1"/>
        <v>0.60149087463128059</v>
      </c>
      <c r="O6779" s="2">
        <f ca="1"/>
        <v>-9.1623407335723564E-2</v>
      </c>
      <c r="X6779" s="2">
        <f ca="1"/>
        <v>73.334391139166812</v>
      </c>
      <c r="AG6779" s="2">
        <f ca="1"/>
        <v>0.97038788345393323</v>
      </c>
      <c r="AH6779" s="2" t="str">
        <f ca="1"/>
        <v>Bad</v>
      </c>
    </row>
    <row r="6780" spans="2:34" x14ac:dyDescent="0.2">
      <c r="B6780" s="2">
        <f ca="1"/>
        <v>0.47601242268338284</v>
      </c>
      <c r="O6780" s="2">
        <f ca="1"/>
        <v>-0.7184566779684457</v>
      </c>
      <c r="X6780" s="2">
        <f ca="1"/>
        <v>47.677382895171604</v>
      </c>
      <c r="AG6780" s="2">
        <f ca="1"/>
        <v>0.79248377710067697</v>
      </c>
      <c r="AH6780" s="2" t="str">
        <f ca="1"/>
        <v>Bad</v>
      </c>
    </row>
    <row r="6781" spans="2:34" x14ac:dyDescent="0.2">
      <c r="B6781" s="2">
        <f ca="1"/>
        <v>0.96657667786819279</v>
      </c>
      <c r="O6781" s="2">
        <f ca="1"/>
        <v>-0.6501508831445032</v>
      </c>
      <c r="X6781" s="2">
        <f ca="1"/>
        <v>57.803899862095271</v>
      </c>
      <c r="AG6781" s="2">
        <f ca="1"/>
        <v>0.32418236474201789</v>
      </c>
      <c r="AH6781" s="2" t="str">
        <f ca="1"/>
        <v>OK</v>
      </c>
    </row>
    <row r="6782" spans="2:34" x14ac:dyDescent="0.2">
      <c r="B6782" s="2">
        <f ca="1"/>
        <v>9.5293755076319098E-2</v>
      </c>
      <c r="O6782" s="2">
        <f ca="1"/>
        <v>0.30563970571584437</v>
      </c>
      <c r="X6782" s="2">
        <f ca="1"/>
        <v>40.0359752376907</v>
      </c>
      <c r="AG6782" s="2">
        <f ca="1"/>
        <v>0.5654989760149578</v>
      </c>
      <c r="AH6782" s="2" t="str">
        <f ca="1"/>
        <v>Bad</v>
      </c>
    </row>
    <row r="6783" spans="2:34" x14ac:dyDescent="0.2">
      <c r="B6783" s="2">
        <f ca="1"/>
        <v>0.51000458621460965</v>
      </c>
      <c r="O6783" s="2">
        <f ca="1"/>
        <v>-1.2792804008635739</v>
      </c>
      <c r="X6783" s="2">
        <f ca="1"/>
        <v>49.715111157303873</v>
      </c>
      <c r="AG6783" s="2">
        <f ca="1"/>
        <v>0.88746040572610352</v>
      </c>
      <c r="AH6783" s="2" t="str">
        <f ca="1"/>
        <v>Bad</v>
      </c>
    </row>
    <row r="6784" spans="2:34" x14ac:dyDescent="0.2">
      <c r="B6784" s="2">
        <f ca="1"/>
        <v>0.37827508895147632</v>
      </c>
      <c r="O6784" s="2">
        <f ca="1"/>
        <v>0.51616065824510993</v>
      </c>
      <c r="X6784" s="2">
        <f ca="1"/>
        <v>47.54072521218621</v>
      </c>
      <c r="AG6784" s="2">
        <f ca="1"/>
        <v>0.31959400550512074</v>
      </c>
      <c r="AH6784" s="2" t="str">
        <f ca="1"/>
        <v>OK</v>
      </c>
    </row>
    <row r="6785" spans="2:34" x14ac:dyDescent="0.2">
      <c r="B6785" s="2">
        <f ca="1"/>
        <v>0.15225997526522805</v>
      </c>
      <c r="O6785" s="2">
        <f ca="1"/>
        <v>-0.62959885673111349</v>
      </c>
      <c r="X6785" s="2">
        <f ca="1"/>
        <v>21.055890341275834</v>
      </c>
      <c r="AG6785" s="2">
        <f ca="1"/>
        <v>8.2761234581028464E-2</v>
      </c>
      <c r="AH6785" s="2" t="str">
        <f ca="1"/>
        <v>OK</v>
      </c>
    </row>
    <row r="6786" spans="2:34" x14ac:dyDescent="0.2">
      <c r="B6786" s="2">
        <f ca="1"/>
        <v>0.674188874201612</v>
      </c>
      <c r="O6786" s="2">
        <f ca="1"/>
        <v>-0.21235026999507672</v>
      </c>
      <c r="X6786" s="2">
        <f ca="1"/>
        <v>67.847260813321441</v>
      </c>
      <c r="AG6786" s="2">
        <f ca="1"/>
        <v>0.41895468357139576</v>
      </c>
      <c r="AH6786" s="2" t="str">
        <f ca="1"/>
        <v>Bad</v>
      </c>
    </row>
    <row r="6787" spans="2:34" x14ac:dyDescent="0.2">
      <c r="B6787" s="2">
        <f ca="1"/>
        <v>0.94860862131161139</v>
      </c>
      <c r="O6787" s="2">
        <f ca="1"/>
        <v>-0.36057729354801871</v>
      </c>
      <c r="X6787" s="2">
        <f ca="1"/>
        <v>43.230280689797894</v>
      </c>
      <c r="AG6787" s="2">
        <f ca="1"/>
        <v>0.33887538404224382</v>
      </c>
      <c r="AH6787" s="2" t="str">
        <f ca="1"/>
        <v>OK</v>
      </c>
    </row>
    <row r="6788" spans="2:34" x14ac:dyDescent="0.2">
      <c r="B6788" s="2">
        <f ca="1"/>
        <v>0.18001873756137332</v>
      </c>
      <c r="O6788" s="2">
        <f ca="1"/>
        <v>2.113268242394327</v>
      </c>
      <c r="X6788" s="2">
        <f ca="1"/>
        <v>50.016956079689969</v>
      </c>
      <c r="AG6788" s="2">
        <f ca="1"/>
        <v>0.70274033410880321</v>
      </c>
      <c r="AH6788" s="2" t="str">
        <f ca="1"/>
        <v>Bad</v>
      </c>
    </row>
    <row r="6789" spans="2:34" x14ac:dyDescent="0.2">
      <c r="B6789" s="2">
        <f ca="1"/>
        <v>0.75067912620057409</v>
      </c>
      <c r="O6789" s="2">
        <f ca="1"/>
        <v>0.91480224787494868</v>
      </c>
      <c r="X6789" s="2">
        <f ca="1"/>
        <v>57.105763009199904</v>
      </c>
      <c r="AG6789" s="2">
        <f ca="1"/>
        <v>0.52881642727030265</v>
      </c>
      <c r="AH6789" s="2" t="str">
        <f ca="1"/>
        <v>Bad</v>
      </c>
    </row>
    <row r="6790" spans="2:34" x14ac:dyDescent="0.2">
      <c r="B6790" s="2">
        <f ca="1"/>
        <v>2.9545777841512022E-2</v>
      </c>
      <c r="O6790" s="2">
        <f ca="1"/>
        <v>-1.2071603164602509</v>
      </c>
      <c r="X6790" s="2">
        <f ca="1"/>
        <v>67.711179481897886</v>
      </c>
      <c r="AG6790" s="2">
        <f ca="1"/>
        <v>0.74033561916687107</v>
      </c>
      <c r="AH6790" s="2" t="str">
        <f ca="1"/>
        <v>Bad</v>
      </c>
    </row>
    <row r="6791" spans="2:34" x14ac:dyDescent="0.2">
      <c r="B6791" s="2">
        <f ca="1"/>
        <v>0.25343041333197713</v>
      </c>
      <c r="O6791" s="2">
        <f ca="1"/>
        <v>-0.14399897105373174</v>
      </c>
      <c r="X6791" s="2">
        <f ca="1"/>
        <v>39.249610434754622</v>
      </c>
      <c r="AG6791" s="2">
        <f ca="1"/>
        <v>0.17528243045191383</v>
      </c>
      <c r="AH6791" s="2" t="str">
        <f ca="1"/>
        <v>OK</v>
      </c>
    </row>
    <row r="6792" spans="2:34" x14ac:dyDescent="0.2">
      <c r="B6792" s="2">
        <f ca="1"/>
        <v>0.77864842889338215</v>
      </c>
      <c r="O6792" s="2">
        <f ca="1"/>
        <v>-0.570407101317707</v>
      </c>
      <c r="X6792" s="2">
        <f ca="1"/>
        <v>52.842107470710644</v>
      </c>
      <c r="AG6792" s="2">
        <f ca="1"/>
        <v>2.6186999635054109E-2</v>
      </c>
      <c r="AH6792" s="2" t="str">
        <f ca="1"/>
        <v>Good</v>
      </c>
    </row>
    <row r="6793" spans="2:34" x14ac:dyDescent="0.2">
      <c r="B6793" s="2">
        <f ca="1"/>
        <v>0.29619375174526441</v>
      </c>
      <c r="O6793" s="2">
        <f ca="1"/>
        <v>0.13235371582044417</v>
      </c>
      <c r="X6793" s="2">
        <f ca="1"/>
        <v>63.652195243255754</v>
      </c>
      <c r="AG6793" s="2">
        <f ca="1"/>
        <v>0.73278155874058037</v>
      </c>
      <c r="AH6793" s="2" t="str">
        <f ca="1"/>
        <v>Bad</v>
      </c>
    </row>
    <row r="6794" spans="2:34" x14ac:dyDescent="0.2">
      <c r="B6794" s="2">
        <f ca="1"/>
        <v>2.1033096684486274E-2</v>
      </c>
      <c r="O6794" s="2">
        <f ca="1"/>
        <v>-1.7311789381866576</v>
      </c>
      <c r="X6794" s="2">
        <f ca="1"/>
        <v>48.434778994145624</v>
      </c>
      <c r="AG6794" s="2">
        <f ca="1"/>
        <v>0.26373274287581228</v>
      </c>
      <c r="AH6794" s="2" t="str">
        <f ca="1"/>
        <v>OK</v>
      </c>
    </row>
    <row r="6795" spans="2:34" x14ac:dyDescent="0.2">
      <c r="B6795" s="2">
        <f ca="1"/>
        <v>0.21535659805769303</v>
      </c>
      <c r="O6795" s="2">
        <f ca="1"/>
        <v>0.62685586565445806</v>
      </c>
      <c r="X6795" s="2">
        <f ca="1"/>
        <v>32.146522656475327</v>
      </c>
      <c r="AG6795" s="2">
        <f ca="1"/>
        <v>0.96768695460167509</v>
      </c>
      <c r="AH6795" s="2" t="str">
        <f ca="1"/>
        <v>Bad</v>
      </c>
    </row>
    <row r="6796" spans="2:34" x14ac:dyDescent="0.2">
      <c r="B6796" s="2">
        <f ca="1"/>
        <v>0.96361030424909999</v>
      </c>
      <c r="O6796" s="2">
        <f ca="1"/>
        <v>-1.0687169351244512</v>
      </c>
      <c r="X6796" s="2">
        <f ca="1"/>
        <v>48.666745895916961</v>
      </c>
      <c r="AG6796" s="2">
        <f ca="1"/>
        <v>0.43149997223849401</v>
      </c>
      <c r="AH6796" s="2" t="str">
        <f ca="1"/>
        <v>Bad</v>
      </c>
    </row>
    <row r="6797" spans="2:34" x14ac:dyDescent="0.2">
      <c r="B6797" s="2">
        <f ca="1"/>
        <v>0.82360014112410052</v>
      </c>
      <c r="O6797" s="2">
        <f ca="1"/>
        <v>-1.0179111193567931</v>
      </c>
      <c r="X6797" s="2">
        <f ca="1"/>
        <v>59.539297903523092</v>
      </c>
      <c r="AG6797" s="2">
        <f ca="1"/>
        <v>0.96974393725993679</v>
      </c>
      <c r="AH6797" s="2" t="str">
        <f ca="1"/>
        <v>Bad</v>
      </c>
    </row>
    <row r="6798" spans="2:34" x14ac:dyDescent="0.2">
      <c r="B6798" s="2">
        <f ca="1"/>
        <v>0.68765188629741192</v>
      </c>
      <c r="O6798" s="2">
        <f ca="1"/>
        <v>0.45471860819816107</v>
      </c>
      <c r="X6798" s="2">
        <f ca="1"/>
        <v>54.891388335621365</v>
      </c>
      <c r="AG6798" s="2">
        <f ca="1"/>
        <v>2.9344044411199866E-2</v>
      </c>
      <c r="AH6798" s="2" t="str">
        <f ca="1"/>
        <v>Good</v>
      </c>
    </row>
    <row r="6799" spans="2:34" x14ac:dyDescent="0.2">
      <c r="B6799" s="2">
        <f ca="1"/>
        <v>0.61380294708316585</v>
      </c>
      <c r="O6799" s="2">
        <f ca="1"/>
        <v>1.0883347930075966</v>
      </c>
      <c r="X6799" s="2">
        <f ca="1"/>
        <v>29.649608949682928</v>
      </c>
      <c r="AG6799" s="2">
        <f ca="1"/>
        <v>3.0874209271422925E-2</v>
      </c>
      <c r="AH6799" s="2" t="str">
        <f ca="1"/>
        <v>Good</v>
      </c>
    </row>
    <row r="6800" spans="2:34" x14ac:dyDescent="0.2">
      <c r="B6800" s="2">
        <f ca="1"/>
        <v>0.91820010063511415</v>
      </c>
      <c r="O6800" s="2">
        <f ca="1"/>
        <v>-0.47671548679925363</v>
      </c>
      <c r="X6800" s="2">
        <f ca="1"/>
        <v>49.828936445070397</v>
      </c>
      <c r="AG6800" s="2">
        <f ca="1"/>
        <v>0.50300072005238761</v>
      </c>
      <c r="AH6800" s="2" t="str">
        <f ca="1"/>
        <v>Bad</v>
      </c>
    </row>
    <row r="6801" spans="2:34" x14ac:dyDescent="0.2">
      <c r="B6801" s="2">
        <f ca="1"/>
        <v>0.3063691945708642</v>
      </c>
      <c r="O6801" s="2">
        <f ca="1"/>
        <v>0.6366771328610441</v>
      </c>
      <c r="X6801" s="2">
        <f ca="1"/>
        <v>89.310431655093524</v>
      </c>
      <c r="AG6801" s="2">
        <f ca="1"/>
        <v>0.44815608569912579</v>
      </c>
      <c r="AH6801" s="2" t="str">
        <f ca="1"/>
        <v>Bad</v>
      </c>
    </row>
    <row r="6802" spans="2:34" x14ac:dyDescent="0.2">
      <c r="B6802" s="2">
        <f ca="1"/>
        <v>0.88278145562070853</v>
      </c>
      <c r="O6802" s="2">
        <f ca="1"/>
        <v>-0.39273130817294427</v>
      </c>
      <c r="X6802" s="2">
        <f ca="1"/>
        <v>29.073789644853633</v>
      </c>
      <c r="AG6802" s="2">
        <f ca="1"/>
        <v>1.3648014946405329E-2</v>
      </c>
      <c r="AH6802" s="2" t="str">
        <f ca="1"/>
        <v>Good</v>
      </c>
    </row>
    <row r="6803" spans="2:34" x14ac:dyDescent="0.2">
      <c r="B6803" s="2">
        <f ca="1"/>
        <v>0.28091025346748588</v>
      </c>
      <c r="O6803" s="2">
        <f ca="1"/>
        <v>-0.93303224517363481</v>
      </c>
      <c r="X6803" s="2">
        <f ca="1"/>
        <v>40.792285055453092</v>
      </c>
      <c r="AG6803" s="2">
        <f ca="1"/>
        <v>0.52793419816247744</v>
      </c>
      <c r="AH6803" s="2" t="str">
        <f ca="1"/>
        <v>Bad</v>
      </c>
    </row>
    <row r="6804" spans="2:34" x14ac:dyDescent="0.2">
      <c r="B6804" s="2">
        <f ca="1"/>
        <v>6.1879787815852572E-2</v>
      </c>
      <c r="O6804" s="2">
        <f ca="1"/>
        <v>0.51950674651845452</v>
      </c>
      <c r="X6804" s="2">
        <f ca="1"/>
        <v>74.292297039120484</v>
      </c>
      <c r="AG6804" s="2">
        <f ca="1"/>
        <v>0.31123069262681646</v>
      </c>
      <c r="AH6804" s="2" t="str">
        <f ca="1"/>
        <v>OK</v>
      </c>
    </row>
    <row r="6805" spans="2:34" x14ac:dyDescent="0.2">
      <c r="B6805" s="2">
        <f ca="1"/>
        <v>0.16040583125607744</v>
      </c>
      <c r="O6805" s="2">
        <f ca="1"/>
        <v>-0.79071037424124579</v>
      </c>
      <c r="X6805" s="2">
        <f ca="1"/>
        <v>49.687287094779009</v>
      </c>
      <c r="AG6805" s="2">
        <f ca="1"/>
        <v>0.55247661781093083</v>
      </c>
      <c r="AH6805" s="2" t="str">
        <f ca="1"/>
        <v>Bad</v>
      </c>
    </row>
    <row r="6806" spans="2:34" x14ac:dyDescent="0.2">
      <c r="B6806" s="2">
        <f ca="1"/>
        <v>0.46094155636490597</v>
      </c>
      <c r="O6806" s="2">
        <f ca="1"/>
        <v>1.3488509993641196</v>
      </c>
      <c r="X6806" s="2">
        <f ca="1"/>
        <v>25.444522874351783</v>
      </c>
      <c r="AG6806" s="2">
        <f ca="1"/>
        <v>0.36903451557343003</v>
      </c>
      <c r="AH6806" s="2" t="str">
        <f ca="1"/>
        <v>OK</v>
      </c>
    </row>
    <row r="6807" spans="2:34" x14ac:dyDescent="0.2">
      <c r="B6807" s="2">
        <f ca="1"/>
        <v>0.75626757008215617</v>
      </c>
      <c r="O6807" s="2">
        <f ca="1"/>
        <v>-2.2903799112606822</v>
      </c>
      <c r="X6807" s="2">
        <f ca="1"/>
        <v>59.732901022854101</v>
      </c>
      <c r="AG6807" s="2">
        <f ca="1"/>
        <v>0.84123696015500271</v>
      </c>
      <c r="AH6807" s="2" t="str">
        <f ca="1"/>
        <v>Bad</v>
      </c>
    </row>
    <row r="6808" spans="2:34" x14ac:dyDescent="0.2">
      <c r="B6808" s="2">
        <f ca="1"/>
        <v>0.82709953134980818</v>
      </c>
      <c r="O6808" s="2">
        <f ca="1"/>
        <v>-9.4383282043961861E-2</v>
      </c>
      <c r="X6808" s="2">
        <f ca="1"/>
        <v>44.449982941144967</v>
      </c>
      <c r="AG6808" s="2">
        <f ca="1"/>
        <v>0.24170491916587933</v>
      </c>
      <c r="AH6808" s="2" t="str">
        <f ca="1"/>
        <v>OK</v>
      </c>
    </row>
    <row r="6809" spans="2:34" x14ac:dyDescent="0.2">
      <c r="B6809" s="2">
        <f ca="1"/>
        <v>0.78773452507479891</v>
      </c>
      <c r="O6809" s="2">
        <f ca="1"/>
        <v>-7.6948684817923746E-2</v>
      </c>
      <c r="X6809" s="2">
        <f ca="1"/>
        <v>40.474592543477605</v>
      </c>
      <c r="AG6809" s="2">
        <f ca="1"/>
        <v>0.56645433320120508</v>
      </c>
      <c r="AH6809" s="2" t="str">
        <f ca="1"/>
        <v>Bad</v>
      </c>
    </row>
    <row r="6810" spans="2:34" x14ac:dyDescent="0.2">
      <c r="B6810" s="2">
        <f ca="1"/>
        <v>0.20817151786916921</v>
      </c>
      <c r="O6810" s="2">
        <f ca="1"/>
        <v>-1.0100485494569069</v>
      </c>
      <c r="X6810" s="2">
        <f ca="1"/>
        <v>51.786780937627064</v>
      </c>
      <c r="AG6810" s="2">
        <f ca="1"/>
        <v>0.1934800889966497</v>
      </c>
      <c r="AH6810" s="2" t="str">
        <f ca="1"/>
        <v>OK</v>
      </c>
    </row>
    <row r="6811" spans="2:34" x14ac:dyDescent="0.2">
      <c r="B6811" s="2">
        <f ca="1"/>
        <v>0.10425503834133321</v>
      </c>
      <c r="O6811" s="2">
        <f ca="1"/>
        <v>-0.67263415907159685</v>
      </c>
      <c r="X6811" s="2">
        <f ca="1"/>
        <v>50.996406576649669</v>
      </c>
      <c r="AG6811" s="2">
        <f ca="1"/>
        <v>0.54501140688491345</v>
      </c>
      <c r="AH6811" s="2" t="str">
        <f ca="1"/>
        <v>Bad</v>
      </c>
    </row>
    <row r="6812" spans="2:34" x14ac:dyDescent="0.2">
      <c r="B6812" s="2">
        <f ca="1"/>
        <v>0.85427297591187701</v>
      </c>
      <c r="O6812" s="2">
        <f ca="1"/>
        <v>1.3545612984202882</v>
      </c>
      <c r="X6812" s="2">
        <f ca="1"/>
        <v>46.652763976049897</v>
      </c>
      <c r="AG6812" s="2">
        <f ca="1"/>
        <v>0.78066264387898454</v>
      </c>
      <c r="AH6812" s="2" t="str">
        <f ca="1"/>
        <v>Bad</v>
      </c>
    </row>
    <row r="6813" spans="2:34" x14ac:dyDescent="0.2">
      <c r="B6813" s="2">
        <f ca="1"/>
        <v>7.0594194458368786E-3</v>
      </c>
      <c r="O6813" s="2">
        <f ca="1"/>
        <v>1.1401303314126714</v>
      </c>
      <c r="X6813" s="2">
        <f ca="1"/>
        <v>43.609241577890216</v>
      </c>
      <c r="AG6813" s="2">
        <f ca="1"/>
        <v>0.56106367875021501</v>
      </c>
      <c r="AH6813" s="2" t="str">
        <f ca="1"/>
        <v>Bad</v>
      </c>
    </row>
    <row r="6814" spans="2:34" x14ac:dyDescent="0.2">
      <c r="B6814" s="2">
        <f ca="1"/>
        <v>0.71629050244206915</v>
      </c>
      <c r="O6814" s="2">
        <f ca="1"/>
        <v>0.40395547618374128</v>
      </c>
      <c r="X6814" s="2">
        <f ca="1"/>
        <v>84.169420146276991</v>
      </c>
      <c r="AG6814" s="2">
        <f ca="1"/>
        <v>0.18443750647759227</v>
      </c>
      <c r="AH6814" s="2" t="str">
        <f ca="1"/>
        <v>OK</v>
      </c>
    </row>
    <row r="6815" spans="2:34" x14ac:dyDescent="0.2">
      <c r="B6815" s="2">
        <f ca="1"/>
        <v>0.32641740293480348</v>
      </c>
      <c r="O6815" s="2">
        <f ca="1"/>
        <v>0.85084876333597403</v>
      </c>
      <c r="X6815" s="2">
        <f ca="1"/>
        <v>30.536651664106881</v>
      </c>
      <c r="AG6815" s="2">
        <f ca="1"/>
        <v>0.82612998378549296</v>
      </c>
      <c r="AH6815" s="2" t="str">
        <f ca="1"/>
        <v>Bad</v>
      </c>
    </row>
    <row r="6816" spans="2:34" x14ac:dyDescent="0.2">
      <c r="B6816" s="2">
        <f ca="1"/>
        <v>0.89244029036061634</v>
      </c>
      <c r="O6816" s="2">
        <f ca="1"/>
        <v>-1.7667110290669146</v>
      </c>
      <c r="X6816" s="2">
        <f ca="1"/>
        <v>51.186487577145634</v>
      </c>
      <c r="AG6816" s="2">
        <f ca="1"/>
        <v>0.58073963757563907</v>
      </c>
      <c r="AH6816" s="2" t="str">
        <f ca="1"/>
        <v>Bad</v>
      </c>
    </row>
    <row r="6817" spans="2:34" x14ac:dyDescent="0.2">
      <c r="B6817" s="2">
        <f ca="1"/>
        <v>0.15129540689322596</v>
      </c>
      <c r="O6817" s="2">
        <f ca="1"/>
        <v>0.49570035743546564</v>
      </c>
      <c r="X6817" s="2">
        <f ca="1"/>
        <v>65.507976124799768</v>
      </c>
      <c r="AG6817" s="2">
        <f ca="1"/>
        <v>0.18088714423159602</v>
      </c>
      <c r="AH6817" s="2" t="str">
        <f ca="1"/>
        <v>OK</v>
      </c>
    </row>
    <row r="6818" spans="2:34" x14ac:dyDescent="0.2">
      <c r="B6818" s="2">
        <f ca="1"/>
        <v>3.4470684915192784E-2</v>
      </c>
      <c r="O6818" s="2">
        <f ca="1"/>
        <v>1.3111756104723313</v>
      </c>
      <c r="X6818" s="2">
        <f ca="1"/>
        <v>37.254383368636951</v>
      </c>
      <c r="AG6818" s="2">
        <f ca="1"/>
        <v>0.91294896338774301</v>
      </c>
      <c r="AH6818" s="2" t="str">
        <f ca="1"/>
        <v>Bad</v>
      </c>
    </row>
    <row r="6819" spans="2:34" x14ac:dyDescent="0.2">
      <c r="B6819" s="2">
        <f ca="1"/>
        <v>0.8860360151113067</v>
      </c>
      <c r="O6819" s="2">
        <f ca="1"/>
        <v>1.1694794144238188</v>
      </c>
      <c r="X6819" s="2">
        <f ca="1"/>
        <v>70.905220747120538</v>
      </c>
      <c r="AG6819" s="2">
        <f ca="1"/>
        <v>0.27396617436459625</v>
      </c>
      <c r="AH6819" s="2" t="str">
        <f ca="1"/>
        <v>OK</v>
      </c>
    </row>
    <row r="6820" spans="2:34" x14ac:dyDescent="0.2">
      <c r="B6820" s="2">
        <f ca="1"/>
        <v>0.76476075383170317</v>
      </c>
      <c r="O6820" s="2">
        <f ca="1"/>
        <v>-1.539605575393109</v>
      </c>
      <c r="X6820" s="2">
        <f ca="1"/>
        <v>85.155173911506068</v>
      </c>
      <c r="AG6820" s="2">
        <f ca="1"/>
        <v>0.58222803749274066</v>
      </c>
      <c r="AH6820" s="2" t="str">
        <f ca="1"/>
        <v>Bad</v>
      </c>
    </row>
    <row r="6821" spans="2:34" x14ac:dyDescent="0.2">
      <c r="B6821" s="2">
        <f ca="1"/>
        <v>0.49169661055331804</v>
      </c>
      <c r="O6821" s="2">
        <f ca="1"/>
        <v>-4.7430487938050561E-2</v>
      </c>
      <c r="X6821" s="2">
        <f ca="1"/>
        <v>36.584840811140971</v>
      </c>
      <c r="AG6821" s="2">
        <f ca="1"/>
        <v>0.90413939370580598</v>
      </c>
      <c r="AH6821" s="2" t="str">
        <f ca="1"/>
        <v>Bad</v>
      </c>
    </row>
    <row r="6822" spans="2:34" x14ac:dyDescent="0.2">
      <c r="B6822" s="2">
        <f ca="1"/>
        <v>0.6556903688025193</v>
      </c>
      <c r="O6822" s="2">
        <f ca="1"/>
        <v>-0.3090196081594101</v>
      </c>
      <c r="X6822" s="2">
        <f ca="1"/>
        <v>36.275507569953902</v>
      </c>
      <c r="AG6822" s="2">
        <f ca="1"/>
        <v>0.4233087128757127</v>
      </c>
      <c r="AH6822" s="2" t="str">
        <f ca="1"/>
        <v>Bad</v>
      </c>
    </row>
    <row r="6823" spans="2:34" x14ac:dyDescent="0.2">
      <c r="B6823" s="2">
        <f ca="1"/>
        <v>0.69621723506057531</v>
      </c>
      <c r="O6823" s="2">
        <f ca="1"/>
        <v>1.0594077186128104</v>
      </c>
      <c r="X6823" s="2">
        <f ca="1"/>
        <v>54.048825921641388</v>
      </c>
      <c r="AG6823" s="2">
        <f ca="1"/>
        <v>0.4610176804961732</v>
      </c>
      <c r="AH6823" s="2" t="str">
        <f ca="1"/>
        <v>Bad</v>
      </c>
    </row>
    <row r="6824" spans="2:34" x14ac:dyDescent="0.2">
      <c r="B6824" s="2">
        <f ca="1"/>
        <v>0.99936710234773241</v>
      </c>
      <c r="O6824" s="2">
        <f ca="1"/>
        <v>1.0889763929669931</v>
      </c>
      <c r="X6824" s="2">
        <f ca="1"/>
        <v>37.387871153416</v>
      </c>
      <c r="AG6824" s="2">
        <f ca="1"/>
        <v>0.31523110995031289</v>
      </c>
      <c r="AH6824" s="2" t="str">
        <f ca="1"/>
        <v>OK</v>
      </c>
    </row>
    <row r="6825" spans="2:34" x14ac:dyDescent="0.2">
      <c r="B6825" s="2">
        <f ca="1"/>
        <v>0.61546254649734555</v>
      </c>
      <c r="O6825" s="2">
        <f ca="1"/>
        <v>-1.1263533922991176</v>
      </c>
      <c r="X6825" s="2">
        <f ca="1"/>
        <v>48.13483272153313</v>
      </c>
      <c r="AG6825" s="2">
        <f ca="1"/>
        <v>0.72054774494859308</v>
      </c>
      <c r="AH6825" s="2" t="str">
        <f ca="1"/>
        <v>Bad</v>
      </c>
    </row>
    <row r="6826" spans="2:34" x14ac:dyDescent="0.2">
      <c r="B6826" s="2">
        <f ca="1"/>
        <v>0.58280986079302077</v>
      </c>
      <c r="O6826" s="2">
        <f ca="1"/>
        <v>-1.5043403924648548</v>
      </c>
      <c r="X6826" s="2">
        <f ca="1"/>
        <v>54.789765750071631</v>
      </c>
      <c r="AG6826" s="2">
        <f ca="1"/>
        <v>4.244477117396328E-2</v>
      </c>
      <c r="AH6826" s="2" t="str">
        <f ca="1"/>
        <v>Good</v>
      </c>
    </row>
    <row r="6827" spans="2:34" x14ac:dyDescent="0.2">
      <c r="B6827" s="2">
        <f ca="1"/>
        <v>0.7991793890750678</v>
      </c>
      <c r="O6827" s="2">
        <f ca="1"/>
        <v>1.3687159150566603</v>
      </c>
      <c r="X6827" s="2">
        <f ca="1"/>
        <v>21.793071505222091</v>
      </c>
      <c r="AG6827" s="2">
        <f ca="1"/>
        <v>0.69219070639311364</v>
      </c>
      <c r="AH6827" s="2" t="str">
        <f ca="1"/>
        <v>Bad</v>
      </c>
    </row>
    <row r="6828" spans="2:34" x14ac:dyDescent="0.2">
      <c r="B6828" s="2">
        <f ca="1"/>
        <v>0.10052359018565094</v>
      </c>
      <c r="O6828" s="2">
        <f ca="1"/>
        <v>0.66962406082856396</v>
      </c>
      <c r="X6828" s="2">
        <f ca="1"/>
        <v>35.856048008656131</v>
      </c>
      <c r="AG6828" s="2">
        <f ca="1"/>
        <v>0.51911700113372872</v>
      </c>
      <c r="AH6828" s="2" t="str">
        <f ca="1"/>
        <v>Bad</v>
      </c>
    </row>
    <row r="6829" spans="2:34" x14ac:dyDescent="0.2">
      <c r="B6829" s="2">
        <f ca="1"/>
        <v>4.2538181983741818E-2</v>
      </c>
      <c r="O6829" s="2">
        <f ca="1"/>
        <v>-0.95785530788035367</v>
      </c>
      <c r="X6829" s="2">
        <f ca="1"/>
        <v>37.226793924079729</v>
      </c>
      <c r="AG6829" s="2">
        <f ca="1"/>
        <v>0.69308800503268198</v>
      </c>
      <c r="AH6829" s="2" t="str">
        <f ca="1"/>
        <v>Bad</v>
      </c>
    </row>
    <row r="6830" spans="2:34" x14ac:dyDescent="0.2">
      <c r="B6830" s="2">
        <f ca="1"/>
        <v>0.24943297488644633</v>
      </c>
      <c r="O6830" s="2">
        <f ca="1"/>
        <v>0.98806037489323639</v>
      </c>
      <c r="X6830" s="2">
        <f ca="1"/>
        <v>55.46625729378804</v>
      </c>
      <c r="AG6830" s="2">
        <f ca="1"/>
        <v>0.87682605060814778</v>
      </c>
      <c r="AH6830" s="2" t="str">
        <f ca="1"/>
        <v>Bad</v>
      </c>
    </row>
    <row r="6831" spans="2:34" x14ac:dyDescent="0.2">
      <c r="B6831" s="2">
        <f ca="1"/>
        <v>0.41935891287110993</v>
      </c>
      <c r="O6831" s="2">
        <f ca="1"/>
        <v>0.81404873056537075</v>
      </c>
      <c r="X6831" s="2">
        <f ca="1"/>
        <v>54.930301111661066</v>
      </c>
      <c r="AG6831" s="2">
        <f ca="1"/>
        <v>0.98722032356457912</v>
      </c>
      <c r="AH6831" s="2" t="str">
        <f ca="1"/>
        <v>Bad</v>
      </c>
    </row>
    <row r="6832" spans="2:34" x14ac:dyDescent="0.2">
      <c r="B6832" s="2">
        <f ca="1"/>
        <v>0.56469911712201259</v>
      </c>
      <c r="O6832" s="2">
        <f ca="1"/>
        <v>0.83245245077140817</v>
      </c>
      <c r="X6832" s="2">
        <f ca="1"/>
        <v>36.106154080686444</v>
      </c>
      <c r="AG6832" s="2">
        <f ca="1"/>
        <v>0.97976405510365727</v>
      </c>
      <c r="AH6832" s="2" t="str">
        <f ca="1"/>
        <v>Bad</v>
      </c>
    </row>
    <row r="6833" spans="2:34" x14ac:dyDescent="0.2">
      <c r="B6833" s="2">
        <f ca="1"/>
        <v>0.91003167610221714</v>
      </c>
      <c r="O6833" s="2">
        <f ca="1"/>
        <v>-0.38029883996530589</v>
      </c>
      <c r="X6833" s="2">
        <f ca="1"/>
        <v>44.353989215179261</v>
      </c>
      <c r="AG6833" s="2">
        <f ca="1"/>
        <v>0.71799703443015028</v>
      </c>
      <c r="AH6833" s="2" t="str">
        <f ca="1"/>
        <v>Bad</v>
      </c>
    </row>
    <row r="6834" spans="2:34" x14ac:dyDescent="0.2">
      <c r="B6834" s="2">
        <f ca="1"/>
        <v>0.77525462146639246</v>
      </c>
      <c r="O6834" s="2">
        <f ca="1"/>
        <v>0.5561567526639829</v>
      </c>
      <c r="X6834" s="2">
        <f ca="1"/>
        <v>49.158366409127893</v>
      </c>
      <c r="AG6834" s="2">
        <f ca="1"/>
        <v>0.65934047196946222</v>
      </c>
      <c r="AH6834" s="2" t="str">
        <f ca="1"/>
        <v>Bad</v>
      </c>
    </row>
    <row r="6835" spans="2:34" x14ac:dyDescent="0.2">
      <c r="B6835" s="2">
        <f ca="1"/>
        <v>0.52130549056546127</v>
      </c>
      <c r="O6835" s="2">
        <f ca="1"/>
        <v>4.8666160857642464E-2</v>
      </c>
      <c r="X6835" s="2">
        <f ca="1"/>
        <v>74.704386683208213</v>
      </c>
      <c r="AG6835" s="2">
        <f ca="1"/>
        <v>0.11509260394240273</v>
      </c>
      <c r="AH6835" s="2" t="str">
        <f ca="1"/>
        <v>OK</v>
      </c>
    </row>
    <row r="6836" spans="2:34" x14ac:dyDescent="0.2">
      <c r="B6836" s="2">
        <f ca="1"/>
        <v>0.73684302643220545</v>
      </c>
      <c r="O6836" s="2">
        <f ca="1"/>
        <v>-2.7966348327675918</v>
      </c>
      <c r="X6836" s="2">
        <f ca="1"/>
        <v>51.982554574465453</v>
      </c>
      <c r="AG6836" s="2">
        <f ca="1"/>
        <v>0.81106051283141545</v>
      </c>
      <c r="AH6836" s="2" t="str">
        <f ca="1"/>
        <v>Bad</v>
      </c>
    </row>
    <row r="6837" spans="2:34" x14ac:dyDescent="0.2">
      <c r="B6837" s="2">
        <f ca="1"/>
        <v>0.10863850437847966</v>
      </c>
      <c r="O6837" s="2">
        <f ca="1"/>
        <v>-0.75076315751152056</v>
      </c>
      <c r="X6837" s="2">
        <f ca="1"/>
        <v>52.320365956029903</v>
      </c>
      <c r="AG6837" s="2">
        <f ca="1"/>
        <v>0.91315226147156059</v>
      </c>
      <c r="AH6837" s="2" t="str">
        <f ca="1"/>
        <v>Bad</v>
      </c>
    </row>
    <row r="6838" spans="2:34" x14ac:dyDescent="0.2">
      <c r="B6838" s="2">
        <f ca="1"/>
        <v>0.33159669495551625</v>
      </c>
      <c r="O6838" s="2">
        <f ca="1"/>
        <v>-1.980293690759779</v>
      </c>
      <c r="X6838" s="2">
        <f ca="1"/>
        <v>48.709204048132023</v>
      </c>
      <c r="AG6838" s="2">
        <f ca="1"/>
        <v>0.54183003805366736</v>
      </c>
      <c r="AH6838" s="2" t="str">
        <f ca="1"/>
        <v>Bad</v>
      </c>
    </row>
    <row r="6839" spans="2:34" x14ac:dyDescent="0.2">
      <c r="B6839" s="2">
        <f ca="1"/>
        <v>9.8194694723744647E-2</v>
      </c>
      <c r="O6839" s="2">
        <f ca="1"/>
        <v>-1.5977332168479272</v>
      </c>
      <c r="X6839" s="2">
        <f ca="1"/>
        <v>78.88629378753933</v>
      </c>
      <c r="AG6839" s="2">
        <f ca="1"/>
        <v>0.48646379521451344</v>
      </c>
      <c r="AH6839" s="2" t="str">
        <f ca="1"/>
        <v>Bad</v>
      </c>
    </row>
    <row r="6840" spans="2:34" x14ac:dyDescent="0.2">
      <c r="B6840" s="2">
        <f ca="1"/>
        <v>0.65578144925694515</v>
      </c>
      <c r="O6840" s="2">
        <f ca="1"/>
        <v>-5.5842694042004832E-3</v>
      </c>
      <c r="X6840" s="2">
        <f ca="1"/>
        <v>49.557628192571237</v>
      </c>
      <c r="AG6840" s="2">
        <f ca="1"/>
        <v>0.57634191403793333</v>
      </c>
      <c r="AH6840" s="2" t="str">
        <f ca="1"/>
        <v>Bad</v>
      </c>
    </row>
    <row r="6841" spans="2:34" x14ac:dyDescent="0.2">
      <c r="B6841" s="2">
        <f ca="1"/>
        <v>0.84936559005922407</v>
      </c>
      <c r="O6841" s="2">
        <f ca="1"/>
        <v>-0.76628474262300295</v>
      </c>
      <c r="X6841" s="2">
        <f ca="1"/>
        <v>63.092213708555533</v>
      </c>
      <c r="AG6841" s="2">
        <f ca="1"/>
        <v>0.3653718211815038</v>
      </c>
      <c r="AH6841" s="2" t="str">
        <f ca="1"/>
        <v>OK</v>
      </c>
    </row>
    <row r="6842" spans="2:34" x14ac:dyDescent="0.2">
      <c r="B6842" s="2">
        <f ca="1"/>
        <v>0.62322110786150819</v>
      </c>
      <c r="O6842" s="2">
        <f ca="1"/>
        <v>0.46507076823431931</v>
      </c>
      <c r="X6842" s="2">
        <f ca="1"/>
        <v>45.324400506864649</v>
      </c>
      <c r="AG6842" s="2">
        <f ca="1"/>
        <v>0.62418518429012959</v>
      </c>
      <c r="AH6842" s="2" t="str">
        <f ca="1"/>
        <v>Bad</v>
      </c>
    </row>
    <row r="6843" spans="2:34" x14ac:dyDescent="0.2">
      <c r="B6843" s="2">
        <f ca="1"/>
        <v>0.72347706037314929</v>
      </c>
      <c r="O6843" s="2">
        <f ca="1"/>
        <v>-4.3555087864275824E-2</v>
      </c>
      <c r="X6843" s="2">
        <f ca="1"/>
        <v>102.36592993128636</v>
      </c>
      <c r="AG6843" s="2">
        <f ca="1"/>
        <v>5.3211081420326378E-2</v>
      </c>
      <c r="AH6843" s="2" t="str">
        <f ca="1"/>
        <v>OK</v>
      </c>
    </row>
    <row r="6844" spans="2:34" x14ac:dyDescent="0.2">
      <c r="B6844" s="2">
        <f ca="1"/>
        <v>0.92457167593782352</v>
      </c>
      <c r="O6844" s="2">
        <f ca="1"/>
        <v>-0.79392967687457883</v>
      </c>
      <c r="X6844" s="2">
        <f ca="1"/>
        <v>64.989913529527868</v>
      </c>
      <c r="AG6844" s="2">
        <f ca="1"/>
        <v>0.6678759613773475</v>
      </c>
      <c r="AH6844" s="2" t="str">
        <f ca="1"/>
        <v>Bad</v>
      </c>
    </row>
    <row r="6845" spans="2:34" x14ac:dyDescent="0.2">
      <c r="B6845" s="2">
        <f ca="1"/>
        <v>8.4202702823482412E-2</v>
      </c>
      <c r="O6845" s="2">
        <f ca="1"/>
        <v>-0.28209995438758256</v>
      </c>
      <c r="X6845" s="2">
        <f ca="1"/>
        <v>66.905244255712262</v>
      </c>
      <c r="AG6845" s="2">
        <f ca="1"/>
        <v>0.42285922771441586</v>
      </c>
      <c r="AH6845" s="2" t="str">
        <f ca="1"/>
        <v>Bad</v>
      </c>
    </row>
    <row r="6846" spans="2:34" x14ac:dyDescent="0.2">
      <c r="B6846" s="2">
        <f ca="1"/>
        <v>0.95801945830914681</v>
      </c>
      <c r="O6846" s="2">
        <f ca="1"/>
        <v>-1.0097684110398906</v>
      </c>
      <c r="X6846" s="2">
        <f ca="1"/>
        <v>35.95583524730197</v>
      </c>
      <c r="AG6846" s="2">
        <f ca="1"/>
        <v>0.83620379071267559</v>
      </c>
      <c r="AH6846" s="2" t="str">
        <f ca="1"/>
        <v>Bad</v>
      </c>
    </row>
    <row r="6847" spans="2:34" x14ac:dyDescent="0.2">
      <c r="B6847" s="2">
        <f ca="1"/>
        <v>0.36989420142574847</v>
      </c>
      <c r="O6847" s="2">
        <f ca="1"/>
        <v>-0.49008950346950808</v>
      </c>
      <c r="X6847" s="2">
        <f ca="1"/>
        <v>83.502541175612507</v>
      </c>
      <c r="AG6847" s="2">
        <f ca="1"/>
        <v>0.96319540044850527</v>
      </c>
      <c r="AH6847" s="2" t="str">
        <f ca="1"/>
        <v>Bad</v>
      </c>
    </row>
    <row r="6848" spans="2:34" x14ac:dyDescent="0.2">
      <c r="B6848" s="2">
        <f ca="1"/>
        <v>0.92113870403860432</v>
      </c>
      <c r="O6848" s="2">
        <f ca="1"/>
        <v>-0.80064606683094386</v>
      </c>
      <c r="X6848" s="2">
        <f ca="1"/>
        <v>53.929290791763414</v>
      </c>
      <c r="AG6848" s="2">
        <f ca="1"/>
        <v>0.47695997600140738</v>
      </c>
      <c r="AH6848" s="2" t="str">
        <f ca="1"/>
        <v>Bad</v>
      </c>
    </row>
    <row r="6849" spans="2:34" x14ac:dyDescent="0.2">
      <c r="B6849" s="2">
        <f ca="1"/>
        <v>0.34891996880851694</v>
      </c>
      <c r="O6849" s="2">
        <f ca="1"/>
        <v>5.0279229053742928E-2</v>
      </c>
      <c r="X6849" s="2">
        <f ca="1"/>
        <v>70.103309045718518</v>
      </c>
      <c r="AG6849" s="2">
        <f ca="1"/>
        <v>0.98039279633645449</v>
      </c>
      <c r="AH6849" s="2" t="str">
        <f ca="1"/>
        <v>Bad</v>
      </c>
    </row>
    <row r="6850" spans="2:34" x14ac:dyDescent="0.2">
      <c r="B6850" s="2">
        <f ca="1"/>
        <v>0.57988282957727888</v>
      </c>
      <c r="O6850" s="2">
        <f ca="1"/>
        <v>-0.57177149804279948</v>
      </c>
      <c r="X6850" s="2">
        <f ca="1"/>
        <v>23.727559732155093</v>
      </c>
      <c r="AG6850" s="2">
        <f ca="1"/>
        <v>0.87377521145946346</v>
      </c>
      <c r="AH6850" s="2" t="str">
        <f ca="1"/>
        <v>Bad</v>
      </c>
    </row>
    <row r="6851" spans="2:34" x14ac:dyDescent="0.2">
      <c r="B6851" s="2">
        <f ca="1"/>
        <v>0.3268817199183438</v>
      </c>
      <c r="O6851" s="2">
        <f ca="1"/>
        <v>-0.27154747097210263</v>
      </c>
      <c r="X6851" s="2">
        <f ca="1"/>
        <v>48.774913463214638</v>
      </c>
      <c r="AG6851" s="2">
        <f ca="1"/>
        <v>0.5441230297356372</v>
      </c>
      <c r="AH6851" s="2" t="str">
        <f ca="1"/>
        <v>Bad</v>
      </c>
    </row>
    <row r="6852" spans="2:34" x14ac:dyDescent="0.2">
      <c r="B6852" s="2">
        <f ca="1"/>
        <v>0.40791517847983849</v>
      </c>
      <c r="O6852" s="2">
        <f ca="1"/>
        <v>-0.26637746871866347</v>
      </c>
      <c r="X6852" s="2">
        <f ca="1"/>
        <v>28.516746153972761</v>
      </c>
      <c r="AG6852" s="2">
        <f ca="1"/>
        <v>0.86988497724961511</v>
      </c>
      <c r="AH6852" s="2" t="str">
        <f ca="1"/>
        <v>Bad</v>
      </c>
    </row>
    <row r="6853" spans="2:34" x14ac:dyDescent="0.2">
      <c r="B6853" s="2">
        <f ca="1"/>
        <v>0.10110693213180366</v>
      </c>
      <c r="O6853" s="2">
        <f ca="1"/>
        <v>0.81101098126468019</v>
      </c>
      <c r="X6853" s="2">
        <f ca="1"/>
        <v>61.978244150977453</v>
      </c>
      <c r="AG6853" s="2">
        <f ca="1"/>
        <v>0.91579124077159446</v>
      </c>
      <c r="AH6853" s="2" t="str">
        <f ca="1"/>
        <v>Bad</v>
      </c>
    </row>
    <row r="6854" spans="2:34" x14ac:dyDescent="0.2">
      <c r="B6854" s="2">
        <f ca="1"/>
        <v>0.82919723334930651</v>
      </c>
      <c r="O6854" s="2">
        <f ca="1"/>
        <v>-0.61586848864733512</v>
      </c>
      <c r="X6854" s="2">
        <f ca="1"/>
        <v>51.998381630443674</v>
      </c>
      <c r="AG6854" s="2">
        <f ca="1"/>
        <v>0.24821779291430257</v>
      </c>
      <c r="AH6854" s="2" t="str">
        <f ca="1"/>
        <v>OK</v>
      </c>
    </row>
    <row r="6855" spans="2:34" x14ac:dyDescent="0.2">
      <c r="B6855" s="2">
        <f ca="1"/>
        <v>0.27591734340769203</v>
      </c>
      <c r="O6855" s="2">
        <f ca="1"/>
        <v>0.99924591802881224</v>
      </c>
      <c r="X6855" s="2">
        <f ca="1"/>
        <v>55.264238792618812</v>
      </c>
      <c r="AG6855" s="2">
        <f ca="1"/>
        <v>0.60378016400352919</v>
      </c>
      <c r="AH6855" s="2" t="str">
        <f ca="1"/>
        <v>Bad</v>
      </c>
    </row>
    <row r="6856" spans="2:34" x14ac:dyDescent="0.2">
      <c r="B6856" s="2">
        <f ca="1"/>
        <v>0.1056895171492529</v>
      </c>
      <c r="O6856" s="2">
        <f ca="1"/>
        <v>0.8003703638213846</v>
      </c>
      <c r="X6856" s="2">
        <f ca="1"/>
        <v>38.975497975235307</v>
      </c>
      <c r="AG6856" s="2">
        <f ca="1"/>
        <v>0.61219709943716416</v>
      </c>
      <c r="AH6856" s="2" t="str">
        <f ca="1"/>
        <v>Bad</v>
      </c>
    </row>
    <row r="6857" spans="2:34" x14ac:dyDescent="0.2">
      <c r="B6857" s="2">
        <f ca="1"/>
        <v>0.88298059615128044</v>
      </c>
      <c r="O6857" s="2">
        <f ca="1"/>
        <v>-0.42551121694667876</v>
      </c>
      <c r="X6857" s="2">
        <f ca="1"/>
        <v>65.492698018481818</v>
      </c>
      <c r="AG6857" s="2">
        <f ca="1"/>
        <v>0.41974709330632742</v>
      </c>
      <c r="AH6857" s="2" t="str">
        <f ca="1"/>
        <v>Bad</v>
      </c>
    </row>
    <row r="6858" spans="2:34" x14ac:dyDescent="0.2">
      <c r="B6858" s="2">
        <f ca="1"/>
        <v>0.13316549077830331</v>
      </c>
      <c r="O6858" s="2">
        <f ca="1"/>
        <v>-0.57535879141282553</v>
      </c>
      <c r="X6858" s="2">
        <f ca="1"/>
        <v>41.366005737006766</v>
      </c>
      <c r="AG6858" s="2">
        <f ca="1"/>
        <v>0.2651444815005104</v>
      </c>
      <c r="AH6858" s="2" t="str">
        <f ca="1"/>
        <v>OK</v>
      </c>
    </row>
    <row r="6859" spans="2:34" x14ac:dyDescent="0.2">
      <c r="B6859" s="2">
        <f ca="1"/>
        <v>0.97445662853132564</v>
      </c>
      <c r="O6859" s="2">
        <f ca="1"/>
        <v>1.6231707328575269</v>
      </c>
      <c r="X6859" s="2">
        <f ca="1"/>
        <v>41.244857914239581</v>
      </c>
      <c r="AG6859" s="2">
        <f ca="1"/>
        <v>0.98874835982924814</v>
      </c>
      <c r="AH6859" s="2" t="str">
        <f ca="1"/>
        <v>Bad</v>
      </c>
    </row>
    <row r="6860" spans="2:34" x14ac:dyDescent="0.2">
      <c r="B6860" s="2">
        <f ca="1"/>
        <v>0.23254650375246344</v>
      </c>
      <c r="O6860" s="2">
        <f ca="1"/>
        <v>0.91540560101452573</v>
      </c>
      <c r="X6860" s="2">
        <f ca="1"/>
        <v>102.53762924919207</v>
      </c>
      <c r="AG6860" s="2">
        <f ca="1"/>
        <v>0.18669559735696839</v>
      </c>
      <c r="AH6860" s="2" t="str">
        <f ca="1"/>
        <v>OK</v>
      </c>
    </row>
    <row r="6861" spans="2:34" x14ac:dyDescent="0.2">
      <c r="B6861" s="2">
        <f ca="1"/>
        <v>0.30710134428485314</v>
      </c>
      <c r="O6861" s="2">
        <f ca="1"/>
        <v>-0.13549154298995272</v>
      </c>
      <c r="X6861" s="2">
        <f ca="1"/>
        <v>20.975762921549872</v>
      </c>
      <c r="AG6861" s="2">
        <f ca="1"/>
        <v>0.55705942024439947</v>
      </c>
      <c r="AH6861" s="2" t="str">
        <f ca="1"/>
        <v>Bad</v>
      </c>
    </row>
    <row r="6862" spans="2:34" x14ac:dyDescent="0.2">
      <c r="B6862" s="2">
        <f ca="1"/>
        <v>0.57386504704626629</v>
      </c>
      <c r="O6862" s="2">
        <f ca="1"/>
        <v>-2.2684532981028744</v>
      </c>
      <c r="X6862" s="2">
        <f ca="1"/>
        <v>80.367214363169921</v>
      </c>
      <c r="AG6862" s="2">
        <f ca="1"/>
        <v>0.85669087114714215</v>
      </c>
      <c r="AH6862" s="2" t="str">
        <f ca="1"/>
        <v>Bad</v>
      </c>
    </row>
    <row r="6863" spans="2:34" x14ac:dyDescent="0.2">
      <c r="B6863" s="2">
        <f ca="1"/>
        <v>0.21942569848437876</v>
      </c>
      <c r="O6863" s="2">
        <f ca="1"/>
        <v>-0.98664691988441611</v>
      </c>
      <c r="X6863" s="2">
        <f ca="1"/>
        <v>40.89428687881891</v>
      </c>
      <c r="AG6863" s="2">
        <f ca="1"/>
        <v>0.50488317604840782</v>
      </c>
      <c r="AH6863" s="2" t="str">
        <f ca="1"/>
        <v>Bad</v>
      </c>
    </row>
    <row r="6864" spans="2:34" x14ac:dyDescent="0.2">
      <c r="B6864" s="2">
        <f ca="1"/>
        <v>0.27126596273728687</v>
      </c>
      <c r="O6864" s="2">
        <f ca="1"/>
        <v>-0.18257391433851064</v>
      </c>
      <c r="X6864" s="2">
        <f ca="1"/>
        <v>40.191428733550431</v>
      </c>
      <c r="AG6864" s="2">
        <f ca="1"/>
        <v>0.77700612199668151</v>
      </c>
      <c r="AH6864" s="2" t="str">
        <f ca="1"/>
        <v>Bad</v>
      </c>
    </row>
    <row r="6865" spans="2:34" x14ac:dyDescent="0.2">
      <c r="B6865" s="2">
        <f ca="1"/>
        <v>0.14148375645010991</v>
      </c>
      <c r="O6865" s="2">
        <f ca="1"/>
        <v>0.11425237667363072</v>
      </c>
      <c r="X6865" s="2">
        <f ca="1"/>
        <v>44.483574389306177</v>
      </c>
      <c r="AG6865" s="2">
        <f ca="1"/>
        <v>0.86673699635955481</v>
      </c>
      <c r="AH6865" s="2" t="str">
        <f ca="1"/>
        <v>Bad</v>
      </c>
    </row>
    <row r="6866" spans="2:34" x14ac:dyDescent="0.2">
      <c r="B6866" s="2">
        <f ca="1"/>
        <v>0.89165622264463096</v>
      </c>
      <c r="O6866" s="2">
        <f ca="1"/>
        <v>-0.31728775665273268</v>
      </c>
      <c r="X6866" s="2">
        <f ca="1"/>
        <v>33.418642775059126</v>
      </c>
      <c r="AG6866" s="2">
        <f ca="1"/>
        <v>0.10389902279128171</v>
      </c>
      <c r="AH6866" s="2" t="str">
        <f ca="1"/>
        <v>OK</v>
      </c>
    </row>
    <row r="6867" spans="2:34" x14ac:dyDescent="0.2">
      <c r="B6867" s="2">
        <f ca="1"/>
        <v>0.21982636046792581</v>
      </c>
      <c r="O6867" s="2">
        <f ca="1"/>
        <v>-0.75069699519319932</v>
      </c>
      <c r="X6867" s="2">
        <f ca="1"/>
        <v>27.005544627003392</v>
      </c>
      <c r="AG6867" s="2">
        <f ca="1"/>
        <v>0.66447706578736798</v>
      </c>
      <c r="AH6867" s="2" t="str">
        <f ca="1"/>
        <v>Bad</v>
      </c>
    </row>
    <row r="6868" spans="2:34" x14ac:dyDescent="0.2">
      <c r="B6868" s="2">
        <f ca="1"/>
        <v>0.77590229821957513</v>
      </c>
      <c r="O6868" s="2">
        <f ca="1"/>
        <v>-2.2685009915540721</v>
      </c>
      <c r="X6868" s="2">
        <f ca="1"/>
        <v>58.927274800459614</v>
      </c>
      <c r="AG6868" s="2">
        <f ca="1"/>
        <v>0.71956761479033049</v>
      </c>
      <c r="AH6868" s="2" t="str">
        <f ca="1"/>
        <v>Bad</v>
      </c>
    </row>
    <row r="6869" spans="2:34" x14ac:dyDescent="0.2">
      <c r="B6869" s="2">
        <f ca="1"/>
        <v>0.33165761459685172</v>
      </c>
      <c r="O6869" s="2">
        <f ca="1"/>
        <v>0.42408493054279689</v>
      </c>
      <c r="X6869" s="2">
        <f ca="1"/>
        <v>28.94970483258485</v>
      </c>
      <c r="AG6869" s="2">
        <f ca="1"/>
        <v>0.7085790973471997</v>
      </c>
      <c r="AH6869" s="2" t="str">
        <f ca="1"/>
        <v>Bad</v>
      </c>
    </row>
    <row r="6870" spans="2:34" x14ac:dyDescent="0.2">
      <c r="B6870" s="2">
        <f ca="1"/>
        <v>0.15492663499069903</v>
      </c>
      <c r="O6870" s="2">
        <f ca="1"/>
        <v>-0.85158062731853601</v>
      </c>
      <c r="X6870" s="2">
        <f ca="1"/>
        <v>47.817888813572537</v>
      </c>
      <c r="AG6870" s="2">
        <f ca="1"/>
        <v>0.67250607182414668</v>
      </c>
      <c r="AH6870" s="2" t="str">
        <f ca="1"/>
        <v>Bad</v>
      </c>
    </row>
    <row r="6871" spans="2:34" x14ac:dyDescent="0.2">
      <c r="B6871" s="2">
        <f ca="1"/>
        <v>0.54474633081583401</v>
      </c>
      <c r="O6871" s="2">
        <f ca="1"/>
        <v>-1.1688647623570236</v>
      </c>
      <c r="X6871" s="2">
        <f ca="1"/>
        <v>52.706984213707607</v>
      </c>
      <c r="AG6871" s="2">
        <f ca="1"/>
        <v>0.21325347874339773</v>
      </c>
      <c r="AH6871" s="2" t="str">
        <f ca="1"/>
        <v>OK</v>
      </c>
    </row>
    <row r="6872" spans="2:34" x14ac:dyDescent="0.2">
      <c r="B6872" s="2">
        <f ca="1"/>
        <v>0.85073231553814921</v>
      </c>
      <c r="O6872" s="2">
        <f ca="1"/>
        <v>-0.76187367041864551</v>
      </c>
      <c r="X6872" s="2">
        <f ca="1"/>
        <v>62.936916210718621</v>
      </c>
      <c r="AG6872" s="2">
        <f ca="1"/>
        <v>0.84227764533099347</v>
      </c>
      <c r="AH6872" s="2" t="str">
        <f ca="1"/>
        <v>Bad</v>
      </c>
    </row>
    <row r="6873" spans="2:34" x14ac:dyDescent="0.2">
      <c r="B6873" s="2">
        <f ca="1"/>
        <v>5.862693492474591E-2</v>
      </c>
      <c r="O6873" s="2">
        <f ca="1"/>
        <v>1.092074040245671</v>
      </c>
      <c r="X6873" s="2">
        <f ca="1"/>
        <v>46.432366592170339</v>
      </c>
      <c r="AG6873" s="2">
        <f ca="1"/>
        <v>0.68478989311647442</v>
      </c>
      <c r="AH6873" s="2" t="str">
        <f ca="1"/>
        <v>Bad</v>
      </c>
    </row>
    <row r="6874" spans="2:34" x14ac:dyDescent="0.2">
      <c r="B6874" s="2">
        <f ca="1"/>
        <v>1.6751753987736651E-2</v>
      </c>
      <c r="O6874" s="2">
        <f ca="1"/>
        <v>-2.5863539386353653</v>
      </c>
      <c r="X6874" s="2">
        <f ca="1"/>
        <v>52.403690775645345</v>
      </c>
      <c r="AG6874" s="2">
        <f ca="1"/>
        <v>0.87291383305968551</v>
      </c>
      <c r="AH6874" s="2" t="str">
        <f ca="1"/>
        <v>Bad</v>
      </c>
    </row>
    <row r="6875" spans="2:34" x14ac:dyDescent="0.2">
      <c r="B6875" s="2">
        <f ca="1"/>
        <v>0.26033500338221027</v>
      </c>
      <c r="O6875" s="2">
        <f ca="1"/>
        <v>-0.47169036182787361</v>
      </c>
      <c r="X6875" s="2">
        <f ca="1"/>
        <v>33.782732629977097</v>
      </c>
      <c r="AG6875" s="2">
        <f ca="1"/>
        <v>0.39885402032015427</v>
      </c>
      <c r="AH6875" s="2" t="str">
        <f ca="1"/>
        <v>OK</v>
      </c>
    </row>
    <row r="6876" spans="2:34" x14ac:dyDescent="0.2">
      <c r="B6876" s="2">
        <f ca="1"/>
        <v>0.92901226093990452</v>
      </c>
      <c r="O6876" s="2">
        <f ca="1"/>
        <v>0.13104370627486106</v>
      </c>
      <c r="X6876" s="2">
        <f ca="1"/>
        <v>30.522253900800429</v>
      </c>
      <c r="AG6876" s="2">
        <f ca="1"/>
        <v>0.52222610063552799</v>
      </c>
      <c r="AH6876" s="2" t="str">
        <f ca="1"/>
        <v>Bad</v>
      </c>
    </row>
    <row r="6877" spans="2:34" x14ac:dyDescent="0.2">
      <c r="B6877" s="2">
        <f ca="1"/>
        <v>0.32773303524633746</v>
      </c>
      <c r="O6877" s="2">
        <f ca="1"/>
        <v>0.85659374771861685</v>
      </c>
      <c r="X6877" s="2">
        <f ca="1"/>
        <v>40.81069232755425</v>
      </c>
      <c r="AG6877" s="2">
        <f ca="1"/>
        <v>0.55657570558276159</v>
      </c>
      <c r="AH6877" s="2" t="str">
        <f ca="1"/>
        <v>Bad</v>
      </c>
    </row>
    <row r="6878" spans="2:34" x14ac:dyDescent="0.2">
      <c r="B6878" s="2">
        <f ca="1"/>
        <v>0.61547036541224687</v>
      </c>
      <c r="O6878" s="2">
        <f ca="1"/>
        <v>0.15927632559249352</v>
      </c>
      <c r="X6878" s="2">
        <f ca="1"/>
        <v>54.775088245593054</v>
      </c>
      <c r="AG6878" s="2">
        <f ca="1"/>
        <v>0.54614916980554229</v>
      </c>
      <c r="AH6878" s="2" t="str">
        <f ca="1"/>
        <v>Bad</v>
      </c>
    </row>
    <row r="6879" spans="2:34" x14ac:dyDescent="0.2">
      <c r="B6879" s="2">
        <f ca="1"/>
        <v>0.97013850220847342</v>
      </c>
      <c r="O6879" s="2">
        <f ca="1"/>
        <v>-1.9599738875001032</v>
      </c>
      <c r="X6879" s="2">
        <f ca="1"/>
        <v>72.373555143810734</v>
      </c>
      <c r="AG6879" s="2">
        <f ca="1"/>
        <v>0.45342792213125604</v>
      </c>
      <c r="AH6879" s="2" t="str">
        <f ca="1"/>
        <v>Bad</v>
      </c>
    </row>
    <row r="6880" spans="2:34" x14ac:dyDescent="0.2">
      <c r="B6880" s="2">
        <f ca="1"/>
        <v>0.95633544084539635</v>
      </c>
      <c r="O6880" s="2">
        <f ca="1"/>
        <v>-3.6572420272637747E-2</v>
      </c>
      <c r="X6880" s="2">
        <f ca="1"/>
        <v>54.557956645424682</v>
      </c>
      <c r="AG6880" s="2">
        <f ca="1"/>
        <v>0.16023371389346774</v>
      </c>
      <c r="AH6880" s="2" t="str">
        <f ca="1"/>
        <v>OK</v>
      </c>
    </row>
    <row r="6881" spans="2:34" x14ac:dyDescent="0.2">
      <c r="B6881" s="2">
        <f ca="1"/>
        <v>0.13615836421758698</v>
      </c>
      <c r="O6881" s="2">
        <f ca="1"/>
        <v>-0.34010487591216493</v>
      </c>
      <c r="X6881" s="2">
        <f ca="1"/>
        <v>52.189416838237292</v>
      </c>
      <c r="AG6881" s="2">
        <f ca="1"/>
        <v>0.95744293656275015</v>
      </c>
      <c r="AH6881" s="2" t="str">
        <f ca="1"/>
        <v>Bad</v>
      </c>
    </row>
    <row r="6882" spans="2:34" x14ac:dyDescent="0.2">
      <c r="B6882" s="2">
        <f ca="1"/>
        <v>0.94795868846086861</v>
      </c>
      <c r="O6882" s="2">
        <f ca="1"/>
        <v>0.32273960410913122</v>
      </c>
      <c r="X6882" s="2">
        <f ca="1"/>
        <v>33.012386149463239</v>
      </c>
      <c r="AG6882" s="2">
        <f ca="1"/>
        <v>0.86267621743737966</v>
      </c>
      <c r="AH6882" s="2" t="str">
        <f ca="1"/>
        <v>Bad</v>
      </c>
    </row>
    <row r="6883" spans="2:34" x14ac:dyDescent="0.2">
      <c r="B6883" s="2">
        <f ca="1"/>
        <v>0.96407210219366579</v>
      </c>
      <c r="O6883" s="2">
        <f ca="1"/>
        <v>0.67491474339782775</v>
      </c>
      <c r="X6883" s="2">
        <f ca="1"/>
        <v>72.304881742637292</v>
      </c>
      <c r="AG6883" s="2">
        <f ca="1"/>
        <v>0.97445471525488991</v>
      </c>
      <c r="AH6883" s="2" t="str">
        <f ca="1"/>
        <v>Bad</v>
      </c>
    </row>
    <row r="6884" spans="2:34" x14ac:dyDescent="0.2">
      <c r="B6884" s="2">
        <f ca="1"/>
        <v>0.26808266462061536</v>
      </c>
      <c r="O6884" s="2">
        <f ca="1"/>
        <v>-0.74362464605692036</v>
      </c>
      <c r="X6884" s="2">
        <f ca="1"/>
        <v>27.425965102684469</v>
      </c>
      <c r="AG6884" s="2">
        <f ca="1"/>
        <v>0.74218210379909211</v>
      </c>
      <c r="AH6884" s="2" t="str">
        <f ca="1"/>
        <v>Bad</v>
      </c>
    </row>
    <row r="6885" spans="2:34" x14ac:dyDescent="0.2">
      <c r="B6885" s="2">
        <f ca="1"/>
        <v>0.52959482673236868</v>
      </c>
      <c r="O6885" s="2">
        <f ca="1"/>
        <v>-0.4314874575035107</v>
      </c>
      <c r="X6885" s="2">
        <f ca="1"/>
        <v>24.207249270672222</v>
      </c>
      <c r="AG6885" s="2">
        <f ca="1"/>
        <v>0.7596443711711387</v>
      </c>
      <c r="AH6885" s="2" t="str">
        <f ca="1"/>
        <v>Bad</v>
      </c>
    </row>
    <row r="6886" spans="2:34" x14ac:dyDescent="0.2">
      <c r="B6886" s="2">
        <f ca="1"/>
        <v>0.30696485742788582</v>
      </c>
      <c r="O6886" s="2">
        <f ca="1"/>
        <v>-1.057109797432219</v>
      </c>
      <c r="X6886" s="2">
        <f ca="1"/>
        <v>64.633223338568413</v>
      </c>
      <c r="AG6886" s="2">
        <f ca="1"/>
        <v>0.12591215931911148</v>
      </c>
      <c r="AH6886" s="2" t="str">
        <f ca="1"/>
        <v>OK</v>
      </c>
    </row>
    <row r="6887" spans="2:34" x14ac:dyDescent="0.2">
      <c r="B6887" s="2">
        <f ca="1"/>
        <v>0.59778057070367585</v>
      </c>
      <c r="O6887" s="2">
        <f ca="1"/>
        <v>0.28008924613615865</v>
      </c>
      <c r="X6887" s="2">
        <f ca="1"/>
        <v>56.476443876170251</v>
      </c>
      <c r="AG6887" s="2">
        <f ca="1"/>
        <v>0.35722910152104759</v>
      </c>
      <c r="AH6887" s="2" t="str">
        <f ca="1"/>
        <v>OK</v>
      </c>
    </row>
    <row r="6888" spans="2:34" x14ac:dyDescent="0.2">
      <c r="B6888" s="2">
        <f ca="1"/>
        <v>0.64538173354763329</v>
      </c>
      <c r="O6888" s="2">
        <f ca="1"/>
        <v>-0.56407974997506127</v>
      </c>
      <c r="X6888" s="2">
        <f ca="1"/>
        <v>29.14501841296747</v>
      </c>
      <c r="AG6888" s="2">
        <f ca="1"/>
        <v>0.55390875913242721</v>
      </c>
      <c r="AH6888" s="2" t="str">
        <f ca="1"/>
        <v>Bad</v>
      </c>
    </row>
    <row r="6889" spans="2:34" x14ac:dyDescent="0.2">
      <c r="B6889" s="2">
        <f ca="1"/>
        <v>0.34474402098554346</v>
      </c>
      <c r="O6889" s="2">
        <f ca="1"/>
        <v>-2.2178238151565468</v>
      </c>
      <c r="X6889" s="2">
        <f ca="1"/>
        <v>20.841208246587343</v>
      </c>
      <c r="AG6889" s="2">
        <f ca="1"/>
        <v>0.39783618189800252</v>
      </c>
      <c r="AH6889" s="2" t="str">
        <f ca="1"/>
        <v>OK</v>
      </c>
    </row>
    <row r="6890" spans="2:34" x14ac:dyDescent="0.2">
      <c r="B6890" s="2">
        <f ca="1"/>
        <v>0.93508892003837207</v>
      </c>
      <c r="O6890" s="2">
        <f ca="1"/>
        <v>-1.0524352827199106</v>
      </c>
      <c r="X6890" s="2">
        <f ca="1"/>
        <v>40.25132647097962</v>
      </c>
      <c r="AG6890" s="2">
        <f ca="1"/>
        <v>2.2906337568439517E-2</v>
      </c>
      <c r="AH6890" s="2" t="str">
        <f ca="1"/>
        <v>Good</v>
      </c>
    </row>
    <row r="6891" spans="2:34" x14ac:dyDescent="0.2">
      <c r="B6891" s="2">
        <f ca="1"/>
        <v>0.78269827530510838</v>
      </c>
      <c r="O6891" s="2">
        <f ca="1"/>
        <v>-0.88035273376128786</v>
      </c>
      <c r="X6891" s="2">
        <f ca="1"/>
        <v>83.842790056565647</v>
      </c>
      <c r="AG6891" s="2">
        <f ca="1"/>
        <v>0.79196432150995744</v>
      </c>
      <c r="AH6891" s="2" t="str">
        <f ca="1"/>
        <v>Bad</v>
      </c>
    </row>
    <row r="6892" spans="2:34" x14ac:dyDescent="0.2">
      <c r="B6892" s="2">
        <f ca="1"/>
        <v>0.64379051656858888</v>
      </c>
      <c r="O6892" s="2">
        <f ca="1"/>
        <v>0.74609703691445195</v>
      </c>
      <c r="X6892" s="2">
        <f ca="1"/>
        <v>66.15409172130498</v>
      </c>
      <c r="AG6892" s="2">
        <f ca="1"/>
        <v>0.6884600935666898</v>
      </c>
      <c r="AH6892" s="2" t="str">
        <f ca="1"/>
        <v>Bad</v>
      </c>
    </row>
    <row r="6893" spans="2:34" x14ac:dyDescent="0.2">
      <c r="B6893" s="2">
        <f ca="1"/>
        <v>0.4572131929229899</v>
      </c>
      <c r="O6893" s="2">
        <f ca="1"/>
        <v>0.87620216248099025</v>
      </c>
      <c r="X6893" s="2">
        <f ca="1"/>
        <v>43.11955828834671</v>
      </c>
      <c r="AG6893" s="2">
        <f ca="1"/>
        <v>0.64694749940141216</v>
      </c>
      <c r="AH6893" s="2" t="str">
        <f ca="1"/>
        <v>Bad</v>
      </c>
    </row>
    <row r="6894" spans="2:34" x14ac:dyDescent="0.2">
      <c r="B6894" s="2">
        <f ca="1"/>
        <v>0.4602241487288572</v>
      </c>
      <c r="O6894" s="2">
        <f ca="1"/>
        <v>-0.20517692939512011</v>
      </c>
      <c r="X6894" s="2">
        <f ca="1"/>
        <v>56.201507540191464</v>
      </c>
      <c r="AG6894" s="2">
        <f ca="1"/>
        <v>0.56430894353982719</v>
      </c>
      <c r="AH6894" s="2" t="str">
        <f ca="1"/>
        <v>Bad</v>
      </c>
    </row>
    <row r="6895" spans="2:34" x14ac:dyDescent="0.2">
      <c r="B6895" s="2">
        <f ca="1"/>
        <v>0.82381572973435335</v>
      </c>
      <c r="O6895" s="2">
        <f ca="1"/>
        <v>0.47163112552363551</v>
      </c>
      <c r="X6895" s="2">
        <f ca="1"/>
        <v>42.990198860903384</v>
      </c>
      <c r="AG6895" s="2">
        <f ca="1"/>
        <v>0.62488698668348031</v>
      </c>
      <c r="AH6895" s="2" t="str">
        <f ca="1"/>
        <v>Bad</v>
      </c>
    </row>
    <row r="6896" spans="2:34" x14ac:dyDescent="0.2">
      <c r="B6896" s="2">
        <f ca="1"/>
        <v>0.46264638634255428</v>
      </c>
      <c r="O6896" s="2">
        <f ca="1"/>
        <v>6.0007939508651256E-2</v>
      </c>
      <c r="X6896" s="2">
        <f ca="1"/>
        <v>36.987946324209837</v>
      </c>
      <c r="AG6896" s="2">
        <f ca="1"/>
        <v>9.9612036423942563E-2</v>
      </c>
      <c r="AH6896" s="2" t="str">
        <f ca="1"/>
        <v>OK</v>
      </c>
    </row>
    <row r="6897" spans="2:34" x14ac:dyDescent="0.2">
      <c r="B6897" s="2">
        <f ca="1"/>
        <v>0.55703238768954733</v>
      </c>
      <c r="O6897" s="2">
        <f ca="1"/>
        <v>9.3380961776481475E-2</v>
      </c>
      <c r="X6897" s="2">
        <f ca="1"/>
        <v>53.360306565758464</v>
      </c>
      <c r="AG6897" s="2">
        <f ca="1"/>
        <v>0.31859831245755532</v>
      </c>
      <c r="AH6897" s="2" t="str">
        <f ca="1"/>
        <v>OK</v>
      </c>
    </row>
    <row r="6898" spans="2:34" x14ac:dyDescent="0.2">
      <c r="B6898" s="2">
        <f ca="1"/>
        <v>0.50939078964575457</v>
      </c>
      <c r="O6898" s="2">
        <f ca="1"/>
        <v>-0.42037317742008851</v>
      </c>
      <c r="X6898" s="2">
        <f ca="1"/>
        <v>49.118048190712678</v>
      </c>
      <c r="AG6898" s="2">
        <f ca="1"/>
        <v>5.7033550333388749E-2</v>
      </c>
      <c r="AH6898" s="2" t="str">
        <f ca="1"/>
        <v>OK</v>
      </c>
    </row>
    <row r="6899" spans="2:34" x14ac:dyDescent="0.2">
      <c r="B6899" s="2">
        <f ca="1"/>
        <v>0.99053201858664242</v>
      </c>
      <c r="O6899" s="2">
        <f ca="1"/>
        <v>-0.83710515740943681</v>
      </c>
      <c r="X6899" s="2">
        <f ca="1"/>
        <v>36.699523006977714</v>
      </c>
      <c r="AG6899" s="2">
        <f ca="1"/>
        <v>0.61712263436812953</v>
      </c>
      <c r="AH6899" s="2" t="str">
        <f ca="1"/>
        <v>Bad</v>
      </c>
    </row>
    <row r="6900" spans="2:34" x14ac:dyDescent="0.2">
      <c r="B6900" s="2">
        <f ca="1"/>
        <v>0.56958914982990172</v>
      </c>
      <c r="O6900" s="2">
        <f ca="1"/>
        <v>-6.0993028000524703E-2</v>
      </c>
      <c r="X6900" s="2">
        <f ca="1"/>
        <v>48.556143144022187</v>
      </c>
      <c r="AG6900" s="2">
        <f ca="1"/>
        <v>0.2935505868727506</v>
      </c>
      <c r="AH6900" s="2" t="str">
        <f ca="1"/>
        <v>OK</v>
      </c>
    </row>
    <row r="6901" spans="2:34" x14ac:dyDescent="0.2">
      <c r="B6901" s="2">
        <f ca="1"/>
        <v>5.1856162012888785E-3</v>
      </c>
      <c r="O6901" s="2">
        <f ca="1"/>
        <v>0.95560464175029791</v>
      </c>
      <c r="X6901" s="2">
        <f ca="1"/>
        <v>66.141837837597578</v>
      </c>
      <c r="AG6901" s="2">
        <f ca="1"/>
        <v>0.80903454575893297</v>
      </c>
      <c r="AH6901" s="2" t="str">
        <f ca="1"/>
        <v>Bad</v>
      </c>
    </row>
    <row r="6902" spans="2:34" x14ac:dyDescent="0.2">
      <c r="B6902" s="2">
        <f ca="1"/>
        <v>0.61703373438442899</v>
      </c>
      <c r="O6902" s="2">
        <f ca="1"/>
        <v>0.88795576835785239</v>
      </c>
      <c r="X6902" s="2">
        <f ca="1"/>
        <v>41.184986517070037</v>
      </c>
      <c r="AG6902" s="2">
        <f ca="1"/>
        <v>0.15693699810399231</v>
      </c>
      <c r="AH6902" s="2" t="str">
        <f ca="1"/>
        <v>OK</v>
      </c>
    </row>
    <row r="6903" spans="2:34" x14ac:dyDescent="0.2">
      <c r="B6903" s="2">
        <f ca="1"/>
        <v>0.2872368488078807</v>
      </c>
      <c r="O6903" s="2">
        <f ca="1"/>
        <v>-1.2379803123106226</v>
      </c>
      <c r="X6903" s="2">
        <f ca="1"/>
        <v>35.826648847498689</v>
      </c>
      <c r="AG6903" s="2">
        <f ca="1"/>
        <v>0.94420624835996625</v>
      </c>
      <c r="AH6903" s="2" t="str">
        <f ca="1"/>
        <v>Bad</v>
      </c>
    </row>
    <row r="6904" spans="2:34" x14ac:dyDescent="0.2">
      <c r="B6904" s="2">
        <f ca="1"/>
        <v>0.52979043273805781</v>
      </c>
      <c r="O6904" s="2">
        <f ca="1"/>
        <v>-0.59721536072864956</v>
      </c>
      <c r="X6904" s="2">
        <f ca="1"/>
        <v>66.138826023873264</v>
      </c>
      <c r="AG6904" s="2">
        <f ca="1"/>
        <v>0.55300705099860936</v>
      </c>
      <c r="AH6904" s="2" t="str">
        <f ca="1"/>
        <v>Bad</v>
      </c>
    </row>
    <row r="6905" spans="2:34" x14ac:dyDescent="0.2">
      <c r="B6905" s="2">
        <f ca="1"/>
        <v>0.59031566954936276</v>
      </c>
      <c r="O6905" s="2">
        <f ca="1"/>
        <v>1.3791921295499847</v>
      </c>
      <c r="X6905" s="2">
        <f ca="1"/>
        <v>49.565961231791817</v>
      </c>
      <c r="AG6905" s="2">
        <f ca="1"/>
        <v>0.79032107945815211</v>
      </c>
      <c r="AH6905" s="2" t="str">
        <f ca="1"/>
        <v>Bad</v>
      </c>
    </row>
    <row r="6906" spans="2:34" x14ac:dyDescent="0.2">
      <c r="B6906" s="2">
        <f ca="1"/>
        <v>0.19720368793631615</v>
      </c>
      <c r="O6906" s="2">
        <f ca="1"/>
        <v>-1.8544419038576663</v>
      </c>
      <c r="X6906" s="2">
        <f ca="1"/>
        <v>44.071581819629849</v>
      </c>
      <c r="AG6906" s="2">
        <f ca="1"/>
        <v>0.98673899929765851</v>
      </c>
      <c r="AH6906" s="2" t="str">
        <f ca="1"/>
        <v>Bad</v>
      </c>
    </row>
    <row r="6907" spans="2:34" x14ac:dyDescent="0.2">
      <c r="B6907" s="2">
        <f ca="1"/>
        <v>4.9863123508821605E-2</v>
      </c>
      <c r="O6907" s="2">
        <f ca="1"/>
        <v>1.4469324689069198</v>
      </c>
      <c r="X6907" s="2">
        <f ca="1"/>
        <v>46.441504780905788</v>
      </c>
      <c r="AG6907" s="2">
        <f ca="1"/>
        <v>0.10125837342855393</v>
      </c>
      <c r="AH6907" s="2" t="str">
        <f ca="1"/>
        <v>OK</v>
      </c>
    </row>
    <row r="6908" spans="2:34" x14ac:dyDescent="0.2">
      <c r="B6908" s="2">
        <f ca="1"/>
        <v>0.8028820770145515</v>
      </c>
      <c r="O6908" s="2">
        <f ca="1"/>
        <v>-1.6421526994766813</v>
      </c>
      <c r="X6908" s="2">
        <f ca="1"/>
        <v>38.207636113084796</v>
      </c>
      <c r="AG6908" s="2">
        <f ca="1"/>
        <v>0.44772295269878781</v>
      </c>
      <c r="AH6908" s="2" t="str">
        <f ca="1"/>
        <v>Bad</v>
      </c>
    </row>
    <row r="6909" spans="2:34" x14ac:dyDescent="0.2">
      <c r="B6909" s="2">
        <f ca="1"/>
        <v>8.9545759356650656E-2</v>
      </c>
      <c r="O6909" s="2">
        <f ca="1"/>
        <v>0.20139833714812955</v>
      </c>
      <c r="X6909" s="2">
        <f ca="1"/>
        <v>36.146811889167545</v>
      </c>
      <c r="AG6909" s="2">
        <f ca="1"/>
        <v>0.48729763703838458</v>
      </c>
      <c r="AH6909" s="2" t="str">
        <f ca="1"/>
        <v>Bad</v>
      </c>
    </row>
    <row r="6910" spans="2:34" x14ac:dyDescent="0.2">
      <c r="B6910" s="2">
        <f ca="1"/>
        <v>0.85967410284263046</v>
      </c>
      <c r="O6910" s="2">
        <f ca="1"/>
        <v>-9.5289387970465836E-2</v>
      </c>
      <c r="X6910" s="2">
        <f ca="1"/>
        <v>37.129031701234524</v>
      </c>
      <c r="AG6910" s="2">
        <f ca="1"/>
        <v>7.2487240748795534E-2</v>
      </c>
      <c r="AH6910" s="2" t="str">
        <f ca="1"/>
        <v>OK</v>
      </c>
    </row>
    <row r="6911" spans="2:34" x14ac:dyDescent="0.2">
      <c r="B6911" s="2">
        <f ca="1"/>
        <v>0.14699690058935011</v>
      </c>
      <c r="O6911" s="2">
        <f ca="1"/>
        <v>0.46013604176095341</v>
      </c>
      <c r="X6911" s="2">
        <f ca="1"/>
        <v>29.179384539620354</v>
      </c>
      <c r="AG6911" s="2">
        <f ca="1"/>
        <v>0.72107585014343911</v>
      </c>
      <c r="AH6911" s="2" t="str">
        <f ca="1"/>
        <v>Bad</v>
      </c>
    </row>
    <row r="6912" spans="2:34" x14ac:dyDescent="0.2">
      <c r="B6912" s="2">
        <f ca="1"/>
        <v>0.49199435633343613</v>
      </c>
      <c r="O6912" s="2">
        <f ca="1"/>
        <v>-1.3575497448296983</v>
      </c>
      <c r="X6912" s="2">
        <f ca="1"/>
        <v>82.732805100730218</v>
      </c>
      <c r="AG6912" s="2">
        <f ca="1"/>
        <v>0.17478653210937267</v>
      </c>
      <c r="AH6912" s="2" t="str">
        <f ca="1"/>
        <v>OK</v>
      </c>
    </row>
    <row r="6913" spans="2:34" x14ac:dyDescent="0.2">
      <c r="B6913" s="2">
        <f ca="1"/>
        <v>0.28015363714515007</v>
      </c>
      <c r="O6913" s="2">
        <f ca="1"/>
        <v>-0.46286431588319099</v>
      </c>
      <c r="X6913" s="2">
        <f ca="1"/>
        <v>64.083172109152315</v>
      </c>
      <c r="AG6913" s="2">
        <f ca="1"/>
        <v>0.65282593285247925</v>
      </c>
      <c r="AH6913" s="2" t="str">
        <f ca="1"/>
        <v>Bad</v>
      </c>
    </row>
    <row r="6914" spans="2:34" x14ac:dyDescent="0.2">
      <c r="B6914" s="2">
        <f ca="1"/>
        <v>0.52821030112424894</v>
      </c>
      <c r="O6914" s="2">
        <f ca="1"/>
        <v>0.73977609445969361</v>
      </c>
      <c r="X6914" s="2">
        <f ca="1"/>
        <v>50.669119448090811</v>
      </c>
      <c r="AG6914" s="2">
        <f ca="1"/>
        <v>3.360816289784907E-3</v>
      </c>
      <c r="AH6914" s="2" t="str">
        <f ca="1"/>
        <v>Good</v>
      </c>
    </row>
    <row r="6915" spans="2:34" x14ac:dyDescent="0.2">
      <c r="B6915" s="2">
        <f ca="1"/>
        <v>0.11161045117843549</v>
      </c>
      <c r="O6915" s="2">
        <f ca="1"/>
        <v>-0.73682607883575235</v>
      </c>
      <c r="X6915" s="2">
        <f ca="1"/>
        <v>66.997293039099588</v>
      </c>
      <c r="AG6915" s="2">
        <f ca="1"/>
        <v>0.88561378784505895</v>
      </c>
      <c r="AH6915" s="2" t="str">
        <f ca="1"/>
        <v>Bad</v>
      </c>
    </row>
    <row r="6916" spans="2:34" x14ac:dyDescent="0.2">
      <c r="B6916" s="2">
        <f ca="1"/>
        <v>0.57158934059323951</v>
      </c>
      <c r="O6916" s="2">
        <f ca="1"/>
        <v>0.15444674735126973</v>
      </c>
      <c r="X6916" s="2">
        <f ca="1"/>
        <v>35.657853597728291</v>
      </c>
      <c r="AG6916" s="2">
        <f ca="1"/>
        <v>6.0708190797713613E-2</v>
      </c>
      <c r="AH6916" s="2" t="str">
        <f ca="1"/>
        <v>OK</v>
      </c>
    </row>
    <row r="6917" spans="2:34" x14ac:dyDescent="0.2">
      <c r="B6917" s="2">
        <f ca="1"/>
        <v>0.43326903554884444</v>
      </c>
      <c r="O6917" s="2">
        <f ca="1"/>
        <v>-1.1290879520081958</v>
      </c>
      <c r="X6917" s="2">
        <f ca="1"/>
        <v>43.182137722562757</v>
      </c>
      <c r="AG6917" s="2">
        <f ca="1"/>
        <v>9.0854193013453655E-2</v>
      </c>
      <c r="AH6917" s="2" t="str">
        <f ca="1"/>
        <v>OK</v>
      </c>
    </row>
    <row r="6918" spans="2:34" x14ac:dyDescent="0.2">
      <c r="B6918" s="2">
        <f ca="1"/>
        <v>0.37711220857855032</v>
      </c>
      <c r="O6918" s="2">
        <f ca="1"/>
        <v>-0.82953693060248679</v>
      </c>
      <c r="X6918" s="2">
        <f ca="1"/>
        <v>26.04014634734542</v>
      </c>
      <c r="AG6918" s="2">
        <f ca="1"/>
        <v>0.18061521185434071</v>
      </c>
      <c r="AH6918" s="2" t="str">
        <f ca="1"/>
        <v>OK</v>
      </c>
    </row>
    <row r="6919" spans="2:34" x14ac:dyDescent="0.2">
      <c r="B6919" s="2">
        <f ca="1"/>
        <v>0.32551422158501531</v>
      </c>
      <c r="O6919" s="2">
        <f ca="1"/>
        <v>-1.1043174793246167</v>
      </c>
      <c r="X6919" s="2">
        <f ca="1"/>
        <v>36.613948891995342</v>
      </c>
      <c r="AG6919" s="2">
        <f ca="1"/>
        <v>0.89127111033960049</v>
      </c>
      <c r="AH6919" s="2" t="str">
        <f ca="1"/>
        <v>Bad</v>
      </c>
    </row>
    <row r="6920" spans="2:34" x14ac:dyDescent="0.2">
      <c r="B6920" s="2">
        <f ca="1"/>
        <v>0.86200001221582889</v>
      </c>
      <c r="O6920" s="2">
        <f ca="1"/>
        <v>2.4222137020203971</v>
      </c>
      <c r="X6920" s="2">
        <f ca="1"/>
        <v>50.533407152444106</v>
      </c>
      <c r="AG6920" s="2">
        <f ca="1"/>
        <v>0.7686231871539202</v>
      </c>
      <c r="AH6920" s="2" t="str">
        <f ca="1"/>
        <v>Bad</v>
      </c>
    </row>
    <row r="6921" spans="2:34" x14ac:dyDescent="0.2">
      <c r="B6921" s="2">
        <f ca="1"/>
        <v>0.90767925727238508</v>
      </c>
      <c r="O6921" s="2">
        <f ca="1"/>
        <v>0.7722244795761195</v>
      </c>
      <c r="X6921" s="2">
        <f ca="1"/>
        <v>75.385775098206111</v>
      </c>
      <c r="AG6921" s="2">
        <f ca="1"/>
        <v>0.46458835183789238</v>
      </c>
      <c r="AH6921" s="2" t="str">
        <f ca="1"/>
        <v>Bad</v>
      </c>
    </row>
    <row r="6922" spans="2:34" x14ac:dyDescent="0.2">
      <c r="B6922" s="2">
        <f ca="1"/>
        <v>0.40725574212856652</v>
      </c>
      <c r="O6922" s="2">
        <f ca="1"/>
        <v>-0.67747654325582052</v>
      </c>
      <c r="X6922" s="2">
        <f ca="1"/>
        <v>43.188147423182613</v>
      </c>
      <c r="AG6922" s="2">
        <f ca="1"/>
        <v>0.33227176705553996</v>
      </c>
      <c r="AH6922" s="2" t="str">
        <f ca="1"/>
        <v>OK</v>
      </c>
    </row>
    <row r="6923" spans="2:34" x14ac:dyDescent="0.2">
      <c r="B6923" s="2">
        <f ca="1"/>
        <v>0.96530253891062578</v>
      </c>
      <c r="O6923" s="2">
        <f ca="1"/>
        <v>0.43190335335519592</v>
      </c>
      <c r="X6923" s="2">
        <f ca="1"/>
        <v>81.32983132167044</v>
      </c>
      <c r="AG6923" s="2">
        <f ca="1"/>
        <v>0.51230798945611378</v>
      </c>
      <c r="AH6923" s="2" t="str">
        <f ca="1"/>
        <v>Bad</v>
      </c>
    </row>
    <row r="6924" spans="2:34" x14ac:dyDescent="0.2">
      <c r="B6924" s="2">
        <f ca="1"/>
        <v>0.55980587959082051</v>
      </c>
      <c r="O6924" s="2">
        <f ca="1"/>
        <v>-0.24457790011445266</v>
      </c>
      <c r="X6924" s="2">
        <f ca="1"/>
        <v>79.992751696179113</v>
      </c>
      <c r="AG6924" s="2">
        <f ca="1"/>
        <v>0.22391993982247582</v>
      </c>
      <c r="AH6924" s="2" t="str">
        <f ca="1"/>
        <v>OK</v>
      </c>
    </row>
    <row r="6925" spans="2:34" x14ac:dyDescent="0.2">
      <c r="B6925" s="2">
        <f ca="1"/>
        <v>0.9058911619365253</v>
      </c>
      <c r="O6925" s="2">
        <f ca="1"/>
        <v>-1.587859564255877</v>
      </c>
      <c r="X6925" s="2">
        <f ca="1"/>
        <v>60.970804132083664</v>
      </c>
      <c r="AG6925" s="2">
        <f ca="1"/>
        <v>0.97035091171284638</v>
      </c>
      <c r="AH6925" s="2" t="str">
        <f ca="1"/>
        <v>Bad</v>
      </c>
    </row>
    <row r="6926" spans="2:34" x14ac:dyDescent="0.2">
      <c r="B6926" s="2">
        <f ca="1"/>
        <v>0.5728915880078802</v>
      </c>
      <c r="O6926" s="2">
        <f ca="1"/>
        <v>-0.83002538478009569</v>
      </c>
      <c r="X6926" s="2">
        <f ca="1"/>
        <v>41.925338463765407</v>
      </c>
      <c r="AG6926" s="2">
        <f ca="1"/>
        <v>0.66208179284016233</v>
      </c>
      <c r="AH6926" s="2" t="str">
        <f ca="1"/>
        <v>Bad</v>
      </c>
    </row>
    <row r="6927" spans="2:34" x14ac:dyDescent="0.2">
      <c r="B6927" s="2">
        <f ca="1"/>
        <v>0.27517155023247231</v>
      </c>
      <c r="O6927" s="2">
        <f ca="1"/>
        <v>0.22702338219804319</v>
      </c>
      <c r="X6927" s="2">
        <f ca="1"/>
        <v>32.868778648557871</v>
      </c>
      <c r="AG6927" s="2">
        <f ca="1"/>
        <v>2.5677627360920274E-2</v>
      </c>
      <c r="AH6927" s="2" t="str">
        <f ca="1"/>
        <v>Good</v>
      </c>
    </row>
    <row r="6928" spans="2:34" x14ac:dyDescent="0.2">
      <c r="B6928" s="2">
        <f ca="1"/>
        <v>0.59319207087692605</v>
      </c>
      <c r="O6928" s="2">
        <f ca="1"/>
        <v>0.51450955680507759</v>
      </c>
      <c r="X6928" s="2">
        <f ca="1"/>
        <v>52.563261954017186</v>
      </c>
      <c r="AG6928" s="2">
        <f ca="1"/>
        <v>0.44404404837048617</v>
      </c>
      <c r="AH6928" s="2" t="str">
        <f ca="1"/>
        <v>Bad</v>
      </c>
    </row>
    <row r="6929" spans="2:34" x14ac:dyDescent="0.2">
      <c r="B6929" s="2">
        <f ca="1"/>
        <v>0.52300880918649706</v>
      </c>
      <c r="O6929" s="2">
        <f ca="1"/>
        <v>0.14809732500703179</v>
      </c>
      <c r="X6929" s="2">
        <f ca="1"/>
        <v>42.255779174426841</v>
      </c>
      <c r="AG6929" s="2">
        <f ca="1"/>
        <v>7.3646133646426026E-2</v>
      </c>
      <c r="AH6929" s="2" t="str">
        <f ca="1"/>
        <v>OK</v>
      </c>
    </row>
    <row r="6930" spans="2:34" x14ac:dyDescent="0.2">
      <c r="B6930" s="2">
        <f ca="1"/>
        <v>0.63429563378590337</v>
      </c>
      <c r="O6930" s="2">
        <f ca="1"/>
        <v>1.9800713213697128</v>
      </c>
      <c r="X6930" s="2">
        <f ca="1"/>
        <v>55.607300359650964</v>
      </c>
      <c r="AG6930" s="2">
        <f ca="1"/>
        <v>0.83133701725083853</v>
      </c>
      <c r="AH6930" s="2" t="str">
        <f ca="1"/>
        <v>Bad</v>
      </c>
    </row>
    <row r="6931" spans="2:34" x14ac:dyDescent="0.2">
      <c r="B6931" s="2">
        <f ca="1"/>
        <v>0.9587351270390625</v>
      </c>
      <c r="O6931" s="2">
        <f ca="1"/>
        <v>-1.8370754733923456</v>
      </c>
      <c r="X6931" s="2">
        <f ca="1"/>
        <v>47.753952519609442</v>
      </c>
      <c r="AG6931" s="2">
        <f ca="1"/>
        <v>0.31787402975799472</v>
      </c>
      <c r="AH6931" s="2" t="str">
        <f ca="1"/>
        <v>OK</v>
      </c>
    </row>
    <row r="6932" spans="2:34" x14ac:dyDescent="0.2">
      <c r="B6932" s="2">
        <f ca="1"/>
        <v>9.5960036823475203E-2</v>
      </c>
      <c r="O6932" s="2">
        <f ca="1"/>
        <v>-2.2486916385449129</v>
      </c>
      <c r="X6932" s="2">
        <f ca="1"/>
        <v>48.073618272082328</v>
      </c>
      <c r="AG6932" s="2">
        <f ca="1"/>
        <v>0.59961062188459935</v>
      </c>
      <c r="AH6932" s="2" t="str">
        <f ca="1"/>
        <v>Bad</v>
      </c>
    </row>
    <row r="6933" spans="2:34" x14ac:dyDescent="0.2">
      <c r="B6933" s="2">
        <f ca="1"/>
        <v>0.67315202688066278</v>
      </c>
      <c r="O6933" s="2">
        <f ca="1"/>
        <v>0.24200406976175176</v>
      </c>
      <c r="X6933" s="2">
        <f ca="1"/>
        <v>46.789356594744049</v>
      </c>
      <c r="AG6933" s="2">
        <f ca="1"/>
        <v>0.76206025728013471</v>
      </c>
      <c r="AH6933" s="2" t="str">
        <f ca="1"/>
        <v>Bad</v>
      </c>
    </row>
    <row r="6934" spans="2:34" x14ac:dyDescent="0.2">
      <c r="B6934" s="2">
        <f ca="1"/>
        <v>3.5789271280575186E-3</v>
      </c>
      <c r="O6934" s="2">
        <f ca="1"/>
        <v>-0.17310009013108549</v>
      </c>
      <c r="X6934" s="2">
        <f ca="1"/>
        <v>56.547103784209092</v>
      </c>
      <c r="AG6934" s="2">
        <f ca="1"/>
        <v>0.43805749565524787</v>
      </c>
      <c r="AH6934" s="2" t="str">
        <f ca="1"/>
        <v>Bad</v>
      </c>
    </row>
    <row r="6935" spans="2:34" x14ac:dyDescent="0.2">
      <c r="B6935" s="2">
        <f ca="1"/>
        <v>0.91711793437653011</v>
      </c>
      <c r="O6935" s="2">
        <f ca="1"/>
        <v>-0.34883152033635456</v>
      </c>
      <c r="X6935" s="2">
        <f ca="1"/>
        <v>39.415359230367585</v>
      </c>
      <c r="AG6935" s="2">
        <f ca="1"/>
        <v>0.58577514362657146</v>
      </c>
      <c r="AH6935" s="2" t="str">
        <f ca="1"/>
        <v>Bad</v>
      </c>
    </row>
    <row r="6936" spans="2:34" x14ac:dyDescent="0.2">
      <c r="B6936" s="2">
        <f ca="1"/>
        <v>0.72206658976859517</v>
      </c>
      <c r="O6936" s="2">
        <f ca="1"/>
        <v>0.21695187156489976</v>
      </c>
      <c r="X6936" s="2">
        <f ca="1"/>
        <v>56.76587850546035</v>
      </c>
      <c r="AG6936" s="2">
        <f ca="1"/>
        <v>0.61537488898379555</v>
      </c>
      <c r="AH6936" s="2" t="str">
        <f ca="1"/>
        <v>Bad</v>
      </c>
    </row>
    <row r="6937" spans="2:34" x14ac:dyDescent="0.2">
      <c r="B6937" s="2">
        <f ca="1"/>
        <v>0.17710115996662501</v>
      </c>
      <c r="O6937" s="2">
        <f ca="1"/>
        <v>-0.93963384262871918</v>
      </c>
      <c r="X6937" s="2">
        <f ca="1"/>
        <v>61.69237756337381</v>
      </c>
      <c r="AG6937" s="2">
        <f ca="1"/>
        <v>0.51221005584542678</v>
      </c>
      <c r="AH6937" s="2" t="str">
        <f ca="1"/>
        <v>Bad</v>
      </c>
    </row>
    <row r="6938" spans="2:34" x14ac:dyDescent="0.2">
      <c r="B6938" s="2">
        <f ca="1"/>
        <v>0.49070917178708573</v>
      </c>
      <c r="O6938" s="2">
        <f ca="1"/>
        <v>-0.75152744171483699</v>
      </c>
      <c r="X6938" s="2">
        <f ca="1"/>
        <v>31.199361651172826</v>
      </c>
      <c r="AG6938" s="2">
        <f ca="1"/>
        <v>0.64786654105193842</v>
      </c>
      <c r="AH6938" s="2" t="str">
        <f ca="1"/>
        <v>Bad</v>
      </c>
    </row>
    <row r="6939" spans="2:34" x14ac:dyDescent="0.2">
      <c r="B6939" s="2">
        <f ca="1"/>
        <v>0.10533276702402583</v>
      </c>
      <c r="O6939" s="2">
        <f ca="1"/>
        <v>0.84821800175625373</v>
      </c>
      <c r="X6939" s="2">
        <f ca="1"/>
        <v>41.890724755611373</v>
      </c>
      <c r="AG6939" s="2">
        <f ca="1"/>
        <v>0.70550226750188738</v>
      </c>
      <c r="AH6939" s="2" t="str">
        <f ca="1"/>
        <v>Bad</v>
      </c>
    </row>
    <row r="6940" spans="2:34" x14ac:dyDescent="0.2">
      <c r="B6940" s="2">
        <f ca="1"/>
        <v>0.80348518729339258</v>
      </c>
      <c r="O6940" s="2">
        <f ca="1"/>
        <v>-1.4288130774449725</v>
      </c>
      <c r="X6940" s="2">
        <f ca="1"/>
        <v>80.034700808926829</v>
      </c>
      <c r="AG6940" s="2">
        <f ca="1"/>
        <v>0.50372131906664563</v>
      </c>
      <c r="AH6940" s="2" t="str">
        <f ca="1"/>
        <v>Bad</v>
      </c>
    </row>
    <row r="6941" spans="2:34" x14ac:dyDescent="0.2">
      <c r="B6941" s="2">
        <f ca="1"/>
        <v>0.80029298338688548</v>
      </c>
      <c r="O6941" s="2">
        <f ca="1"/>
        <v>-1.6043393680148781</v>
      </c>
      <c r="X6941" s="2">
        <f ca="1"/>
        <v>42.125830572954534</v>
      </c>
      <c r="AG6941" s="2">
        <f ca="1"/>
        <v>0.67066844829702132</v>
      </c>
      <c r="AH6941" s="2" t="str">
        <f ca="1"/>
        <v>Bad</v>
      </c>
    </row>
    <row r="6942" spans="2:34" x14ac:dyDescent="0.2">
      <c r="B6942" s="2">
        <f ca="1"/>
        <v>0.41895844326202014</v>
      </c>
      <c r="O6942" s="2">
        <f ca="1"/>
        <v>0.90120128033945368</v>
      </c>
      <c r="X6942" s="2">
        <f ca="1"/>
        <v>30.063967169915738</v>
      </c>
      <c r="AG6942" s="2">
        <f ca="1"/>
        <v>0.52992377205224428</v>
      </c>
      <c r="AH6942" s="2" t="str">
        <f ca="1"/>
        <v>Bad</v>
      </c>
    </row>
    <row r="6943" spans="2:34" x14ac:dyDescent="0.2">
      <c r="B6943" s="2">
        <f ca="1"/>
        <v>0.45010347141607587</v>
      </c>
      <c r="O6943" s="2">
        <f ca="1"/>
        <v>-0.74144726899671176</v>
      </c>
      <c r="X6943" s="2">
        <f ca="1"/>
        <v>57.716243958167759</v>
      </c>
      <c r="AG6943" s="2">
        <f ca="1"/>
        <v>0.60279461462437944</v>
      </c>
      <c r="AH6943" s="2" t="str">
        <f ca="1"/>
        <v>Bad</v>
      </c>
    </row>
    <row r="6944" spans="2:34" x14ac:dyDescent="0.2">
      <c r="B6944" s="2">
        <f ca="1"/>
        <v>0.97868264398760529</v>
      </c>
      <c r="O6944" s="2">
        <f ca="1"/>
        <v>-0.43668194012837452</v>
      </c>
      <c r="X6944" s="2">
        <f ca="1"/>
        <v>35.615631538968053</v>
      </c>
      <c r="AG6944" s="2">
        <f ca="1"/>
        <v>0.57536597347175311</v>
      </c>
      <c r="AH6944" s="2" t="str">
        <f ca="1"/>
        <v>Bad</v>
      </c>
    </row>
    <row r="6945" spans="2:34" x14ac:dyDescent="0.2">
      <c r="B6945" s="2">
        <f ca="1"/>
        <v>0.14404166108857952</v>
      </c>
      <c r="O6945" s="2">
        <f ca="1"/>
        <v>-1.723306677201127</v>
      </c>
      <c r="X6945" s="2">
        <f ca="1"/>
        <v>38.228222705999585</v>
      </c>
      <c r="AG6945" s="2">
        <f ca="1"/>
        <v>0.2130682912676698</v>
      </c>
      <c r="AH6945" s="2" t="str">
        <f ca="1"/>
        <v>OK</v>
      </c>
    </row>
    <row r="6946" spans="2:34" x14ac:dyDescent="0.2">
      <c r="B6946" s="2">
        <f ca="1"/>
        <v>0.16159673946831687</v>
      </c>
      <c r="O6946" s="2">
        <f ca="1"/>
        <v>1.3545847526108639</v>
      </c>
      <c r="X6946" s="2">
        <f ca="1"/>
        <v>62.016395622319251</v>
      </c>
      <c r="AG6946" s="2">
        <f ca="1"/>
        <v>0.98676796393035793</v>
      </c>
      <c r="AH6946" s="2" t="str">
        <f ca="1"/>
        <v>Bad</v>
      </c>
    </row>
    <row r="6947" spans="2:34" x14ac:dyDescent="0.2">
      <c r="B6947" s="2">
        <f ca="1"/>
        <v>0.48241434213074874</v>
      </c>
      <c r="O6947" s="2">
        <f ca="1"/>
        <v>-1.0188480252836141</v>
      </c>
      <c r="X6947" s="2">
        <f ca="1"/>
        <v>79.44841634573055</v>
      </c>
      <c r="AG6947" s="2">
        <f ca="1"/>
        <v>0.91848579032060718</v>
      </c>
      <c r="AH6947" s="2" t="str">
        <f ca="1"/>
        <v>Bad</v>
      </c>
    </row>
    <row r="6948" spans="2:34" x14ac:dyDescent="0.2">
      <c r="B6948" s="2">
        <f ca="1"/>
        <v>0.18248365932324595</v>
      </c>
      <c r="O6948" s="2">
        <f ca="1"/>
        <v>-0.97593440799051223</v>
      </c>
      <c r="X6948" s="2">
        <f ca="1"/>
        <v>64.244697317103117</v>
      </c>
      <c r="AG6948" s="2">
        <f ca="1"/>
        <v>0.43622604507505369</v>
      </c>
      <c r="AH6948" s="2" t="str">
        <f ca="1"/>
        <v>Bad</v>
      </c>
    </row>
    <row r="6949" spans="2:34" x14ac:dyDescent="0.2">
      <c r="B6949" s="2">
        <f ca="1"/>
        <v>0.87237303405048561</v>
      </c>
      <c r="O6949" s="2">
        <f ca="1"/>
        <v>2.0958423868338492</v>
      </c>
      <c r="X6949" s="2">
        <f ca="1"/>
        <v>59.034879513532942</v>
      </c>
      <c r="AG6949" s="2">
        <f ca="1"/>
        <v>0.12406183464765319</v>
      </c>
      <c r="AH6949" s="2" t="str">
        <f ca="1"/>
        <v>OK</v>
      </c>
    </row>
    <row r="6950" spans="2:34" x14ac:dyDescent="0.2">
      <c r="B6950" s="2">
        <f ca="1"/>
        <v>0.12291172127807526</v>
      </c>
      <c r="O6950" s="2">
        <f ca="1"/>
        <v>1.4147541328209374</v>
      </c>
      <c r="X6950" s="2">
        <f ca="1"/>
        <v>65.14959487606292</v>
      </c>
      <c r="AG6950" s="2">
        <f ca="1"/>
        <v>0.86215224831663062</v>
      </c>
      <c r="AH6950" s="2" t="str">
        <f ca="1"/>
        <v>Bad</v>
      </c>
    </row>
    <row r="6951" spans="2:34" x14ac:dyDescent="0.2">
      <c r="B6951" s="2">
        <f ca="1"/>
        <v>0.12470886279424342</v>
      </c>
      <c r="O6951" s="2">
        <f ca="1"/>
        <v>-0.88770934435877646</v>
      </c>
      <c r="X6951" s="2">
        <f ca="1"/>
        <v>35.717658356306885</v>
      </c>
      <c r="AG6951" s="2">
        <f ca="1"/>
        <v>0.89148737215077367</v>
      </c>
      <c r="AH6951" s="2" t="str">
        <f ca="1"/>
        <v>Bad</v>
      </c>
    </row>
    <row r="6952" spans="2:34" x14ac:dyDescent="0.2">
      <c r="B6952" s="2">
        <f ca="1"/>
        <v>0.37575586309030373</v>
      </c>
      <c r="O6952" s="2">
        <f ca="1"/>
        <v>-0.43478303532833235</v>
      </c>
      <c r="X6952" s="2">
        <f ca="1"/>
        <v>53.099571309532266</v>
      </c>
      <c r="AG6952" s="2">
        <f ca="1"/>
        <v>0.35502759509968285</v>
      </c>
      <c r="AH6952" s="2" t="str">
        <f ca="1"/>
        <v>OK</v>
      </c>
    </row>
    <row r="6953" spans="2:34" x14ac:dyDescent="0.2">
      <c r="B6953" s="2">
        <f ca="1"/>
        <v>0.58696166972565744</v>
      </c>
      <c r="O6953" s="2">
        <f ca="1"/>
        <v>0.58410704279087156</v>
      </c>
      <c r="X6953" s="2">
        <f ca="1"/>
        <v>36.806081007043979</v>
      </c>
      <c r="AG6953" s="2">
        <f ca="1"/>
        <v>0.54335759565914921</v>
      </c>
      <c r="AH6953" s="2" t="str">
        <f ca="1"/>
        <v>Bad</v>
      </c>
    </row>
    <row r="6954" spans="2:34" x14ac:dyDescent="0.2">
      <c r="B6954" s="2">
        <f ca="1"/>
        <v>0.23280381927323779</v>
      </c>
      <c r="O6954" s="2">
        <f ca="1"/>
        <v>0.39987191183573245</v>
      </c>
      <c r="X6954" s="2">
        <f ca="1"/>
        <v>73.455554450161245</v>
      </c>
      <c r="AG6954" s="2">
        <f ca="1"/>
        <v>0.2109439711890424</v>
      </c>
      <c r="AH6954" s="2" t="str">
        <f ca="1"/>
        <v>OK</v>
      </c>
    </row>
    <row r="6955" spans="2:34" x14ac:dyDescent="0.2">
      <c r="B6955" s="2">
        <f ca="1"/>
        <v>0.91262531663126745</v>
      </c>
      <c r="O6955" s="2">
        <f ca="1"/>
        <v>-1.2406774017298465</v>
      </c>
      <c r="X6955" s="2">
        <f ca="1"/>
        <v>48.506555479212139</v>
      </c>
      <c r="AG6955" s="2">
        <f ca="1"/>
        <v>0.63422393274073818</v>
      </c>
      <c r="AH6955" s="2" t="str">
        <f ca="1"/>
        <v>Bad</v>
      </c>
    </row>
    <row r="6956" spans="2:34" x14ac:dyDescent="0.2">
      <c r="B6956" s="2">
        <f ca="1"/>
        <v>0.92835343654085589</v>
      </c>
      <c r="O6956" s="2">
        <f ca="1"/>
        <v>0.26942050619548547</v>
      </c>
      <c r="X6956" s="2">
        <f ca="1"/>
        <v>59.69462295552723</v>
      </c>
      <c r="AG6956" s="2">
        <f ca="1"/>
        <v>0.24091034153220336</v>
      </c>
      <c r="AH6956" s="2" t="str">
        <f ca="1"/>
        <v>OK</v>
      </c>
    </row>
    <row r="6957" spans="2:34" x14ac:dyDescent="0.2">
      <c r="B6957" s="2">
        <f ca="1"/>
        <v>0.62942243311481705</v>
      </c>
      <c r="O6957" s="2">
        <f ca="1"/>
        <v>1.046471066011909</v>
      </c>
      <c r="X6957" s="2">
        <f ca="1"/>
        <v>61.263061066668023</v>
      </c>
      <c r="AG6957" s="2">
        <f ca="1"/>
        <v>0.40004902633569683</v>
      </c>
      <c r="AH6957" s="2" t="str">
        <f ca="1"/>
        <v>Bad</v>
      </c>
    </row>
    <row r="6958" spans="2:34" x14ac:dyDescent="0.2">
      <c r="B6958" s="2">
        <f ca="1"/>
        <v>0.76190780754801302</v>
      </c>
      <c r="O6958" s="2">
        <f ca="1"/>
        <v>0.35755055304189631</v>
      </c>
      <c r="X6958" s="2">
        <f ca="1"/>
        <v>53.293898464947119</v>
      </c>
      <c r="AG6958" s="2">
        <f ca="1"/>
        <v>0.88296743751705153</v>
      </c>
      <c r="AH6958" s="2" t="str">
        <f ca="1"/>
        <v>Bad</v>
      </c>
    </row>
    <row r="6959" spans="2:34" x14ac:dyDescent="0.2">
      <c r="B6959" s="2">
        <f ca="1"/>
        <v>0.7591348716532158</v>
      </c>
      <c r="O6959" s="2">
        <f ca="1"/>
        <v>4.8598729513556246E-2</v>
      </c>
      <c r="X6959" s="2">
        <f ca="1"/>
        <v>30.050562028898575</v>
      </c>
      <c r="AG6959" s="2">
        <f ca="1"/>
        <v>0.54684678939333309</v>
      </c>
      <c r="AH6959" s="2" t="str">
        <f ca="1"/>
        <v>Bad</v>
      </c>
    </row>
    <row r="6960" spans="2:34" x14ac:dyDescent="0.2">
      <c r="B6960" s="2">
        <f ca="1"/>
        <v>0.50650079367097733</v>
      </c>
      <c r="O6960" s="2">
        <f ca="1"/>
        <v>-0.3005185769494102</v>
      </c>
      <c r="X6960" s="2">
        <f ca="1"/>
        <v>40.437174609277584</v>
      </c>
      <c r="AG6960" s="2">
        <f ca="1"/>
        <v>0.1148302131480643</v>
      </c>
      <c r="AH6960" s="2" t="str">
        <f ca="1"/>
        <v>OK</v>
      </c>
    </row>
    <row r="6961" spans="2:34" x14ac:dyDescent="0.2">
      <c r="B6961" s="2">
        <f ca="1"/>
        <v>0.35683094002538129</v>
      </c>
      <c r="O6961" s="2">
        <f ca="1"/>
        <v>-0.40710327868163088</v>
      </c>
      <c r="X6961" s="2">
        <f ca="1"/>
        <v>23.11866424350513</v>
      </c>
      <c r="AG6961" s="2">
        <f ca="1"/>
        <v>0.76928620181474416</v>
      </c>
      <c r="AH6961" s="2" t="str">
        <f ca="1"/>
        <v>Bad</v>
      </c>
    </row>
    <row r="6962" spans="2:34" x14ac:dyDescent="0.2">
      <c r="B6962" s="2">
        <f ca="1"/>
        <v>0.20742670951004238</v>
      </c>
      <c r="O6962" s="2">
        <f ca="1"/>
        <v>0.79454326394251706</v>
      </c>
      <c r="X6962" s="2">
        <f ca="1"/>
        <v>66.828872988474103</v>
      </c>
      <c r="AG6962" s="2">
        <f ca="1"/>
        <v>0.51430356808209399</v>
      </c>
      <c r="AH6962" s="2" t="str">
        <f ca="1"/>
        <v>Bad</v>
      </c>
    </row>
    <row r="6963" spans="2:34" x14ac:dyDescent="0.2">
      <c r="B6963" s="2">
        <f ca="1"/>
        <v>0.44281455812620196</v>
      </c>
      <c r="O6963" s="2">
        <f ca="1"/>
        <v>-0.82232537700150055</v>
      </c>
      <c r="X6963" s="2">
        <f ca="1"/>
        <v>29.610508945479129</v>
      </c>
      <c r="AG6963" s="2">
        <f ca="1"/>
        <v>0.92654318578607375</v>
      </c>
      <c r="AH6963" s="2" t="str">
        <f ca="1"/>
        <v>Bad</v>
      </c>
    </row>
    <row r="6964" spans="2:34" x14ac:dyDescent="0.2">
      <c r="B6964" s="2">
        <f ca="1"/>
        <v>0.17037788169338008</v>
      </c>
      <c r="O6964" s="2">
        <f ca="1"/>
        <v>0.9915823898430689</v>
      </c>
      <c r="X6964" s="2">
        <f ca="1"/>
        <v>38.014021739985601</v>
      </c>
      <c r="AG6964" s="2">
        <f ca="1"/>
        <v>0.54025969127088058</v>
      </c>
      <c r="AH6964" s="2" t="str">
        <f ca="1"/>
        <v>Bad</v>
      </c>
    </row>
    <row r="6965" spans="2:34" x14ac:dyDescent="0.2">
      <c r="B6965" s="2">
        <f ca="1"/>
        <v>8.391614650377921E-2</v>
      </c>
      <c r="O6965" s="2">
        <f ca="1"/>
        <v>-1.3352069443932486</v>
      </c>
      <c r="X6965" s="2">
        <f ca="1"/>
        <v>64.343490751984532</v>
      </c>
      <c r="AG6965" s="2">
        <f ca="1"/>
        <v>0.84080729933349385</v>
      </c>
      <c r="AH6965" s="2" t="str">
        <f ca="1"/>
        <v>Bad</v>
      </c>
    </row>
    <row r="6966" spans="2:34" x14ac:dyDescent="0.2">
      <c r="B6966" s="2">
        <f ca="1"/>
        <v>3.8991964969161241E-2</v>
      </c>
      <c r="O6966" s="2">
        <f ca="1"/>
        <v>1.224076563075952</v>
      </c>
      <c r="X6966" s="2">
        <f ca="1"/>
        <v>31.855857136358541</v>
      </c>
      <c r="AG6966" s="2">
        <f ca="1"/>
        <v>0.15889137375889328</v>
      </c>
      <c r="AH6966" s="2" t="str">
        <f ca="1"/>
        <v>OK</v>
      </c>
    </row>
    <row r="6967" spans="2:34" x14ac:dyDescent="0.2">
      <c r="B6967" s="2">
        <f ca="1"/>
        <v>0.4036463263921497</v>
      </c>
      <c r="O6967" s="2">
        <f ca="1"/>
        <v>-0.46992175664319397</v>
      </c>
      <c r="X6967" s="2">
        <f ca="1"/>
        <v>47.840877059575739</v>
      </c>
      <c r="AG6967" s="2">
        <f ca="1"/>
        <v>0.4690912781210157</v>
      </c>
      <c r="AH6967" s="2" t="str">
        <f ca="1"/>
        <v>Bad</v>
      </c>
    </row>
    <row r="6968" spans="2:34" x14ac:dyDescent="0.2">
      <c r="B6968" s="2">
        <f ca="1"/>
        <v>0.38842978427780728</v>
      </c>
      <c r="O6968" s="2">
        <f ca="1"/>
        <v>-1.0645981666254918</v>
      </c>
      <c r="X6968" s="2">
        <f ca="1"/>
        <v>93.617317897612779</v>
      </c>
      <c r="AG6968" s="2">
        <f ca="1"/>
        <v>0.94330469251706361</v>
      </c>
      <c r="AH6968" s="2" t="str">
        <f ca="1"/>
        <v>Bad</v>
      </c>
    </row>
    <row r="6969" spans="2:34" x14ac:dyDescent="0.2">
      <c r="B6969" s="2">
        <f ca="1"/>
        <v>0.24604578506400121</v>
      </c>
      <c r="O6969" s="2">
        <f ca="1"/>
        <v>-1.1750195372067347</v>
      </c>
      <c r="X6969" s="2">
        <f ca="1"/>
        <v>66.738559822189757</v>
      </c>
      <c r="AG6969" s="2">
        <f ca="1"/>
        <v>0.8836036816064663</v>
      </c>
      <c r="AH6969" s="2" t="str">
        <f ca="1"/>
        <v>Bad</v>
      </c>
    </row>
    <row r="6970" spans="2:34" x14ac:dyDescent="0.2">
      <c r="B6970" s="2">
        <f ca="1"/>
        <v>0.43776278396753798</v>
      </c>
      <c r="O6970" s="2">
        <f ca="1"/>
        <v>-0.10863436652296785</v>
      </c>
      <c r="X6970" s="2">
        <f ca="1"/>
        <v>60.334677363148927</v>
      </c>
      <c r="AG6970" s="2">
        <f ca="1"/>
        <v>0.48969640168181394</v>
      </c>
      <c r="AH6970" s="2" t="str">
        <f ca="1"/>
        <v>Bad</v>
      </c>
    </row>
    <row r="6971" spans="2:34" x14ac:dyDescent="0.2">
      <c r="B6971" s="2">
        <f ca="1"/>
        <v>0.35998479892549562</v>
      </c>
      <c r="O6971" s="2">
        <f ca="1"/>
        <v>-0.26031383737637737</v>
      </c>
      <c r="X6971" s="2">
        <f ca="1"/>
        <v>45.267113386453005</v>
      </c>
      <c r="AG6971" s="2">
        <f ca="1"/>
        <v>0.3196107380909945</v>
      </c>
      <c r="AH6971" s="2" t="str">
        <f ca="1"/>
        <v>OK</v>
      </c>
    </row>
    <row r="6972" spans="2:34" x14ac:dyDescent="0.2">
      <c r="B6972" s="2">
        <f ca="1"/>
        <v>0.24818720736245514</v>
      </c>
      <c r="O6972" s="2">
        <f ca="1"/>
        <v>0.21133024656179689</v>
      </c>
      <c r="X6972" s="2">
        <f ca="1"/>
        <v>68.579115557211651</v>
      </c>
      <c r="AG6972" s="2">
        <f ca="1"/>
        <v>0.58603713987898698</v>
      </c>
      <c r="AH6972" s="2" t="str">
        <f ca="1"/>
        <v>Bad</v>
      </c>
    </row>
    <row r="6973" spans="2:34" x14ac:dyDescent="0.2">
      <c r="B6973" s="2">
        <f ca="1"/>
        <v>0.14037133357422826</v>
      </c>
      <c r="O6973" s="2">
        <f ca="1"/>
        <v>0.35115659280814432</v>
      </c>
      <c r="X6973" s="2">
        <f ca="1"/>
        <v>66.07523099902761</v>
      </c>
      <c r="AG6973" s="2">
        <f ca="1"/>
        <v>0.7706804943771941</v>
      </c>
      <c r="AH6973" s="2" t="str">
        <f ca="1"/>
        <v>Bad</v>
      </c>
    </row>
    <row r="6974" spans="2:34" x14ac:dyDescent="0.2">
      <c r="B6974" s="2">
        <f ca="1"/>
        <v>0.47562582992433144</v>
      </c>
      <c r="O6974" s="2">
        <f ca="1"/>
        <v>0.76461825883894841</v>
      </c>
      <c r="X6974" s="2">
        <f ca="1"/>
        <v>91.157604104706223</v>
      </c>
      <c r="AG6974" s="2">
        <f ca="1"/>
        <v>0.32295567407216752</v>
      </c>
      <c r="AH6974" s="2" t="str">
        <f ca="1"/>
        <v>OK</v>
      </c>
    </row>
    <row r="6975" spans="2:34" x14ac:dyDescent="0.2">
      <c r="B6975" s="2">
        <f ca="1"/>
        <v>0.19569175717332699</v>
      </c>
      <c r="O6975" s="2">
        <f ca="1"/>
        <v>-1.8637324812343732</v>
      </c>
      <c r="X6975" s="2">
        <f ca="1"/>
        <v>76.536204001322574</v>
      </c>
      <c r="AG6975" s="2">
        <f ca="1"/>
        <v>0.15406554457518729</v>
      </c>
      <c r="AH6975" s="2" t="str">
        <f ca="1"/>
        <v>OK</v>
      </c>
    </row>
    <row r="6976" spans="2:34" x14ac:dyDescent="0.2">
      <c r="B6976" s="2">
        <f ca="1"/>
        <v>0.9204809242492249</v>
      </c>
      <c r="O6976" s="2">
        <f ca="1"/>
        <v>2.143975045058925E-2</v>
      </c>
      <c r="X6976" s="2">
        <f ca="1"/>
        <v>53.152869897550787</v>
      </c>
      <c r="AG6976" s="2">
        <f ca="1"/>
        <v>0.85194039051509773</v>
      </c>
      <c r="AH6976" s="2" t="str">
        <f ca="1"/>
        <v>Bad</v>
      </c>
    </row>
    <row r="6977" spans="2:34" x14ac:dyDescent="0.2">
      <c r="B6977" s="2">
        <f ca="1"/>
        <v>0.33967558109650353</v>
      </c>
      <c r="O6977" s="2">
        <f ca="1"/>
        <v>0.34404970845203042</v>
      </c>
      <c r="X6977" s="2">
        <f ca="1"/>
        <v>45.53355554455014</v>
      </c>
      <c r="AG6977" s="2">
        <f ca="1"/>
        <v>0.40018730921793955</v>
      </c>
      <c r="AH6977" s="2" t="str">
        <f ca="1"/>
        <v>Bad</v>
      </c>
    </row>
    <row r="6978" spans="2:34" x14ac:dyDescent="0.2">
      <c r="B6978" s="2">
        <f ca="1"/>
        <v>0.84152048393039403</v>
      </c>
      <c r="O6978" s="2">
        <f ca="1"/>
        <v>0.88294756952246123</v>
      </c>
      <c r="X6978" s="2">
        <f ca="1"/>
        <v>41.263403131616684</v>
      </c>
      <c r="AG6978" s="2">
        <f ca="1"/>
        <v>0.68104045512460387</v>
      </c>
      <c r="AH6978" s="2" t="str">
        <f ca="1"/>
        <v>Bad</v>
      </c>
    </row>
    <row r="6979" spans="2:34" x14ac:dyDescent="0.2">
      <c r="B6979" s="2">
        <f ca="1"/>
        <v>0.61337538165213523</v>
      </c>
      <c r="O6979" s="2">
        <f ca="1"/>
        <v>0.26160715883197688</v>
      </c>
      <c r="X6979" s="2">
        <f ca="1"/>
        <v>48.173179761430482</v>
      </c>
      <c r="AG6979" s="2">
        <f ca="1"/>
        <v>0.63926517431629182</v>
      </c>
      <c r="AH6979" s="2" t="str">
        <f ca="1"/>
        <v>Bad</v>
      </c>
    </row>
    <row r="6980" spans="2:34" x14ac:dyDescent="0.2">
      <c r="B6980" s="2">
        <f ca="1"/>
        <v>0.34288467857189686</v>
      </c>
      <c r="O6980" s="2">
        <f ca="1"/>
        <v>-1.8843282910903538</v>
      </c>
      <c r="X6980" s="2">
        <f ca="1"/>
        <v>31.134821560027817</v>
      </c>
      <c r="AG6980" s="2">
        <f ca="1"/>
        <v>0.47458733583618318</v>
      </c>
      <c r="AH6980" s="2" t="str">
        <f ca="1"/>
        <v>Bad</v>
      </c>
    </row>
    <row r="6981" spans="2:34" x14ac:dyDescent="0.2">
      <c r="B6981" s="2">
        <f ca="1"/>
        <v>0.72143659503454938</v>
      </c>
      <c r="O6981" s="2">
        <f ca="1"/>
        <v>1.1606888305451744</v>
      </c>
      <c r="X6981" s="2">
        <f ca="1"/>
        <v>45.406077970677501</v>
      </c>
      <c r="AG6981" s="2">
        <f ca="1"/>
        <v>9.1599954060391342E-2</v>
      </c>
      <c r="AH6981" s="2" t="str">
        <f ca="1"/>
        <v>OK</v>
      </c>
    </row>
    <row r="6982" spans="2:34" x14ac:dyDescent="0.2">
      <c r="B6982" s="2">
        <f ca="1"/>
        <v>0.22647818766933892</v>
      </c>
      <c r="O6982" s="2">
        <f ca="1"/>
        <v>0.32747084348639549</v>
      </c>
      <c r="X6982" s="2">
        <f ca="1"/>
        <v>52.614749343782734</v>
      </c>
      <c r="AG6982" s="2">
        <f ca="1"/>
        <v>0.22416856292222831</v>
      </c>
      <c r="AH6982" s="2" t="str">
        <f ca="1"/>
        <v>OK</v>
      </c>
    </row>
    <row r="6983" spans="2:34" x14ac:dyDescent="0.2">
      <c r="B6983" s="2">
        <f ca="1"/>
        <v>0.87881570541565091</v>
      </c>
      <c r="O6983" s="2">
        <f ca="1"/>
        <v>0.39921563863412912</v>
      </c>
      <c r="X6983" s="2">
        <f ca="1"/>
        <v>47.162413668339205</v>
      </c>
      <c r="AG6983" s="2">
        <f ca="1"/>
        <v>0.9172568541723698</v>
      </c>
      <c r="AH6983" s="2" t="str">
        <f ca="1"/>
        <v>Bad</v>
      </c>
    </row>
    <row r="6984" spans="2:34" x14ac:dyDescent="0.2">
      <c r="B6984" s="2">
        <f ca="1"/>
        <v>0.37405527202401134</v>
      </c>
      <c r="O6984" s="2">
        <f ca="1"/>
        <v>-2.1603793597311598</v>
      </c>
      <c r="X6984" s="2">
        <f ca="1"/>
        <v>62.3906890835692</v>
      </c>
      <c r="AG6984" s="2">
        <f ca="1"/>
        <v>2.1841357520995919E-2</v>
      </c>
      <c r="AH6984" s="2" t="str">
        <f ca="1"/>
        <v>Good</v>
      </c>
    </row>
    <row r="6985" spans="2:34" x14ac:dyDescent="0.2">
      <c r="B6985" s="2">
        <f ca="1"/>
        <v>0.13877912294667971</v>
      </c>
      <c r="O6985" s="2">
        <f ca="1"/>
        <v>1.481990819578334</v>
      </c>
      <c r="X6985" s="2">
        <f ca="1"/>
        <v>34.769419371696124</v>
      </c>
      <c r="AG6985" s="2">
        <f ca="1"/>
        <v>0.84032010732258411</v>
      </c>
      <c r="AH6985" s="2" t="str">
        <f ca="1"/>
        <v>Bad</v>
      </c>
    </row>
    <row r="6986" spans="2:34" x14ac:dyDescent="0.2">
      <c r="B6986" s="2">
        <f ca="1"/>
        <v>0.3537971298944329</v>
      </c>
      <c r="O6986" s="2">
        <f ca="1"/>
        <v>0.55835332044626096</v>
      </c>
      <c r="X6986" s="2">
        <f ca="1"/>
        <v>55.130066916469538</v>
      </c>
      <c r="AG6986" s="2">
        <f ca="1"/>
        <v>0.98856947964223996</v>
      </c>
      <c r="AH6986" s="2" t="str">
        <f ca="1"/>
        <v>Bad</v>
      </c>
    </row>
    <row r="6987" spans="2:34" x14ac:dyDescent="0.2">
      <c r="B6987" s="2">
        <f ca="1"/>
        <v>0.53898744845065827</v>
      </c>
      <c r="O6987" s="2">
        <f ca="1"/>
        <v>0.18711097055996412</v>
      </c>
      <c r="X6987" s="2">
        <f ca="1"/>
        <v>56.973808135843313</v>
      </c>
      <c r="AG6987" s="2">
        <f ca="1"/>
        <v>0.86111129154742638</v>
      </c>
      <c r="AH6987" s="2" t="str">
        <f ca="1"/>
        <v>Bad</v>
      </c>
    </row>
    <row r="6988" spans="2:34" x14ac:dyDescent="0.2">
      <c r="B6988" s="2">
        <f ca="1"/>
        <v>0.12555143606003161</v>
      </c>
      <c r="O6988" s="2">
        <f ca="1"/>
        <v>1.0158169407652422</v>
      </c>
      <c r="X6988" s="2">
        <f ca="1"/>
        <v>31.387609024786066</v>
      </c>
      <c r="AG6988" s="2">
        <f ca="1"/>
        <v>0.74309727914727097</v>
      </c>
      <c r="AH6988" s="2" t="str">
        <f ca="1"/>
        <v>Bad</v>
      </c>
    </row>
    <row r="6989" spans="2:34" x14ac:dyDescent="0.2">
      <c r="B6989" s="2">
        <f ca="1"/>
        <v>0.57068039342181121</v>
      </c>
      <c r="O6989" s="2">
        <f ca="1"/>
        <v>-1.2921017801561734</v>
      </c>
      <c r="X6989" s="2">
        <f ca="1"/>
        <v>54.814270061626537</v>
      </c>
      <c r="AG6989" s="2">
        <f ca="1"/>
        <v>0.63111859244444002</v>
      </c>
      <c r="AH6989" s="2" t="str">
        <f ca="1"/>
        <v>Bad</v>
      </c>
    </row>
    <row r="6990" spans="2:34" x14ac:dyDescent="0.2">
      <c r="B6990" s="2">
        <f ca="1"/>
        <v>0.34171873244559769</v>
      </c>
      <c r="O6990" s="2">
        <f ca="1"/>
        <v>-0.64478516047319623</v>
      </c>
      <c r="X6990" s="2">
        <f ca="1"/>
        <v>49.172604513473878</v>
      </c>
      <c r="AG6990" s="2">
        <f ca="1"/>
        <v>1.088336434787629E-2</v>
      </c>
      <c r="AH6990" s="2" t="str">
        <f ca="1"/>
        <v>Good</v>
      </c>
    </row>
    <row r="6991" spans="2:34" x14ac:dyDescent="0.2">
      <c r="B6991" s="2">
        <f ca="1"/>
        <v>0.51649730523231563</v>
      </c>
      <c r="O6991" s="2">
        <f ca="1"/>
        <v>-0.93481004118806632</v>
      </c>
      <c r="X6991" s="2">
        <f ca="1"/>
        <v>55.940616194027101</v>
      </c>
      <c r="AG6991" s="2">
        <f ca="1"/>
        <v>0.31484829049887941</v>
      </c>
      <c r="AH6991" s="2" t="str">
        <f ca="1"/>
        <v>OK</v>
      </c>
    </row>
    <row r="6992" spans="2:34" x14ac:dyDescent="0.2">
      <c r="B6992" s="2">
        <f ca="1"/>
        <v>0.88242001597407693</v>
      </c>
      <c r="O6992" s="2">
        <f ca="1"/>
        <v>-0.45507269833073644</v>
      </c>
      <c r="X6992" s="2">
        <f ca="1"/>
        <v>26.763485305805123</v>
      </c>
      <c r="AG6992" s="2">
        <f ca="1"/>
        <v>0.9751809657153796</v>
      </c>
      <c r="AH6992" s="2" t="str">
        <f ca="1"/>
        <v>Bad</v>
      </c>
    </row>
    <row r="6993" spans="2:34" x14ac:dyDescent="0.2">
      <c r="B6993" s="2">
        <f ca="1"/>
        <v>0.81695629632812272</v>
      </c>
      <c r="O6993" s="2">
        <f ca="1"/>
        <v>0.18412421086835623</v>
      </c>
      <c r="X6993" s="2">
        <f ca="1"/>
        <v>42.357329567649352</v>
      </c>
      <c r="AG6993" s="2">
        <f ca="1"/>
        <v>0.48987228208657907</v>
      </c>
      <c r="AH6993" s="2" t="str">
        <f ca="1"/>
        <v>Bad</v>
      </c>
    </row>
    <row r="6994" spans="2:34" x14ac:dyDescent="0.2">
      <c r="B6994" s="2">
        <f ca="1"/>
        <v>0.67215694600007092</v>
      </c>
      <c r="O6994" s="2">
        <f ca="1"/>
        <v>-0.98821535487742529</v>
      </c>
      <c r="X6994" s="2">
        <f ca="1"/>
        <v>62.1445121298974</v>
      </c>
      <c r="AG6994" s="2">
        <f ca="1"/>
        <v>0.99435378580165179</v>
      </c>
      <c r="AH6994" s="2" t="str">
        <f ca="1"/>
        <v>Bad</v>
      </c>
    </row>
    <row r="6995" spans="2:34" x14ac:dyDescent="0.2">
      <c r="B6995" s="2">
        <f ca="1"/>
        <v>0.22434735979240439</v>
      </c>
      <c r="O6995" s="2">
        <f ca="1"/>
        <v>-0.75421354341493552</v>
      </c>
      <c r="X6995" s="2">
        <f ca="1"/>
        <v>57.580224851031296</v>
      </c>
      <c r="AG6995" s="2">
        <f ca="1"/>
        <v>9.6448152805749254E-2</v>
      </c>
      <c r="AH6995" s="2" t="str">
        <f ca="1"/>
        <v>OK</v>
      </c>
    </row>
    <row r="6996" spans="2:34" x14ac:dyDescent="0.2">
      <c r="B6996" s="2">
        <f ca="1"/>
        <v>0.49667333038337147</v>
      </c>
      <c r="O6996" s="2">
        <f ca="1"/>
        <v>-0.82647511955273889</v>
      </c>
      <c r="X6996" s="2">
        <f ca="1"/>
        <v>58.226904665989217</v>
      </c>
      <c r="AG6996" s="2">
        <f ca="1"/>
        <v>0.3234800115423313</v>
      </c>
      <c r="AH6996" s="2" t="str">
        <f ca="1"/>
        <v>OK</v>
      </c>
    </row>
    <row r="6997" spans="2:34" x14ac:dyDescent="0.2">
      <c r="B6997" s="2">
        <f ca="1"/>
        <v>0.33154763248824293</v>
      </c>
      <c r="O6997" s="2">
        <f ca="1"/>
        <v>-0.14138129267914679</v>
      </c>
      <c r="X6997" s="2">
        <f ca="1"/>
        <v>41.773138729819699</v>
      </c>
      <c r="AG6997" s="2">
        <f ca="1"/>
        <v>0.24128912785132783</v>
      </c>
      <c r="AH6997" s="2" t="str">
        <f ca="1"/>
        <v>OK</v>
      </c>
    </row>
    <row r="6998" spans="2:34" x14ac:dyDescent="0.2">
      <c r="B6998" s="2">
        <f ca="1"/>
        <v>0.14531626031072098</v>
      </c>
      <c r="O6998" s="2">
        <f ca="1"/>
        <v>2.8142692330643412E-2</v>
      </c>
      <c r="X6998" s="2">
        <f ca="1"/>
        <v>40.501610501573744</v>
      </c>
      <c r="AG6998" s="2">
        <f ca="1"/>
        <v>0.24461299904299327</v>
      </c>
      <c r="AH6998" s="2" t="str">
        <f ca="1"/>
        <v>OK</v>
      </c>
    </row>
    <row r="6999" spans="2:34" x14ac:dyDescent="0.2">
      <c r="B6999" s="2">
        <f ca="1"/>
        <v>0.51445519329815603</v>
      </c>
      <c r="O6999" s="2">
        <f ca="1"/>
        <v>-1.1084801726818259</v>
      </c>
      <c r="X6999" s="2">
        <f ca="1"/>
        <v>56.808197010884896</v>
      </c>
      <c r="AG6999" s="2">
        <f ca="1"/>
        <v>0.92126042038067979</v>
      </c>
      <c r="AH6999" s="2" t="str">
        <f ca="1"/>
        <v>Bad</v>
      </c>
    </row>
    <row r="7000" spans="2:34" x14ac:dyDescent="0.2">
      <c r="B7000" s="2">
        <f ca="1"/>
        <v>0.32215574936510505</v>
      </c>
      <c r="O7000" s="2">
        <f ca="1"/>
        <v>1.2093109120745751</v>
      </c>
      <c r="X7000" s="2">
        <f ca="1"/>
        <v>23.524142255920335</v>
      </c>
      <c r="AG7000" s="2">
        <f ca="1"/>
        <v>0.33473291300669317</v>
      </c>
      <c r="AH7000" s="2" t="str">
        <f ca="1"/>
        <v>OK</v>
      </c>
    </row>
    <row r="7001" spans="2:34" x14ac:dyDescent="0.2">
      <c r="B7001" s="2">
        <f ca="1"/>
        <v>0.26159878855642882</v>
      </c>
      <c r="O7001" s="2">
        <f ca="1"/>
        <v>-0.8248412991798203</v>
      </c>
      <c r="X7001" s="2">
        <f ca="1"/>
        <v>67.430285918916283</v>
      </c>
      <c r="AG7001" s="2">
        <f ca="1"/>
        <v>0.56650669021575628</v>
      </c>
      <c r="AH7001" s="2" t="str">
        <f ca="1"/>
        <v>Bad</v>
      </c>
    </row>
    <row r="7002" spans="2:34" x14ac:dyDescent="0.2">
      <c r="B7002" s="2">
        <f ca="1"/>
        <v>0.35800143209387447</v>
      </c>
      <c r="O7002" s="2">
        <f ca="1"/>
        <v>-1.2931336642527496</v>
      </c>
      <c r="X7002" s="2">
        <f ca="1"/>
        <v>72.778038439352912</v>
      </c>
      <c r="AG7002" s="2">
        <f ca="1"/>
        <v>0.23499360072817432</v>
      </c>
      <c r="AH7002" s="2" t="str">
        <f ca="1"/>
        <v>OK</v>
      </c>
    </row>
    <row r="7003" spans="2:34" x14ac:dyDescent="0.2">
      <c r="B7003" s="2">
        <f ca="1"/>
        <v>3.2643877416435485E-2</v>
      </c>
      <c r="O7003" s="2">
        <f ca="1"/>
        <v>0.3071411414021411</v>
      </c>
      <c r="X7003" s="2">
        <f ca="1"/>
        <v>35.078622054437467</v>
      </c>
      <c r="AG7003" s="2">
        <f ca="1"/>
        <v>0.32337954546940861</v>
      </c>
      <c r="AH7003" s="2" t="str">
        <f ca="1"/>
        <v>OK</v>
      </c>
    </row>
    <row r="7004" spans="2:34" x14ac:dyDescent="0.2">
      <c r="B7004" s="2">
        <f ca="1"/>
        <v>0.22542687137027695</v>
      </c>
      <c r="O7004" s="2">
        <f ca="1"/>
        <v>0.43892567960950379</v>
      </c>
      <c r="X7004" s="2">
        <f ca="1"/>
        <v>41.563514110630457</v>
      </c>
      <c r="AG7004" s="2">
        <f ca="1"/>
        <v>9.3006029615485541E-3</v>
      </c>
      <c r="AH7004" s="2" t="str">
        <f ca="1"/>
        <v>Good</v>
      </c>
    </row>
    <row r="7005" spans="2:34" x14ac:dyDescent="0.2">
      <c r="B7005" s="2">
        <f ca="1"/>
        <v>2.2543954557350254E-3</v>
      </c>
      <c r="O7005" s="2">
        <f ca="1"/>
        <v>1.5254125295896326</v>
      </c>
      <c r="X7005" s="2">
        <f ca="1"/>
        <v>50.499038514995917</v>
      </c>
      <c r="AG7005" s="2">
        <f ca="1"/>
        <v>0.32531643595019011</v>
      </c>
      <c r="AH7005" s="2" t="str">
        <f ca="1"/>
        <v>OK</v>
      </c>
    </row>
    <row r="7006" spans="2:34" x14ac:dyDescent="0.2">
      <c r="B7006" s="2">
        <f ca="1"/>
        <v>0.63189042094611181</v>
      </c>
      <c r="O7006" s="2">
        <f ca="1"/>
        <v>0.28721734867342863</v>
      </c>
      <c r="X7006" s="2">
        <f ca="1"/>
        <v>57.897417000340297</v>
      </c>
      <c r="AG7006" s="2">
        <f ca="1"/>
        <v>0.56160955876589513</v>
      </c>
      <c r="AH7006" s="2" t="str">
        <f ca="1"/>
        <v>Bad</v>
      </c>
    </row>
    <row r="7007" spans="2:34" x14ac:dyDescent="0.2">
      <c r="B7007" s="2">
        <f ca="1"/>
        <v>0.56472731053275305</v>
      </c>
      <c r="O7007" s="2">
        <f ca="1"/>
        <v>-6.5293142018013686E-2</v>
      </c>
      <c r="X7007" s="2">
        <f ca="1"/>
        <v>41.22331293676389</v>
      </c>
      <c r="AG7007" s="2">
        <f ca="1"/>
        <v>0.94323726078186376</v>
      </c>
      <c r="AH7007" s="2" t="str">
        <f ca="1"/>
        <v>Bad</v>
      </c>
    </row>
    <row r="7008" spans="2:34" x14ac:dyDescent="0.2">
      <c r="B7008" s="2">
        <f ca="1"/>
        <v>0.62652136434919625</v>
      </c>
      <c r="O7008" s="2">
        <f ca="1"/>
        <v>-2.4176188137335481</v>
      </c>
      <c r="X7008" s="2">
        <f ca="1"/>
        <v>44.72738534686529</v>
      </c>
      <c r="AG7008" s="2">
        <f ca="1"/>
        <v>0.65039614596222539</v>
      </c>
      <c r="AH7008" s="2" t="str">
        <f ca="1"/>
        <v>Bad</v>
      </c>
    </row>
    <row r="7009" spans="2:34" x14ac:dyDescent="0.2">
      <c r="B7009" s="2">
        <f ca="1"/>
        <v>0.8476988269576673</v>
      </c>
      <c r="O7009" s="2">
        <f ca="1"/>
        <v>0.50943835529451265</v>
      </c>
      <c r="X7009" s="2">
        <f ca="1"/>
        <v>54.89284753106908</v>
      </c>
      <c r="AG7009" s="2">
        <f ca="1"/>
        <v>0.69337643616549371</v>
      </c>
      <c r="AH7009" s="2" t="str">
        <f ca="1"/>
        <v>Bad</v>
      </c>
    </row>
    <row r="7010" spans="2:34" x14ac:dyDescent="0.2">
      <c r="B7010" s="2">
        <f ca="1"/>
        <v>0.67603848899875651</v>
      </c>
      <c r="O7010" s="2">
        <f ca="1"/>
        <v>0.47057592641668039</v>
      </c>
      <c r="X7010" s="2">
        <f ca="1"/>
        <v>70.43332804328098</v>
      </c>
      <c r="AG7010" s="2">
        <f ca="1"/>
        <v>0.34912159216246352</v>
      </c>
      <c r="AH7010" s="2" t="str">
        <f ca="1"/>
        <v>OK</v>
      </c>
    </row>
    <row r="7011" spans="2:34" x14ac:dyDescent="0.2">
      <c r="B7011" s="2">
        <f ca="1"/>
        <v>0.25377619001363327</v>
      </c>
      <c r="O7011" s="2">
        <f ca="1"/>
        <v>0.94235652514069257</v>
      </c>
      <c r="X7011" s="2">
        <f ca="1"/>
        <v>45.469743370331123</v>
      </c>
      <c r="AG7011" s="2">
        <f ca="1"/>
        <v>0.19519287620223369</v>
      </c>
      <c r="AH7011" s="2" t="str">
        <f ca="1"/>
        <v>OK</v>
      </c>
    </row>
    <row r="7012" spans="2:34" x14ac:dyDescent="0.2">
      <c r="B7012" s="2">
        <f ca="1"/>
        <v>0.70602975952169045</v>
      </c>
      <c r="O7012" s="2">
        <f ca="1"/>
        <v>0.62991437836116759</v>
      </c>
      <c r="X7012" s="2">
        <f ca="1"/>
        <v>34.038995690417828</v>
      </c>
      <c r="AG7012" s="2">
        <f ca="1"/>
        <v>0.87670937904799828</v>
      </c>
      <c r="AH7012" s="2" t="str">
        <f ca="1"/>
        <v>Bad</v>
      </c>
    </row>
    <row r="7013" spans="2:34" x14ac:dyDescent="0.2">
      <c r="B7013" s="2">
        <f ca="1"/>
        <v>8.3341183012424214E-3</v>
      </c>
      <c r="O7013" s="2">
        <f ca="1"/>
        <v>-0.44415785847623601</v>
      </c>
      <c r="X7013" s="2">
        <f ca="1"/>
        <v>55.623662026334515</v>
      </c>
      <c r="AG7013" s="2">
        <f ca="1"/>
        <v>0.87823285904716397</v>
      </c>
      <c r="AH7013" s="2" t="str">
        <f ca="1"/>
        <v>Bad</v>
      </c>
    </row>
    <row r="7014" spans="2:34" x14ac:dyDescent="0.2">
      <c r="B7014" s="2">
        <f ca="1"/>
        <v>0.89070283468604217</v>
      </c>
      <c r="O7014" s="2">
        <f ca="1"/>
        <v>2.4525181834614429</v>
      </c>
      <c r="X7014" s="2">
        <f ca="1"/>
        <v>18.965006490147086</v>
      </c>
      <c r="AG7014" s="2">
        <f ca="1"/>
        <v>0.68619075400815288</v>
      </c>
      <c r="AH7014" s="2" t="str">
        <f ca="1"/>
        <v>Bad</v>
      </c>
    </row>
    <row r="7015" spans="2:34" x14ac:dyDescent="0.2">
      <c r="B7015" s="2">
        <f ca="1"/>
        <v>0.95879041514220198</v>
      </c>
      <c r="O7015" s="2">
        <f ca="1"/>
        <v>0.33861836174161558</v>
      </c>
      <c r="X7015" s="2">
        <f ca="1"/>
        <v>60.064385420874459</v>
      </c>
      <c r="AG7015" s="2">
        <f ca="1"/>
        <v>2.6154716087216645E-2</v>
      </c>
      <c r="AH7015" s="2" t="str">
        <f ca="1"/>
        <v>Good</v>
      </c>
    </row>
    <row r="7016" spans="2:34" x14ac:dyDescent="0.2">
      <c r="B7016" s="2">
        <f ca="1"/>
        <v>7.2420343989757718E-2</v>
      </c>
      <c r="O7016" s="2">
        <f ca="1"/>
        <v>-2.066244432269702</v>
      </c>
      <c r="X7016" s="2">
        <f ca="1"/>
        <v>64.856875222780303</v>
      </c>
      <c r="AG7016" s="2">
        <f ca="1"/>
        <v>0.81665936771270631</v>
      </c>
      <c r="AH7016" s="2" t="str">
        <f ca="1"/>
        <v>Bad</v>
      </c>
    </row>
    <row r="7017" spans="2:34" x14ac:dyDescent="0.2">
      <c r="B7017" s="2">
        <f ca="1"/>
        <v>0.96459866471858735</v>
      </c>
      <c r="O7017" s="2">
        <f ca="1"/>
        <v>-0.67537022516525413</v>
      </c>
      <c r="X7017" s="2">
        <f ca="1"/>
        <v>49.415414811733157</v>
      </c>
      <c r="AG7017" s="2">
        <f ca="1"/>
        <v>0.60732265771658933</v>
      </c>
      <c r="AH7017" s="2" t="str">
        <f ca="1"/>
        <v>Bad</v>
      </c>
    </row>
    <row r="7018" spans="2:34" x14ac:dyDescent="0.2">
      <c r="B7018" s="2">
        <f ca="1"/>
        <v>0.42405754475709712</v>
      </c>
      <c r="O7018" s="2">
        <f ca="1"/>
        <v>-1.4444519947588073</v>
      </c>
      <c r="X7018" s="2">
        <f ca="1"/>
        <v>85.675976681426519</v>
      </c>
      <c r="AG7018" s="2">
        <f ca="1"/>
        <v>0.79644993209365778</v>
      </c>
      <c r="AH7018" s="2" t="str">
        <f ca="1"/>
        <v>Bad</v>
      </c>
    </row>
    <row r="7019" spans="2:34" x14ac:dyDescent="0.2">
      <c r="B7019" s="2">
        <f ca="1"/>
        <v>0.18777393632808925</v>
      </c>
      <c r="O7019" s="2">
        <f ca="1"/>
        <v>-4.7461670944224078E-2</v>
      </c>
      <c r="X7019" s="2">
        <f ca="1"/>
        <v>34.590802884416483</v>
      </c>
      <c r="AG7019" s="2">
        <f ca="1"/>
        <v>7.9233135962841095E-2</v>
      </c>
      <c r="AH7019" s="2" t="str">
        <f ca="1"/>
        <v>OK</v>
      </c>
    </row>
    <row r="7020" spans="2:34" x14ac:dyDescent="0.2">
      <c r="B7020" s="2">
        <f ca="1"/>
        <v>0.72129679599886209</v>
      </c>
      <c r="O7020" s="2">
        <f ca="1"/>
        <v>-8.086397537556067E-2</v>
      </c>
      <c r="X7020" s="2">
        <f ca="1"/>
        <v>27.263244171250136</v>
      </c>
      <c r="AG7020" s="2">
        <f ca="1"/>
        <v>0.83943363049052544</v>
      </c>
      <c r="AH7020" s="2" t="str">
        <f ca="1"/>
        <v>Bad</v>
      </c>
    </row>
    <row r="7021" spans="2:34" x14ac:dyDescent="0.2">
      <c r="B7021" s="2">
        <f ca="1"/>
        <v>0.22196993268048182</v>
      </c>
      <c r="O7021" s="2">
        <f ca="1"/>
        <v>-0.40246228283383928</v>
      </c>
      <c r="X7021" s="2">
        <f ca="1"/>
        <v>44.798442618313388</v>
      </c>
      <c r="AG7021" s="2">
        <f ca="1"/>
        <v>0.25729894227132122</v>
      </c>
      <c r="AH7021" s="2" t="str">
        <f ca="1"/>
        <v>OK</v>
      </c>
    </row>
    <row r="7022" spans="2:34" x14ac:dyDescent="0.2">
      <c r="B7022" s="2">
        <f ca="1"/>
        <v>0.75243928738443278</v>
      </c>
      <c r="O7022" s="2">
        <f ca="1"/>
        <v>-1.3124940352682459</v>
      </c>
      <c r="X7022" s="2">
        <f ca="1"/>
        <v>28.677253299335842</v>
      </c>
      <c r="AG7022" s="2">
        <f ca="1"/>
        <v>0.79629277639409013</v>
      </c>
      <c r="AH7022" s="2" t="str">
        <f ca="1"/>
        <v>Bad</v>
      </c>
    </row>
    <row r="7023" spans="2:34" x14ac:dyDescent="0.2">
      <c r="B7023" s="2">
        <f ca="1"/>
        <v>0.5936800937468556</v>
      </c>
      <c r="O7023" s="2">
        <f ca="1"/>
        <v>-0.59831808745077009</v>
      </c>
      <c r="X7023" s="2">
        <f ca="1"/>
        <v>55.223509702703794</v>
      </c>
      <c r="AG7023" s="2">
        <f ca="1"/>
        <v>0.24685167668259766</v>
      </c>
      <c r="AH7023" s="2" t="str">
        <f ca="1"/>
        <v>OK</v>
      </c>
    </row>
    <row r="7024" spans="2:34" x14ac:dyDescent="0.2">
      <c r="B7024" s="2">
        <f ca="1"/>
        <v>0.70951467398357493</v>
      </c>
      <c r="O7024" s="2">
        <f ca="1"/>
        <v>0.52103112157487874</v>
      </c>
      <c r="X7024" s="2">
        <f ca="1"/>
        <v>44.300529003789499</v>
      </c>
      <c r="AG7024" s="2">
        <f ca="1"/>
        <v>0.29631847446518411</v>
      </c>
      <c r="AH7024" s="2" t="str">
        <f ca="1"/>
        <v>OK</v>
      </c>
    </row>
    <row r="7025" spans="2:34" x14ac:dyDescent="0.2">
      <c r="B7025" s="2">
        <f ca="1"/>
        <v>0.42982745490883456</v>
      </c>
      <c r="O7025" s="2">
        <f ca="1"/>
        <v>1.0789272128733638</v>
      </c>
      <c r="X7025" s="2">
        <f ca="1"/>
        <v>35.903026701288631</v>
      </c>
      <c r="AG7025" s="2">
        <f ca="1"/>
        <v>0.78751757185030669</v>
      </c>
      <c r="AH7025" s="2" t="str">
        <f ca="1"/>
        <v>Bad</v>
      </c>
    </row>
    <row r="7026" spans="2:34" x14ac:dyDescent="0.2">
      <c r="B7026" s="2">
        <f ca="1"/>
        <v>0.62278903458969581</v>
      </c>
      <c r="O7026" s="2">
        <f ca="1"/>
        <v>-0.30794981183656606</v>
      </c>
      <c r="X7026" s="2">
        <f ca="1"/>
        <v>32.538864115872833</v>
      </c>
      <c r="AG7026" s="2">
        <f ca="1"/>
        <v>0.94958081734615485</v>
      </c>
      <c r="AH7026" s="2" t="str">
        <f ca="1"/>
        <v>Bad</v>
      </c>
    </row>
    <row r="7027" spans="2:34" x14ac:dyDescent="0.2">
      <c r="B7027" s="2">
        <f ca="1"/>
        <v>0.29137264535362428</v>
      </c>
      <c r="O7027" s="2">
        <f ca="1"/>
        <v>-1.2141528249595139</v>
      </c>
      <c r="X7027" s="2">
        <f ca="1"/>
        <v>62.743816537682527</v>
      </c>
      <c r="AG7027" s="2">
        <f ca="1"/>
        <v>0.40577853042155265</v>
      </c>
      <c r="AH7027" s="2" t="str">
        <f ca="1"/>
        <v>Bad</v>
      </c>
    </row>
    <row r="7028" spans="2:34" x14ac:dyDescent="0.2">
      <c r="B7028" s="2">
        <f ca="1"/>
        <v>0.13095656935233624</v>
      </c>
      <c r="O7028" s="2">
        <f ca="1"/>
        <v>0.52864754222606236</v>
      </c>
      <c r="X7028" s="2">
        <f ca="1"/>
        <v>35.315669989704958</v>
      </c>
      <c r="AG7028" s="2">
        <f ca="1"/>
        <v>0.18127509680920406</v>
      </c>
      <c r="AH7028" s="2" t="str">
        <f ca="1"/>
        <v>OK</v>
      </c>
    </row>
    <row r="7029" spans="2:34" x14ac:dyDescent="0.2">
      <c r="B7029" s="2">
        <f ca="1"/>
        <v>0.10611394793472173</v>
      </c>
      <c r="O7029" s="2">
        <f ca="1"/>
        <v>-0.21541867270781284</v>
      </c>
      <c r="X7029" s="2">
        <f ca="1"/>
        <v>62.649389285285224</v>
      </c>
      <c r="AG7029" s="2">
        <f ca="1"/>
        <v>0.80227745187746002</v>
      </c>
      <c r="AH7029" s="2" t="str">
        <f ca="1"/>
        <v>Bad</v>
      </c>
    </row>
    <row r="7030" spans="2:34" x14ac:dyDescent="0.2">
      <c r="B7030" s="2">
        <f ca="1"/>
        <v>0.65517431839425821</v>
      </c>
      <c r="O7030" s="2">
        <f ca="1"/>
        <v>-0.32734931175205284</v>
      </c>
      <c r="X7030" s="2">
        <f ca="1"/>
        <v>50.754818739131551</v>
      </c>
      <c r="AG7030" s="2">
        <f ca="1"/>
        <v>0.5003537608805817</v>
      </c>
      <c r="AH7030" s="2" t="str">
        <f ca="1"/>
        <v>Bad</v>
      </c>
    </row>
    <row r="7031" spans="2:34" x14ac:dyDescent="0.2">
      <c r="B7031" s="2">
        <f ca="1"/>
        <v>0.63494657719101832</v>
      </c>
      <c r="O7031" s="2">
        <f ca="1"/>
        <v>0.12489893612445888</v>
      </c>
      <c r="X7031" s="2">
        <f ca="1"/>
        <v>28.707016369480556</v>
      </c>
      <c r="AG7031" s="2">
        <f ca="1"/>
        <v>0.2198158503169565</v>
      </c>
      <c r="AH7031" s="2" t="str">
        <f ca="1"/>
        <v>OK</v>
      </c>
    </row>
    <row r="7032" spans="2:34" x14ac:dyDescent="0.2">
      <c r="B7032" s="2">
        <f ca="1"/>
        <v>7.1621766205866688E-2</v>
      </c>
      <c r="O7032" s="2">
        <f ca="1"/>
        <v>1.7141511259862416</v>
      </c>
      <c r="X7032" s="2">
        <f ca="1"/>
        <v>25.427526725136843</v>
      </c>
      <c r="AG7032" s="2">
        <f ca="1"/>
        <v>0.96477405374809155</v>
      </c>
      <c r="AH7032" s="2" t="str">
        <f ca="1"/>
        <v>Bad</v>
      </c>
    </row>
    <row r="7033" spans="2:34" x14ac:dyDescent="0.2">
      <c r="B7033" s="2">
        <f ca="1"/>
        <v>0.94437183448773299</v>
      </c>
      <c r="O7033" s="2">
        <f ca="1"/>
        <v>-0.23841434129061037</v>
      </c>
      <c r="X7033" s="2">
        <f ca="1"/>
        <v>46.394009749429223</v>
      </c>
      <c r="AG7033" s="2">
        <f ca="1"/>
        <v>0.65819800445916976</v>
      </c>
      <c r="AH7033" s="2" t="str">
        <f ca="1"/>
        <v>Bad</v>
      </c>
    </row>
    <row r="7034" spans="2:34" x14ac:dyDescent="0.2">
      <c r="B7034" s="2">
        <f ca="1"/>
        <v>0.99334954450416069</v>
      </c>
      <c r="O7034" s="2">
        <f ca="1"/>
        <v>5.2075058409082088E-2</v>
      </c>
      <c r="X7034" s="2">
        <f ca="1"/>
        <v>55.600385769811439</v>
      </c>
      <c r="AG7034" s="2">
        <f ca="1"/>
        <v>0.2081353019385439</v>
      </c>
      <c r="AH7034" s="2" t="str">
        <f ca="1"/>
        <v>OK</v>
      </c>
    </row>
    <row r="7035" spans="2:34" x14ac:dyDescent="0.2">
      <c r="B7035" s="2">
        <f ca="1"/>
        <v>0.53242459098810069</v>
      </c>
      <c r="O7035" s="2">
        <f ca="1"/>
        <v>-1.4067399454525678</v>
      </c>
      <c r="X7035" s="2">
        <f ca="1"/>
        <v>53.041345738680626</v>
      </c>
      <c r="AG7035" s="2">
        <f ca="1"/>
        <v>0.38712346158148758</v>
      </c>
      <c r="AH7035" s="2" t="str">
        <f ca="1"/>
        <v>OK</v>
      </c>
    </row>
    <row r="7036" spans="2:34" x14ac:dyDescent="0.2">
      <c r="B7036" s="2">
        <f ca="1"/>
        <v>0.92744304744883155</v>
      </c>
      <c r="O7036" s="2">
        <f ca="1"/>
        <v>0.99029750124948779</v>
      </c>
      <c r="X7036" s="2">
        <f ca="1"/>
        <v>31.706766865454515</v>
      </c>
      <c r="AG7036" s="2">
        <f ca="1"/>
        <v>0.20847791693308593</v>
      </c>
      <c r="AH7036" s="2" t="str">
        <f ca="1"/>
        <v>OK</v>
      </c>
    </row>
    <row r="7037" spans="2:34" x14ac:dyDescent="0.2">
      <c r="B7037" s="2">
        <f ca="1"/>
        <v>0.37198407302448233</v>
      </c>
      <c r="O7037" s="2">
        <f ca="1"/>
        <v>-1.0801335210197187</v>
      </c>
      <c r="X7037" s="2">
        <f ca="1"/>
        <v>48.538553795551458</v>
      </c>
      <c r="AG7037" s="2">
        <f ca="1"/>
        <v>0.85768127398230387</v>
      </c>
      <c r="AH7037" s="2" t="str">
        <f ca="1"/>
        <v>Bad</v>
      </c>
    </row>
    <row r="7038" spans="2:34" x14ac:dyDescent="0.2">
      <c r="B7038" s="2">
        <f ca="1"/>
        <v>0.76541268100891013</v>
      </c>
      <c r="O7038" s="2">
        <f ca="1"/>
        <v>-0.64345491585427916</v>
      </c>
      <c r="X7038" s="2">
        <f ca="1"/>
        <v>49.24515636707973</v>
      </c>
      <c r="AG7038" s="2">
        <f ca="1"/>
        <v>0.5331595923955228</v>
      </c>
      <c r="AH7038" s="2" t="str">
        <f ca="1"/>
        <v>Bad</v>
      </c>
    </row>
    <row r="7039" spans="2:34" x14ac:dyDescent="0.2">
      <c r="B7039" s="2">
        <f ca="1"/>
        <v>5.55507099859196E-2</v>
      </c>
      <c r="O7039" s="2">
        <f ca="1"/>
        <v>0.84797065399473059</v>
      </c>
      <c r="X7039" s="2">
        <f ca="1"/>
        <v>24.620598026794656</v>
      </c>
      <c r="AG7039" s="2">
        <f ca="1"/>
        <v>1.2346247376321617E-2</v>
      </c>
      <c r="AH7039" s="2" t="str">
        <f ca="1"/>
        <v>Good</v>
      </c>
    </row>
    <row r="7040" spans="2:34" x14ac:dyDescent="0.2">
      <c r="B7040" s="2">
        <f ca="1"/>
        <v>0.64119688801690122</v>
      </c>
      <c r="O7040" s="2">
        <f ca="1"/>
        <v>-1.0563571934855649</v>
      </c>
      <c r="X7040" s="2">
        <f ca="1"/>
        <v>42.402339314104303</v>
      </c>
      <c r="AG7040" s="2">
        <f ca="1"/>
        <v>0.83317331843618381</v>
      </c>
      <c r="AH7040" s="2" t="str">
        <f ca="1"/>
        <v>Bad</v>
      </c>
    </row>
    <row r="7041" spans="2:34" x14ac:dyDescent="0.2">
      <c r="B7041" s="2">
        <f ca="1"/>
        <v>0.81658118620961151</v>
      </c>
      <c r="O7041" s="2">
        <f ca="1"/>
        <v>-0.52470910444412999</v>
      </c>
      <c r="X7041" s="2">
        <f ca="1"/>
        <v>49.428862008729638</v>
      </c>
      <c r="AG7041" s="2">
        <f ca="1"/>
        <v>0.34295174671773232</v>
      </c>
      <c r="AH7041" s="2" t="str">
        <f ca="1"/>
        <v>OK</v>
      </c>
    </row>
    <row r="7042" spans="2:34" x14ac:dyDescent="0.2">
      <c r="B7042" s="2">
        <f ca="1"/>
        <v>0.87904776201787471</v>
      </c>
      <c r="O7042" s="2">
        <f ca="1"/>
        <v>-0.36332073776938922</v>
      </c>
      <c r="X7042" s="2">
        <f ca="1"/>
        <v>47.669379059527735</v>
      </c>
      <c r="AG7042" s="2">
        <f ca="1"/>
        <v>0.21153385001588365</v>
      </c>
      <c r="AH7042" s="2" t="str">
        <f ca="1"/>
        <v>OK</v>
      </c>
    </row>
    <row r="7043" spans="2:34" x14ac:dyDescent="0.2">
      <c r="B7043" s="2">
        <f ca="1"/>
        <v>0.64469624531784908</v>
      </c>
      <c r="O7043" s="2">
        <f ca="1"/>
        <v>1.3210642807250961</v>
      </c>
      <c r="X7043" s="2">
        <f ca="1"/>
        <v>36.646605661207843</v>
      </c>
      <c r="AG7043" s="2">
        <f ca="1"/>
        <v>0.11585841791115015</v>
      </c>
      <c r="AH7043" s="2" t="str">
        <f ca="1"/>
        <v>OK</v>
      </c>
    </row>
    <row r="7044" spans="2:34" x14ac:dyDescent="0.2">
      <c r="B7044" s="2">
        <f ca="1"/>
        <v>0.12924131295756758</v>
      </c>
      <c r="O7044" s="2">
        <f ca="1"/>
        <v>-0.62798671678965745</v>
      </c>
      <c r="X7044" s="2">
        <f ca="1"/>
        <v>66.35839011502847</v>
      </c>
      <c r="AG7044" s="2">
        <f ca="1"/>
        <v>9.6151729568878963E-2</v>
      </c>
      <c r="AH7044" s="2" t="str">
        <f ca="1"/>
        <v>OK</v>
      </c>
    </row>
    <row r="7045" spans="2:34" x14ac:dyDescent="0.2">
      <c r="B7045" s="2">
        <f ca="1"/>
        <v>0.52700892477026784</v>
      </c>
      <c r="O7045" s="2">
        <f ca="1"/>
        <v>0.86398477243976191</v>
      </c>
      <c r="X7045" s="2">
        <f ca="1"/>
        <v>81.353484874275622</v>
      </c>
      <c r="AG7045" s="2">
        <f ca="1"/>
        <v>0.95654160095091845</v>
      </c>
      <c r="AH7045" s="2" t="str">
        <f ca="1"/>
        <v>Bad</v>
      </c>
    </row>
    <row r="7046" spans="2:34" x14ac:dyDescent="0.2">
      <c r="B7046" s="2">
        <f ca="1"/>
        <v>7.2517351107482142E-2</v>
      </c>
      <c r="O7046" s="2">
        <f ca="1"/>
        <v>0.15968946765273112</v>
      </c>
      <c r="X7046" s="2">
        <f ca="1"/>
        <v>39.875605167486363</v>
      </c>
      <c r="AG7046" s="2">
        <f ca="1"/>
        <v>8.3084412016756648E-2</v>
      </c>
      <c r="AH7046" s="2" t="str">
        <f ca="1"/>
        <v>OK</v>
      </c>
    </row>
    <row r="7047" spans="2:34" x14ac:dyDescent="0.2">
      <c r="B7047" s="2">
        <f ca="1"/>
        <v>0.54167359754267119</v>
      </c>
      <c r="O7047" s="2">
        <f ca="1"/>
        <v>-1.1748103060673551</v>
      </c>
      <c r="X7047" s="2">
        <f ca="1"/>
        <v>47.644063023310856</v>
      </c>
      <c r="AG7047" s="2">
        <f ca="1"/>
        <v>0.42623158795318705</v>
      </c>
      <c r="AH7047" s="2" t="str">
        <f ca="1"/>
        <v>Bad</v>
      </c>
    </row>
    <row r="7048" spans="2:34" x14ac:dyDescent="0.2">
      <c r="B7048" s="2">
        <f ca="1"/>
        <v>0.17914651484320676</v>
      </c>
      <c r="O7048" s="2">
        <f ca="1"/>
        <v>0.75322047492042099</v>
      </c>
      <c r="X7048" s="2">
        <f ca="1"/>
        <v>36.820011342011512</v>
      </c>
      <c r="AG7048" s="2">
        <f ca="1"/>
        <v>9.3079955513788448E-3</v>
      </c>
      <c r="AH7048" s="2" t="str">
        <f ca="1"/>
        <v>Good</v>
      </c>
    </row>
    <row r="7049" spans="2:34" x14ac:dyDescent="0.2">
      <c r="B7049" s="2">
        <f ca="1"/>
        <v>0.55623166823338521</v>
      </c>
      <c r="O7049" s="2">
        <f ca="1"/>
        <v>-0.30267976537940916</v>
      </c>
      <c r="X7049" s="2">
        <f ca="1"/>
        <v>26.159645883161915</v>
      </c>
      <c r="AG7049" s="2">
        <f ca="1"/>
        <v>0.69049375277295466</v>
      </c>
      <c r="AH7049" s="2" t="str">
        <f ca="1"/>
        <v>Bad</v>
      </c>
    </row>
    <row r="7050" spans="2:34" x14ac:dyDescent="0.2">
      <c r="B7050" s="2">
        <f ca="1"/>
        <v>0.75307701812902228</v>
      </c>
      <c r="O7050" s="2">
        <f ca="1"/>
        <v>1.9921776644839175</v>
      </c>
      <c r="X7050" s="2">
        <f ca="1"/>
        <v>54.776569297429994</v>
      </c>
      <c r="AG7050" s="2">
        <f ca="1"/>
        <v>0.14321823380373289</v>
      </c>
      <c r="AH7050" s="2" t="str">
        <f ca="1"/>
        <v>OK</v>
      </c>
    </row>
    <row r="7051" spans="2:34" x14ac:dyDescent="0.2">
      <c r="B7051" s="2">
        <f ca="1"/>
        <v>0.90240670542367774</v>
      </c>
      <c r="O7051" s="2">
        <f ca="1"/>
        <v>-1.2795723544791702</v>
      </c>
      <c r="X7051" s="2">
        <f ca="1"/>
        <v>30.959320026873979</v>
      </c>
      <c r="AG7051" s="2">
        <f ca="1"/>
        <v>0.36645868228334022</v>
      </c>
      <c r="AH7051" s="2" t="str">
        <f ca="1"/>
        <v>OK</v>
      </c>
    </row>
    <row r="7052" spans="2:34" x14ac:dyDescent="0.2">
      <c r="B7052" s="2">
        <f ca="1"/>
        <v>0.29766521566220061</v>
      </c>
      <c r="O7052" s="2">
        <f ca="1"/>
        <v>-0.94873757884535381</v>
      </c>
      <c r="X7052" s="2">
        <f ca="1"/>
        <v>42.381992046768019</v>
      </c>
      <c r="AG7052" s="2">
        <f ca="1"/>
        <v>1.366089053102626E-2</v>
      </c>
      <c r="AH7052" s="2" t="str">
        <f ca="1"/>
        <v>Good</v>
      </c>
    </row>
    <row r="7053" spans="2:34" x14ac:dyDescent="0.2">
      <c r="B7053" s="2">
        <f ca="1"/>
        <v>0.26807393391415069</v>
      </c>
      <c r="O7053" s="2">
        <f ca="1"/>
        <v>-0.2746930814518373</v>
      </c>
      <c r="X7053" s="2">
        <f ca="1"/>
        <v>76.914920864497986</v>
      </c>
      <c r="AG7053" s="2">
        <f ca="1"/>
        <v>0.56048507111738255</v>
      </c>
      <c r="AH7053" s="2" t="str">
        <f ca="1"/>
        <v>Bad</v>
      </c>
    </row>
    <row r="7054" spans="2:34" x14ac:dyDescent="0.2">
      <c r="B7054" s="2">
        <f ca="1"/>
        <v>0.80209271320475639</v>
      </c>
      <c r="O7054" s="2">
        <f ca="1"/>
        <v>-0.59507611152496953</v>
      </c>
      <c r="X7054" s="2">
        <f ca="1"/>
        <v>58.437472555744641</v>
      </c>
      <c r="AG7054" s="2">
        <f ca="1"/>
        <v>0.97271943039208453</v>
      </c>
      <c r="AH7054" s="2" t="str">
        <f ca="1"/>
        <v>Bad</v>
      </c>
    </row>
    <row r="7055" spans="2:34" x14ac:dyDescent="0.2">
      <c r="B7055" s="2">
        <f ca="1"/>
        <v>0.96946019432944763</v>
      </c>
      <c r="O7055" s="2">
        <f ca="1"/>
        <v>1.4974064264080487</v>
      </c>
      <c r="X7055" s="2">
        <f ca="1"/>
        <v>80.729241485256139</v>
      </c>
      <c r="AG7055" s="2">
        <f ca="1"/>
        <v>0.74672120331090275</v>
      </c>
      <c r="AH7055" s="2" t="str">
        <f ca="1"/>
        <v>Bad</v>
      </c>
    </row>
    <row r="7056" spans="2:34" x14ac:dyDescent="0.2">
      <c r="B7056" s="2">
        <f ca="1"/>
        <v>0.11177201327750463</v>
      </c>
      <c r="O7056" s="2">
        <f ca="1"/>
        <v>-0.20278779380241144</v>
      </c>
      <c r="X7056" s="2">
        <f ca="1"/>
        <v>27.9642853146871</v>
      </c>
      <c r="AG7056" s="2">
        <f ca="1"/>
        <v>0.14832853509526323</v>
      </c>
      <c r="AH7056" s="2" t="str">
        <f ca="1"/>
        <v>OK</v>
      </c>
    </row>
    <row r="7057" spans="2:34" x14ac:dyDescent="0.2">
      <c r="B7057" s="2">
        <f ca="1"/>
        <v>0.41300645076053466</v>
      </c>
      <c r="O7057" s="2">
        <f ca="1"/>
        <v>-1.2048443160896141</v>
      </c>
      <c r="X7057" s="2">
        <f ca="1"/>
        <v>46.166023269142798</v>
      </c>
      <c r="AG7057" s="2">
        <f ca="1"/>
        <v>0.82950292997136388</v>
      </c>
      <c r="AH7057" s="2" t="str">
        <f ca="1"/>
        <v>Bad</v>
      </c>
    </row>
    <row r="7058" spans="2:34" x14ac:dyDescent="0.2">
      <c r="B7058" s="2">
        <f ca="1"/>
        <v>0.29937366853756675</v>
      </c>
      <c r="O7058" s="2">
        <f ca="1"/>
        <v>-1.0215095238666547</v>
      </c>
      <c r="X7058" s="2">
        <f ca="1"/>
        <v>38.54229774188007</v>
      </c>
      <c r="AG7058" s="2">
        <f ca="1"/>
        <v>0.57337055132563841</v>
      </c>
      <c r="AH7058" s="2" t="str">
        <f ca="1"/>
        <v>Bad</v>
      </c>
    </row>
    <row r="7059" spans="2:34" x14ac:dyDescent="0.2">
      <c r="B7059" s="2">
        <f ca="1"/>
        <v>0.56877394077894028</v>
      </c>
      <c r="O7059" s="2">
        <f ca="1"/>
        <v>0.43123335584345351</v>
      </c>
      <c r="X7059" s="2">
        <f ca="1"/>
        <v>59.158180686891498</v>
      </c>
      <c r="AG7059" s="2">
        <f ca="1"/>
        <v>0.44292862854093396</v>
      </c>
      <c r="AH7059" s="2" t="str">
        <f ca="1"/>
        <v>Bad</v>
      </c>
    </row>
    <row r="7060" spans="2:34" x14ac:dyDescent="0.2">
      <c r="B7060" s="2">
        <f ca="1"/>
        <v>4.4937504137266826E-2</v>
      </c>
      <c r="O7060" s="2">
        <f ca="1"/>
        <v>-2.0391295665649984</v>
      </c>
      <c r="X7060" s="2">
        <f ca="1"/>
        <v>42.962950002360039</v>
      </c>
      <c r="AG7060" s="2">
        <f ca="1"/>
        <v>0.52997075769613233</v>
      </c>
      <c r="AH7060" s="2" t="str">
        <f ca="1"/>
        <v>Bad</v>
      </c>
    </row>
    <row r="7061" spans="2:34" x14ac:dyDescent="0.2">
      <c r="B7061" s="2">
        <f ca="1"/>
        <v>0.91962210605644712</v>
      </c>
      <c r="O7061" s="2">
        <f ca="1"/>
        <v>0.81678303925927254</v>
      </c>
      <c r="X7061" s="2">
        <f ca="1"/>
        <v>63.692611641447918</v>
      </c>
      <c r="AG7061" s="2">
        <f ca="1"/>
        <v>0.56336349295967936</v>
      </c>
      <c r="AH7061" s="2" t="str">
        <f ca="1"/>
        <v>Bad</v>
      </c>
    </row>
    <row r="7062" spans="2:34" x14ac:dyDescent="0.2">
      <c r="B7062" s="2">
        <f ca="1"/>
        <v>0.71262390929606023</v>
      </c>
      <c r="O7062" s="2">
        <f ca="1"/>
        <v>1.1942392469038206</v>
      </c>
      <c r="X7062" s="2">
        <f ca="1"/>
        <v>63.098072593679206</v>
      </c>
      <c r="AG7062" s="2">
        <f ca="1"/>
        <v>0.18196385456147213</v>
      </c>
      <c r="AH7062" s="2" t="str">
        <f ca="1"/>
        <v>OK</v>
      </c>
    </row>
    <row r="7063" spans="2:34" x14ac:dyDescent="0.2">
      <c r="B7063" s="2">
        <f ca="1"/>
        <v>0.18348326119578751</v>
      </c>
      <c r="O7063" s="2">
        <f ca="1"/>
        <v>0.65555613378498934</v>
      </c>
      <c r="X7063" s="2">
        <f ca="1"/>
        <v>50.649074030276481</v>
      </c>
      <c r="AG7063" s="2">
        <f ca="1"/>
        <v>0.11316208344831558</v>
      </c>
      <c r="AH7063" s="2" t="str">
        <f ca="1"/>
        <v>OK</v>
      </c>
    </row>
    <row r="7064" spans="2:34" x14ac:dyDescent="0.2">
      <c r="B7064" s="2">
        <f ca="1"/>
        <v>0.8068110948040037</v>
      </c>
      <c r="O7064" s="2">
        <f ca="1"/>
        <v>-0.96431630277505787</v>
      </c>
      <c r="X7064" s="2">
        <f ca="1"/>
        <v>42.381643528500149</v>
      </c>
      <c r="AG7064" s="2">
        <f ca="1"/>
        <v>0.6053729903273517</v>
      </c>
      <c r="AH7064" s="2" t="str">
        <f ca="1"/>
        <v>Bad</v>
      </c>
    </row>
    <row r="7065" spans="2:34" x14ac:dyDescent="0.2">
      <c r="B7065" s="2">
        <f ca="1"/>
        <v>0.40178783071564994</v>
      </c>
      <c r="O7065" s="2">
        <f ca="1"/>
        <v>-6.4189252485386927E-2</v>
      </c>
      <c r="X7065" s="2">
        <f ca="1"/>
        <v>29.857711988018998</v>
      </c>
      <c r="AG7065" s="2">
        <f ca="1"/>
        <v>0.55176470261616206</v>
      </c>
      <c r="AH7065" s="2" t="str">
        <f ca="1"/>
        <v>Bad</v>
      </c>
    </row>
    <row r="7066" spans="2:34" x14ac:dyDescent="0.2">
      <c r="B7066" s="2">
        <f ca="1"/>
        <v>0.15861539196684538</v>
      </c>
      <c r="O7066" s="2">
        <f ca="1"/>
        <v>-0.80695209509816235</v>
      </c>
      <c r="X7066" s="2">
        <f ca="1"/>
        <v>42.138376249086875</v>
      </c>
      <c r="AG7066" s="2">
        <f ca="1"/>
        <v>0.39738908466465506</v>
      </c>
      <c r="AH7066" s="2" t="str">
        <f ca="1"/>
        <v>OK</v>
      </c>
    </row>
    <row r="7067" spans="2:34" x14ac:dyDescent="0.2">
      <c r="B7067" s="2">
        <f ca="1"/>
        <v>0.31384504814750858</v>
      </c>
      <c r="O7067" s="2">
        <f ca="1"/>
        <v>1.1861858135941739</v>
      </c>
      <c r="X7067" s="2">
        <f ca="1"/>
        <v>41.794393584736952</v>
      </c>
      <c r="AG7067" s="2">
        <f ca="1"/>
        <v>0.71729319243571599</v>
      </c>
      <c r="AH7067" s="2" t="str">
        <f ca="1"/>
        <v>Bad</v>
      </c>
    </row>
    <row r="7068" spans="2:34" x14ac:dyDescent="0.2">
      <c r="B7068" s="2">
        <f ca="1"/>
        <v>0.81389221386502708</v>
      </c>
      <c r="O7068" s="2">
        <f ca="1"/>
        <v>-0.74021868622577558</v>
      </c>
      <c r="X7068" s="2">
        <f ca="1"/>
        <v>61.659794757083347</v>
      </c>
      <c r="AG7068" s="2">
        <f ca="1"/>
        <v>7.2891753401905124E-2</v>
      </c>
      <c r="AH7068" s="2" t="str">
        <f ca="1"/>
        <v>OK</v>
      </c>
    </row>
    <row r="7069" spans="2:34" x14ac:dyDescent="0.2">
      <c r="B7069" s="2">
        <f ca="1"/>
        <v>0.52193787518084567</v>
      </c>
      <c r="O7069" s="2">
        <f ca="1"/>
        <v>-0.36746774721193387</v>
      </c>
      <c r="X7069" s="2">
        <f ca="1"/>
        <v>48.164758219877569</v>
      </c>
      <c r="AG7069" s="2">
        <f ca="1"/>
        <v>0.44198776352419133</v>
      </c>
      <c r="AH7069" s="2" t="str">
        <f ca="1"/>
        <v>Bad</v>
      </c>
    </row>
    <row r="7070" spans="2:34" x14ac:dyDescent="0.2">
      <c r="B7070" s="2">
        <f ca="1"/>
        <v>0.54557105669868844</v>
      </c>
      <c r="O7070" s="2">
        <f ca="1"/>
        <v>5.1180777491551477E-2</v>
      </c>
      <c r="X7070" s="2">
        <f ca="1"/>
        <v>60.031462100470236</v>
      </c>
      <c r="AG7070" s="2">
        <f ca="1"/>
        <v>0.86544230113810139</v>
      </c>
      <c r="AH7070" s="2" t="str">
        <f ca="1"/>
        <v>Bad</v>
      </c>
    </row>
    <row r="7071" spans="2:34" x14ac:dyDescent="0.2">
      <c r="B7071" s="2">
        <f ca="1"/>
        <v>3.118878734543995E-2</v>
      </c>
      <c r="O7071" s="2">
        <f ca="1"/>
        <v>0.50921002244202485</v>
      </c>
      <c r="X7071" s="2">
        <f ca="1"/>
        <v>57.000670662984739</v>
      </c>
      <c r="AG7071" s="2">
        <f ca="1"/>
        <v>0.67006399764928193</v>
      </c>
      <c r="AH7071" s="2" t="str">
        <f ca="1"/>
        <v>Bad</v>
      </c>
    </row>
    <row r="7072" spans="2:34" x14ac:dyDescent="0.2">
      <c r="B7072" s="2">
        <f ca="1"/>
        <v>4.6334037719110155E-2</v>
      </c>
      <c r="O7072" s="2">
        <f ca="1"/>
        <v>1.0102915715709144</v>
      </c>
      <c r="X7072" s="2">
        <f ca="1"/>
        <v>68.114034149289949</v>
      </c>
      <c r="AG7072" s="2">
        <f ca="1"/>
        <v>0.39807465967146505</v>
      </c>
      <c r="AH7072" s="2" t="str">
        <f ca="1"/>
        <v>OK</v>
      </c>
    </row>
    <row r="7073" spans="2:34" x14ac:dyDescent="0.2">
      <c r="B7073" s="2">
        <f ca="1"/>
        <v>0.43241253023469195</v>
      </c>
      <c r="O7073" s="2">
        <f ca="1"/>
        <v>-0.45422903798783715</v>
      </c>
      <c r="X7073" s="2">
        <f ca="1"/>
        <v>61.430115834554485</v>
      </c>
      <c r="AG7073" s="2">
        <f ca="1"/>
        <v>7.8106551674310909E-2</v>
      </c>
      <c r="AH7073" s="2" t="str">
        <f ca="1"/>
        <v>OK</v>
      </c>
    </row>
    <row r="7074" spans="2:34" x14ac:dyDescent="0.2">
      <c r="B7074" s="2">
        <f ca="1"/>
        <v>0.91807476772270635</v>
      </c>
      <c r="O7074" s="2">
        <f ca="1"/>
        <v>0.19277459818848869</v>
      </c>
      <c r="X7074" s="2">
        <f ca="1"/>
        <v>40.298221857836026</v>
      </c>
      <c r="AG7074" s="2">
        <f ca="1"/>
        <v>0.50502002978832738</v>
      </c>
      <c r="AH7074" s="2" t="str">
        <f ca="1"/>
        <v>Bad</v>
      </c>
    </row>
    <row r="7075" spans="2:34" x14ac:dyDescent="0.2">
      <c r="B7075" s="2">
        <f ca="1"/>
        <v>0.26069921876519531</v>
      </c>
      <c r="O7075" s="2">
        <f ca="1"/>
        <v>-0.59019949719067266</v>
      </c>
      <c r="X7075" s="2">
        <f ca="1"/>
        <v>46.461010437146442</v>
      </c>
      <c r="AG7075" s="2">
        <f ca="1"/>
        <v>0.49213349061031675</v>
      </c>
      <c r="AH7075" s="2" t="str">
        <f ca="1"/>
        <v>Bad</v>
      </c>
    </row>
    <row r="7076" spans="2:34" x14ac:dyDescent="0.2">
      <c r="B7076" s="2">
        <f ca="1"/>
        <v>0.12264496127939206</v>
      </c>
      <c r="O7076" s="2">
        <f ca="1"/>
        <v>-0.2749950309036861</v>
      </c>
      <c r="X7076" s="2">
        <f ca="1"/>
        <v>74.96497210883237</v>
      </c>
      <c r="AG7076" s="2">
        <f ca="1"/>
        <v>0.2070286405311681</v>
      </c>
      <c r="AH7076" s="2" t="str">
        <f ca="1"/>
        <v>OK</v>
      </c>
    </row>
    <row r="7077" spans="2:34" x14ac:dyDescent="0.2">
      <c r="B7077" s="2">
        <f ca="1"/>
        <v>0.9749739869141052</v>
      </c>
      <c r="O7077" s="2">
        <f ca="1"/>
        <v>-1.2218337916311881</v>
      </c>
      <c r="X7077" s="2">
        <f ca="1"/>
        <v>39.902321266604275</v>
      </c>
      <c r="AG7077" s="2">
        <f ca="1"/>
        <v>0.16329214814714077</v>
      </c>
      <c r="AH7077" s="2" t="str">
        <f ca="1"/>
        <v>OK</v>
      </c>
    </row>
    <row r="7078" spans="2:34" x14ac:dyDescent="0.2">
      <c r="B7078" s="2">
        <f ca="1"/>
        <v>0.98954397001131933</v>
      </c>
      <c r="O7078" s="2">
        <f ca="1"/>
        <v>-0.42628889740391201</v>
      </c>
      <c r="X7078" s="2">
        <f ca="1"/>
        <v>51.532261286705783</v>
      </c>
      <c r="AG7078" s="2">
        <f ca="1"/>
        <v>0.62439677783539604</v>
      </c>
      <c r="AH7078" s="2" t="str">
        <f ca="1"/>
        <v>Bad</v>
      </c>
    </row>
    <row r="7079" spans="2:34" x14ac:dyDescent="0.2">
      <c r="B7079" s="2">
        <f ca="1"/>
        <v>0.58035853971330997</v>
      </c>
      <c r="O7079" s="2">
        <f ca="1"/>
        <v>0.78719060745024394</v>
      </c>
      <c r="X7079" s="2">
        <f ca="1"/>
        <v>20.510679809779845</v>
      </c>
      <c r="AG7079" s="2">
        <f ca="1"/>
        <v>0.32043697869307297</v>
      </c>
      <c r="AH7079" s="2" t="str">
        <f ca="1"/>
        <v>OK</v>
      </c>
    </row>
    <row r="7080" spans="2:34" x14ac:dyDescent="0.2">
      <c r="B7080" s="2">
        <f ca="1"/>
        <v>0.9521540729764828</v>
      </c>
      <c r="O7080" s="2">
        <f ca="1"/>
        <v>0.63092539701194061</v>
      </c>
      <c r="X7080" s="2">
        <f ca="1"/>
        <v>26.926999473334643</v>
      </c>
      <c r="AG7080" s="2">
        <f ca="1"/>
        <v>0.18199809822914248</v>
      </c>
      <c r="AH7080" s="2" t="str">
        <f ca="1"/>
        <v>OK</v>
      </c>
    </row>
    <row r="7081" spans="2:34" x14ac:dyDescent="0.2">
      <c r="B7081" s="2">
        <f ca="1"/>
        <v>0.36368854280140228</v>
      </c>
      <c r="O7081" s="2">
        <f ca="1"/>
        <v>0.52687132487540445</v>
      </c>
      <c r="X7081" s="2">
        <f ca="1"/>
        <v>64.13762321668041</v>
      </c>
      <c r="AG7081" s="2">
        <f ca="1"/>
        <v>0.13254369219627771</v>
      </c>
      <c r="AH7081" s="2" t="str">
        <f ca="1"/>
        <v>OK</v>
      </c>
    </row>
    <row r="7082" spans="2:34" x14ac:dyDescent="0.2">
      <c r="B7082" s="2">
        <f ca="1"/>
        <v>0.46715926011046327</v>
      </c>
      <c r="O7082" s="2">
        <f ca="1"/>
        <v>-2.175224013969959</v>
      </c>
      <c r="X7082" s="2">
        <f ca="1"/>
        <v>52.414880225558981</v>
      </c>
      <c r="AG7082" s="2">
        <f ca="1"/>
        <v>0.3857740051544003</v>
      </c>
      <c r="AH7082" s="2" t="str">
        <f ca="1"/>
        <v>OK</v>
      </c>
    </row>
    <row r="7083" spans="2:34" x14ac:dyDescent="0.2">
      <c r="B7083" s="2">
        <f ca="1"/>
        <v>0.83127129546651113</v>
      </c>
      <c r="O7083" s="2">
        <f ca="1"/>
        <v>0.11843630716302934</v>
      </c>
      <c r="X7083" s="2">
        <f ca="1"/>
        <v>25.728030788630832</v>
      </c>
      <c r="AG7083" s="2">
        <f ca="1"/>
        <v>0.14892444333535093</v>
      </c>
      <c r="AH7083" s="2" t="str">
        <f ca="1"/>
        <v>OK</v>
      </c>
    </row>
    <row r="7084" spans="2:34" x14ac:dyDescent="0.2">
      <c r="B7084" s="2">
        <f ca="1"/>
        <v>6.7456271111757005E-2</v>
      </c>
      <c r="O7084" s="2">
        <f ca="1"/>
        <v>0.25970400499104995</v>
      </c>
      <c r="X7084" s="2">
        <f ca="1"/>
        <v>55.441639412266838</v>
      </c>
      <c r="AG7084" s="2">
        <f ca="1"/>
        <v>0.35519340923525355</v>
      </c>
      <c r="AH7084" s="2" t="str">
        <f ca="1"/>
        <v>OK</v>
      </c>
    </row>
    <row r="7085" spans="2:34" x14ac:dyDescent="0.2">
      <c r="B7085" s="2">
        <f ca="1"/>
        <v>0.5129436432846699</v>
      </c>
      <c r="O7085" s="2">
        <f ca="1"/>
        <v>0.76362823579755557</v>
      </c>
      <c r="X7085" s="2">
        <f ca="1"/>
        <v>34.96341705493662</v>
      </c>
      <c r="AG7085" s="2">
        <f ca="1"/>
        <v>0.48292355407223453</v>
      </c>
      <c r="AH7085" s="2" t="str">
        <f ca="1"/>
        <v>Bad</v>
      </c>
    </row>
    <row r="7086" spans="2:34" x14ac:dyDescent="0.2">
      <c r="B7086" s="2">
        <f ca="1"/>
        <v>0.89308244737115849</v>
      </c>
      <c r="O7086" s="2">
        <f ca="1"/>
        <v>-0.5204938711556113</v>
      </c>
      <c r="X7086" s="2">
        <f ca="1"/>
        <v>37.167155354457066</v>
      </c>
      <c r="AG7086" s="2">
        <f ca="1"/>
        <v>0.53995803127099107</v>
      </c>
      <c r="AH7086" s="2" t="str">
        <f ca="1"/>
        <v>Bad</v>
      </c>
    </row>
    <row r="7087" spans="2:34" x14ac:dyDescent="0.2">
      <c r="B7087" s="2">
        <f ca="1"/>
        <v>0.52277511394191123</v>
      </c>
      <c r="O7087" s="2">
        <f ca="1"/>
        <v>0.69713999602821219</v>
      </c>
      <c r="X7087" s="2">
        <f ca="1"/>
        <v>43.767549938572273</v>
      </c>
      <c r="AG7087" s="2">
        <f ca="1"/>
        <v>0.85439007691653779</v>
      </c>
      <c r="AH7087" s="2" t="str">
        <f ca="1"/>
        <v>Bad</v>
      </c>
    </row>
    <row r="7088" spans="2:34" x14ac:dyDescent="0.2">
      <c r="B7088" s="2">
        <f ca="1"/>
        <v>0.9527778228416468</v>
      </c>
      <c r="O7088" s="2">
        <f ca="1"/>
        <v>-0.22484004811540426</v>
      </c>
      <c r="X7088" s="2">
        <f ca="1"/>
        <v>36.18588531690741</v>
      </c>
      <c r="AG7088" s="2">
        <f ca="1"/>
        <v>0.81979313064039583</v>
      </c>
      <c r="AH7088" s="2" t="str">
        <f ca="1"/>
        <v>Bad</v>
      </c>
    </row>
    <row r="7089" spans="2:34" x14ac:dyDescent="0.2">
      <c r="B7089" s="2">
        <f ca="1"/>
        <v>0.81775582625243226</v>
      </c>
      <c r="O7089" s="2">
        <f ca="1"/>
        <v>-2.5659802524401183</v>
      </c>
      <c r="X7089" s="2">
        <f ca="1"/>
        <v>61.513278943370878</v>
      </c>
      <c r="AG7089" s="2">
        <f ca="1"/>
        <v>0.84412878252795798</v>
      </c>
      <c r="AH7089" s="2" t="str">
        <f ca="1"/>
        <v>Bad</v>
      </c>
    </row>
    <row r="7090" spans="2:34" x14ac:dyDescent="0.2">
      <c r="B7090" s="2">
        <f ca="1"/>
        <v>0.87368519593149885</v>
      </c>
      <c r="O7090" s="2">
        <f ca="1"/>
        <v>0.27984315567229279</v>
      </c>
      <c r="X7090" s="2">
        <f ca="1"/>
        <v>58.640127883019801</v>
      </c>
      <c r="AG7090" s="2">
        <f ca="1"/>
        <v>0.61084560134249677</v>
      </c>
      <c r="AH7090" s="2" t="str">
        <f ca="1"/>
        <v>Bad</v>
      </c>
    </row>
    <row r="7091" spans="2:34" x14ac:dyDescent="0.2">
      <c r="B7091" s="2">
        <f ca="1"/>
        <v>0.35524510834829925</v>
      </c>
      <c r="O7091" s="2">
        <f ca="1"/>
        <v>-1.0346779364058574</v>
      </c>
      <c r="X7091" s="2">
        <f ca="1"/>
        <v>68.88846548676112</v>
      </c>
      <c r="AG7091" s="2">
        <f ca="1"/>
        <v>0.74522055336915982</v>
      </c>
      <c r="AH7091" s="2" t="str">
        <f ca="1"/>
        <v>Bad</v>
      </c>
    </row>
    <row r="7092" spans="2:34" x14ac:dyDescent="0.2">
      <c r="B7092" s="2">
        <f ca="1"/>
        <v>0.80383095671034765</v>
      </c>
      <c r="O7092" s="2">
        <f ca="1"/>
        <v>-0.49473548684693019</v>
      </c>
      <c r="X7092" s="2">
        <f ca="1"/>
        <v>47.00212889694189</v>
      </c>
      <c r="AG7092" s="2">
        <f ca="1"/>
        <v>0.10738864750748767</v>
      </c>
      <c r="AH7092" s="2" t="str">
        <f ca="1"/>
        <v>OK</v>
      </c>
    </row>
    <row r="7093" spans="2:34" x14ac:dyDescent="0.2">
      <c r="B7093" s="2">
        <f ca="1"/>
        <v>0.30678735203966845</v>
      </c>
      <c r="O7093" s="2">
        <f ca="1"/>
        <v>-0.25651167195087715</v>
      </c>
      <c r="X7093" s="2">
        <f ca="1"/>
        <v>34.42366387569826</v>
      </c>
      <c r="AG7093" s="2">
        <f ca="1"/>
        <v>0.37340420124607787</v>
      </c>
      <c r="AH7093" s="2" t="str">
        <f ca="1"/>
        <v>OK</v>
      </c>
    </row>
    <row r="7094" spans="2:34" x14ac:dyDescent="0.2">
      <c r="B7094" s="2">
        <f ca="1"/>
        <v>0.23709078820183449</v>
      </c>
      <c r="O7094" s="2">
        <f ca="1"/>
        <v>0.6706844672613691</v>
      </c>
      <c r="X7094" s="2">
        <f ca="1"/>
        <v>38.690617185176777</v>
      </c>
      <c r="AG7094" s="2">
        <f ca="1"/>
        <v>0.44371204552317023</v>
      </c>
      <c r="AH7094" s="2" t="str">
        <f ca="1"/>
        <v>Bad</v>
      </c>
    </row>
    <row r="7095" spans="2:34" x14ac:dyDescent="0.2">
      <c r="B7095" s="2">
        <f ca="1"/>
        <v>0.23506750692780209</v>
      </c>
      <c r="O7095" s="2">
        <f ca="1"/>
        <v>0.38634900406135625</v>
      </c>
      <c r="X7095" s="2">
        <f ca="1"/>
        <v>53.688517837993992</v>
      </c>
      <c r="AG7095" s="2">
        <f ca="1"/>
        <v>0.4655568209023806</v>
      </c>
      <c r="AH7095" s="2" t="str">
        <f ca="1"/>
        <v>Bad</v>
      </c>
    </row>
    <row r="7096" spans="2:34" x14ac:dyDescent="0.2">
      <c r="B7096" s="2">
        <f ca="1"/>
        <v>0.49615723262098888</v>
      </c>
      <c r="O7096" s="2">
        <f ca="1"/>
        <v>-0.44496764611433326</v>
      </c>
      <c r="X7096" s="2">
        <f ca="1"/>
        <v>35.932923012376548</v>
      </c>
      <c r="AG7096" s="2">
        <f ca="1"/>
        <v>0.15737530513528264</v>
      </c>
      <c r="AH7096" s="2" t="str">
        <f ca="1"/>
        <v>OK</v>
      </c>
    </row>
    <row r="7097" spans="2:34" x14ac:dyDescent="0.2">
      <c r="B7097" s="2">
        <f ca="1"/>
        <v>0.3447409732618707</v>
      </c>
      <c r="O7097" s="2">
        <f ca="1"/>
        <v>-0.55058872932618408</v>
      </c>
      <c r="X7097" s="2">
        <f ca="1"/>
        <v>54.032376523498073</v>
      </c>
      <c r="AG7097" s="2">
        <f ca="1"/>
        <v>0.19142570726899888</v>
      </c>
      <c r="AH7097" s="2" t="str">
        <f ca="1"/>
        <v>OK</v>
      </c>
    </row>
    <row r="7098" spans="2:34" x14ac:dyDescent="0.2">
      <c r="B7098" s="2">
        <f ca="1"/>
        <v>0.45199540285273465</v>
      </c>
      <c r="O7098" s="2">
        <f ca="1"/>
        <v>-0.26820450097213278</v>
      </c>
      <c r="X7098" s="2">
        <f ca="1"/>
        <v>80.679828207979597</v>
      </c>
      <c r="AG7098" s="2">
        <f ca="1"/>
        <v>0.3836705042575359</v>
      </c>
      <c r="AH7098" s="2" t="str">
        <f ca="1"/>
        <v>OK</v>
      </c>
    </row>
    <row r="7099" spans="2:34" x14ac:dyDescent="0.2">
      <c r="B7099" s="2">
        <f ca="1"/>
        <v>0.99643664269225396</v>
      </c>
      <c r="O7099" s="2">
        <f ca="1"/>
        <v>2.6928341786333734</v>
      </c>
      <c r="X7099" s="2">
        <f ca="1"/>
        <v>57.049080460058093</v>
      </c>
      <c r="AG7099" s="2">
        <f ca="1"/>
        <v>0.34220818308690792</v>
      </c>
      <c r="AH7099" s="2" t="str">
        <f ca="1"/>
        <v>OK</v>
      </c>
    </row>
    <row r="7100" spans="2:34" x14ac:dyDescent="0.2">
      <c r="B7100" s="2">
        <f ca="1"/>
        <v>0.87691916009039894</v>
      </c>
      <c r="O7100" s="2">
        <f ca="1"/>
        <v>-0.36243213348915931</v>
      </c>
      <c r="X7100" s="2">
        <f ca="1"/>
        <v>29.532210712960996</v>
      </c>
      <c r="AG7100" s="2">
        <f ca="1"/>
        <v>0.59776451340961678</v>
      </c>
      <c r="AH7100" s="2" t="str">
        <f ca="1"/>
        <v>Bad</v>
      </c>
    </row>
    <row r="7101" spans="2:34" x14ac:dyDescent="0.2">
      <c r="B7101" s="2">
        <f ca="1"/>
        <v>0.76830397369581127</v>
      </c>
      <c r="O7101" s="2">
        <f ca="1"/>
        <v>-0.65201893374109454</v>
      </c>
      <c r="X7101" s="2">
        <f ca="1"/>
        <v>40.418068672238725</v>
      </c>
      <c r="AG7101" s="2">
        <f ca="1"/>
        <v>0.59470177243974409</v>
      </c>
      <c r="AH7101" s="2" t="str">
        <f ca="1"/>
        <v>Bad</v>
      </c>
    </row>
    <row r="7102" spans="2:34" x14ac:dyDescent="0.2">
      <c r="B7102" s="2">
        <f ca="1"/>
        <v>5.9602919021702006E-2</v>
      </c>
      <c r="O7102" s="2">
        <f ca="1"/>
        <v>-0.56559483419031231</v>
      </c>
      <c r="X7102" s="2">
        <f ca="1"/>
        <v>73.212026870391824</v>
      </c>
      <c r="AG7102" s="2">
        <f ca="1"/>
        <v>0.60183981201674897</v>
      </c>
      <c r="AH7102" s="2" t="str">
        <f ca="1"/>
        <v>Bad</v>
      </c>
    </row>
    <row r="7103" spans="2:34" x14ac:dyDescent="0.2">
      <c r="B7103" s="2">
        <f ca="1"/>
        <v>0.83249290807307963</v>
      </c>
      <c r="O7103" s="2">
        <f ca="1"/>
        <v>0.98329811458979854</v>
      </c>
      <c r="X7103" s="2">
        <f ca="1"/>
        <v>54.619986586262414</v>
      </c>
      <c r="AG7103" s="2">
        <f ca="1"/>
        <v>0.53487873628957572</v>
      </c>
      <c r="AH7103" s="2" t="str">
        <f ca="1"/>
        <v>Bad</v>
      </c>
    </row>
    <row r="7104" spans="2:34" x14ac:dyDescent="0.2">
      <c r="B7104" s="2">
        <f ca="1"/>
        <v>0.87455940596424053</v>
      </c>
      <c r="O7104" s="2">
        <f ca="1"/>
        <v>0.12880450428259091</v>
      </c>
      <c r="X7104" s="2">
        <f ca="1"/>
        <v>60.731955956269815</v>
      </c>
      <c r="AG7104" s="2">
        <f ca="1"/>
        <v>0.84654362577885078</v>
      </c>
      <c r="AH7104" s="2" t="str">
        <f ca="1"/>
        <v>Bad</v>
      </c>
    </row>
    <row r="7105" spans="2:34" x14ac:dyDescent="0.2">
      <c r="B7105" s="2">
        <f ca="1"/>
        <v>0.69805479656997749</v>
      </c>
      <c r="O7105" s="2">
        <f ca="1"/>
        <v>-1.7902043416227853</v>
      </c>
      <c r="X7105" s="2">
        <f ca="1"/>
        <v>51.397955439009436</v>
      </c>
      <c r="AG7105" s="2">
        <f ca="1"/>
        <v>0.74622827378280832</v>
      </c>
      <c r="AH7105" s="2" t="str">
        <f ca="1"/>
        <v>Bad</v>
      </c>
    </row>
    <row r="7106" spans="2:34" x14ac:dyDescent="0.2">
      <c r="B7106" s="2">
        <f ca="1"/>
        <v>0.7909315261817611</v>
      </c>
      <c r="O7106" s="2">
        <f ca="1"/>
        <v>0.63499793470673327</v>
      </c>
      <c r="X7106" s="2">
        <f ca="1"/>
        <v>41.490843882294342</v>
      </c>
      <c r="AG7106" s="2">
        <f ca="1"/>
        <v>0.74324105312144928</v>
      </c>
      <c r="AH7106" s="2" t="str">
        <f ca="1"/>
        <v>Bad</v>
      </c>
    </row>
    <row r="7107" spans="2:34" x14ac:dyDescent="0.2">
      <c r="B7107" s="2">
        <f ca="1"/>
        <v>0.69906498189584454</v>
      </c>
      <c r="O7107" s="2">
        <f ca="1"/>
        <v>1.7019637439692097</v>
      </c>
      <c r="X7107" s="2">
        <f ca="1"/>
        <v>57.901531753751527</v>
      </c>
      <c r="AG7107" s="2">
        <f ca="1"/>
        <v>0.98368666559364049</v>
      </c>
      <c r="AH7107" s="2" t="str">
        <f ca="1"/>
        <v>Bad</v>
      </c>
    </row>
    <row r="7108" spans="2:34" x14ac:dyDescent="0.2">
      <c r="B7108" s="2">
        <f ca="1"/>
        <v>0.46994854003541731</v>
      </c>
      <c r="O7108" s="2">
        <f ca="1"/>
        <v>-0.4541076253824799</v>
      </c>
      <c r="X7108" s="2">
        <f ca="1"/>
        <v>41.051033252566313</v>
      </c>
      <c r="AG7108" s="2">
        <f ca="1"/>
        <v>0.46589072399227405</v>
      </c>
      <c r="AH7108" s="2" t="str">
        <f ca="1"/>
        <v>Bad</v>
      </c>
    </row>
    <row r="7109" spans="2:34" x14ac:dyDescent="0.2">
      <c r="B7109" s="2">
        <f ca="1"/>
        <v>0.39395590938498359</v>
      </c>
      <c r="O7109" s="2">
        <f ca="1"/>
        <v>0.45607042860685693</v>
      </c>
      <c r="X7109" s="2">
        <f ca="1"/>
        <v>60.234598976561031</v>
      </c>
      <c r="AG7109" s="2">
        <f ca="1"/>
        <v>0.92976174542208501</v>
      </c>
      <c r="AH7109" s="2" t="str">
        <f ca="1"/>
        <v>Bad</v>
      </c>
    </row>
    <row r="7110" spans="2:34" x14ac:dyDescent="0.2">
      <c r="B7110" s="2">
        <f ca="1"/>
        <v>0.7715254866204031</v>
      </c>
      <c r="O7110" s="2">
        <f ca="1"/>
        <v>0.77420124325041473</v>
      </c>
      <c r="X7110" s="2">
        <f ca="1"/>
        <v>41.38734753179358</v>
      </c>
      <c r="AG7110" s="2">
        <f ca="1"/>
        <v>0.25684728170773097</v>
      </c>
      <c r="AH7110" s="2" t="str">
        <f ca="1"/>
        <v>OK</v>
      </c>
    </row>
    <row r="7111" spans="2:34" x14ac:dyDescent="0.2">
      <c r="B7111" s="2">
        <f ca="1"/>
        <v>0.67954408191096549</v>
      </c>
      <c r="O7111" s="2">
        <f ca="1"/>
        <v>-0.21367196596415355</v>
      </c>
      <c r="X7111" s="2">
        <f ca="1"/>
        <v>48.067705790459748</v>
      </c>
      <c r="AG7111" s="2">
        <f ca="1"/>
        <v>0.7999643332189823</v>
      </c>
      <c r="AH7111" s="2" t="str">
        <f ca="1"/>
        <v>Bad</v>
      </c>
    </row>
    <row r="7112" spans="2:34" x14ac:dyDescent="0.2">
      <c r="B7112" s="2">
        <f ca="1"/>
        <v>0.45068057421524865</v>
      </c>
      <c r="O7112" s="2">
        <f ca="1"/>
        <v>1.0252175749235231</v>
      </c>
      <c r="X7112" s="2">
        <f ca="1"/>
        <v>58.094561874727717</v>
      </c>
      <c r="AG7112" s="2">
        <f ca="1"/>
        <v>0.9864500408779775</v>
      </c>
      <c r="AH7112" s="2" t="str">
        <f ca="1"/>
        <v>Bad</v>
      </c>
    </row>
    <row r="7113" spans="2:34" x14ac:dyDescent="0.2">
      <c r="B7113" s="2">
        <f ca="1"/>
        <v>0.79381413554999192</v>
      </c>
      <c r="O7113" s="2">
        <f ca="1"/>
        <v>1.1227017369155254</v>
      </c>
      <c r="X7113" s="2">
        <f ca="1"/>
        <v>61.987948293488571</v>
      </c>
      <c r="AG7113" s="2">
        <f ca="1"/>
        <v>0.73510912884948865</v>
      </c>
      <c r="AH7113" s="2" t="str">
        <f ca="1"/>
        <v>Bad</v>
      </c>
    </row>
    <row r="7114" spans="2:34" x14ac:dyDescent="0.2">
      <c r="B7114" s="2">
        <f ca="1"/>
        <v>0.18290984631198648</v>
      </c>
      <c r="O7114" s="2">
        <f ca="1"/>
        <v>-1.0588664568520041</v>
      </c>
      <c r="X7114" s="2">
        <f ca="1"/>
        <v>22.167135194187214</v>
      </c>
      <c r="AG7114" s="2">
        <f ca="1"/>
        <v>0.99480063586057743</v>
      </c>
      <c r="AH7114" s="2" t="str">
        <f ca="1"/>
        <v>Bad</v>
      </c>
    </row>
    <row r="7115" spans="2:34" x14ac:dyDescent="0.2">
      <c r="B7115" s="2">
        <f ca="1"/>
        <v>0.92189759961565909</v>
      </c>
      <c r="O7115" s="2">
        <f ca="1"/>
        <v>-0.21756984859798809</v>
      </c>
      <c r="X7115" s="2">
        <f ca="1"/>
        <v>51.572872510290473</v>
      </c>
      <c r="AG7115" s="2">
        <f ca="1"/>
        <v>0.828453660457938</v>
      </c>
      <c r="AH7115" s="2" t="str">
        <f ca="1"/>
        <v>Bad</v>
      </c>
    </row>
    <row r="7116" spans="2:34" x14ac:dyDescent="0.2">
      <c r="B7116" s="2">
        <f ca="1"/>
        <v>0.40319976689747317</v>
      </c>
      <c r="O7116" s="2">
        <f ca="1"/>
        <v>0.36596530559512236</v>
      </c>
      <c r="X7116" s="2">
        <f ca="1"/>
        <v>84.658758648163683</v>
      </c>
      <c r="AG7116" s="2">
        <f ca="1"/>
        <v>0.99323764771914824</v>
      </c>
      <c r="AH7116" s="2" t="str">
        <f ca="1"/>
        <v>Bad</v>
      </c>
    </row>
    <row r="7117" spans="2:34" x14ac:dyDescent="0.2">
      <c r="B7117" s="2">
        <f ca="1"/>
        <v>0.65931682893708432</v>
      </c>
      <c r="O7117" s="2">
        <f ca="1"/>
        <v>-0.36416019060524712</v>
      </c>
      <c r="X7117" s="2">
        <f ca="1"/>
        <v>55.637100546101614</v>
      </c>
      <c r="AG7117" s="2">
        <f ca="1"/>
        <v>0.21585138443358853</v>
      </c>
      <c r="AH7117" s="2" t="str">
        <f ca="1"/>
        <v>OK</v>
      </c>
    </row>
    <row r="7118" spans="2:34" x14ac:dyDescent="0.2">
      <c r="B7118" s="2">
        <f ca="1"/>
        <v>0.68606365365757482</v>
      </c>
      <c r="O7118" s="2">
        <f ca="1"/>
        <v>0.57105098152033851</v>
      </c>
      <c r="X7118" s="2">
        <f ca="1"/>
        <v>61.67142047367868</v>
      </c>
      <c r="AG7118" s="2">
        <f ca="1"/>
        <v>0.44785811886423055</v>
      </c>
      <c r="AH7118" s="2" t="str">
        <f ca="1"/>
        <v>Bad</v>
      </c>
    </row>
    <row r="7119" spans="2:34" x14ac:dyDescent="0.2">
      <c r="B7119" s="2">
        <f ca="1"/>
        <v>0.5871649636339582</v>
      </c>
      <c r="O7119" s="2">
        <f ca="1"/>
        <v>-0.49268871122963021</v>
      </c>
      <c r="X7119" s="2">
        <f ca="1"/>
        <v>50.424875568602737</v>
      </c>
      <c r="AG7119" s="2">
        <f ca="1"/>
        <v>0.53571850776849073</v>
      </c>
      <c r="AH7119" s="2" t="str">
        <f ca="1"/>
        <v>Bad</v>
      </c>
    </row>
    <row r="7120" spans="2:34" x14ac:dyDescent="0.2">
      <c r="B7120" s="2">
        <f ca="1"/>
        <v>0.85002442873653283</v>
      </c>
      <c r="O7120" s="2">
        <f ca="1"/>
        <v>0.88099261761955894</v>
      </c>
      <c r="X7120" s="2">
        <f ca="1"/>
        <v>52.747512988966122</v>
      </c>
      <c r="AG7120" s="2">
        <f ca="1"/>
        <v>0.78935986508350098</v>
      </c>
      <c r="AH7120" s="2" t="str">
        <f ca="1"/>
        <v>Bad</v>
      </c>
    </row>
    <row r="7121" spans="2:34" x14ac:dyDescent="0.2">
      <c r="B7121" s="2">
        <f ca="1"/>
        <v>1.6744842104905233E-2</v>
      </c>
      <c r="O7121" s="2">
        <f ca="1"/>
        <v>3.7969182494169651</v>
      </c>
      <c r="X7121" s="2">
        <f ca="1"/>
        <v>50.059614068364624</v>
      </c>
      <c r="AG7121" s="2">
        <f ca="1"/>
        <v>0.34107261675149103</v>
      </c>
      <c r="AH7121" s="2" t="str">
        <f ca="1"/>
        <v>OK</v>
      </c>
    </row>
    <row r="7122" spans="2:34" x14ac:dyDescent="0.2">
      <c r="B7122" s="2">
        <f ca="1"/>
        <v>0.38845976678034</v>
      </c>
      <c r="O7122" s="2">
        <f ca="1"/>
        <v>1.046632075106547</v>
      </c>
      <c r="X7122" s="2">
        <f ca="1"/>
        <v>57.104097663498763</v>
      </c>
      <c r="AG7122" s="2">
        <f ca="1"/>
        <v>0.95883288120740184</v>
      </c>
      <c r="AH7122" s="2" t="str">
        <f ca="1"/>
        <v>Bad</v>
      </c>
    </row>
    <row r="7123" spans="2:34" x14ac:dyDescent="0.2">
      <c r="B7123" s="2">
        <f ca="1"/>
        <v>0.89401564804061873</v>
      </c>
      <c r="O7123" s="2">
        <f ca="1"/>
        <v>-2.7563039503134851E-2</v>
      </c>
      <c r="X7123" s="2">
        <f ca="1"/>
        <v>47.24210729476431</v>
      </c>
      <c r="AG7123" s="2">
        <f ca="1"/>
        <v>0.82854289658224456</v>
      </c>
      <c r="AH7123" s="2" t="str">
        <f ca="1"/>
        <v>Bad</v>
      </c>
    </row>
    <row r="7124" spans="2:34" x14ac:dyDescent="0.2">
      <c r="B7124" s="2">
        <f ca="1"/>
        <v>0.84969379454450245</v>
      </c>
      <c r="O7124" s="2">
        <f ca="1"/>
        <v>-0.425585851902405</v>
      </c>
      <c r="X7124" s="2">
        <f ca="1"/>
        <v>57.926045102885524</v>
      </c>
      <c r="AG7124" s="2">
        <f ca="1"/>
        <v>0.33289880318213605</v>
      </c>
      <c r="AH7124" s="2" t="str">
        <f ca="1"/>
        <v>OK</v>
      </c>
    </row>
    <row r="7125" spans="2:34" x14ac:dyDescent="0.2">
      <c r="B7125" s="2">
        <f ca="1"/>
        <v>0.5546506742116355</v>
      </c>
      <c r="O7125" s="2">
        <f ca="1"/>
        <v>-1.7499489623580409</v>
      </c>
      <c r="X7125" s="2">
        <f ca="1"/>
        <v>31.422137782793925</v>
      </c>
      <c r="AG7125" s="2">
        <f ca="1"/>
        <v>0.32965393956587064</v>
      </c>
      <c r="AH7125" s="2" t="str">
        <f ca="1"/>
        <v>OK</v>
      </c>
    </row>
    <row r="7126" spans="2:34" x14ac:dyDescent="0.2">
      <c r="B7126" s="2">
        <f ca="1"/>
        <v>0.16130010411764606</v>
      </c>
      <c r="O7126" s="2">
        <f ca="1"/>
        <v>1.3497817189371755</v>
      </c>
      <c r="X7126" s="2">
        <f ca="1"/>
        <v>27.466500392046385</v>
      </c>
      <c r="AG7126" s="2">
        <f ca="1"/>
        <v>0.87315181557170751</v>
      </c>
      <c r="AH7126" s="2" t="str">
        <f ca="1"/>
        <v>Bad</v>
      </c>
    </row>
    <row r="7127" spans="2:34" x14ac:dyDescent="0.2">
      <c r="B7127" s="2">
        <f ca="1"/>
        <v>0.5697461900322629</v>
      </c>
      <c r="O7127" s="2">
        <f ca="1"/>
        <v>0.85683605990868261</v>
      </c>
      <c r="X7127" s="2">
        <f ca="1"/>
        <v>60.191023344020884</v>
      </c>
      <c r="AG7127" s="2">
        <f ca="1"/>
        <v>0.33196217724032429</v>
      </c>
      <c r="AH7127" s="2" t="str">
        <f ca="1"/>
        <v>OK</v>
      </c>
    </row>
    <row r="7128" spans="2:34" x14ac:dyDescent="0.2">
      <c r="B7128" s="2">
        <f ca="1"/>
        <v>0.2153648144204996</v>
      </c>
      <c r="O7128" s="2">
        <f ca="1"/>
        <v>2.8635671291649332</v>
      </c>
      <c r="X7128" s="2">
        <f ca="1"/>
        <v>84.617165735116259</v>
      </c>
      <c r="AG7128" s="2">
        <f ca="1"/>
        <v>0.13676002029557743</v>
      </c>
      <c r="AH7128" s="2" t="str">
        <f ca="1"/>
        <v>OK</v>
      </c>
    </row>
    <row r="7129" spans="2:34" x14ac:dyDescent="0.2">
      <c r="B7129" s="2">
        <f ca="1"/>
        <v>0.86801571276748923</v>
      </c>
      <c r="O7129" s="2">
        <f ca="1"/>
        <v>1.8107567726424592</v>
      </c>
      <c r="X7129" s="2">
        <f ca="1"/>
        <v>72.95642797640599</v>
      </c>
      <c r="AG7129" s="2">
        <f ca="1"/>
        <v>0.47494195781216964</v>
      </c>
      <c r="AH7129" s="2" t="str">
        <f ca="1"/>
        <v>Bad</v>
      </c>
    </row>
    <row r="7130" spans="2:34" x14ac:dyDescent="0.2">
      <c r="B7130" s="2">
        <f ca="1"/>
        <v>0.42638536979462915</v>
      </c>
      <c r="O7130" s="2">
        <f ca="1"/>
        <v>-0.5410193703002466</v>
      </c>
      <c r="X7130" s="2">
        <f ca="1"/>
        <v>82.959665265282155</v>
      </c>
      <c r="AG7130" s="2">
        <f ca="1"/>
        <v>0.19146548515590922</v>
      </c>
      <c r="AH7130" s="2" t="str">
        <f ca="1"/>
        <v>OK</v>
      </c>
    </row>
    <row r="7131" spans="2:34" x14ac:dyDescent="0.2">
      <c r="B7131" s="2">
        <f ca="1"/>
        <v>8.120863256587918E-2</v>
      </c>
      <c r="O7131" s="2">
        <f ca="1"/>
        <v>1.6305946518622565</v>
      </c>
      <c r="X7131" s="2">
        <f ca="1"/>
        <v>59.432586674595825</v>
      </c>
      <c r="AG7131" s="2">
        <f ca="1"/>
        <v>0.26565316006011486</v>
      </c>
      <c r="AH7131" s="2" t="str">
        <f ca="1"/>
        <v>OK</v>
      </c>
    </row>
    <row r="7132" spans="2:34" x14ac:dyDescent="0.2">
      <c r="B7132" s="2">
        <f ca="1"/>
        <v>0.54858506913713057</v>
      </c>
      <c r="O7132" s="2">
        <f ca="1"/>
        <v>0.65984219348366102</v>
      </c>
      <c r="X7132" s="2">
        <f ca="1"/>
        <v>32.561431106188756</v>
      </c>
      <c r="AG7132" s="2">
        <f ca="1"/>
        <v>0.6918726622291258</v>
      </c>
      <c r="AH7132" s="2" t="str">
        <f ca="1"/>
        <v>Bad</v>
      </c>
    </row>
    <row r="7133" spans="2:34" x14ac:dyDescent="0.2">
      <c r="B7133" s="2">
        <f ca="1"/>
        <v>0.99099365925727123</v>
      </c>
      <c r="O7133" s="2">
        <f ca="1"/>
        <v>-0.33712426351193781</v>
      </c>
      <c r="X7133" s="2">
        <f ca="1"/>
        <v>48.041741826472879</v>
      </c>
      <c r="AG7133" s="2">
        <f ca="1"/>
        <v>0.63735389202247705</v>
      </c>
      <c r="AH7133" s="2" t="str">
        <f ca="1"/>
        <v>Bad</v>
      </c>
    </row>
    <row r="7134" spans="2:34" x14ac:dyDescent="0.2">
      <c r="B7134" s="2">
        <f ca="1"/>
        <v>0.66278959465819498</v>
      </c>
      <c r="O7134" s="2">
        <f ca="1"/>
        <v>0.81466586922091611</v>
      </c>
      <c r="X7134" s="2">
        <f ca="1"/>
        <v>70.085132185555651</v>
      </c>
      <c r="AG7134" s="2">
        <f ca="1"/>
        <v>0.70232710637086226</v>
      </c>
      <c r="AH7134" s="2" t="str">
        <f ca="1"/>
        <v>Bad</v>
      </c>
    </row>
    <row r="7135" spans="2:34" x14ac:dyDescent="0.2">
      <c r="B7135" s="2">
        <f ca="1"/>
        <v>0.81702923563231633</v>
      </c>
      <c r="O7135" s="2">
        <f ca="1"/>
        <v>0.36969118342771873</v>
      </c>
      <c r="X7135" s="2">
        <f ca="1"/>
        <v>77.413480153602762</v>
      </c>
      <c r="AG7135" s="2">
        <f ca="1"/>
        <v>0.75727545370041605</v>
      </c>
      <c r="AH7135" s="2" t="str">
        <f ca="1"/>
        <v>Bad</v>
      </c>
    </row>
    <row r="7136" spans="2:34" x14ac:dyDescent="0.2">
      <c r="B7136" s="2">
        <f ca="1"/>
        <v>0.1092214994526437</v>
      </c>
      <c r="O7136" s="2">
        <f ca="1"/>
        <v>1.2141489296330061</v>
      </c>
      <c r="X7136" s="2">
        <f ca="1"/>
        <v>57.341913452762256</v>
      </c>
      <c r="AG7136" s="2">
        <f ca="1"/>
        <v>0.18424750297648029</v>
      </c>
      <c r="AH7136" s="2" t="str">
        <f ca="1"/>
        <v>OK</v>
      </c>
    </row>
    <row r="7137" spans="2:34" x14ac:dyDescent="0.2">
      <c r="B7137" s="2">
        <f ca="1"/>
        <v>3.9396982146721715E-2</v>
      </c>
      <c r="O7137" s="2">
        <f ca="1"/>
        <v>-0.72529668723044582</v>
      </c>
      <c r="X7137" s="2">
        <f ca="1"/>
        <v>58.103834978333992</v>
      </c>
      <c r="AG7137" s="2">
        <f ca="1"/>
        <v>0.89335693158487017</v>
      </c>
      <c r="AH7137" s="2" t="str">
        <f ca="1"/>
        <v>Bad</v>
      </c>
    </row>
    <row r="7138" spans="2:34" x14ac:dyDescent="0.2">
      <c r="B7138" s="2">
        <f ca="1"/>
        <v>0.93240331821695133</v>
      </c>
      <c r="O7138" s="2">
        <f ca="1"/>
        <v>-2.3056532670869063</v>
      </c>
      <c r="X7138" s="2">
        <f ca="1"/>
        <v>40.803616511587293</v>
      </c>
      <c r="AG7138" s="2">
        <f ca="1"/>
        <v>0.23318859440955531</v>
      </c>
      <c r="AH7138" s="2" t="str">
        <f ca="1"/>
        <v>OK</v>
      </c>
    </row>
    <row r="7139" spans="2:34" x14ac:dyDescent="0.2">
      <c r="B7139" s="2">
        <f ca="1"/>
        <v>0.67739560298647117</v>
      </c>
      <c r="O7139" s="2">
        <f ca="1"/>
        <v>-2.6886978299681727</v>
      </c>
      <c r="X7139" s="2">
        <f ca="1"/>
        <v>56.417304933226937</v>
      </c>
      <c r="AG7139" s="2">
        <f ca="1"/>
        <v>0.66916193181229544</v>
      </c>
      <c r="AH7139" s="2" t="str">
        <f ca="1"/>
        <v>Bad</v>
      </c>
    </row>
    <row r="7140" spans="2:34" x14ac:dyDescent="0.2">
      <c r="B7140" s="2">
        <f ca="1"/>
        <v>0.2912856988484025</v>
      </c>
      <c r="O7140" s="2">
        <f ca="1"/>
        <v>1.3203330988465787</v>
      </c>
      <c r="X7140" s="2">
        <f ca="1"/>
        <v>48.975313933092004</v>
      </c>
      <c r="AG7140" s="2">
        <f ca="1"/>
        <v>0.28119939094564472</v>
      </c>
      <c r="AH7140" s="2" t="str">
        <f ca="1"/>
        <v>OK</v>
      </c>
    </row>
    <row r="7141" spans="2:34" x14ac:dyDescent="0.2">
      <c r="B7141" s="2">
        <f ca="1"/>
        <v>0.19663263383077689</v>
      </c>
      <c r="O7141" s="2">
        <f ca="1"/>
        <v>-0.97127639517132203</v>
      </c>
      <c r="X7141" s="2">
        <f ca="1"/>
        <v>31.669723410213724</v>
      </c>
      <c r="AG7141" s="2">
        <f ca="1"/>
        <v>0.83386723036606258</v>
      </c>
      <c r="AH7141" s="2" t="str">
        <f ca="1"/>
        <v>Bad</v>
      </c>
    </row>
    <row r="7142" spans="2:34" x14ac:dyDescent="0.2">
      <c r="B7142" s="2">
        <f ca="1"/>
        <v>6.4058267074506015E-2</v>
      </c>
      <c r="O7142" s="2">
        <f ca="1"/>
        <v>-0.32381498840429412</v>
      </c>
      <c r="X7142" s="2">
        <f ca="1"/>
        <v>26.830644295431121</v>
      </c>
      <c r="AG7142" s="2">
        <f ca="1"/>
        <v>0.39300123180428903</v>
      </c>
      <c r="AH7142" s="2" t="str">
        <f ca="1"/>
        <v>OK</v>
      </c>
    </row>
    <row r="7143" spans="2:34" x14ac:dyDescent="0.2">
      <c r="B7143" s="2">
        <f ca="1"/>
        <v>0.52973237080377666</v>
      </c>
      <c r="O7143" s="2">
        <f ca="1"/>
        <v>1.7758124953589369</v>
      </c>
      <c r="X7143" s="2">
        <f ca="1"/>
        <v>34.153449328502575</v>
      </c>
      <c r="AG7143" s="2">
        <f ca="1"/>
        <v>0.74465429103173553</v>
      </c>
      <c r="AH7143" s="2" t="str">
        <f ca="1"/>
        <v>Bad</v>
      </c>
    </row>
    <row r="7144" spans="2:34" x14ac:dyDescent="0.2">
      <c r="B7144" s="2">
        <f ca="1"/>
        <v>0.2096492322504373</v>
      </c>
      <c r="O7144" s="2">
        <f ca="1"/>
        <v>-0.74379309021808582</v>
      </c>
      <c r="X7144" s="2">
        <f ca="1"/>
        <v>26.536404968716163</v>
      </c>
      <c r="AG7144" s="2">
        <f ca="1"/>
        <v>0.16891134612838443</v>
      </c>
      <c r="AH7144" s="2" t="str">
        <f ca="1"/>
        <v>OK</v>
      </c>
    </row>
    <row r="7145" spans="2:34" x14ac:dyDescent="0.2">
      <c r="B7145" s="2">
        <f ca="1"/>
        <v>0.54455791143489152</v>
      </c>
      <c r="O7145" s="2">
        <f ca="1"/>
        <v>-0.95053402286271715</v>
      </c>
      <c r="X7145" s="2">
        <f ca="1"/>
        <v>19.78968411025734</v>
      </c>
      <c r="AG7145" s="2">
        <f ca="1"/>
        <v>0.31585316003675268</v>
      </c>
      <c r="AH7145" s="2" t="str">
        <f ca="1"/>
        <v>OK</v>
      </c>
    </row>
    <row r="7146" spans="2:34" x14ac:dyDescent="0.2">
      <c r="B7146" s="2">
        <f ca="1"/>
        <v>0.34987126036940408</v>
      </c>
      <c r="O7146" s="2">
        <f ca="1"/>
        <v>-0.88735402627599969</v>
      </c>
      <c r="X7146" s="2">
        <f ca="1"/>
        <v>34.510642914533271</v>
      </c>
      <c r="AG7146" s="2">
        <f ca="1"/>
        <v>0.73008099525361358</v>
      </c>
      <c r="AH7146" s="2" t="str">
        <f ca="1"/>
        <v>Bad</v>
      </c>
    </row>
    <row r="7147" spans="2:34" x14ac:dyDescent="0.2">
      <c r="B7147" s="2">
        <f ca="1"/>
        <v>7.8664492100940508E-2</v>
      </c>
      <c r="O7147" s="2">
        <f ca="1"/>
        <v>-0.93857280139252619</v>
      </c>
      <c r="X7147" s="2">
        <f ca="1"/>
        <v>69.928109492411636</v>
      </c>
      <c r="AG7147" s="2">
        <f ca="1"/>
        <v>0.88852698123973317</v>
      </c>
      <c r="AH7147" s="2" t="str">
        <f ca="1"/>
        <v>Bad</v>
      </c>
    </row>
    <row r="7148" spans="2:34" x14ac:dyDescent="0.2">
      <c r="B7148" s="2">
        <f ca="1"/>
        <v>0.5981273258483395</v>
      </c>
      <c r="O7148" s="2">
        <f ca="1"/>
        <v>-0.54156873263425487</v>
      </c>
      <c r="X7148" s="2">
        <f ca="1"/>
        <v>68.394675570793339</v>
      </c>
      <c r="AG7148" s="2">
        <f ca="1"/>
        <v>2.5071532395657625E-2</v>
      </c>
      <c r="AH7148" s="2" t="str">
        <f ca="1"/>
        <v>Good</v>
      </c>
    </row>
    <row r="7149" spans="2:34" x14ac:dyDescent="0.2">
      <c r="B7149" s="2">
        <f ca="1"/>
        <v>0.86169134086522825</v>
      </c>
      <c r="O7149" s="2">
        <f ca="1"/>
        <v>-0.7713226475874253</v>
      </c>
      <c r="X7149" s="2">
        <f ca="1"/>
        <v>51.440127500099173</v>
      </c>
      <c r="AG7149" s="2">
        <f ca="1"/>
        <v>0.77868363573998423</v>
      </c>
      <c r="AH7149" s="2" t="str">
        <f ca="1"/>
        <v>Bad</v>
      </c>
    </row>
    <row r="7150" spans="2:34" x14ac:dyDescent="0.2">
      <c r="B7150" s="2">
        <f ca="1"/>
        <v>0.65563649271564728</v>
      </c>
      <c r="O7150" s="2">
        <f ca="1"/>
        <v>-0.85302318491834372</v>
      </c>
      <c r="X7150" s="2">
        <f ca="1"/>
        <v>44.422701420498036</v>
      </c>
      <c r="AG7150" s="2">
        <f ca="1"/>
        <v>0.3457281741830498</v>
      </c>
      <c r="AH7150" s="2" t="str">
        <f ca="1"/>
        <v>OK</v>
      </c>
    </row>
    <row r="7151" spans="2:34" x14ac:dyDescent="0.2">
      <c r="B7151" s="2">
        <f ca="1"/>
        <v>0.67530471143419146</v>
      </c>
      <c r="O7151" s="2">
        <f ca="1"/>
        <v>0.46086037007158592</v>
      </c>
      <c r="X7151" s="2">
        <f ca="1"/>
        <v>36.666138033049293</v>
      </c>
      <c r="AG7151" s="2">
        <f ca="1"/>
        <v>0.58426990840798676</v>
      </c>
      <c r="AH7151" s="2" t="str">
        <f ca="1"/>
        <v>Bad</v>
      </c>
    </row>
    <row r="7152" spans="2:34" x14ac:dyDescent="0.2">
      <c r="B7152" s="2">
        <f ca="1"/>
        <v>0.53847575043821561</v>
      </c>
      <c r="O7152" s="2">
        <f ca="1"/>
        <v>1.3873717530853713</v>
      </c>
      <c r="X7152" s="2">
        <f ca="1"/>
        <v>52.352249737261729</v>
      </c>
      <c r="AG7152" s="2">
        <f ca="1"/>
        <v>0.42333854133969018</v>
      </c>
      <c r="AH7152" s="2" t="str">
        <f ca="1"/>
        <v>Bad</v>
      </c>
    </row>
    <row r="7153" spans="2:34" x14ac:dyDescent="0.2">
      <c r="B7153" s="2">
        <f ca="1"/>
        <v>0.6309110776529443</v>
      </c>
      <c r="O7153" s="2">
        <f ca="1"/>
        <v>-1.1331149227164155</v>
      </c>
      <c r="X7153" s="2">
        <f ca="1"/>
        <v>53.476455513249462</v>
      </c>
      <c r="AG7153" s="2">
        <f ca="1"/>
        <v>0.13535675407430081</v>
      </c>
      <c r="AH7153" s="2" t="str">
        <f ca="1"/>
        <v>OK</v>
      </c>
    </row>
    <row r="7154" spans="2:34" x14ac:dyDescent="0.2">
      <c r="B7154" s="2">
        <f ca="1"/>
        <v>0.1418517141779112</v>
      </c>
      <c r="O7154" s="2">
        <f ca="1"/>
        <v>0.30468473015168823</v>
      </c>
      <c r="X7154" s="2">
        <f ca="1"/>
        <v>43.021873416922539</v>
      </c>
      <c r="AG7154" s="2">
        <f ca="1"/>
        <v>0.98010604447352989</v>
      </c>
      <c r="AH7154" s="2" t="str">
        <f ca="1"/>
        <v>Bad</v>
      </c>
    </row>
    <row r="7155" spans="2:34" x14ac:dyDescent="0.2">
      <c r="B7155" s="2">
        <f ca="1"/>
        <v>0.99364797661548465</v>
      </c>
      <c r="O7155" s="2">
        <f ca="1"/>
        <v>-0.43483068143692799</v>
      </c>
      <c r="X7155" s="2">
        <f ca="1"/>
        <v>65.282198539015994</v>
      </c>
      <c r="AG7155" s="2">
        <f ca="1"/>
        <v>0.25863114873714932</v>
      </c>
      <c r="AH7155" s="2" t="str">
        <f ca="1"/>
        <v>OK</v>
      </c>
    </row>
    <row r="7156" spans="2:34" x14ac:dyDescent="0.2">
      <c r="B7156" s="2">
        <f ca="1"/>
        <v>0.67334445016854949</v>
      </c>
      <c r="O7156" s="2">
        <f ca="1"/>
        <v>0.49023116181017329</v>
      </c>
      <c r="X7156" s="2">
        <f ca="1"/>
        <v>62.610762838973656</v>
      </c>
      <c r="AG7156" s="2">
        <f ca="1"/>
        <v>0.85068295522373738</v>
      </c>
      <c r="AH7156" s="2" t="str">
        <f ca="1"/>
        <v>Bad</v>
      </c>
    </row>
    <row r="7157" spans="2:34" x14ac:dyDescent="0.2">
      <c r="B7157" s="2">
        <f ca="1"/>
        <v>0.80098989144437982</v>
      </c>
      <c r="O7157" s="2">
        <f ca="1"/>
        <v>0.94445709878606343</v>
      </c>
      <c r="X7157" s="2">
        <f ca="1"/>
        <v>77.450558850183612</v>
      </c>
      <c r="AG7157" s="2">
        <f ca="1"/>
        <v>0.8431072817533789</v>
      </c>
      <c r="AH7157" s="2" t="str">
        <f ca="1"/>
        <v>Bad</v>
      </c>
    </row>
    <row r="7158" spans="2:34" x14ac:dyDescent="0.2">
      <c r="B7158" s="2">
        <f ca="1"/>
        <v>0.70218242330420355</v>
      </c>
      <c r="O7158" s="2">
        <f ca="1"/>
        <v>0.68391315750371173</v>
      </c>
      <c r="X7158" s="2">
        <f ca="1"/>
        <v>68.370192161107923</v>
      </c>
      <c r="AG7158" s="2">
        <f ca="1"/>
        <v>0.93397586712091862</v>
      </c>
      <c r="AH7158" s="2" t="str">
        <f ca="1"/>
        <v>Bad</v>
      </c>
    </row>
    <row r="7159" spans="2:34" x14ac:dyDescent="0.2">
      <c r="B7159" s="2">
        <f ca="1"/>
        <v>0.41661513545622242</v>
      </c>
      <c r="O7159" s="2">
        <f ca="1"/>
        <v>-0.17049549111337425</v>
      </c>
      <c r="X7159" s="2">
        <f ca="1"/>
        <v>49.148208685996522</v>
      </c>
      <c r="AG7159" s="2">
        <f ca="1"/>
        <v>0.87526367419980922</v>
      </c>
      <c r="AH7159" s="2" t="str">
        <f ca="1"/>
        <v>Bad</v>
      </c>
    </row>
    <row r="7160" spans="2:34" x14ac:dyDescent="0.2">
      <c r="B7160" s="2">
        <f ca="1"/>
        <v>0.30844943517138934</v>
      </c>
      <c r="O7160" s="2">
        <f ca="1"/>
        <v>0.78756089161408493</v>
      </c>
      <c r="X7160" s="2">
        <f ca="1"/>
        <v>52.527343855936017</v>
      </c>
      <c r="AG7160" s="2">
        <f ca="1"/>
        <v>0.39528882278453636</v>
      </c>
      <c r="AH7160" s="2" t="str">
        <f ca="1"/>
        <v>OK</v>
      </c>
    </row>
    <row r="7161" spans="2:34" x14ac:dyDescent="0.2">
      <c r="B7161" s="2">
        <f ca="1"/>
        <v>0.85171960074956909</v>
      </c>
      <c r="O7161" s="2">
        <f ca="1"/>
        <v>0.46667055673508984</v>
      </c>
      <c r="X7161" s="2">
        <f ca="1"/>
        <v>35.434058001642626</v>
      </c>
      <c r="AG7161" s="2">
        <f ca="1"/>
        <v>0.5691383286096936</v>
      </c>
      <c r="AH7161" s="2" t="str">
        <f ca="1"/>
        <v>Bad</v>
      </c>
    </row>
    <row r="7162" spans="2:34" x14ac:dyDescent="0.2">
      <c r="B7162" s="2">
        <f ca="1"/>
        <v>0.20860952393782761</v>
      </c>
      <c r="O7162" s="2">
        <f ca="1"/>
        <v>0.78560774772393593</v>
      </c>
      <c r="X7162" s="2">
        <f ca="1"/>
        <v>51.124479250591257</v>
      </c>
      <c r="AG7162" s="2">
        <f ca="1"/>
        <v>0.53537239694796246</v>
      </c>
      <c r="AH7162" s="2" t="str">
        <f ca="1"/>
        <v>Bad</v>
      </c>
    </row>
    <row r="7163" spans="2:34" x14ac:dyDescent="0.2">
      <c r="B7163" s="2">
        <f ca="1"/>
        <v>3.0805937671412487E-2</v>
      </c>
      <c r="O7163" s="2">
        <f ca="1"/>
        <v>0.6677057488116237</v>
      </c>
      <c r="X7163" s="2">
        <f ca="1"/>
        <v>71.290915780483715</v>
      </c>
      <c r="AG7163" s="2">
        <f ca="1"/>
        <v>0.61909597864034338</v>
      </c>
      <c r="AH7163" s="2" t="str">
        <f ca="1"/>
        <v>Bad</v>
      </c>
    </row>
    <row r="7164" spans="2:34" x14ac:dyDescent="0.2">
      <c r="B7164" s="2">
        <f ca="1"/>
        <v>0.28030993492091549</v>
      </c>
      <c r="O7164" s="2">
        <f ca="1"/>
        <v>0.73603196895334688</v>
      </c>
      <c r="X7164" s="2">
        <f ca="1"/>
        <v>27.391418869377603</v>
      </c>
      <c r="AG7164" s="2">
        <f ca="1"/>
        <v>0.30604588297395496</v>
      </c>
      <c r="AH7164" s="2" t="str">
        <f ca="1"/>
        <v>OK</v>
      </c>
    </row>
    <row r="7165" spans="2:34" x14ac:dyDescent="0.2">
      <c r="B7165" s="2">
        <f ca="1"/>
        <v>0.22524372496599354</v>
      </c>
      <c r="O7165" s="2">
        <f ca="1"/>
        <v>-1.4431183804293334E-3</v>
      </c>
      <c r="X7165" s="2">
        <f ca="1"/>
        <v>47.436771592977365</v>
      </c>
      <c r="AG7165" s="2">
        <f ca="1"/>
        <v>0.79729829668303731</v>
      </c>
      <c r="AH7165" s="2" t="str">
        <f ca="1"/>
        <v>Bad</v>
      </c>
    </row>
    <row r="7166" spans="2:34" x14ac:dyDescent="0.2">
      <c r="B7166" s="2">
        <f ca="1"/>
        <v>0.35863896247186466</v>
      </c>
      <c r="O7166" s="2">
        <f ca="1"/>
        <v>1.4770871567523727</v>
      </c>
      <c r="X7166" s="2">
        <f ca="1"/>
        <v>66.067019943741528</v>
      </c>
      <c r="AG7166" s="2">
        <f ca="1"/>
        <v>2.560464782573546E-2</v>
      </c>
      <c r="AH7166" s="2" t="str">
        <f ca="1"/>
        <v>Good</v>
      </c>
    </row>
    <row r="7167" spans="2:34" x14ac:dyDescent="0.2">
      <c r="B7167" s="2">
        <f ca="1"/>
        <v>0.74101134055601747</v>
      </c>
      <c r="O7167" s="2">
        <f ca="1"/>
        <v>0.79513373514341534</v>
      </c>
      <c r="X7167" s="2">
        <f ca="1"/>
        <v>54.69287832474653</v>
      </c>
      <c r="AG7167" s="2">
        <f ca="1"/>
        <v>0.21928802631140476</v>
      </c>
      <c r="AH7167" s="2" t="str">
        <f ca="1"/>
        <v>OK</v>
      </c>
    </row>
    <row r="7168" spans="2:34" x14ac:dyDescent="0.2">
      <c r="B7168" s="2">
        <f ca="1"/>
        <v>0.70804823606370038</v>
      </c>
      <c r="O7168" s="2">
        <f ca="1"/>
        <v>0.22954167779293241</v>
      </c>
      <c r="X7168" s="2">
        <f ca="1"/>
        <v>41.293663019444871</v>
      </c>
      <c r="AG7168" s="2">
        <f ca="1"/>
        <v>0.74394326188178916</v>
      </c>
      <c r="AH7168" s="2" t="str">
        <f ca="1"/>
        <v>Bad</v>
      </c>
    </row>
    <row r="7169" spans="2:34" x14ac:dyDescent="0.2">
      <c r="B7169" s="2">
        <f ca="1"/>
        <v>0.96878319540791824</v>
      </c>
      <c r="O7169" s="2">
        <f ca="1"/>
        <v>-1.5640655929157967</v>
      </c>
      <c r="X7169" s="2">
        <f ca="1"/>
        <v>43.246854158455776</v>
      </c>
      <c r="AG7169" s="2">
        <f ca="1"/>
        <v>3.7565696529161974E-2</v>
      </c>
      <c r="AH7169" s="2" t="str">
        <f ca="1"/>
        <v>Good</v>
      </c>
    </row>
    <row r="7170" spans="2:34" x14ac:dyDescent="0.2">
      <c r="B7170" s="2">
        <f ca="1"/>
        <v>0.21549366960652794</v>
      </c>
      <c r="O7170" s="2">
        <f ca="1"/>
        <v>1.2151750418736853</v>
      </c>
      <c r="X7170" s="2">
        <f ca="1"/>
        <v>37.672772372893014</v>
      </c>
      <c r="AG7170" s="2">
        <f ca="1"/>
        <v>0.94573973287509272</v>
      </c>
      <c r="AH7170" s="2" t="str">
        <f ca="1"/>
        <v>Bad</v>
      </c>
    </row>
    <row r="7171" spans="2:34" x14ac:dyDescent="0.2">
      <c r="B7171" s="2">
        <f ca="1"/>
        <v>0.79841420845778655</v>
      </c>
      <c r="O7171" s="2">
        <f ca="1"/>
        <v>1.081562243277955</v>
      </c>
      <c r="X7171" s="2">
        <f ca="1"/>
        <v>57.70946537234002</v>
      </c>
      <c r="AG7171" s="2">
        <f ca="1"/>
        <v>0.46483011900242466</v>
      </c>
      <c r="AH7171" s="2" t="str">
        <f ca="1"/>
        <v>Bad</v>
      </c>
    </row>
    <row r="7172" spans="2:34" x14ac:dyDescent="0.2">
      <c r="B7172" s="2">
        <f ca="1"/>
        <v>0.1959575974111738</v>
      </c>
      <c r="O7172" s="2">
        <f ca="1"/>
        <v>-1.1138730835974144</v>
      </c>
      <c r="X7172" s="2">
        <f ca="1"/>
        <v>63.106796762222366</v>
      </c>
      <c r="AG7172" s="2">
        <f ca="1"/>
        <v>0.49437971655363744</v>
      </c>
      <c r="AH7172" s="2" t="str">
        <f ca="1"/>
        <v>Bad</v>
      </c>
    </row>
    <row r="7173" spans="2:34" x14ac:dyDescent="0.2">
      <c r="B7173" s="2">
        <f ca="1"/>
        <v>5.1014330168633881E-2</v>
      </c>
      <c r="O7173" s="2">
        <f ca="1"/>
        <v>-0.10637870750970772</v>
      </c>
      <c r="X7173" s="2">
        <f ca="1"/>
        <v>74.582442022890547</v>
      </c>
      <c r="AG7173" s="2">
        <f ca="1"/>
        <v>0.35578476713325413</v>
      </c>
      <c r="AH7173" s="2" t="str">
        <f ca="1"/>
        <v>OK</v>
      </c>
    </row>
    <row r="7174" spans="2:34" x14ac:dyDescent="0.2">
      <c r="B7174" s="2">
        <f ca="1"/>
        <v>0.68510053303350182</v>
      </c>
      <c r="O7174" s="2">
        <f ca="1"/>
        <v>-5.5439228454392857E-2</v>
      </c>
      <c r="X7174" s="2">
        <f ca="1"/>
        <v>67.331142812879449</v>
      </c>
      <c r="AG7174" s="2">
        <f ca="1"/>
        <v>0.10734885832660024</v>
      </c>
      <c r="AH7174" s="2" t="str">
        <f ca="1"/>
        <v>OK</v>
      </c>
    </row>
    <row r="7175" spans="2:34" x14ac:dyDescent="0.2">
      <c r="B7175" s="2">
        <f ca="1"/>
        <v>0.13468676928904033</v>
      </c>
      <c r="O7175" s="2">
        <f ca="1"/>
        <v>0.44835252794568564</v>
      </c>
      <c r="X7175" s="2">
        <f ca="1"/>
        <v>44.438114893411125</v>
      </c>
      <c r="AG7175" s="2">
        <f ca="1"/>
        <v>0.8755590821094803</v>
      </c>
      <c r="AH7175" s="2" t="str">
        <f ca="1"/>
        <v>Bad</v>
      </c>
    </row>
    <row r="7176" spans="2:34" x14ac:dyDescent="0.2">
      <c r="B7176" s="2">
        <f ca="1"/>
        <v>0.57998352505896933</v>
      </c>
      <c r="O7176" s="2">
        <f ca="1"/>
        <v>0.52550688183666427</v>
      </c>
      <c r="X7176" s="2">
        <f ca="1"/>
        <v>69.374832595102248</v>
      </c>
      <c r="AG7176" s="2">
        <f ca="1"/>
        <v>4.9402369866500706E-2</v>
      </c>
      <c r="AH7176" s="2" t="str">
        <f ca="1"/>
        <v>Good</v>
      </c>
    </row>
    <row r="7177" spans="2:34" x14ac:dyDescent="0.2">
      <c r="B7177" s="2">
        <f ca="1"/>
        <v>3.8972937935961793E-2</v>
      </c>
      <c r="O7177" s="2">
        <f ca="1"/>
        <v>0.72342466647807702</v>
      </c>
      <c r="X7177" s="2">
        <f ca="1"/>
        <v>54.925959226960344</v>
      </c>
      <c r="AG7177" s="2">
        <f ca="1"/>
        <v>0.14224520725194312</v>
      </c>
      <c r="AH7177" s="2" t="str">
        <f ca="1"/>
        <v>OK</v>
      </c>
    </row>
    <row r="7178" spans="2:34" x14ac:dyDescent="0.2">
      <c r="B7178" s="2">
        <f ca="1"/>
        <v>0.92373520969517142</v>
      </c>
      <c r="O7178" s="2">
        <f ca="1"/>
        <v>0.25203677437420358</v>
      </c>
      <c r="X7178" s="2">
        <f ca="1"/>
        <v>31.467618186668972</v>
      </c>
      <c r="AG7178" s="2">
        <f ca="1"/>
        <v>0.49727796879780461</v>
      </c>
      <c r="AH7178" s="2" t="str">
        <f ca="1"/>
        <v>Bad</v>
      </c>
    </row>
    <row r="7179" spans="2:34" x14ac:dyDescent="0.2">
      <c r="B7179" s="2">
        <f ca="1"/>
        <v>0.9027523771399355</v>
      </c>
      <c r="O7179" s="2">
        <f ca="1"/>
        <v>-0.11739829695016721</v>
      </c>
      <c r="X7179" s="2">
        <f ca="1"/>
        <v>58.739619244070582</v>
      </c>
      <c r="AG7179" s="2">
        <f ca="1"/>
        <v>0.19010420272005524</v>
      </c>
      <c r="AH7179" s="2" t="str">
        <f ca="1"/>
        <v>OK</v>
      </c>
    </row>
    <row r="7180" spans="2:34" x14ac:dyDescent="0.2">
      <c r="B7180" s="2">
        <f ca="1"/>
        <v>0.84632827997615867</v>
      </c>
      <c r="O7180" s="2">
        <f ca="1"/>
        <v>3.5303896154676093E-2</v>
      </c>
      <c r="X7180" s="2">
        <f ca="1"/>
        <v>50.891836185670094</v>
      </c>
      <c r="AG7180" s="2">
        <f ca="1"/>
        <v>0.59163474502597313</v>
      </c>
      <c r="AH7180" s="2" t="str">
        <f ca="1"/>
        <v>Bad</v>
      </c>
    </row>
    <row r="7181" spans="2:34" x14ac:dyDescent="0.2">
      <c r="B7181" s="2">
        <f ca="1"/>
        <v>0.64367742273791317</v>
      </c>
      <c r="O7181" s="2">
        <f ca="1"/>
        <v>-0.72473471178709514</v>
      </c>
      <c r="X7181" s="2">
        <f ca="1"/>
        <v>46.641893937572817</v>
      </c>
      <c r="AG7181" s="2">
        <f ca="1"/>
        <v>0.47123071161236663</v>
      </c>
      <c r="AH7181" s="2" t="str">
        <f ca="1"/>
        <v>Bad</v>
      </c>
    </row>
    <row r="7182" spans="2:34" x14ac:dyDescent="0.2">
      <c r="B7182" s="2">
        <f ca="1"/>
        <v>1.4063301613269186E-2</v>
      </c>
      <c r="O7182" s="2">
        <f ca="1"/>
        <v>0.14340084656756516</v>
      </c>
      <c r="X7182" s="2">
        <f ca="1"/>
        <v>49.746768913994195</v>
      </c>
      <c r="AG7182" s="2">
        <f ca="1"/>
        <v>0.90614705596806333</v>
      </c>
      <c r="AH7182" s="2" t="str">
        <f ca="1"/>
        <v>Bad</v>
      </c>
    </row>
    <row r="7183" spans="2:34" x14ac:dyDescent="0.2">
      <c r="B7183" s="2">
        <f ca="1"/>
        <v>0.60149225766116166</v>
      </c>
      <c r="O7183" s="2">
        <f ca="1"/>
        <v>6.1674635423278182E-2</v>
      </c>
      <c r="X7183" s="2">
        <f ca="1"/>
        <v>35.554948750434228</v>
      </c>
      <c r="AG7183" s="2">
        <f ca="1"/>
        <v>0.59810086080863289</v>
      </c>
      <c r="AH7183" s="2" t="str">
        <f ca="1"/>
        <v>Bad</v>
      </c>
    </row>
    <row r="7184" spans="2:34" x14ac:dyDescent="0.2">
      <c r="B7184" s="2">
        <f ca="1"/>
        <v>0.42155805779620792</v>
      </c>
      <c r="O7184" s="2">
        <f ca="1"/>
        <v>-0.7587050794871848</v>
      </c>
      <c r="X7184" s="2">
        <f ca="1"/>
        <v>59.111571084278637</v>
      </c>
      <c r="AG7184" s="2">
        <f ca="1"/>
        <v>0.70247397637412035</v>
      </c>
      <c r="AH7184" s="2" t="str">
        <f ca="1"/>
        <v>Bad</v>
      </c>
    </row>
    <row r="7185" spans="2:34" x14ac:dyDescent="0.2">
      <c r="B7185" s="2">
        <f ca="1"/>
        <v>0.66788427078698898</v>
      </c>
      <c r="O7185" s="2">
        <f ca="1"/>
        <v>-7.0455791157107095E-2</v>
      </c>
      <c r="X7185" s="2">
        <f ca="1"/>
        <v>67.771886195185843</v>
      </c>
      <c r="AG7185" s="2">
        <f ca="1"/>
        <v>0.51899645332195488</v>
      </c>
      <c r="AH7185" s="2" t="str">
        <f ca="1"/>
        <v>Bad</v>
      </c>
    </row>
    <row r="7186" spans="2:34" x14ac:dyDescent="0.2">
      <c r="B7186" s="2">
        <f ca="1"/>
        <v>4.4693496612796091E-2</v>
      </c>
      <c r="O7186" s="2">
        <f ca="1"/>
        <v>-2.7903268747425252E-2</v>
      </c>
      <c r="X7186" s="2">
        <f ca="1"/>
        <v>53.978473199723673</v>
      </c>
      <c r="AG7186" s="2">
        <f ca="1"/>
        <v>0.8637114405512234</v>
      </c>
      <c r="AH7186" s="2" t="str">
        <f ca="1"/>
        <v>Bad</v>
      </c>
    </row>
    <row r="7187" spans="2:34" x14ac:dyDescent="0.2">
      <c r="B7187" s="2">
        <f ca="1"/>
        <v>3.2578505237026878E-2</v>
      </c>
      <c r="O7187" s="2">
        <f ca="1"/>
        <v>1.6935565003864324</v>
      </c>
      <c r="X7187" s="2">
        <f ca="1"/>
        <v>40.758280398687752</v>
      </c>
      <c r="AG7187" s="2">
        <f ca="1"/>
        <v>0.28975239829327282</v>
      </c>
      <c r="AH7187" s="2" t="str">
        <f ca="1"/>
        <v>OK</v>
      </c>
    </row>
    <row r="7188" spans="2:34" x14ac:dyDescent="0.2">
      <c r="B7188" s="2">
        <f ca="1"/>
        <v>0.74794600452152737</v>
      </c>
      <c r="O7188" s="2">
        <f ca="1"/>
        <v>0.76630881652173177</v>
      </c>
      <c r="X7188" s="2">
        <f ca="1"/>
        <v>56.156573452604668</v>
      </c>
      <c r="AG7188" s="2">
        <f ca="1"/>
        <v>0.8390044126599232</v>
      </c>
      <c r="AH7188" s="2" t="str">
        <f ca="1"/>
        <v>Bad</v>
      </c>
    </row>
    <row r="7189" spans="2:34" x14ac:dyDescent="0.2">
      <c r="B7189" s="2">
        <f ca="1"/>
        <v>0.30815106354178656</v>
      </c>
      <c r="O7189" s="2">
        <f ca="1"/>
        <v>0.52602518928578201</v>
      </c>
      <c r="X7189" s="2">
        <f ca="1"/>
        <v>26.93163769750646</v>
      </c>
      <c r="AG7189" s="2">
        <f ca="1"/>
        <v>0.36229174557346178</v>
      </c>
      <c r="AH7189" s="2" t="str">
        <f ca="1"/>
        <v>OK</v>
      </c>
    </row>
    <row r="7190" spans="2:34" x14ac:dyDescent="0.2">
      <c r="B7190" s="2">
        <f ca="1"/>
        <v>0.66822207371338882</v>
      </c>
      <c r="O7190" s="2">
        <f ca="1"/>
        <v>0.71197849280937375</v>
      </c>
      <c r="X7190" s="2">
        <f ca="1"/>
        <v>64.007765223150571</v>
      </c>
      <c r="AG7190" s="2">
        <f ca="1"/>
        <v>0.2404122869522618</v>
      </c>
      <c r="AH7190" s="2" t="str">
        <f ca="1"/>
        <v>OK</v>
      </c>
    </row>
    <row r="7191" spans="2:34" x14ac:dyDescent="0.2">
      <c r="B7191" s="2">
        <f ca="1"/>
        <v>2.5375568955563255E-2</v>
      </c>
      <c r="O7191" s="2">
        <f ca="1"/>
        <v>-0.53986509495939738</v>
      </c>
      <c r="X7191" s="2">
        <f ca="1"/>
        <v>51.024955044394353</v>
      </c>
      <c r="AG7191" s="2">
        <f ca="1"/>
        <v>0.372918601224008</v>
      </c>
      <c r="AH7191" s="2" t="str">
        <f ca="1"/>
        <v>OK</v>
      </c>
    </row>
    <row r="7192" spans="2:34" x14ac:dyDescent="0.2">
      <c r="B7192" s="2">
        <f ca="1"/>
        <v>0.41430371554774936</v>
      </c>
      <c r="O7192" s="2">
        <f ca="1"/>
        <v>0.64916092434202377</v>
      </c>
      <c r="X7192" s="2">
        <f ca="1"/>
        <v>37.799279572440582</v>
      </c>
      <c r="AG7192" s="2">
        <f ca="1"/>
        <v>0.9926368884018193</v>
      </c>
      <c r="AH7192" s="2" t="str">
        <f ca="1"/>
        <v>Bad</v>
      </c>
    </row>
    <row r="7193" spans="2:34" x14ac:dyDescent="0.2">
      <c r="B7193" s="2">
        <f ca="1"/>
        <v>0.49483527710475927</v>
      </c>
      <c r="O7193" s="2">
        <f ca="1"/>
        <v>-0.60447997359194783</v>
      </c>
      <c r="X7193" s="2">
        <f ca="1"/>
        <v>25.04156009006433</v>
      </c>
      <c r="AG7193" s="2">
        <f ca="1"/>
        <v>0.28310549065535562</v>
      </c>
      <c r="AH7193" s="2" t="str">
        <f ca="1"/>
        <v>OK</v>
      </c>
    </row>
    <row r="7194" spans="2:34" x14ac:dyDescent="0.2">
      <c r="B7194" s="2">
        <f ca="1"/>
        <v>0.29933816767189336</v>
      </c>
      <c r="O7194" s="2">
        <f ca="1"/>
        <v>-0.51019479971569559</v>
      </c>
      <c r="X7194" s="2">
        <f ca="1"/>
        <v>61.233558956690104</v>
      </c>
      <c r="AG7194" s="2">
        <f ca="1"/>
        <v>0.6929346130238605</v>
      </c>
      <c r="AH7194" s="2" t="str">
        <f ca="1"/>
        <v>Bad</v>
      </c>
    </row>
    <row r="7195" spans="2:34" x14ac:dyDescent="0.2">
      <c r="B7195" s="2">
        <f ca="1"/>
        <v>0.75001228427957356</v>
      </c>
      <c r="O7195" s="2">
        <f ca="1"/>
        <v>0.57587303156233327</v>
      </c>
      <c r="X7195" s="2">
        <f ca="1"/>
        <v>47.412714082300795</v>
      </c>
      <c r="AG7195" s="2">
        <f ca="1"/>
        <v>0.90370808760497279</v>
      </c>
      <c r="AH7195" s="2" t="str">
        <f ca="1"/>
        <v>Bad</v>
      </c>
    </row>
    <row r="7196" spans="2:34" x14ac:dyDescent="0.2">
      <c r="B7196" s="2">
        <f ca="1"/>
        <v>7.0940461083508266E-2</v>
      </c>
      <c r="O7196" s="2">
        <f ca="1"/>
        <v>1.4627573571584076</v>
      </c>
      <c r="X7196" s="2">
        <f ca="1"/>
        <v>29.348557069075852</v>
      </c>
      <c r="AG7196" s="2">
        <f ca="1"/>
        <v>0.93395341414176825</v>
      </c>
      <c r="AH7196" s="2" t="str">
        <f ca="1"/>
        <v>Bad</v>
      </c>
    </row>
    <row r="7197" spans="2:34" x14ac:dyDescent="0.2">
      <c r="B7197" s="2">
        <f ca="1"/>
        <v>0.32847174298679493</v>
      </c>
      <c r="O7197" s="2">
        <f ca="1"/>
        <v>-1.0895344009387633</v>
      </c>
      <c r="X7197" s="2">
        <f ca="1"/>
        <v>92.075211370316467</v>
      </c>
      <c r="AG7197" s="2">
        <f ca="1"/>
        <v>0.24091999823358079</v>
      </c>
      <c r="AH7197" s="2" t="str">
        <f ca="1"/>
        <v>OK</v>
      </c>
    </row>
    <row r="7198" spans="2:34" x14ac:dyDescent="0.2">
      <c r="B7198" s="2">
        <f ca="1"/>
        <v>0.43955952443144319</v>
      </c>
      <c r="O7198" s="2">
        <f ca="1"/>
        <v>0.6382017622793893</v>
      </c>
      <c r="X7198" s="2">
        <f ca="1"/>
        <v>68.874610171999421</v>
      </c>
      <c r="AG7198" s="2">
        <f ca="1"/>
        <v>0.75456113510309564</v>
      </c>
      <c r="AH7198" s="2" t="str">
        <f ca="1"/>
        <v>Bad</v>
      </c>
    </row>
    <row r="7199" spans="2:34" x14ac:dyDescent="0.2">
      <c r="B7199" s="2">
        <f ca="1"/>
        <v>0.43781355850277559</v>
      </c>
      <c r="O7199" s="2">
        <f ca="1"/>
        <v>-1.1249867521125283</v>
      </c>
      <c r="X7199" s="2">
        <f ca="1"/>
        <v>41.705058552361116</v>
      </c>
      <c r="AG7199" s="2">
        <f ca="1"/>
        <v>0.1257906123430641</v>
      </c>
      <c r="AH7199" s="2" t="str">
        <f ca="1"/>
        <v>OK</v>
      </c>
    </row>
    <row r="7200" spans="2:34" x14ac:dyDescent="0.2">
      <c r="B7200" s="2">
        <f ca="1"/>
        <v>0.39181743238248212</v>
      </c>
      <c r="O7200" s="2">
        <f ca="1"/>
        <v>-0.68664347902064693</v>
      </c>
      <c r="X7200" s="2">
        <f ca="1"/>
        <v>38.636458321120976</v>
      </c>
      <c r="AG7200" s="2">
        <f ca="1"/>
        <v>0.57071187429483117</v>
      </c>
      <c r="AH7200" s="2" t="str">
        <f ca="1"/>
        <v>Bad</v>
      </c>
    </row>
    <row r="7201" spans="2:34" x14ac:dyDescent="0.2">
      <c r="B7201" s="2">
        <f ca="1"/>
        <v>0.19891963775577826</v>
      </c>
      <c r="O7201" s="2">
        <f ca="1"/>
        <v>1.7376989716338413</v>
      </c>
      <c r="X7201" s="2">
        <f ca="1"/>
        <v>50.363708959412833</v>
      </c>
      <c r="AG7201" s="2">
        <f ca="1"/>
        <v>0.6449016738409612</v>
      </c>
      <c r="AH7201" s="2" t="str">
        <f ca="1"/>
        <v>Bad</v>
      </c>
    </row>
    <row r="7202" spans="2:34" x14ac:dyDescent="0.2">
      <c r="B7202" s="2">
        <f ca="1"/>
        <v>0.13132769590848836</v>
      </c>
      <c r="O7202" s="2">
        <f ca="1"/>
        <v>0.99887883289921275</v>
      </c>
      <c r="X7202" s="2">
        <f ca="1"/>
        <v>43.308303577026138</v>
      </c>
      <c r="AG7202" s="2">
        <f ca="1"/>
        <v>0.89431040021090746</v>
      </c>
      <c r="AH7202" s="2" t="str">
        <f ca="1"/>
        <v>Bad</v>
      </c>
    </row>
    <row r="7203" spans="2:34" x14ac:dyDescent="0.2">
      <c r="B7203" s="2">
        <f ca="1"/>
        <v>0.23939559914064268</v>
      </c>
      <c r="O7203" s="2">
        <f ca="1"/>
        <v>-0.46105118694354569</v>
      </c>
      <c r="X7203" s="2">
        <f ca="1"/>
        <v>26.332696619164455</v>
      </c>
      <c r="AG7203" s="2">
        <f ca="1"/>
        <v>0.18813464376583466</v>
      </c>
      <c r="AH7203" s="2" t="str">
        <f ca="1"/>
        <v>OK</v>
      </c>
    </row>
    <row r="7204" spans="2:34" x14ac:dyDescent="0.2">
      <c r="B7204" s="2">
        <f ca="1"/>
        <v>0.55692299412454305</v>
      </c>
      <c r="O7204" s="2">
        <f ca="1"/>
        <v>0.82080995456542671</v>
      </c>
      <c r="X7204" s="2">
        <f ca="1"/>
        <v>79.715546551386197</v>
      </c>
      <c r="AG7204" s="2">
        <f ca="1"/>
        <v>0.68647870367170705</v>
      </c>
      <c r="AH7204" s="2" t="str">
        <f ca="1"/>
        <v>Bad</v>
      </c>
    </row>
    <row r="7205" spans="2:34" x14ac:dyDescent="0.2">
      <c r="B7205" s="2">
        <f ca="1"/>
        <v>0.78174374984263895</v>
      </c>
      <c r="O7205" s="2">
        <f ca="1"/>
        <v>-0.80701315537031071</v>
      </c>
      <c r="X7205" s="2">
        <f ca="1"/>
        <v>37.177693701438976</v>
      </c>
      <c r="AG7205" s="2">
        <f ca="1"/>
        <v>0.57579080567537044</v>
      </c>
      <c r="AH7205" s="2" t="str">
        <f ca="1"/>
        <v>Bad</v>
      </c>
    </row>
    <row r="7206" spans="2:34" x14ac:dyDescent="0.2">
      <c r="B7206" s="2">
        <f ca="1"/>
        <v>8.554887171413128E-2</v>
      </c>
      <c r="O7206" s="2">
        <f ca="1"/>
        <v>-0.47873190666426874</v>
      </c>
      <c r="X7206" s="2">
        <f ca="1"/>
        <v>60.326856107971622</v>
      </c>
      <c r="AG7206" s="2">
        <f ca="1"/>
        <v>0.9904536160646682</v>
      </c>
      <c r="AH7206" s="2" t="str">
        <f ca="1"/>
        <v>Bad</v>
      </c>
    </row>
    <row r="7207" spans="2:34" x14ac:dyDescent="0.2">
      <c r="B7207" s="2">
        <f ca="1"/>
        <v>0.87588089293272242</v>
      </c>
      <c r="O7207" s="2">
        <f ca="1"/>
        <v>0.53723204069694852</v>
      </c>
      <c r="X7207" s="2">
        <f ca="1"/>
        <v>37.038828326936134</v>
      </c>
      <c r="AG7207" s="2">
        <f ca="1"/>
        <v>4.0334211145401921E-2</v>
      </c>
      <c r="AH7207" s="2" t="str">
        <f ca="1"/>
        <v>Good</v>
      </c>
    </row>
    <row r="7208" spans="2:34" x14ac:dyDescent="0.2">
      <c r="B7208" s="2">
        <f ca="1"/>
        <v>0.35543753822191881</v>
      </c>
      <c r="O7208" s="2">
        <f ca="1"/>
        <v>-0.10015687341210244</v>
      </c>
      <c r="X7208" s="2">
        <f ca="1"/>
        <v>45.75337503396117</v>
      </c>
      <c r="AG7208" s="2">
        <f ca="1"/>
        <v>0.6154526799162543</v>
      </c>
      <c r="AH7208" s="2" t="str">
        <f ca="1"/>
        <v>Bad</v>
      </c>
    </row>
    <row r="7209" spans="2:34" x14ac:dyDescent="0.2">
      <c r="B7209" s="2">
        <f ca="1"/>
        <v>0.1093402420755798</v>
      </c>
      <c r="O7209" s="2">
        <f ca="1"/>
        <v>2.0430385570809708</v>
      </c>
      <c r="X7209" s="2">
        <f ca="1"/>
        <v>26.885134014595835</v>
      </c>
      <c r="AG7209" s="2">
        <f ca="1"/>
        <v>0.28133033052314982</v>
      </c>
      <c r="AH7209" s="2" t="str">
        <f ca="1"/>
        <v>OK</v>
      </c>
    </row>
    <row r="7210" spans="2:34" x14ac:dyDescent="0.2">
      <c r="B7210" s="2">
        <f ca="1"/>
        <v>0.96995540680069103</v>
      </c>
      <c r="O7210" s="2">
        <f ca="1"/>
        <v>-8.6036854407421898E-2</v>
      </c>
      <c r="X7210" s="2">
        <f ca="1"/>
        <v>67.658773364159458</v>
      </c>
      <c r="AG7210" s="2">
        <f ca="1"/>
        <v>0.65146278046274864</v>
      </c>
      <c r="AH7210" s="2" t="str">
        <f ca="1"/>
        <v>Bad</v>
      </c>
    </row>
    <row r="7211" spans="2:34" x14ac:dyDescent="0.2">
      <c r="B7211" s="2">
        <f ca="1"/>
        <v>0.70357677857560419</v>
      </c>
      <c r="O7211" s="2">
        <f ca="1"/>
        <v>-1.5208105270740049</v>
      </c>
      <c r="X7211" s="2">
        <f ca="1"/>
        <v>60.408941698871843</v>
      </c>
      <c r="AG7211" s="2">
        <f ca="1"/>
        <v>0.51319959274417526</v>
      </c>
      <c r="AH7211" s="2" t="str">
        <f ca="1"/>
        <v>Bad</v>
      </c>
    </row>
    <row r="7212" spans="2:34" x14ac:dyDescent="0.2">
      <c r="B7212" s="2">
        <f ca="1"/>
        <v>0.65759671910219719</v>
      </c>
      <c r="O7212" s="2">
        <f ca="1"/>
        <v>1.4189151864024949</v>
      </c>
      <c r="X7212" s="2">
        <f ca="1"/>
        <v>42.460723687048265</v>
      </c>
      <c r="AG7212" s="2">
        <f ca="1"/>
        <v>5.1675514999736105E-3</v>
      </c>
      <c r="AH7212" s="2" t="str">
        <f ca="1"/>
        <v>Good</v>
      </c>
    </row>
    <row r="7213" spans="2:34" x14ac:dyDescent="0.2">
      <c r="B7213" s="2">
        <f ca="1"/>
        <v>0.42955670417126579</v>
      </c>
      <c r="O7213" s="2">
        <f ca="1"/>
        <v>0.84303932009575766</v>
      </c>
      <c r="X7213" s="2">
        <f ca="1"/>
        <v>34.297094040615733</v>
      </c>
      <c r="AG7213" s="2">
        <f ca="1"/>
        <v>0.11142280636101543</v>
      </c>
      <c r="AH7213" s="2" t="str">
        <f ca="1"/>
        <v>OK</v>
      </c>
    </row>
    <row r="7214" spans="2:34" x14ac:dyDescent="0.2">
      <c r="B7214" s="2">
        <f ca="1"/>
        <v>0.61582330944748209</v>
      </c>
      <c r="O7214" s="2">
        <f ca="1"/>
        <v>-0.33335574166174259</v>
      </c>
      <c r="X7214" s="2">
        <f ca="1"/>
        <v>41.275298484895245</v>
      </c>
      <c r="AG7214" s="2">
        <f ca="1"/>
        <v>0.9233979491727593</v>
      </c>
      <c r="AH7214" s="2" t="str">
        <f ca="1"/>
        <v>Bad</v>
      </c>
    </row>
    <row r="7215" spans="2:34" x14ac:dyDescent="0.2">
      <c r="B7215" s="2">
        <f ca="1"/>
        <v>4.9935237702163349E-3</v>
      </c>
      <c r="O7215" s="2">
        <f ca="1"/>
        <v>0.17719832780242445</v>
      </c>
      <c r="X7215" s="2">
        <f ca="1"/>
        <v>24.86361070379429</v>
      </c>
      <c r="AG7215" s="2">
        <f ca="1"/>
        <v>0.81995231733753826</v>
      </c>
      <c r="AH7215" s="2" t="str">
        <f ca="1"/>
        <v>Bad</v>
      </c>
    </row>
    <row r="7216" spans="2:34" x14ac:dyDescent="0.2">
      <c r="B7216" s="2">
        <f ca="1"/>
        <v>0.64475497068461962</v>
      </c>
      <c r="O7216" s="2">
        <f ca="1"/>
        <v>-0.52585635152451049</v>
      </c>
      <c r="X7216" s="2">
        <f ca="1"/>
        <v>39.656066550399352</v>
      </c>
      <c r="AG7216" s="2">
        <f ca="1"/>
        <v>0.48917443667332194</v>
      </c>
      <c r="AH7216" s="2" t="str">
        <f ca="1"/>
        <v>Bad</v>
      </c>
    </row>
    <row r="7217" spans="2:34" x14ac:dyDescent="0.2">
      <c r="B7217" s="2">
        <f ca="1"/>
        <v>0.41089355726130128</v>
      </c>
      <c r="O7217" s="2">
        <f ca="1"/>
        <v>-0.92083285733810261</v>
      </c>
      <c r="X7217" s="2">
        <f ca="1"/>
        <v>55.185121366625495</v>
      </c>
      <c r="AG7217" s="2">
        <f ca="1"/>
        <v>0.68122362063427899</v>
      </c>
      <c r="AH7217" s="2" t="str">
        <f ca="1"/>
        <v>Bad</v>
      </c>
    </row>
    <row r="7218" spans="2:34" x14ac:dyDescent="0.2">
      <c r="B7218" s="2">
        <f ca="1"/>
        <v>0.44121035763668282</v>
      </c>
      <c r="O7218" s="2">
        <f ca="1"/>
        <v>0.59740194818796866</v>
      </c>
      <c r="X7218" s="2">
        <f ca="1"/>
        <v>45.793193645180921</v>
      </c>
      <c r="AG7218" s="2">
        <f ca="1"/>
        <v>0.16885468245047552</v>
      </c>
      <c r="AH7218" s="2" t="str">
        <f ca="1"/>
        <v>OK</v>
      </c>
    </row>
    <row r="7219" spans="2:34" x14ac:dyDescent="0.2">
      <c r="B7219" s="2">
        <f ca="1"/>
        <v>0.45302437795487549</v>
      </c>
      <c r="O7219" s="2">
        <f ca="1"/>
        <v>-0.45726285293537783</v>
      </c>
      <c r="X7219" s="2">
        <f ca="1"/>
        <v>39.464365661174696</v>
      </c>
      <c r="AG7219" s="2">
        <f ca="1"/>
        <v>0.81429018554621568</v>
      </c>
      <c r="AH7219" s="2" t="str">
        <f ca="1"/>
        <v>Bad</v>
      </c>
    </row>
    <row r="7220" spans="2:34" x14ac:dyDescent="0.2">
      <c r="B7220" s="2">
        <f ca="1"/>
        <v>0.43017734329805846</v>
      </c>
      <c r="O7220" s="2">
        <f ca="1"/>
        <v>9.1391446455473022E-2</v>
      </c>
      <c r="X7220" s="2">
        <f ca="1"/>
        <v>29.535985698572418</v>
      </c>
      <c r="AG7220" s="2">
        <f ca="1"/>
        <v>1.749952448386316E-2</v>
      </c>
      <c r="AH7220" s="2" t="str">
        <f ca="1"/>
        <v>Good</v>
      </c>
    </row>
    <row r="7221" spans="2:34" x14ac:dyDescent="0.2">
      <c r="B7221" s="2">
        <f ca="1"/>
        <v>0.57445175362693424</v>
      </c>
      <c r="O7221" s="2">
        <f ca="1"/>
        <v>-0.78889934694722141</v>
      </c>
      <c r="X7221" s="2">
        <f ca="1"/>
        <v>82.858362314598097</v>
      </c>
      <c r="AG7221" s="2">
        <f ca="1"/>
        <v>0.65927234978005123</v>
      </c>
      <c r="AH7221" s="2" t="str">
        <f ca="1"/>
        <v>Bad</v>
      </c>
    </row>
    <row r="7222" spans="2:34" x14ac:dyDescent="0.2">
      <c r="B7222" s="2">
        <f ca="1"/>
        <v>0.48045870384827238</v>
      </c>
      <c r="O7222" s="2">
        <f ca="1"/>
        <v>0.80885998588190411</v>
      </c>
      <c r="X7222" s="2">
        <f ca="1"/>
        <v>42.368983919414347</v>
      </c>
      <c r="AG7222" s="2">
        <f ca="1"/>
        <v>0.28184115226170969</v>
      </c>
      <c r="AH7222" s="2" t="str">
        <f ca="1"/>
        <v>OK</v>
      </c>
    </row>
    <row r="7223" spans="2:34" x14ac:dyDescent="0.2">
      <c r="B7223" s="2">
        <f ca="1"/>
        <v>5.1949042815083946E-2</v>
      </c>
      <c r="O7223" s="2">
        <f ca="1"/>
        <v>1.1474430307157661</v>
      </c>
      <c r="X7223" s="2">
        <f ca="1"/>
        <v>48.598273862770199</v>
      </c>
      <c r="AG7223" s="2">
        <f ca="1"/>
        <v>0.29863118497663055</v>
      </c>
      <c r="AH7223" s="2" t="str">
        <f ca="1"/>
        <v>OK</v>
      </c>
    </row>
    <row r="7224" spans="2:34" x14ac:dyDescent="0.2">
      <c r="B7224" s="2">
        <f ca="1"/>
        <v>0.89634331264722467</v>
      </c>
      <c r="O7224" s="2">
        <f ca="1"/>
        <v>-0.52104116320685656</v>
      </c>
      <c r="X7224" s="2">
        <f ca="1"/>
        <v>28.35943924466191</v>
      </c>
      <c r="AG7224" s="2">
        <f ca="1"/>
        <v>0.42861687862096121</v>
      </c>
      <c r="AH7224" s="2" t="str">
        <f ca="1"/>
        <v>Bad</v>
      </c>
    </row>
    <row r="7225" spans="2:34" x14ac:dyDescent="0.2">
      <c r="B7225" s="2">
        <f ca="1"/>
        <v>0.71084392415659714</v>
      </c>
      <c r="O7225" s="2">
        <f ca="1"/>
        <v>0.51771803387462711</v>
      </c>
      <c r="X7225" s="2">
        <f ca="1"/>
        <v>60.238931616665084</v>
      </c>
      <c r="AG7225" s="2">
        <f ca="1"/>
        <v>0.46622225757866631</v>
      </c>
      <c r="AH7225" s="2" t="str">
        <f ca="1"/>
        <v>Bad</v>
      </c>
    </row>
    <row r="7226" spans="2:34" x14ac:dyDescent="0.2">
      <c r="B7226" s="2">
        <f ca="1"/>
        <v>0.43466739990968839</v>
      </c>
      <c r="O7226" s="2">
        <f ca="1"/>
        <v>-0.18712340475886738</v>
      </c>
      <c r="X7226" s="2">
        <f ca="1"/>
        <v>66.138622629453664</v>
      </c>
      <c r="AG7226" s="2">
        <f ca="1"/>
        <v>0.20633276025047942</v>
      </c>
      <c r="AH7226" s="2" t="str">
        <f ca="1"/>
        <v>OK</v>
      </c>
    </row>
    <row r="7227" spans="2:34" x14ac:dyDescent="0.2">
      <c r="B7227" s="2">
        <f ca="1"/>
        <v>0.87230781250125089</v>
      </c>
      <c r="O7227" s="2">
        <f ca="1"/>
        <v>-1.0810884885011058</v>
      </c>
      <c r="X7227" s="2">
        <f ca="1"/>
        <v>62.360799133372609</v>
      </c>
      <c r="AG7227" s="2">
        <f ca="1"/>
        <v>0.10305114975649166</v>
      </c>
      <c r="AH7227" s="2" t="str">
        <f ca="1"/>
        <v>OK</v>
      </c>
    </row>
    <row r="7228" spans="2:34" x14ac:dyDescent="0.2">
      <c r="B7228" s="2">
        <f ca="1"/>
        <v>0.31068561559078756</v>
      </c>
      <c r="O7228" s="2">
        <f ca="1"/>
        <v>-0.65816728705790217</v>
      </c>
      <c r="X7228" s="2">
        <f ca="1"/>
        <v>57.430524820985511</v>
      </c>
      <c r="AG7228" s="2">
        <f ca="1"/>
        <v>0.55074719425545249</v>
      </c>
      <c r="AH7228" s="2" t="str">
        <f ca="1"/>
        <v>Bad</v>
      </c>
    </row>
    <row r="7229" spans="2:34" x14ac:dyDescent="0.2">
      <c r="B7229" s="2">
        <f ca="1"/>
        <v>0.20132450957506309</v>
      </c>
      <c r="O7229" s="2">
        <f ca="1"/>
        <v>-0.86399693553502421</v>
      </c>
      <c r="X7229" s="2">
        <f ca="1"/>
        <v>80.91983394908992</v>
      </c>
      <c r="AG7229" s="2">
        <f ca="1"/>
        <v>0.27642413961353718</v>
      </c>
      <c r="AH7229" s="2" t="str">
        <f ca="1"/>
        <v>OK</v>
      </c>
    </row>
    <row r="7230" spans="2:34" x14ac:dyDescent="0.2">
      <c r="B7230" s="2">
        <f ca="1"/>
        <v>0.9316590200487791</v>
      </c>
      <c r="O7230" s="2">
        <f ca="1"/>
        <v>0.48100799972070324</v>
      </c>
      <c r="X7230" s="2">
        <f ca="1"/>
        <v>73.420040608216766</v>
      </c>
      <c r="AG7230" s="2">
        <f ca="1"/>
        <v>0.80913836045932985</v>
      </c>
      <c r="AH7230" s="2" t="str">
        <f ca="1"/>
        <v>Bad</v>
      </c>
    </row>
    <row r="7231" spans="2:34" x14ac:dyDescent="0.2">
      <c r="B7231" s="2">
        <f ca="1"/>
        <v>0.80069967707902778</v>
      </c>
      <c r="O7231" s="2">
        <f ca="1"/>
        <v>-2.4432781855495644</v>
      </c>
      <c r="X7231" s="2">
        <f ca="1"/>
        <v>68.26089225549768</v>
      </c>
      <c r="AG7231" s="2">
        <f ca="1"/>
        <v>0.75931243055951936</v>
      </c>
      <c r="AH7231" s="2" t="str">
        <f ca="1"/>
        <v>Bad</v>
      </c>
    </row>
    <row r="7232" spans="2:34" x14ac:dyDescent="0.2">
      <c r="B7232" s="2">
        <f ca="1"/>
        <v>0.72749851315814706</v>
      </c>
      <c r="O7232" s="2">
        <f ca="1"/>
        <v>-0.6571113985801712</v>
      </c>
      <c r="X7232" s="2">
        <f ca="1"/>
        <v>47.81955046241513</v>
      </c>
      <c r="AG7232" s="2">
        <f ca="1"/>
        <v>0.52166140530244709</v>
      </c>
      <c r="AH7232" s="2" t="str">
        <f ca="1"/>
        <v>Bad</v>
      </c>
    </row>
    <row r="7233" spans="2:34" x14ac:dyDescent="0.2">
      <c r="B7233" s="2">
        <f ca="1"/>
        <v>0.69014840969026747</v>
      </c>
      <c r="O7233" s="2">
        <f ca="1"/>
        <v>0.87334181673474387</v>
      </c>
      <c r="X7233" s="2">
        <f ca="1"/>
        <v>73.261669005189574</v>
      </c>
      <c r="AG7233" s="2">
        <f ca="1"/>
        <v>0.64457517314481394</v>
      </c>
      <c r="AH7233" s="2" t="str">
        <f ca="1"/>
        <v>Bad</v>
      </c>
    </row>
    <row r="7234" spans="2:34" x14ac:dyDescent="0.2">
      <c r="B7234" s="2">
        <f ca="1"/>
        <v>0.41967250646534904</v>
      </c>
      <c r="O7234" s="2">
        <f ca="1"/>
        <v>0.43386121117190235</v>
      </c>
      <c r="X7234" s="2">
        <f ca="1"/>
        <v>27.096933811298591</v>
      </c>
      <c r="AG7234" s="2">
        <f ca="1"/>
        <v>0.5150176553610506</v>
      </c>
      <c r="AH7234" s="2" t="str">
        <f ca="1"/>
        <v>Bad</v>
      </c>
    </row>
    <row r="7235" spans="2:34" x14ac:dyDescent="0.2">
      <c r="B7235" s="2">
        <f ca="1"/>
        <v>0.63134696299407667</v>
      </c>
      <c r="O7235" s="2">
        <f ca="1"/>
        <v>-2.112750320956903</v>
      </c>
      <c r="X7235" s="2">
        <f ca="1"/>
        <v>59.302224366076857</v>
      </c>
      <c r="AG7235" s="2">
        <f ca="1"/>
        <v>0.9254605984310027</v>
      </c>
      <c r="AH7235" s="2" t="str">
        <f ca="1"/>
        <v>Bad</v>
      </c>
    </row>
    <row r="7236" spans="2:34" x14ac:dyDescent="0.2">
      <c r="B7236" s="2">
        <f ca="1"/>
        <v>0.34209367664581336</v>
      </c>
      <c r="O7236" s="2">
        <f ca="1"/>
        <v>0.54186310435421425</v>
      </c>
      <c r="X7236" s="2">
        <f ca="1"/>
        <v>34.687239350775783</v>
      </c>
      <c r="AG7236" s="2">
        <f ca="1"/>
        <v>0.75804029700860398</v>
      </c>
      <c r="AH7236" s="2" t="str">
        <f ca="1"/>
        <v>Bad</v>
      </c>
    </row>
    <row r="7237" spans="2:34" x14ac:dyDescent="0.2">
      <c r="B7237" s="2">
        <f ca="1"/>
        <v>0.8117300402063794</v>
      </c>
      <c r="O7237" s="2">
        <f ca="1"/>
        <v>0.70882827764749667</v>
      </c>
      <c r="X7237" s="2">
        <f ca="1"/>
        <v>41.836477423563196</v>
      </c>
      <c r="AG7237" s="2">
        <f ca="1"/>
        <v>0.27685332957458186</v>
      </c>
      <c r="AH7237" s="2" t="str">
        <f ca="1"/>
        <v>OK</v>
      </c>
    </row>
    <row r="7238" spans="2:34" x14ac:dyDescent="0.2">
      <c r="B7238" s="2">
        <f ca="1"/>
        <v>0.6589303189646718</v>
      </c>
      <c r="O7238" s="2">
        <f ca="1"/>
        <v>-8.0236765157876283E-2</v>
      </c>
      <c r="X7238" s="2">
        <f ca="1"/>
        <v>41.850863772402896</v>
      </c>
      <c r="AG7238" s="2">
        <f ca="1"/>
        <v>7.6636845362805683E-2</v>
      </c>
      <c r="AH7238" s="2" t="str">
        <f ca="1"/>
        <v>OK</v>
      </c>
    </row>
    <row r="7239" spans="2:34" x14ac:dyDescent="0.2">
      <c r="B7239" s="2">
        <f ca="1"/>
        <v>0.6646070817787566</v>
      </c>
      <c r="O7239" s="2">
        <f ca="1"/>
        <v>1.619474888297451</v>
      </c>
      <c r="X7239" s="2">
        <f ca="1"/>
        <v>32.590987245786131</v>
      </c>
      <c r="AG7239" s="2">
        <f ca="1"/>
        <v>0.2357829632106736</v>
      </c>
      <c r="AH7239" s="2" t="str">
        <f ca="1"/>
        <v>OK</v>
      </c>
    </row>
    <row r="7240" spans="2:34" x14ac:dyDescent="0.2">
      <c r="B7240" s="2">
        <f ca="1"/>
        <v>0.54327571449831402</v>
      </c>
      <c r="O7240" s="2">
        <f ca="1"/>
        <v>1.2709621474007371</v>
      </c>
      <c r="X7240" s="2">
        <f ca="1"/>
        <v>54.247659618632284</v>
      </c>
      <c r="AG7240" s="2">
        <f ca="1"/>
        <v>0.7932631151299625</v>
      </c>
      <c r="AH7240" s="2" t="str">
        <f ca="1"/>
        <v>Bad</v>
      </c>
    </row>
    <row r="7241" spans="2:34" x14ac:dyDescent="0.2">
      <c r="B7241" s="2">
        <f ca="1"/>
        <v>0.30804126304683632</v>
      </c>
      <c r="O7241" s="2">
        <f ca="1"/>
        <v>1.0429471218603592</v>
      </c>
      <c r="X7241" s="2">
        <f ca="1"/>
        <v>70.460018837094623</v>
      </c>
      <c r="AG7241" s="2">
        <f ca="1"/>
        <v>0.40123115327115144</v>
      </c>
      <c r="AH7241" s="2" t="str">
        <f ca="1"/>
        <v>Bad</v>
      </c>
    </row>
    <row r="7242" spans="2:34" x14ac:dyDescent="0.2">
      <c r="B7242" s="2">
        <f ca="1"/>
        <v>1.8864096686428633E-2</v>
      </c>
      <c r="O7242" s="2">
        <f ca="1"/>
        <v>-1.511807675255725</v>
      </c>
      <c r="X7242" s="2">
        <f ca="1"/>
        <v>65.622235489596889</v>
      </c>
      <c r="AG7242" s="2">
        <f ca="1"/>
        <v>0.25861677073718048</v>
      </c>
      <c r="AH7242" s="2" t="str">
        <f ca="1"/>
        <v>OK</v>
      </c>
    </row>
    <row r="7243" spans="2:34" x14ac:dyDescent="0.2">
      <c r="B7243" s="2">
        <f ca="1"/>
        <v>0.6870648642500381</v>
      </c>
      <c r="O7243" s="2">
        <f ca="1"/>
        <v>-1.1694022072034396</v>
      </c>
      <c r="X7243" s="2">
        <f ca="1"/>
        <v>61.252484299983429</v>
      </c>
      <c r="AG7243" s="2">
        <f ca="1"/>
        <v>0.95728404060984995</v>
      </c>
      <c r="AH7243" s="2" t="str">
        <f ca="1"/>
        <v>Bad</v>
      </c>
    </row>
    <row r="7244" spans="2:34" x14ac:dyDescent="0.2">
      <c r="B7244" s="2">
        <f ca="1"/>
        <v>0.71477936970415068</v>
      </c>
      <c r="O7244" s="2">
        <f ca="1"/>
        <v>0.47267027170882714</v>
      </c>
      <c r="X7244" s="2">
        <f ca="1"/>
        <v>37.440988939574986</v>
      </c>
      <c r="AG7244" s="2">
        <f ca="1"/>
        <v>0.32794379952743502</v>
      </c>
      <c r="AH7244" s="2" t="str">
        <f ca="1"/>
        <v>OK</v>
      </c>
    </row>
    <row r="7245" spans="2:34" x14ac:dyDescent="0.2">
      <c r="B7245" s="2">
        <f ca="1"/>
        <v>2.5959851872967565E-3</v>
      </c>
      <c r="O7245" s="2">
        <f ca="1"/>
        <v>1.3845181978620618</v>
      </c>
      <c r="X7245" s="2">
        <f ca="1"/>
        <v>46.12122508338777</v>
      </c>
      <c r="AG7245" s="2">
        <f ca="1"/>
        <v>0.84506612453753993</v>
      </c>
      <c r="AH7245" s="2" t="str">
        <f ca="1"/>
        <v>Bad</v>
      </c>
    </row>
    <row r="7246" spans="2:34" x14ac:dyDescent="0.2">
      <c r="B7246" s="2">
        <f ca="1"/>
        <v>0.86772016882761571</v>
      </c>
      <c r="O7246" s="2">
        <f ca="1"/>
        <v>-1.5241861638546759</v>
      </c>
      <c r="X7246" s="2">
        <f ca="1"/>
        <v>62.732541761428671</v>
      </c>
      <c r="AG7246" s="2">
        <f ca="1"/>
        <v>7.9091622265026196E-2</v>
      </c>
      <c r="AH7246" s="2" t="str">
        <f ca="1"/>
        <v>OK</v>
      </c>
    </row>
    <row r="7247" spans="2:34" x14ac:dyDescent="0.2">
      <c r="B7247" s="2">
        <f ca="1"/>
        <v>0.47283713987901632</v>
      </c>
      <c r="O7247" s="2">
        <f ca="1"/>
        <v>-0.43654446709595696</v>
      </c>
      <c r="X7247" s="2">
        <f ca="1"/>
        <v>87.882901011754058</v>
      </c>
      <c r="AG7247" s="2">
        <f ca="1"/>
        <v>0.35059968260184204</v>
      </c>
      <c r="AH7247" s="2" t="str">
        <f ca="1"/>
        <v>OK</v>
      </c>
    </row>
    <row r="7248" spans="2:34" x14ac:dyDescent="0.2">
      <c r="B7248" s="2">
        <f ca="1"/>
        <v>0.55355810482763368</v>
      </c>
      <c r="O7248" s="2">
        <f ca="1"/>
        <v>-0.44238345880588237</v>
      </c>
      <c r="X7248" s="2">
        <f ca="1"/>
        <v>74.147958972942206</v>
      </c>
      <c r="AG7248" s="2">
        <f ca="1"/>
        <v>9.4609353673801522E-2</v>
      </c>
      <c r="AH7248" s="2" t="str">
        <f ca="1"/>
        <v>OK</v>
      </c>
    </row>
    <row r="7249" spans="2:34" x14ac:dyDescent="0.2">
      <c r="B7249" s="2">
        <f ca="1"/>
        <v>0.42433863781473291</v>
      </c>
      <c r="O7249" s="2">
        <f ca="1"/>
        <v>0.41862128616069905</v>
      </c>
      <c r="X7249" s="2">
        <f ca="1"/>
        <v>55.170273164988892</v>
      </c>
      <c r="AG7249" s="2">
        <f ca="1"/>
        <v>0.58799636767815389</v>
      </c>
      <c r="AH7249" s="2" t="str">
        <f ca="1"/>
        <v>Bad</v>
      </c>
    </row>
    <row r="7250" spans="2:34" x14ac:dyDescent="0.2">
      <c r="B7250" s="2">
        <f ca="1"/>
        <v>0.4886495359540548</v>
      </c>
      <c r="O7250" s="2">
        <f ca="1"/>
        <v>-0.69769449554400709</v>
      </c>
      <c r="X7250" s="2">
        <f ca="1"/>
        <v>44.092005698698074</v>
      </c>
      <c r="AG7250" s="2">
        <f ca="1"/>
        <v>0.94656406215915556</v>
      </c>
      <c r="AH7250" s="2" t="str">
        <f ca="1"/>
        <v>Bad</v>
      </c>
    </row>
    <row r="7251" spans="2:34" x14ac:dyDescent="0.2">
      <c r="B7251" s="2">
        <f ca="1"/>
        <v>0.27366136426368248</v>
      </c>
      <c r="O7251" s="2">
        <f ca="1"/>
        <v>-0.85197070991991786</v>
      </c>
      <c r="X7251" s="2">
        <f ca="1"/>
        <v>40.458363110355592</v>
      </c>
      <c r="AG7251" s="2">
        <f ca="1"/>
        <v>0.98592160975601661</v>
      </c>
      <c r="AH7251" s="2" t="str">
        <f ca="1"/>
        <v>Bad</v>
      </c>
    </row>
    <row r="7252" spans="2:34" x14ac:dyDescent="0.2">
      <c r="B7252" s="2">
        <f ca="1"/>
        <v>0.66709711036493369</v>
      </c>
      <c r="O7252" s="2">
        <f ca="1"/>
        <v>0.83257446804092083</v>
      </c>
      <c r="X7252" s="2">
        <f ca="1"/>
        <v>61.937192974175979</v>
      </c>
      <c r="AG7252" s="2">
        <f ca="1"/>
        <v>0.57813255135739161</v>
      </c>
      <c r="AH7252" s="2" t="str">
        <f ca="1"/>
        <v>Bad</v>
      </c>
    </row>
    <row r="7253" spans="2:34" x14ac:dyDescent="0.2">
      <c r="B7253" s="2">
        <f ca="1"/>
        <v>0.53733907259121816</v>
      </c>
      <c r="O7253" s="2">
        <f ca="1"/>
        <v>1.8561425263427991</v>
      </c>
      <c r="X7253" s="2">
        <f ca="1"/>
        <v>55.412679366550435</v>
      </c>
      <c r="AG7253" s="2">
        <f ca="1"/>
        <v>0.73345464147618622</v>
      </c>
      <c r="AH7253" s="2" t="str">
        <f ca="1"/>
        <v>Bad</v>
      </c>
    </row>
    <row r="7254" spans="2:34" x14ac:dyDescent="0.2">
      <c r="B7254" s="2">
        <f ca="1"/>
        <v>9.4645673878424041E-3</v>
      </c>
      <c r="O7254" s="2">
        <f ca="1"/>
        <v>-0.7476045944542502</v>
      </c>
      <c r="X7254" s="2">
        <f ca="1"/>
        <v>61.164796724772842</v>
      </c>
      <c r="AG7254" s="2">
        <f ca="1"/>
        <v>0.26909301391745499</v>
      </c>
      <c r="AH7254" s="2" t="str">
        <f ca="1"/>
        <v>OK</v>
      </c>
    </row>
    <row r="7255" spans="2:34" x14ac:dyDescent="0.2">
      <c r="B7255" s="2">
        <f ca="1"/>
        <v>0.66195212030806316</v>
      </c>
      <c r="O7255" s="2">
        <f ca="1"/>
        <v>-1.1547780043596496</v>
      </c>
      <c r="X7255" s="2">
        <f ca="1"/>
        <v>42.053706819371186</v>
      </c>
      <c r="AG7255" s="2">
        <f ca="1"/>
        <v>0.31845837124058107</v>
      </c>
      <c r="AH7255" s="2" t="str">
        <f ca="1"/>
        <v>OK</v>
      </c>
    </row>
    <row r="7256" spans="2:34" x14ac:dyDescent="0.2">
      <c r="B7256" s="2">
        <f ca="1"/>
        <v>9.5757275354443561E-2</v>
      </c>
      <c r="O7256" s="2">
        <f ca="1"/>
        <v>-3.9451632222457532E-2</v>
      </c>
      <c r="X7256" s="2">
        <f ca="1"/>
        <v>43.644205298785188</v>
      </c>
      <c r="AG7256" s="2">
        <f ca="1"/>
        <v>0.90786917975468451</v>
      </c>
      <c r="AH7256" s="2" t="str">
        <f ca="1"/>
        <v>Bad</v>
      </c>
    </row>
    <row r="7257" spans="2:34" x14ac:dyDescent="0.2">
      <c r="B7257" s="2">
        <f ca="1"/>
        <v>0.18577209815173368</v>
      </c>
      <c r="O7257" s="2">
        <f ca="1"/>
        <v>-1.6033729715107381</v>
      </c>
      <c r="X7257" s="2">
        <f ca="1"/>
        <v>57.370805646204644</v>
      </c>
      <c r="AG7257" s="2">
        <f ca="1"/>
        <v>2.4840879976682828E-2</v>
      </c>
      <c r="AH7257" s="2" t="str">
        <f ca="1"/>
        <v>Good</v>
      </c>
    </row>
    <row r="7258" spans="2:34" x14ac:dyDescent="0.2">
      <c r="B7258" s="2">
        <f ca="1"/>
        <v>0.36338023024855826</v>
      </c>
      <c r="O7258" s="2">
        <f ca="1"/>
        <v>-0.90330196581384992</v>
      </c>
      <c r="X7258" s="2">
        <f ca="1"/>
        <v>48.633905505988686</v>
      </c>
      <c r="AG7258" s="2">
        <f ca="1"/>
        <v>7.9187585601326882E-2</v>
      </c>
      <c r="AH7258" s="2" t="str">
        <f ca="1"/>
        <v>OK</v>
      </c>
    </row>
    <row r="7259" spans="2:34" x14ac:dyDescent="0.2">
      <c r="B7259" s="2">
        <f ca="1"/>
        <v>0.75616052130909828</v>
      </c>
      <c r="O7259" s="2">
        <f ca="1"/>
        <v>0.71972899827232484</v>
      </c>
      <c r="X7259" s="2">
        <f ca="1"/>
        <v>54.238413205189893</v>
      </c>
      <c r="AG7259" s="2">
        <f ca="1"/>
        <v>9.2844457190465413E-2</v>
      </c>
      <c r="AH7259" s="2" t="str">
        <f ca="1"/>
        <v>OK</v>
      </c>
    </row>
    <row r="7260" spans="2:34" x14ac:dyDescent="0.2">
      <c r="B7260" s="2">
        <f ca="1"/>
        <v>0.52235574399098228</v>
      </c>
      <c r="O7260" s="2">
        <f ca="1"/>
        <v>0.75789670401394882</v>
      </c>
      <c r="X7260" s="2">
        <f ca="1"/>
        <v>55.738935772542284</v>
      </c>
      <c r="AG7260" s="2">
        <f ca="1"/>
        <v>0.61947909163895165</v>
      </c>
      <c r="AH7260" s="2" t="str">
        <f ca="1"/>
        <v>Bad</v>
      </c>
    </row>
    <row r="7261" spans="2:34" x14ac:dyDescent="0.2">
      <c r="B7261" s="2">
        <f ca="1"/>
        <v>3.4928584215967451E-2</v>
      </c>
      <c r="O7261" s="2">
        <f ca="1"/>
        <v>0.45332514739673324</v>
      </c>
      <c r="X7261" s="2">
        <f ca="1"/>
        <v>17.150285127832799</v>
      </c>
      <c r="AG7261" s="2">
        <f ca="1"/>
        <v>0.65350452061500808</v>
      </c>
      <c r="AH7261" s="2" t="str">
        <f ca="1"/>
        <v>Bad</v>
      </c>
    </row>
    <row r="7262" spans="2:34" x14ac:dyDescent="0.2">
      <c r="B7262" s="2">
        <f ca="1"/>
        <v>0.45565664933661165</v>
      </c>
      <c r="O7262" s="2">
        <f ca="1"/>
        <v>-0.88070499959409554</v>
      </c>
      <c r="X7262" s="2">
        <f ca="1"/>
        <v>41.898192307823656</v>
      </c>
      <c r="AG7262" s="2">
        <f ca="1"/>
        <v>0.67562501993237345</v>
      </c>
      <c r="AH7262" s="2" t="str">
        <f ca="1"/>
        <v>Bad</v>
      </c>
    </row>
    <row r="7263" spans="2:34" x14ac:dyDescent="0.2">
      <c r="B7263" s="2">
        <f ca="1"/>
        <v>0.17498754846061493</v>
      </c>
      <c r="O7263" s="2">
        <f ca="1"/>
        <v>-0.11377342972495817</v>
      </c>
      <c r="X7263" s="2">
        <f ca="1"/>
        <v>60.137677909234839</v>
      </c>
      <c r="AG7263" s="2">
        <f ca="1"/>
        <v>0.28408295316491339</v>
      </c>
      <c r="AH7263" s="2" t="str">
        <f ca="1"/>
        <v>OK</v>
      </c>
    </row>
    <row r="7264" spans="2:34" x14ac:dyDescent="0.2">
      <c r="B7264" s="2">
        <f ca="1"/>
        <v>0.99826432668277088</v>
      </c>
      <c r="O7264" s="2">
        <f ca="1"/>
        <v>-0.35994695681176486</v>
      </c>
      <c r="X7264" s="2">
        <f ca="1"/>
        <v>65.05848155308243</v>
      </c>
      <c r="AG7264" s="2">
        <f ca="1"/>
        <v>0.52129155395838578</v>
      </c>
      <c r="AH7264" s="2" t="str">
        <f ca="1"/>
        <v>Bad</v>
      </c>
    </row>
    <row r="7265" spans="2:34" x14ac:dyDescent="0.2">
      <c r="B7265" s="2">
        <f ca="1"/>
        <v>8.272588035552042E-2</v>
      </c>
      <c r="O7265" s="2">
        <f ca="1"/>
        <v>-0.65282953121205556</v>
      </c>
      <c r="X7265" s="2">
        <f ca="1"/>
        <v>95.296978041859603</v>
      </c>
      <c r="AG7265" s="2">
        <f ca="1"/>
        <v>0.50698430344171475</v>
      </c>
      <c r="AH7265" s="2" t="str">
        <f ca="1"/>
        <v>Bad</v>
      </c>
    </row>
    <row r="7266" spans="2:34" x14ac:dyDescent="0.2">
      <c r="B7266" s="2">
        <f ca="1"/>
        <v>0.59948492200240167</v>
      </c>
      <c r="O7266" s="2">
        <f ca="1"/>
        <v>0.44156030004308222</v>
      </c>
      <c r="X7266" s="2">
        <f ca="1"/>
        <v>30.467950339270931</v>
      </c>
      <c r="AG7266" s="2">
        <f ca="1"/>
        <v>0.3370912597182365</v>
      </c>
      <c r="AH7266" s="2" t="str">
        <f ca="1"/>
        <v>OK</v>
      </c>
    </row>
    <row r="7267" spans="2:34" x14ac:dyDescent="0.2">
      <c r="B7267" s="2">
        <f ca="1"/>
        <v>7.8867097952262322E-2</v>
      </c>
      <c r="O7267" s="2">
        <f ca="1"/>
        <v>1.0307280747632701</v>
      </c>
      <c r="X7267" s="2">
        <f ca="1"/>
        <v>35.802189419432139</v>
      </c>
      <c r="AG7267" s="2">
        <f ca="1"/>
        <v>0.7931381424430628</v>
      </c>
      <c r="AH7267" s="2" t="str">
        <f ca="1"/>
        <v>Bad</v>
      </c>
    </row>
    <row r="7268" spans="2:34" x14ac:dyDescent="0.2">
      <c r="B7268" s="2">
        <f ca="1"/>
        <v>0.19192351197992941</v>
      </c>
      <c r="O7268" s="2">
        <f ca="1"/>
        <v>1.9908205547228586</v>
      </c>
      <c r="X7268" s="2">
        <f ca="1"/>
        <v>51.296799244423703</v>
      </c>
      <c r="AG7268" s="2">
        <f ca="1"/>
        <v>3.9628416903130237E-2</v>
      </c>
      <c r="AH7268" s="2" t="str">
        <f ca="1"/>
        <v>Good</v>
      </c>
    </row>
    <row r="7269" spans="2:34" x14ac:dyDescent="0.2">
      <c r="B7269" s="2">
        <f ca="1"/>
        <v>0.45944570816452313</v>
      </c>
      <c r="O7269" s="2">
        <f ca="1"/>
        <v>-3.508409235585843E-2</v>
      </c>
      <c r="X7269" s="2">
        <f ca="1"/>
        <v>93.713501065674762</v>
      </c>
      <c r="AG7269" s="2">
        <f ca="1"/>
        <v>0.91242865871169609</v>
      </c>
      <c r="AH7269" s="2" t="str">
        <f ca="1"/>
        <v>Bad</v>
      </c>
    </row>
    <row r="7270" spans="2:34" x14ac:dyDescent="0.2">
      <c r="B7270" s="2">
        <f ca="1"/>
        <v>0.45670272079715613</v>
      </c>
      <c r="O7270" s="2">
        <f ca="1"/>
        <v>-0.13144089720233207</v>
      </c>
      <c r="X7270" s="2">
        <f ca="1"/>
        <v>34.613879812028742</v>
      </c>
      <c r="AG7270" s="2">
        <f ca="1"/>
        <v>0.61085929440792697</v>
      </c>
      <c r="AH7270" s="2" t="str">
        <f ca="1"/>
        <v>Bad</v>
      </c>
    </row>
    <row r="7271" spans="2:34" x14ac:dyDescent="0.2">
      <c r="B7271" s="2">
        <f ca="1"/>
        <v>0.80716644142025129</v>
      </c>
      <c r="O7271" s="2">
        <f ca="1"/>
        <v>0.2951823538754631</v>
      </c>
      <c r="X7271" s="2">
        <f ca="1"/>
        <v>73.925466963612934</v>
      </c>
      <c r="AG7271" s="2">
        <f ca="1"/>
        <v>0.1036474884090326</v>
      </c>
      <c r="AH7271" s="2" t="str">
        <f ca="1"/>
        <v>OK</v>
      </c>
    </row>
    <row r="7272" spans="2:34" x14ac:dyDescent="0.2">
      <c r="B7272" s="2">
        <f ca="1"/>
        <v>0.66607106610462385</v>
      </c>
      <c r="O7272" s="2">
        <f ca="1"/>
        <v>-1.6997810992540439</v>
      </c>
      <c r="X7272" s="2">
        <f ca="1"/>
        <v>40.484841517423575</v>
      </c>
      <c r="AG7272" s="2">
        <f ca="1"/>
        <v>0.45389185785527464</v>
      </c>
      <c r="AH7272" s="2" t="str">
        <f ca="1"/>
        <v>Bad</v>
      </c>
    </row>
    <row r="7273" spans="2:34" x14ac:dyDescent="0.2">
      <c r="B7273" s="2">
        <f ca="1"/>
        <v>0.27909168872153312</v>
      </c>
      <c r="O7273" s="2">
        <f ca="1"/>
        <v>0.83807453721008607</v>
      </c>
      <c r="X7273" s="2">
        <f ca="1"/>
        <v>34.353103460009898</v>
      </c>
      <c r="AG7273" s="2">
        <f ca="1"/>
        <v>6.8575409748251381E-2</v>
      </c>
      <c r="AH7273" s="2" t="str">
        <f ca="1"/>
        <v>OK</v>
      </c>
    </row>
    <row r="7274" spans="2:34" x14ac:dyDescent="0.2">
      <c r="B7274" s="2">
        <f ca="1"/>
        <v>0.29930483671780883</v>
      </c>
      <c r="O7274" s="2">
        <f ca="1"/>
        <v>-1.6726193521175394</v>
      </c>
      <c r="X7274" s="2">
        <f ca="1"/>
        <v>24.682522222438699</v>
      </c>
      <c r="AG7274" s="2">
        <f ca="1"/>
        <v>0.31937793676313575</v>
      </c>
      <c r="AH7274" s="2" t="str">
        <f ca="1"/>
        <v>OK</v>
      </c>
    </row>
    <row r="7275" spans="2:34" x14ac:dyDescent="0.2">
      <c r="B7275" s="2">
        <f ca="1"/>
        <v>0.43806632159699177</v>
      </c>
      <c r="O7275" s="2">
        <f ca="1"/>
        <v>0.89730040697699953</v>
      </c>
      <c r="X7275" s="2">
        <f ca="1"/>
        <v>39.510427906182969</v>
      </c>
      <c r="AG7275" s="2">
        <f ca="1"/>
        <v>0.48785107632371316</v>
      </c>
      <c r="AH7275" s="2" t="str">
        <f ca="1"/>
        <v>Bad</v>
      </c>
    </row>
    <row r="7276" spans="2:34" x14ac:dyDescent="0.2">
      <c r="B7276" s="2">
        <f ca="1"/>
        <v>0.69577760308507708</v>
      </c>
      <c r="O7276" s="2">
        <f ca="1"/>
        <v>-0.33878920515449057</v>
      </c>
      <c r="X7276" s="2">
        <f ca="1"/>
        <v>57.140256543900392</v>
      </c>
      <c r="AG7276" s="2">
        <f ca="1"/>
        <v>0.49332116206726018</v>
      </c>
      <c r="AH7276" s="2" t="str">
        <f ca="1"/>
        <v>Bad</v>
      </c>
    </row>
    <row r="7277" spans="2:34" x14ac:dyDescent="0.2">
      <c r="B7277" s="2">
        <f ca="1"/>
        <v>0.46965425015821238</v>
      </c>
      <c r="O7277" s="2">
        <f ca="1"/>
        <v>-1.0576799642010033</v>
      </c>
      <c r="X7277" s="2">
        <f ca="1"/>
        <v>19.83372027499578</v>
      </c>
      <c r="AG7277" s="2">
        <f ca="1"/>
        <v>0.9532227252130121</v>
      </c>
      <c r="AH7277" s="2" t="str">
        <f ca="1"/>
        <v>Bad</v>
      </c>
    </row>
    <row r="7278" spans="2:34" x14ac:dyDescent="0.2">
      <c r="B7278" s="2">
        <f ca="1"/>
        <v>0.80615111739114798</v>
      </c>
      <c r="O7278" s="2">
        <f ca="1"/>
        <v>-2.0142851307194589</v>
      </c>
      <c r="X7278" s="2">
        <f ca="1"/>
        <v>37.803629881825479</v>
      </c>
      <c r="AG7278" s="2">
        <f ca="1"/>
        <v>0.18224352198535354</v>
      </c>
      <c r="AH7278" s="2" t="str">
        <f ca="1"/>
        <v>OK</v>
      </c>
    </row>
    <row r="7279" spans="2:34" x14ac:dyDescent="0.2">
      <c r="B7279" s="2">
        <f ca="1"/>
        <v>0.430640336156356</v>
      </c>
      <c r="O7279" s="2">
        <f ca="1"/>
        <v>1.6313055379018031</v>
      </c>
      <c r="X7279" s="2">
        <f ca="1"/>
        <v>81.701528542032079</v>
      </c>
      <c r="AG7279" s="2">
        <f ca="1"/>
        <v>0.5875946535013199</v>
      </c>
      <c r="AH7279" s="2" t="str">
        <f ca="1"/>
        <v>Bad</v>
      </c>
    </row>
    <row r="7280" spans="2:34" x14ac:dyDescent="0.2">
      <c r="B7280" s="2">
        <f ca="1"/>
        <v>0.52559918710076081</v>
      </c>
      <c r="O7280" s="2">
        <f ca="1"/>
        <v>0.30639955092600357</v>
      </c>
      <c r="X7280" s="2">
        <f ca="1"/>
        <v>23.607263922039323</v>
      </c>
      <c r="AG7280" s="2">
        <f ca="1"/>
        <v>0.34032152741357291</v>
      </c>
      <c r="AH7280" s="2" t="str">
        <f ca="1"/>
        <v>OK</v>
      </c>
    </row>
    <row r="7281" spans="2:34" x14ac:dyDescent="0.2">
      <c r="B7281" s="2">
        <f ca="1"/>
        <v>0.50788431653890886</v>
      </c>
      <c r="O7281" s="2">
        <f ca="1"/>
        <v>1.7819436839997722</v>
      </c>
      <c r="X7281" s="2">
        <f ca="1"/>
        <v>56.993525095420267</v>
      </c>
      <c r="AG7281" s="2">
        <f ca="1"/>
        <v>0.85741190254244359</v>
      </c>
      <c r="AH7281" s="2" t="str">
        <f ca="1"/>
        <v>Bad</v>
      </c>
    </row>
    <row r="7282" spans="2:34" x14ac:dyDescent="0.2">
      <c r="B7282" s="2">
        <f ca="1"/>
        <v>0.67981518188577095</v>
      </c>
      <c r="O7282" s="2">
        <f ca="1"/>
        <v>-0.52600503564574086</v>
      </c>
      <c r="X7282" s="2">
        <f ca="1"/>
        <v>94.371472488914378</v>
      </c>
      <c r="AG7282" s="2">
        <f ca="1"/>
        <v>6.8625938473554582E-2</v>
      </c>
      <c r="AH7282" s="2" t="str">
        <f ca="1"/>
        <v>OK</v>
      </c>
    </row>
    <row r="7283" spans="2:34" x14ac:dyDescent="0.2">
      <c r="B7283" s="2">
        <f ca="1"/>
        <v>0.96470412209618961</v>
      </c>
      <c r="O7283" s="2">
        <f ca="1"/>
        <v>0.74817629917256678</v>
      </c>
      <c r="X7283" s="2">
        <f ca="1"/>
        <v>35.810700996152733</v>
      </c>
      <c r="AG7283" s="2">
        <f ca="1"/>
        <v>0.66678242523750231</v>
      </c>
      <c r="AH7283" s="2" t="str">
        <f ca="1"/>
        <v>Bad</v>
      </c>
    </row>
    <row r="7284" spans="2:34" x14ac:dyDescent="0.2">
      <c r="B7284" s="2">
        <f ca="1"/>
        <v>0.51522906869377505</v>
      </c>
      <c r="O7284" s="2">
        <f ca="1"/>
        <v>0.52385115230442858</v>
      </c>
      <c r="X7284" s="2">
        <f ca="1"/>
        <v>37.85063392795206</v>
      </c>
      <c r="AG7284" s="2">
        <f ca="1"/>
        <v>8.0272130436731537E-4</v>
      </c>
      <c r="AH7284" s="2" t="str">
        <f ca="1"/>
        <v>Good</v>
      </c>
    </row>
    <row r="7285" spans="2:34" x14ac:dyDescent="0.2">
      <c r="B7285" s="2">
        <f ca="1"/>
        <v>0.64865380322639687</v>
      </c>
      <c r="O7285" s="2">
        <f ca="1"/>
        <v>-0.93505726606895179</v>
      </c>
      <c r="X7285" s="2">
        <f ca="1"/>
        <v>43.25870819197354</v>
      </c>
      <c r="AG7285" s="2">
        <f ca="1"/>
        <v>0.59905065546499903</v>
      </c>
      <c r="AH7285" s="2" t="str">
        <f ca="1"/>
        <v>Bad</v>
      </c>
    </row>
    <row r="7286" spans="2:34" x14ac:dyDescent="0.2">
      <c r="B7286" s="2">
        <f ca="1"/>
        <v>5.4686533692550832E-2</v>
      </c>
      <c r="O7286" s="2">
        <f ca="1"/>
        <v>-0.56150334576654248</v>
      </c>
      <c r="X7286" s="2">
        <f ca="1"/>
        <v>44.11335944110823</v>
      </c>
      <c r="AG7286" s="2">
        <f ca="1"/>
        <v>0.58292072216692814</v>
      </c>
      <c r="AH7286" s="2" t="str">
        <f ca="1"/>
        <v>Bad</v>
      </c>
    </row>
    <row r="7287" spans="2:34" x14ac:dyDescent="0.2">
      <c r="B7287" s="2">
        <f ca="1"/>
        <v>0.12804532853244255</v>
      </c>
      <c r="O7287" s="2">
        <f ca="1"/>
        <v>0.92902761933912137</v>
      </c>
      <c r="X7287" s="2">
        <f ca="1"/>
        <v>53.459611391505049</v>
      </c>
      <c r="AG7287" s="2">
        <f ca="1"/>
        <v>0.32711772809515605</v>
      </c>
      <c r="AH7287" s="2" t="str">
        <f ca="1"/>
        <v>OK</v>
      </c>
    </row>
    <row r="7288" spans="2:34" x14ac:dyDescent="0.2">
      <c r="B7288" s="2">
        <f ca="1"/>
        <v>0.48433455259866398</v>
      </c>
      <c r="O7288" s="2">
        <f ca="1"/>
        <v>-0.74245631755565777</v>
      </c>
      <c r="X7288" s="2">
        <f ca="1"/>
        <v>41.712509961876172</v>
      </c>
      <c r="AG7288" s="2">
        <f ca="1"/>
        <v>0.47842263463815149</v>
      </c>
      <c r="AH7288" s="2" t="str">
        <f ca="1"/>
        <v>Bad</v>
      </c>
    </row>
    <row r="7289" spans="2:34" x14ac:dyDescent="0.2">
      <c r="B7289" s="2">
        <f ca="1"/>
        <v>0.86611201117132119</v>
      </c>
      <c r="O7289" s="2">
        <f ca="1"/>
        <v>0.42954993808268227</v>
      </c>
      <c r="X7289" s="2">
        <f ca="1"/>
        <v>57.064321777166782</v>
      </c>
      <c r="AG7289" s="2">
        <f ca="1"/>
        <v>0.64742980128778793</v>
      </c>
      <c r="AH7289" s="2" t="str">
        <f ca="1"/>
        <v>Bad</v>
      </c>
    </row>
    <row r="7290" spans="2:34" x14ac:dyDescent="0.2">
      <c r="B7290" s="2">
        <f ca="1"/>
        <v>0.92481454287525744</v>
      </c>
      <c r="O7290" s="2">
        <f ca="1"/>
        <v>-0.92099503590255494</v>
      </c>
      <c r="X7290" s="2">
        <f ca="1"/>
        <v>41.709176088569194</v>
      </c>
      <c r="AG7290" s="2">
        <f ca="1"/>
        <v>0.40969551642819324</v>
      </c>
      <c r="AH7290" s="2" t="str">
        <f ca="1"/>
        <v>Bad</v>
      </c>
    </row>
    <row r="7291" spans="2:34" x14ac:dyDescent="0.2">
      <c r="B7291" s="2">
        <f ca="1"/>
        <v>0.35213272069259438</v>
      </c>
      <c r="O7291" s="2">
        <f ca="1"/>
        <v>-1.3076109456850522</v>
      </c>
      <c r="X7291" s="2">
        <f ca="1"/>
        <v>48.904297338503177</v>
      </c>
      <c r="AG7291" s="2">
        <f ca="1"/>
        <v>4.4496011473325492E-2</v>
      </c>
      <c r="AH7291" s="2" t="str">
        <f ca="1"/>
        <v>Good</v>
      </c>
    </row>
    <row r="7292" spans="2:34" x14ac:dyDescent="0.2">
      <c r="B7292" s="2">
        <f ca="1"/>
        <v>0.19787091138627577</v>
      </c>
      <c r="O7292" s="2">
        <f ca="1"/>
        <v>0.50979370498502175</v>
      </c>
      <c r="X7292" s="2">
        <f ca="1"/>
        <v>34.490289583619223</v>
      </c>
      <c r="AG7292" s="2">
        <f ca="1"/>
        <v>0.99941839213695549</v>
      </c>
      <c r="AH7292" s="2" t="str">
        <f ca="1"/>
        <v>Bad</v>
      </c>
    </row>
    <row r="7293" spans="2:34" x14ac:dyDescent="0.2">
      <c r="B7293" s="2">
        <f ca="1"/>
        <v>0.54077078811412771</v>
      </c>
      <c r="O7293" s="2">
        <f ca="1"/>
        <v>0.50838898755508188</v>
      </c>
      <c r="X7293" s="2">
        <f ca="1"/>
        <v>42.269989400474103</v>
      </c>
      <c r="AG7293" s="2">
        <f ca="1"/>
        <v>0.40132192905064468</v>
      </c>
      <c r="AH7293" s="2" t="str">
        <f ca="1"/>
        <v>Bad</v>
      </c>
    </row>
    <row r="7294" spans="2:34" x14ac:dyDescent="0.2">
      <c r="B7294" s="2">
        <f ca="1"/>
        <v>0.12748590591226661</v>
      </c>
      <c r="O7294" s="2">
        <f ca="1"/>
        <v>0.36246316340192369</v>
      </c>
      <c r="X7294" s="2">
        <f ca="1"/>
        <v>49.277243145912273</v>
      </c>
      <c r="AG7294" s="2">
        <f ca="1"/>
        <v>0.81418358247797618</v>
      </c>
      <c r="AH7294" s="2" t="str">
        <f ca="1"/>
        <v>Bad</v>
      </c>
    </row>
    <row r="7295" spans="2:34" x14ac:dyDescent="0.2">
      <c r="B7295" s="2">
        <f ca="1"/>
        <v>0.22061286793656687</v>
      </c>
      <c r="O7295" s="2">
        <f ca="1"/>
        <v>2.1649161404511688</v>
      </c>
      <c r="X7295" s="2">
        <f ca="1"/>
        <v>43.476343217309996</v>
      </c>
      <c r="AG7295" s="2">
        <f ca="1"/>
        <v>0.16160159056356105</v>
      </c>
      <c r="AH7295" s="2" t="str">
        <f ca="1"/>
        <v>OK</v>
      </c>
    </row>
    <row r="7296" spans="2:34" x14ac:dyDescent="0.2">
      <c r="B7296" s="2">
        <f ca="1"/>
        <v>0.69657365924330716</v>
      </c>
      <c r="O7296" s="2">
        <f ca="1"/>
        <v>-1.9219191468797654</v>
      </c>
      <c r="X7296" s="2">
        <f ca="1"/>
        <v>65.499383435101322</v>
      </c>
      <c r="AG7296" s="2">
        <f ca="1"/>
        <v>0.28780988096155902</v>
      </c>
      <c r="AH7296" s="2" t="str">
        <f ca="1"/>
        <v>OK</v>
      </c>
    </row>
    <row r="7297" spans="2:34" x14ac:dyDescent="0.2">
      <c r="B7297" s="2">
        <f ca="1"/>
        <v>0.11311000032910412</v>
      </c>
      <c r="O7297" s="2">
        <f ca="1"/>
        <v>1.0728357080738025</v>
      </c>
      <c r="X7297" s="2">
        <f ca="1"/>
        <v>34.750599149324742</v>
      </c>
      <c r="AG7297" s="2">
        <f ca="1"/>
        <v>0.41792234328190481</v>
      </c>
      <c r="AH7297" s="2" t="str">
        <f ca="1"/>
        <v>Bad</v>
      </c>
    </row>
    <row r="7298" spans="2:34" x14ac:dyDescent="0.2">
      <c r="B7298" s="2">
        <f ca="1"/>
        <v>0.24769447018226609</v>
      </c>
      <c r="O7298" s="2">
        <f ca="1"/>
        <v>-8.8426197905826925E-2</v>
      </c>
      <c r="X7298" s="2">
        <f ca="1"/>
        <v>53.853171959690513</v>
      </c>
      <c r="AG7298" s="2">
        <f ca="1"/>
        <v>5.3698926235428601E-2</v>
      </c>
      <c r="AH7298" s="2" t="str">
        <f ca="1"/>
        <v>OK</v>
      </c>
    </row>
    <row r="7299" spans="2:34" x14ac:dyDescent="0.2">
      <c r="B7299" s="2">
        <f ca="1"/>
        <v>0.90607336227463531</v>
      </c>
      <c r="O7299" s="2">
        <f ca="1"/>
        <v>-0.83735180747003635</v>
      </c>
      <c r="X7299" s="2">
        <f ca="1"/>
        <v>57.870715156317985</v>
      </c>
      <c r="AG7299" s="2">
        <f ca="1"/>
        <v>0.32236225044096622</v>
      </c>
      <c r="AH7299" s="2" t="str">
        <f ca="1"/>
        <v>OK</v>
      </c>
    </row>
    <row r="7300" spans="2:34" x14ac:dyDescent="0.2">
      <c r="B7300" s="2">
        <f ca="1"/>
        <v>0.52366275692456576</v>
      </c>
      <c r="O7300" s="2">
        <f ca="1"/>
        <v>0.50526693627900343</v>
      </c>
      <c r="X7300" s="2">
        <f ca="1"/>
        <v>25.757491970274366</v>
      </c>
      <c r="AG7300" s="2">
        <f ca="1"/>
        <v>0.79442326336615077</v>
      </c>
      <c r="AH7300" s="2" t="str">
        <f ca="1"/>
        <v>Bad</v>
      </c>
    </row>
    <row r="7301" spans="2:34" x14ac:dyDescent="0.2">
      <c r="B7301" s="2">
        <f ca="1"/>
        <v>0.89082228687957787</v>
      </c>
      <c r="O7301" s="2">
        <f ca="1"/>
        <v>-1.8940716265119746</v>
      </c>
      <c r="X7301" s="2">
        <f ca="1"/>
        <v>63.724949317863164</v>
      </c>
      <c r="AG7301" s="2">
        <f ca="1"/>
        <v>0.60947759336130924</v>
      </c>
      <c r="AH7301" s="2" t="str">
        <f ca="1"/>
        <v>Bad</v>
      </c>
    </row>
    <row r="7302" spans="2:34" x14ac:dyDescent="0.2">
      <c r="B7302" s="2">
        <f ca="1"/>
        <v>0.88773641023500649</v>
      </c>
      <c r="O7302" s="2">
        <f ca="1"/>
        <v>0.70814875092597496</v>
      </c>
      <c r="X7302" s="2">
        <f ca="1"/>
        <v>37.532239113135873</v>
      </c>
      <c r="AG7302" s="2">
        <f ca="1"/>
        <v>0.88772034200323557</v>
      </c>
      <c r="AH7302" s="2" t="str">
        <f ca="1"/>
        <v>Bad</v>
      </c>
    </row>
    <row r="7303" spans="2:34" x14ac:dyDescent="0.2">
      <c r="B7303" s="2">
        <f ca="1"/>
        <v>0.22548055891160934</v>
      </c>
      <c r="O7303" s="2">
        <f ca="1"/>
        <v>0.89813026141988206</v>
      </c>
      <c r="X7303" s="2">
        <f ca="1"/>
        <v>68.203645926464077</v>
      </c>
      <c r="AG7303" s="2">
        <f ca="1"/>
        <v>0.74417383322976005</v>
      </c>
      <c r="AH7303" s="2" t="str">
        <f ca="1"/>
        <v>Bad</v>
      </c>
    </row>
    <row r="7304" spans="2:34" x14ac:dyDescent="0.2">
      <c r="B7304" s="2">
        <f ca="1"/>
        <v>0.32220065505792705</v>
      </c>
      <c r="O7304" s="2">
        <f ca="1"/>
        <v>2.6190458430492346E-3</v>
      </c>
      <c r="X7304" s="2">
        <f ca="1"/>
        <v>49.082936215192881</v>
      </c>
      <c r="AG7304" s="2">
        <f ca="1"/>
        <v>0.34608446125942049</v>
      </c>
      <c r="AH7304" s="2" t="str">
        <f ca="1"/>
        <v>OK</v>
      </c>
    </row>
    <row r="7305" spans="2:34" x14ac:dyDescent="0.2">
      <c r="B7305" s="2">
        <f ca="1"/>
        <v>0.67811335442960696</v>
      </c>
      <c r="O7305" s="2">
        <f ca="1"/>
        <v>0.25865371397601877</v>
      </c>
      <c r="X7305" s="2">
        <f ca="1"/>
        <v>55.200419253440188</v>
      </c>
      <c r="AG7305" s="2">
        <f ca="1"/>
        <v>8.24275939103849E-2</v>
      </c>
      <c r="AH7305" s="2" t="str">
        <f ca="1"/>
        <v>OK</v>
      </c>
    </row>
    <row r="7306" spans="2:34" x14ac:dyDescent="0.2">
      <c r="B7306" s="2">
        <f ca="1"/>
        <v>0.72635159775299729</v>
      </c>
      <c r="O7306" s="2">
        <f ca="1"/>
        <v>0.84396976616836883</v>
      </c>
      <c r="X7306" s="2">
        <f ca="1"/>
        <v>71.945926149436076</v>
      </c>
      <c r="AG7306" s="2">
        <f ca="1"/>
        <v>0.7968644664691642</v>
      </c>
      <c r="AH7306" s="2" t="str">
        <f ca="1"/>
        <v>Bad</v>
      </c>
    </row>
    <row r="7307" spans="2:34" x14ac:dyDescent="0.2">
      <c r="B7307" s="2">
        <f ca="1"/>
        <v>0.58302866973663492</v>
      </c>
      <c r="O7307" s="2">
        <f ca="1"/>
        <v>0.81642702931052913</v>
      </c>
      <c r="X7307" s="2">
        <f ca="1"/>
        <v>34.918896190846823</v>
      </c>
      <c r="AG7307" s="2">
        <f ca="1"/>
        <v>0.35018871437963295</v>
      </c>
      <c r="AH7307" s="2" t="str">
        <f ca="1"/>
        <v>OK</v>
      </c>
    </row>
    <row r="7308" spans="2:34" x14ac:dyDescent="0.2">
      <c r="B7308" s="2">
        <f ca="1"/>
        <v>0.58751356444006686</v>
      </c>
      <c r="O7308" s="2">
        <f ca="1"/>
        <v>0.32602829167097036</v>
      </c>
      <c r="X7308" s="2">
        <f ca="1"/>
        <v>60.949328340690556</v>
      </c>
      <c r="AG7308" s="2">
        <f ca="1"/>
        <v>0.9122380432782049</v>
      </c>
      <c r="AH7308" s="2" t="str">
        <f ca="1"/>
        <v>Bad</v>
      </c>
    </row>
    <row r="7309" spans="2:34" x14ac:dyDescent="0.2">
      <c r="B7309" s="2">
        <f ca="1"/>
        <v>0.85432460377754915</v>
      </c>
      <c r="O7309" s="2">
        <f ca="1"/>
        <v>3.2529893645782266</v>
      </c>
      <c r="X7309" s="2">
        <f ca="1"/>
        <v>72.671872269884545</v>
      </c>
      <c r="AG7309" s="2">
        <f ca="1"/>
        <v>0.17747295498454907</v>
      </c>
      <c r="AH7309" s="2" t="str">
        <f ca="1"/>
        <v>OK</v>
      </c>
    </row>
    <row r="7310" spans="2:34" x14ac:dyDescent="0.2">
      <c r="B7310" s="2">
        <f ca="1"/>
        <v>0.28199787243464169</v>
      </c>
      <c r="O7310" s="2">
        <f ca="1"/>
        <v>-0.84159165793836854</v>
      </c>
      <c r="X7310" s="2">
        <f ca="1"/>
        <v>31.038778730354011</v>
      </c>
      <c r="AG7310" s="2">
        <f ca="1"/>
        <v>0.71685415748809223</v>
      </c>
      <c r="AH7310" s="2" t="str">
        <f ca="1"/>
        <v>Bad</v>
      </c>
    </row>
    <row r="7311" spans="2:34" x14ac:dyDescent="0.2">
      <c r="B7311" s="2">
        <f ca="1"/>
        <v>0.68615949385088126</v>
      </c>
      <c r="O7311" s="2">
        <f ca="1"/>
        <v>0.25987368403821909</v>
      </c>
      <c r="X7311" s="2">
        <f ca="1"/>
        <v>68.70453103340688</v>
      </c>
      <c r="AG7311" s="2">
        <f ca="1"/>
        <v>0.6408837375579044</v>
      </c>
      <c r="AH7311" s="2" t="str">
        <f ca="1"/>
        <v>Bad</v>
      </c>
    </row>
    <row r="7312" spans="2:34" x14ac:dyDescent="0.2">
      <c r="B7312" s="2">
        <f ca="1"/>
        <v>0.83194064702404802</v>
      </c>
      <c r="O7312" s="2">
        <f ca="1"/>
        <v>-6.8429748776290364E-2</v>
      </c>
      <c r="X7312" s="2">
        <f ca="1"/>
        <v>59.097355260713485</v>
      </c>
      <c r="AG7312" s="2">
        <f ca="1"/>
        <v>0.41290948158069196</v>
      </c>
      <c r="AH7312" s="2" t="str">
        <f ca="1"/>
        <v>Bad</v>
      </c>
    </row>
    <row r="7313" spans="2:34" x14ac:dyDescent="0.2">
      <c r="B7313" s="2">
        <f ca="1"/>
        <v>0.61251066524338849</v>
      </c>
      <c r="O7313" s="2">
        <f ca="1"/>
        <v>-2.6547123689146638E-2</v>
      </c>
      <c r="X7313" s="2">
        <f ca="1"/>
        <v>55.995125990352214</v>
      </c>
      <c r="AG7313" s="2">
        <f ca="1"/>
        <v>0.66744658256334755</v>
      </c>
      <c r="AH7313" s="2" t="str">
        <f ca="1"/>
        <v>Bad</v>
      </c>
    </row>
    <row r="7314" spans="2:34" x14ac:dyDescent="0.2">
      <c r="B7314" s="2">
        <f ca="1"/>
        <v>0.15629661707853693</v>
      </c>
      <c r="O7314" s="2">
        <f ca="1"/>
        <v>-1.1609229482674552</v>
      </c>
      <c r="X7314" s="2">
        <f ca="1"/>
        <v>50.633088586976157</v>
      </c>
      <c r="AG7314" s="2">
        <f ca="1"/>
        <v>0.42508924434744855</v>
      </c>
      <c r="AH7314" s="2" t="str">
        <f ca="1"/>
        <v>Bad</v>
      </c>
    </row>
    <row r="7315" spans="2:34" x14ac:dyDescent="0.2">
      <c r="B7315" s="2">
        <f ca="1"/>
        <v>1.1800784543037901E-2</v>
      </c>
      <c r="O7315" s="2">
        <f ca="1"/>
        <v>-0.91106045176347628</v>
      </c>
      <c r="X7315" s="2">
        <f ca="1"/>
        <v>52.617300604707779</v>
      </c>
      <c r="AG7315" s="2">
        <f ca="1"/>
        <v>0.84909923355982087</v>
      </c>
      <c r="AH7315" s="2" t="str">
        <f ca="1"/>
        <v>Bad</v>
      </c>
    </row>
    <row r="7316" spans="2:34" x14ac:dyDescent="0.2">
      <c r="B7316" s="2">
        <f ca="1"/>
        <v>0.60147624295992119</v>
      </c>
      <c r="O7316" s="2">
        <f ca="1"/>
        <v>0.59161804683634822</v>
      </c>
      <c r="X7316" s="2">
        <f ca="1"/>
        <v>31.205400102604802</v>
      </c>
      <c r="AG7316" s="2">
        <f ca="1"/>
        <v>0.77985923066075902</v>
      </c>
      <c r="AH7316" s="2" t="str">
        <f ca="1"/>
        <v>Bad</v>
      </c>
    </row>
    <row r="7317" spans="2:34" x14ac:dyDescent="0.2">
      <c r="B7317" s="2">
        <f ca="1"/>
        <v>0.97162670683205365</v>
      </c>
      <c r="O7317" s="2">
        <f ca="1"/>
        <v>-1.9816663498378655</v>
      </c>
      <c r="X7317" s="2">
        <f ca="1"/>
        <v>28.865773749753213</v>
      </c>
      <c r="AG7317" s="2">
        <f ca="1"/>
        <v>0.81305339651501485</v>
      </c>
      <c r="AH7317" s="2" t="str">
        <f ca="1"/>
        <v>Bad</v>
      </c>
    </row>
    <row r="7318" spans="2:34" x14ac:dyDescent="0.2">
      <c r="B7318" s="2">
        <f ca="1"/>
        <v>0.44360099109230333</v>
      </c>
      <c r="O7318" s="2">
        <f ca="1"/>
        <v>1.2205706572771808</v>
      </c>
      <c r="X7318" s="2">
        <f ca="1"/>
        <v>91.407923026258146</v>
      </c>
      <c r="AG7318" s="2">
        <f ca="1"/>
        <v>0.19369189572140022</v>
      </c>
      <c r="AH7318" s="2" t="str">
        <f ca="1"/>
        <v>OK</v>
      </c>
    </row>
    <row r="7319" spans="2:34" x14ac:dyDescent="0.2">
      <c r="B7319" s="2">
        <f ca="1"/>
        <v>0.25501590409424613</v>
      </c>
      <c r="O7319" s="2">
        <f ca="1"/>
        <v>6.9047919243330522E-2</v>
      </c>
      <c r="X7319" s="2">
        <f ca="1"/>
        <v>63.791155915881284</v>
      </c>
      <c r="AG7319" s="2">
        <f ca="1"/>
        <v>0.31115686750500138</v>
      </c>
      <c r="AH7319" s="2" t="str">
        <f ca="1"/>
        <v>OK</v>
      </c>
    </row>
    <row r="7320" spans="2:34" x14ac:dyDescent="0.2">
      <c r="B7320" s="2">
        <f ca="1"/>
        <v>0.95108702066301665</v>
      </c>
      <c r="O7320" s="2">
        <f ca="1"/>
        <v>0.22963974864189426</v>
      </c>
      <c r="X7320" s="2">
        <f ca="1"/>
        <v>24.606338957728141</v>
      </c>
      <c r="AG7320" s="2">
        <f ca="1"/>
        <v>0.49453946186388587</v>
      </c>
      <c r="AH7320" s="2" t="str">
        <f ca="1"/>
        <v>Bad</v>
      </c>
    </row>
    <row r="7321" spans="2:34" x14ac:dyDescent="0.2">
      <c r="B7321" s="2">
        <f ca="1"/>
        <v>0.3201239355080403</v>
      </c>
      <c r="O7321" s="2">
        <f ca="1"/>
        <v>0.58311445830500241</v>
      </c>
      <c r="X7321" s="2">
        <f ca="1"/>
        <v>22.013659755305412</v>
      </c>
      <c r="AG7321" s="2">
        <f ca="1"/>
        <v>8.6075881360337725E-2</v>
      </c>
      <c r="AH7321" s="2" t="str">
        <f ca="1"/>
        <v>OK</v>
      </c>
    </row>
    <row r="7322" spans="2:34" x14ac:dyDescent="0.2">
      <c r="B7322" s="2">
        <f ca="1"/>
        <v>0.11474742374123559</v>
      </c>
      <c r="O7322" s="2">
        <f ca="1"/>
        <v>-0.83553925187651013</v>
      </c>
      <c r="X7322" s="2">
        <f ca="1"/>
        <v>39.050483000757062</v>
      </c>
      <c r="AG7322" s="2">
        <f ca="1"/>
        <v>0.54953985519604664</v>
      </c>
      <c r="AH7322" s="2" t="str">
        <f ca="1"/>
        <v>Bad</v>
      </c>
    </row>
    <row r="7323" spans="2:34" x14ac:dyDescent="0.2">
      <c r="B7323" s="2">
        <f ca="1"/>
        <v>0.52174339182306517</v>
      </c>
      <c r="O7323" s="2">
        <f ca="1"/>
        <v>-1.6624662768566478</v>
      </c>
      <c r="X7323" s="2">
        <f ca="1"/>
        <v>43.897130701351017</v>
      </c>
      <c r="AG7323" s="2">
        <f ca="1"/>
        <v>0.23208114901481935</v>
      </c>
      <c r="AH7323" s="2" t="str">
        <f ca="1"/>
        <v>OK</v>
      </c>
    </row>
    <row r="7324" spans="2:34" x14ac:dyDescent="0.2">
      <c r="B7324" s="2">
        <f ca="1"/>
        <v>1.5543929480096086E-2</v>
      </c>
      <c r="O7324" s="2">
        <f ca="1"/>
        <v>0.80644654695658657</v>
      </c>
      <c r="X7324" s="2">
        <f ca="1"/>
        <v>57.572988876616549</v>
      </c>
      <c r="AG7324" s="2">
        <f ca="1"/>
        <v>0.96983761873816499</v>
      </c>
      <c r="AH7324" s="2" t="str">
        <f ca="1"/>
        <v>Bad</v>
      </c>
    </row>
    <row r="7325" spans="2:34" x14ac:dyDescent="0.2">
      <c r="B7325" s="2">
        <f ca="1"/>
        <v>0.40222305004231496</v>
      </c>
      <c r="O7325" s="2">
        <f ca="1"/>
        <v>1.5266548559001052</v>
      </c>
      <c r="X7325" s="2">
        <f ca="1"/>
        <v>50.74628775241866</v>
      </c>
      <c r="AG7325" s="2">
        <f ca="1"/>
        <v>0.45999988684764714</v>
      </c>
      <c r="AH7325" s="2" t="str">
        <f ca="1"/>
        <v>Bad</v>
      </c>
    </row>
    <row r="7326" spans="2:34" x14ac:dyDescent="0.2">
      <c r="B7326" s="2">
        <f ca="1"/>
        <v>0.16543168711244949</v>
      </c>
      <c r="O7326" s="2">
        <f ca="1"/>
        <v>-0.49366346881814482</v>
      </c>
      <c r="X7326" s="2">
        <f ca="1"/>
        <v>71.304389749533883</v>
      </c>
      <c r="AG7326" s="2">
        <f ca="1"/>
        <v>0.85806467131662578</v>
      </c>
      <c r="AH7326" s="2" t="str">
        <f ca="1"/>
        <v>Bad</v>
      </c>
    </row>
    <row r="7327" spans="2:34" x14ac:dyDescent="0.2">
      <c r="B7327" s="2">
        <f ca="1"/>
        <v>0.41657488358631123</v>
      </c>
      <c r="O7327" s="2">
        <f ca="1"/>
        <v>1.138283050072145</v>
      </c>
      <c r="X7327" s="2">
        <f ca="1"/>
        <v>51.280400190763579</v>
      </c>
      <c r="AG7327" s="2">
        <f ca="1"/>
        <v>0.88643963238700874</v>
      </c>
      <c r="AH7327" s="2" t="str">
        <f ca="1"/>
        <v>Bad</v>
      </c>
    </row>
    <row r="7328" spans="2:34" x14ac:dyDescent="0.2">
      <c r="B7328" s="2">
        <f ca="1"/>
        <v>0.73159141858725851</v>
      </c>
      <c r="O7328" s="2">
        <f ca="1"/>
        <v>-0.78312713944558721</v>
      </c>
      <c r="X7328" s="2">
        <f ca="1"/>
        <v>42.887819398921025</v>
      </c>
      <c r="AG7328" s="2">
        <f ca="1"/>
        <v>0.4525180002031004</v>
      </c>
      <c r="AH7328" s="2" t="str">
        <f ca="1"/>
        <v>Bad</v>
      </c>
    </row>
    <row r="7329" spans="2:34" x14ac:dyDescent="0.2">
      <c r="B7329" s="2">
        <f ca="1"/>
        <v>0.3834074608395881</v>
      </c>
      <c r="O7329" s="2">
        <f ca="1"/>
        <v>-0.33545270475368816</v>
      </c>
      <c r="X7329" s="2">
        <f ca="1"/>
        <v>59.269015523222713</v>
      </c>
      <c r="AG7329" s="2">
        <f ca="1"/>
        <v>0.82648598378256843</v>
      </c>
      <c r="AH7329" s="2" t="str">
        <f ca="1"/>
        <v>Bad</v>
      </c>
    </row>
    <row r="7330" spans="2:34" x14ac:dyDescent="0.2">
      <c r="B7330" s="2">
        <f ca="1"/>
        <v>0.18620521393911549</v>
      </c>
      <c r="O7330" s="2">
        <f ca="1"/>
        <v>1.2700985498076978</v>
      </c>
      <c r="X7330" s="2">
        <f ca="1"/>
        <v>86.223330402825198</v>
      </c>
      <c r="AG7330" s="2">
        <f ca="1"/>
        <v>0.65460566399925701</v>
      </c>
      <c r="AH7330" s="2" t="str">
        <f ca="1"/>
        <v>Bad</v>
      </c>
    </row>
    <row r="7331" spans="2:34" x14ac:dyDescent="0.2">
      <c r="B7331" s="2">
        <f ca="1"/>
        <v>0.6386939537155214</v>
      </c>
      <c r="O7331" s="2">
        <f ca="1"/>
        <v>-5.9789157195966287E-2</v>
      </c>
      <c r="X7331" s="2">
        <f ca="1"/>
        <v>50.310983245491258</v>
      </c>
      <c r="AG7331" s="2">
        <f ca="1"/>
        <v>0.31777057069616954</v>
      </c>
      <c r="AH7331" s="2" t="str">
        <f ca="1"/>
        <v>OK</v>
      </c>
    </row>
    <row r="7332" spans="2:34" x14ac:dyDescent="0.2">
      <c r="B7332" s="2">
        <f ca="1"/>
        <v>0.90901845007544346</v>
      </c>
      <c r="O7332" s="2">
        <f ca="1"/>
        <v>0.11329821685839139</v>
      </c>
      <c r="X7332" s="2">
        <f ca="1"/>
        <v>77.656013568384424</v>
      </c>
      <c r="AG7332" s="2">
        <f ca="1"/>
        <v>0.79588134170374669</v>
      </c>
      <c r="AH7332" s="2" t="str">
        <f ca="1"/>
        <v>Bad</v>
      </c>
    </row>
    <row r="7333" spans="2:34" x14ac:dyDescent="0.2">
      <c r="B7333" s="2">
        <f ca="1"/>
        <v>0.82514865081546596</v>
      </c>
      <c r="O7333" s="2">
        <f ca="1"/>
        <v>1.0060750144600965</v>
      </c>
      <c r="X7333" s="2">
        <f ca="1"/>
        <v>34.264207106891661</v>
      </c>
      <c r="AG7333" s="2">
        <f ca="1"/>
        <v>0.6647225830285004</v>
      </c>
      <c r="AH7333" s="2" t="str">
        <f ca="1"/>
        <v>Bad</v>
      </c>
    </row>
    <row r="7334" spans="2:34" x14ac:dyDescent="0.2">
      <c r="B7334" s="2">
        <f ca="1"/>
        <v>0.58202649949198393</v>
      </c>
      <c r="O7334" s="2">
        <f ca="1"/>
        <v>1.6770482741696509</v>
      </c>
      <c r="X7334" s="2">
        <f ca="1"/>
        <v>35.327996330849238</v>
      </c>
      <c r="AG7334" s="2">
        <f ca="1"/>
        <v>0.10061579509395568</v>
      </c>
      <c r="AH7334" s="2" t="str">
        <f ca="1"/>
        <v>OK</v>
      </c>
    </row>
    <row r="7335" spans="2:34" x14ac:dyDescent="0.2">
      <c r="B7335" s="2">
        <f ca="1"/>
        <v>3.1579888664242217E-2</v>
      </c>
      <c r="O7335" s="2">
        <f ca="1"/>
        <v>0.78388006827837375</v>
      </c>
      <c r="X7335" s="2">
        <f ca="1"/>
        <v>59.107327844333795</v>
      </c>
      <c r="AG7335" s="2">
        <f ca="1"/>
        <v>0.73040238537408819</v>
      </c>
      <c r="AH7335" s="2" t="str">
        <f ca="1"/>
        <v>Bad</v>
      </c>
    </row>
    <row r="7336" spans="2:34" x14ac:dyDescent="0.2">
      <c r="B7336" s="2">
        <f ca="1"/>
        <v>0.55779254422281177</v>
      </c>
      <c r="O7336" s="2">
        <f ca="1"/>
        <v>-1.169003616676966</v>
      </c>
      <c r="X7336" s="2">
        <f ca="1"/>
        <v>53.48737551779935</v>
      </c>
      <c r="AG7336" s="2">
        <f ca="1"/>
        <v>0.33659906154715258</v>
      </c>
      <c r="AH7336" s="2" t="str">
        <f ca="1"/>
        <v>OK</v>
      </c>
    </row>
    <row r="7337" spans="2:34" x14ac:dyDescent="0.2">
      <c r="B7337" s="2">
        <f ca="1"/>
        <v>0.94173651326634644</v>
      </c>
      <c r="O7337" s="2">
        <f ca="1"/>
        <v>0.71222567927920222</v>
      </c>
      <c r="X7337" s="2">
        <f ca="1"/>
        <v>66.525209437351364</v>
      </c>
      <c r="AG7337" s="2">
        <f ca="1"/>
        <v>0.79769443787691885</v>
      </c>
      <c r="AH7337" s="2" t="str">
        <f ca="1"/>
        <v>Bad</v>
      </c>
    </row>
    <row r="7338" spans="2:34" x14ac:dyDescent="0.2">
      <c r="B7338" s="2">
        <f ca="1"/>
        <v>0.53673301684523311</v>
      </c>
      <c r="O7338" s="2">
        <f ca="1"/>
        <v>0.99454201810931997</v>
      </c>
      <c r="X7338" s="2">
        <f ca="1"/>
        <v>45.001305768708164</v>
      </c>
      <c r="AG7338" s="2">
        <f ca="1"/>
        <v>0.15043125202297625</v>
      </c>
      <c r="AH7338" s="2" t="str">
        <f ca="1"/>
        <v>OK</v>
      </c>
    </row>
    <row r="7339" spans="2:34" x14ac:dyDescent="0.2">
      <c r="B7339" s="2">
        <f ca="1"/>
        <v>0.34840401903858087</v>
      </c>
      <c r="O7339" s="2">
        <f ca="1"/>
        <v>-1.1182537736969291</v>
      </c>
      <c r="X7339" s="2">
        <f ca="1"/>
        <v>60.953101074491599</v>
      </c>
      <c r="AG7339" s="2">
        <f ca="1"/>
        <v>0.30076362476226293</v>
      </c>
      <c r="AH7339" s="2" t="str">
        <f ca="1"/>
        <v>OK</v>
      </c>
    </row>
    <row r="7340" spans="2:34" x14ac:dyDescent="0.2">
      <c r="B7340" s="2">
        <f ca="1"/>
        <v>0.47877285338474684</v>
      </c>
      <c r="O7340" s="2">
        <f ca="1"/>
        <v>1.7198601172872601</v>
      </c>
      <c r="X7340" s="2">
        <f ca="1"/>
        <v>47.495914821906496</v>
      </c>
      <c r="AG7340" s="2">
        <f ca="1"/>
        <v>8.4878749490509442E-2</v>
      </c>
      <c r="AH7340" s="2" t="str">
        <f ca="1"/>
        <v>OK</v>
      </c>
    </row>
    <row r="7341" spans="2:34" x14ac:dyDescent="0.2">
      <c r="B7341" s="2">
        <f ca="1"/>
        <v>0.67283261691081786</v>
      </c>
      <c r="O7341" s="2">
        <f ca="1"/>
        <v>1.036351015137986</v>
      </c>
      <c r="X7341" s="2">
        <f ca="1"/>
        <v>56.426887385364573</v>
      </c>
      <c r="AG7341" s="2">
        <f ca="1"/>
        <v>0.27343804225395663</v>
      </c>
      <c r="AH7341" s="2" t="str">
        <f ca="1"/>
        <v>OK</v>
      </c>
    </row>
    <row r="7342" spans="2:34" x14ac:dyDescent="0.2">
      <c r="B7342" s="2">
        <f ca="1"/>
        <v>0.82436447459289219</v>
      </c>
      <c r="O7342" s="2">
        <f ca="1"/>
        <v>0.10611366660204057</v>
      </c>
      <c r="X7342" s="2">
        <f ca="1"/>
        <v>50.613649264136413</v>
      </c>
      <c r="AG7342" s="2">
        <f ca="1"/>
        <v>0.24919448751907147</v>
      </c>
      <c r="AH7342" s="2" t="str">
        <f ca="1"/>
        <v>OK</v>
      </c>
    </row>
    <row r="7343" spans="2:34" x14ac:dyDescent="0.2">
      <c r="B7343" s="2">
        <f ca="1"/>
        <v>0.85166676024710708</v>
      </c>
      <c r="O7343" s="2">
        <f ca="1"/>
        <v>-0.33497108806939757</v>
      </c>
      <c r="X7343" s="2">
        <f ca="1"/>
        <v>39.071475192518434</v>
      </c>
      <c r="AG7343" s="2">
        <f ca="1"/>
        <v>0.77623484459662739</v>
      </c>
      <c r="AH7343" s="2" t="str">
        <f ca="1"/>
        <v>Bad</v>
      </c>
    </row>
    <row r="7344" spans="2:34" x14ac:dyDescent="0.2">
      <c r="B7344" s="2">
        <f ca="1"/>
        <v>0.57674359544831999</v>
      </c>
      <c r="O7344" s="2">
        <f ca="1"/>
        <v>-0.33164505069499778</v>
      </c>
      <c r="X7344" s="2">
        <f ca="1"/>
        <v>36.761317000555074</v>
      </c>
      <c r="AG7344" s="2">
        <f ca="1"/>
        <v>0.88891923096900216</v>
      </c>
      <c r="AH7344" s="2" t="str">
        <f ca="1"/>
        <v>Bad</v>
      </c>
    </row>
    <row r="7345" spans="2:34" x14ac:dyDescent="0.2">
      <c r="B7345" s="2">
        <f ca="1"/>
        <v>0.83840194758031061</v>
      </c>
      <c r="O7345" s="2">
        <f ca="1"/>
        <v>0.60987042286836179</v>
      </c>
      <c r="X7345" s="2">
        <f ca="1"/>
        <v>32.205570862178213</v>
      </c>
      <c r="AG7345" s="2">
        <f ca="1"/>
        <v>0.2653381468372582</v>
      </c>
      <c r="AH7345" s="2" t="str">
        <f ca="1"/>
        <v>OK</v>
      </c>
    </row>
    <row r="7346" spans="2:34" x14ac:dyDescent="0.2">
      <c r="B7346" s="2">
        <f ca="1"/>
        <v>0.48038476584131895</v>
      </c>
      <c r="O7346" s="2">
        <f ca="1"/>
        <v>0.1610737313164731</v>
      </c>
      <c r="X7346" s="2">
        <f ca="1"/>
        <v>33.717864488078767</v>
      </c>
      <c r="AG7346" s="2">
        <f ca="1"/>
        <v>0.3447467950976546</v>
      </c>
      <c r="AH7346" s="2" t="str">
        <f ca="1"/>
        <v>OK</v>
      </c>
    </row>
    <row r="7347" spans="2:34" x14ac:dyDescent="0.2">
      <c r="B7347" s="2">
        <f ca="1"/>
        <v>0.65548094940202972</v>
      </c>
      <c r="O7347" s="2">
        <f ca="1"/>
        <v>-6.6626893320469865E-2</v>
      </c>
      <c r="X7347" s="2">
        <f ca="1"/>
        <v>37.313989347480188</v>
      </c>
      <c r="AG7347" s="2">
        <f ca="1"/>
        <v>7.358695406447846E-2</v>
      </c>
      <c r="AH7347" s="2" t="str">
        <f ca="1"/>
        <v>OK</v>
      </c>
    </row>
    <row r="7348" spans="2:34" x14ac:dyDescent="0.2">
      <c r="B7348" s="2">
        <f ca="1"/>
        <v>0.9911248827016037</v>
      </c>
      <c r="O7348" s="2">
        <f ca="1"/>
        <v>0.5051205231155883</v>
      </c>
      <c r="X7348" s="2">
        <f ca="1"/>
        <v>29.380310443448202</v>
      </c>
      <c r="AG7348" s="2">
        <f ca="1"/>
        <v>0.40575175951184073</v>
      </c>
      <c r="AH7348" s="2" t="str">
        <f ca="1"/>
        <v>Bad</v>
      </c>
    </row>
    <row r="7349" spans="2:34" x14ac:dyDescent="0.2">
      <c r="B7349" s="2">
        <f ca="1"/>
        <v>0.51112889685015306</v>
      </c>
      <c r="O7349" s="2">
        <f ca="1"/>
        <v>-0.52355390521223077</v>
      </c>
      <c r="X7349" s="2">
        <f ca="1"/>
        <v>36.727291629971333</v>
      </c>
      <c r="AG7349" s="2">
        <f ca="1"/>
        <v>0.48211255400891484</v>
      </c>
      <c r="AH7349" s="2" t="str">
        <f ca="1"/>
        <v>Bad</v>
      </c>
    </row>
    <row r="7350" spans="2:34" x14ac:dyDescent="0.2">
      <c r="B7350" s="2">
        <f ca="1"/>
        <v>0.21294625735898398</v>
      </c>
      <c r="O7350" s="2">
        <f ca="1"/>
        <v>0.47964008495124716</v>
      </c>
      <c r="X7350" s="2">
        <f ca="1"/>
        <v>30.376843566345482</v>
      </c>
      <c r="AG7350" s="2">
        <f ca="1"/>
        <v>0.58786692697347886</v>
      </c>
      <c r="AH7350" s="2" t="str">
        <f ca="1"/>
        <v>Bad</v>
      </c>
    </row>
    <row r="7351" spans="2:34" x14ac:dyDescent="0.2">
      <c r="B7351" s="2">
        <f ca="1"/>
        <v>0.33429095158642985</v>
      </c>
      <c r="O7351" s="2">
        <f ca="1"/>
        <v>-1.5362876656724336</v>
      </c>
      <c r="X7351" s="2">
        <f ca="1"/>
        <v>64.773518862093184</v>
      </c>
      <c r="AG7351" s="2">
        <f ca="1"/>
        <v>0.64264318398817388</v>
      </c>
      <c r="AH7351" s="2" t="str">
        <f ca="1"/>
        <v>Bad</v>
      </c>
    </row>
    <row r="7352" spans="2:34" x14ac:dyDescent="0.2">
      <c r="B7352" s="2">
        <f ca="1"/>
        <v>0.29247994447498282</v>
      </c>
      <c r="O7352" s="2">
        <f ca="1"/>
        <v>1.1004897019972339</v>
      </c>
      <c r="X7352" s="2">
        <f ca="1"/>
        <v>53.993082555041113</v>
      </c>
      <c r="AG7352" s="2">
        <f ca="1"/>
        <v>3.2440123496408679E-2</v>
      </c>
      <c r="AH7352" s="2" t="str">
        <f ca="1"/>
        <v>Good</v>
      </c>
    </row>
    <row r="7353" spans="2:34" x14ac:dyDescent="0.2">
      <c r="B7353" s="2">
        <f ca="1"/>
        <v>0.94551065388329691</v>
      </c>
      <c r="O7353" s="2">
        <f ca="1"/>
        <v>-1.386768768598259</v>
      </c>
      <c r="X7353" s="2">
        <f ca="1"/>
        <v>37.955657380247175</v>
      </c>
      <c r="AG7353" s="2">
        <f ca="1"/>
        <v>0.91191391114742415</v>
      </c>
      <c r="AH7353" s="2" t="str">
        <f ca="1"/>
        <v>Bad</v>
      </c>
    </row>
    <row r="7354" spans="2:34" x14ac:dyDescent="0.2">
      <c r="B7354" s="2">
        <f ca="1"/>
        <v>0.52432311024708067</v>
      </c>
      <c r="O7354" s="2">
        <f ca="1"/>
        <v>-0.6375041272957781</v>
      </c>
      <c r="X7354" s="2">
        <f ca="1"/>
        <v>53.795673464292889</v>
      </c>
      <c r="AG7354" s="2">
        <f ca="1"/>
        <v>0.62470233691331201</v>
      </c>
      <c r="AH7354" s="2" t="str">
        <f ca="1"/>
        <v>Bad</v>
      </c>
    </row>
    <row r="7355" spans="2:34" x14ac:dyDescent="0.2">
      <c r="B7355" s="2">
        <f ca="1"/>
        <v>0.64236113182952237</v>
      </c>
      <c r="O7355" s="2">
        <f ca="1"/>
        <v>0.54463085867128469</v>
      </c>
      <c r="X7355" s="2">
        <f ca="1"/>
        <v>45.153466735788932</v>
      </c>
      <c r="AG7355" s="2">
        <f ca="1"/>
        <v>0.93114254526138884</v>
      </c>
      <c r="AH7355" s="2" t="str">
        <f ca="1"/>
        <v>Bad</v>
      </c>
    </row>
    <row r="7356" spans="2:34" x14ac:dyDescent="0.2">
      <c r="B7356" s="2">
        <f ca="1"/>
        <v>0.64736118346098381</v>
      </c>
      <c r="O7356" s="2">
        <f ca="1"/>
        <v>-0.17732997039246515</v>
      </c>
      <c r="X7356" s="2">
        <f ca="1"/>
        <v>66.7298238149843</v>
      </c>
      <c r="AG7356" s="2">
        <f ca="1"/>
        <v>0.79500244487282012</v>
      </c>
      <c r="AH7356" s="2" t="str">
        <f ca="1"/>
        <v>Bad</v>
      </c>
    </row>
    <row r="7357" spans="2:34" x14ac:dyDescent="0.2">
      <c r="B7357" s="2">
        <f ca="1"/>
        <v>0.99620896013492821</v>
      </c>
      <c r="O7357" s="2">
        <f ca="1"/>
        <v>0.13327957686728276</v>
      </c>
      <c r="X7357" s="2">
        <f ca="1"/>
        <v>59.436531292308423</v>
      </c>
      <c r="AG7357" s="2">
        <f ca="1"/>
        <v>0.41034625263195124</v>
      </c>
      <c r="AH7357" s="2" t="str">
        <f ca="1"/>
        <v>Bad</v>
      </c>
    </row>
    <row r="7358" spans="2:34" x14ac:dyDescent="0.2">
      <c r="B7358" s="2">
        <f ca="1"/>
        <v>0.90240309852674194</v>
      </c>
      <c r="O7358" s="2">
        <f ca="1"/>
        <v>-0.28531764605991078</v>
      </c>
      <c r="X7358" s="2">
        <f ca="1"/>
        <v>63.258993699981112</v>
      </c>
      <c r="AG7358" s="2">
        <f ca="1"/>
        <v>0.92003014613781509</v>
      </c>
      <c r="AH7358" s="2" t="str">
        <f ca="1"/>
        <v>Bad</v>
      </c>
    </row>
    <row r="7359" spans="2:34" x14ac:dyDescent="0.2">
      <c r="B7359" s="2">
        <f ca="1"/>
        <v>0.13214238726530514</v>
      </c>
      <c r="O7359" s="2">
        <f ca="1"/>
        <v>1.9009674570332342</v>
      </c>
      <c r="X7359" s="2">
        <f ca="1"/>
        <v>71.746538370075854</v>
      </c>
      <c r="AG7359" s="2">
        <f ca="1"/>
        <v>0.7974452364314033</v>
      </c>
      <c r="AH7359" s="2" t="str">
        <f ca="1"/>
        <v>Bad</v>
      </c>
    </row>
    <row r="7360" spans="2:34" x14ac:dyDescent="0.2">
      <c r="B7360" s="2">
        <f ca="1"/>
        <v>0.29459686393443962</v>
      </c>
      <c r="O7360" s="2">
        <f ca="1"/>
        <v>-1.0302845782968306</v>
      </c>
      <c r="X7360" s="2">
        <f ca="1"/>
        <v>55.145922744810022</v>
      </c>
      <c r="AG7360" s="2">
        <f ca="1"/>
        <v>0.79085977166465127</v>
      </c>
      <c r="AH7360" s="2" t="str">
        <f ca="1"/>
        <v>Bad</v>
      </c>
    </row>
    <row r="7361" spans="2:34" x14ac:dyDescent="0.2">
      <c r="B7361" s="2">
        <f ca="1"/>
        <v>0.60161848393023765</v>
      </c>
      <c r="O7361" s="2">
        <f ca="1"/>
        <v>-0.19633977605376421</v>
      </c>
      <c r="X7361" s="2">
        <f ca="1"/>
        <v>67.285048117956762</v>
      </c>
      <c r="AG7361" s="2">
        <f ca="1"/>
        <v>0.84836208006492431</v>
      </c>
      <c r="AH7361" s="2" t="str">
        <f ca="1"/>
        <v>Bad</v>
      </c>
    </row>
    <row r="7362" spans="2:34" x14ac:dyDescent="0.2">
      <c r="B7362" s="2">
        <f ca="1"/>
        <v>0.49342667558314202</v>
      </c>
      <c r="O7362" s="2">
        <f ca="1"/>
        <v>0.84794448552184642</v>
      </c>
      <c r="X7362" s="2">
        <f ca="1"/>
        <v>47.211332362645649</v>
      </c>
      <c r="AG7362" s="2">
        <f ca="1"/>
        <v>0.75202682338676841</v>
      </c>
      <c r="AH7362" s="2" t="str">
        <f ca="1"/>
        <v>Bad</v>
      </c>
    </row>
    <row r="7363" spans="2:34" x14ac:dyDescent="0.2">
      <c r="B7363" s="2">
        <f ca="1"/>
        <v>0.27470802205771383</v>
      </c>
      <c r="O7363" s="2">
        <f ca="1"/>
        <v>-1.1080670897176894</v>
      </c>
      <c r="X7363" s="2">
        <f ca="1"/>
        <v>60.068711208901433</v>
      </c>
      <c r="AG7363" s="2">
        <f ca="1"/>
        <v>0.43222936504789211</v>
      </c>
      <c r="AH7363" s="2" t="str">
        <f ca="1"/>
        <v>Bad</v>
      </c>
    </row>
    <row r="7364" spans="2:34" x14ac:dyDescent="0.2">
      <c r="B7364" s="2">
        <f ca="1"/>
        <v>0.1979589963745656</v>
      </c>
      <c r="O7364" s="2">
        <f ca="1"/>
        <v>0.85217437350473269</v>
      </c>
      <c r="X7364" s="2">
        <f ca="1"/>
        <v>58.672127605761247</v>
      </c>
      <c r="AG7364" s="2">
        <f ca="1"/>
        <v>0.87868350077165602</v>
      </c>
      <c r="AH7364" s="2" t="str">
        <f ca="1"/>
        <v>Bad</v>
      </c>
    </row>
    <row r="7365" spans="2:34" x14ac:dyDescent="0.2">
      <c r="B7365" s="2">
        <f ca="1"/>
        <v>0.50631950896403688</v>
      </c>
      <c r="O7365" s="2">
        <f ca="1"/>
        <v>1.6926979106986866</v>
      </c>
      <c r="X7365" s="2">
        <f ca="1"/>
        <v>67.454929031937226</v>
      </c>
      <c r="AG7365" s="2">
        <f ca="1"/>
        <v>0.36324510626698747</v>
      </c>
      <c r="AH7365" s="2" t="str">
        <f ca="1"/>
        <v>OK</v>
      </c>
    </row>
    <row r="7366" spans="2:34" x14ac:dyDescent="0.2">
      <c r="B7366" s="2">
        <f ca="1"/>
        <v>0.70768245801888763</v>
      </c>
      <c r="O7366" s="2">
        <f ca="1"/>
        <v>-1.1819429551233422</v>
      </c>
      <c r="X7366" s="2">
        <f ca="1"/>
        <v>19.295744046281495</v>
      </c>
      <c r="AG7366" s="2">
        <f ca="1"/>
        <v>0.90283198277028931</v>
      </c>
      <c r="AH7366" s="2" t="str">
        <f ca="1"/>
        <v>Bad</v>
      </c>
    </row>
    <row r="7367" spans="2:34" x14ac:dyDescent="0.2">
      <c r="B7367" s="2">
        <f ca="1"/>
        <v>0.53935030749126023</v>
      </c>
      <c r="O7367" s="2">
        <f ca="1"/>
        <v>0.56666222034542735</v>
      </c>
      <c r="X7367" s="2">
        <f ca="1"/>
        <v>26.340306703304709</v>
      </c>
      <c r="AG7367" s="2">
        <f ca="1"/>
        <v>0.38934978029726852</v>
      </c>
      <c r="AH7367" s="2" t="str">
        <f ca="1"/>
        <v>OK</v>
      </c>
    </row>
    <row r="7368" spans="2:34" x14ac:dyDescent="0.2">
      <c r="B7368" s="2">
        <f ca="1"/>
        <v>0.58332778114060546</v>
      </c>
      <c r="O7368" s="2">
        <f ca="1"/>
        <v>1.5151619747140586</v>
      </c>
      <c r="X7368" s="2">
        <f ca="1"/>
        <v>92.06603991970124</v>
      </c>
      <c r="AG7368" s="2">
        <f ca="1"/>
        <v>7.3661785441398786E-2</v>
      </c>
      <c r="AH7368" s="2" t="str">
        <f ca="1"/>
        <v>OK</v>
      </c>
    </row>
    <row r="7369" spans="2:34" x14ac:dyDescent="0.2">
      <c r="B7369" s="2">
        <f ca="1"/>
        <v>0.93254249181738214</v>
      </c>
      <c r="O7369" s="2">
        <f ca="1"/>
        <v>-1.2834926919124789</v>
      </c>
      <c r="X7369" s="2">
        <f ca="1"/>
        <v>47.156030359586893</v>
      </c>
      <c r="AG7369" s="2">
        <f ca="1"/>
        <v>0.76054062779769072</v>
      </c>
      <c r="AH7369" s="2" t="str">
        <f ca="1"/>
        <v>Bad</v>
      </c>
    </row>
    <row r="7370" spans="2:34" x14ac:dyDescent="0.2">
      <c r="B7370" s="2">
        <f ca="1"/>
        <v>0.38682289937162584</v>
      </c>
      <c r="O7370" s="2">
        <f ca="1"/>
        <v>1.7138208066332672</v>
      </c>
      <c r="X7370" s="2">
        <f ca="1"/>
        <v>49.343710489469302</v>
      </c>
      <c r="AG7370" s="2">
        <f ca="1"/>
        <v>0.51878563799368105</v>
      </c>
      <c r="AH7370" s="2" t="str">
        <f ca="1"/>
        <v>Bad</v>
      </c>
    </row>
    <row r="7371" spans="2:34" x14ac:dyDescent="0.2">
      <c r="B7371" s="2">
        <f ca="1"/>
        <v>0.63502923333966299</v>
      </c>
      <c r="O7371" s="2">
        <f ca="1"/>
        <v>1.249071762664492</v>
      </c>
      <c r="X7371" s="2">
        <f ca="1"/>
        <v>67.78616600990469</v>
      </c>
      <c r="AG7371" s="2">
        <f ca="1"/>
        <v>0.24016593367257255</v>
      </c>
      <c r="AH7371" s="2" t="str">
        <f ca="1"/>
        <v>OK</v>
      </c>
    </row>
    <row r="7372" spans="2:34" x14ac:dyDescent="0.2">
      <c r="B7372" s="2">
        <f ca="1"/>
        <v>0.22978966140028456</v>
      </c>
      <c r="O7372" s="2">
        <f ca="1"/>
        <v>0.48690279797805536</v>
      </c>
      <c r="X7372" s="2">
        <f ca="1"/>
        <v>55.463098196926303</v>
      </c>
      <c r="AG7372" s="2">
        <f ca="1"/>
        <v>0.49400063068407407</v>
      </c>
      <c r="AH7372" s="2" t="str">
        <f ca="1"/>
        <v>Bad</v>
      </c>
    </row>
    <row r="7373" spans="2:34" x14ac:dyDescent="0.2">
      <c r="B7373" s="2">
        <f ca="1"/>
        <v>0.94039628312374668</v>
      </c>
      <c r="O7373" s="2">
        <f ca="1"/>
        <v>-0.94203749130578851</v>
      </c>
      <c r="X7373" s="2">
        <f ca="1"/>
        <v>41.717564576591066</v>
      </c>
      <c r="AG7373" s="2">
        <f ca="1"/>
        <v>0.79870501263994087</v>
      </c>
      <c r="AH7373" s="2" t="str">
        <f ca="1"/>
        <v>Bad</v>
      </c>
    </row>
    <row r="7374" spans="2:34" x14ac:dyDescent="0.2">
      <c r="B7374" s="2">
        <f ca="1"/>
        <v>0.34558569900771041</v>
      </c>
      <c r="O7374" s="2">
        <f ca="1"/>
        <v>0.22309158378654764</v>
      </c>
      <c r="X7374" s="2">
        <f ca="1"/>
        <v>61.488428578772528</v>
      </c>
      <c r="AG7374" s="2">
        <f ca="1"/>
        <v>0.19876723656567785</v>
      </c>
      <c r="AH7374" s="2" t="str">
        <f ca="1"/>
        <v>OK</v>
      </c>
    </row>
    <row r="7375" spans="2:34" x14ac:dyDescent="0.2">
      <c r="B7375" s="2">
        <f ca="1"/>
        <v>3.4506020744486277E-2</v>
      </c>
      <c r="O7375" s="2">
        <f ca="1"/>
        <v>1.7583275361012547</v>
      </c>
      <c r="X7375" s="2">
        <f ca="1"/>
        <v>54.682149197711823</v>
      </c>
      <c r="AG7375" s="2">
        <f ca="1"/>
        <v>0.50964966098069686</v>
      </c>
      <c r="AH7375" s="2" t="str">
        <f ca="1"/>
        <v>Bad</v>
      </c>
    </row>
    <row r="7376" spans="2:34" x14ac:dyDescent="0.2">
      <c r="B7376" s="2">
        <f ca="1"/>
        <v>8.5133122389283056E-2</v>
      </c>
      <c r="O7376" s="2">
        <f ca="1"/>
        <v>-4.0702647504918511E-2</v>
      </c>
      <c r="X7376" s="2">
        <f ca="1"/>
        <v>42.874315563892281</v>
      </c>
      <c r="AG7376" s="2">
        <f ca="1"/>
        <v>0.70191822483524335</v>
      </c>
      <c r="AH7376" s="2" t="str">
        <f ca="1"/>
        <v>Bad</v>
      </c>
    </row>
    <row r="7377" spans="2:34" x14ac:dyDescent="0.2">
      <c r="B7377" s="2">
        <f ca="1"/>
        <v>0.31707445805737078</v>
      </c>
      <c r="O7377" s="2">
        <f ca="1"/>
        <v>-0.22962625228415451</v>
      </c>
      <c r="X7377" s="2">
        <f ca="1"/>
        <v>80.701229897364826</v>
      </c>
      <c r="AG7377" s="2">
        <f ca="1"/>
        <v>0.97154327804662843</v>
      </c>
      <c r="AH7377" s="2" t="str">
        <f ca="1"/>
        <v>Bad</v>
      </c>
    </row>
    <row r="7378" spans="2:34" x14ac:dyDescent="0.2">
      <c r="B7378" s="2">
        <f ca="1"/>
        <v>0.51833820929201635</v>
      </c>
      <c r="O7378" s="2">
        <f ca="1"/>
        <v>-1.4187697039833524</v>
      </c>
      <c r="X7378" s="2">
        <f ca="1"/>
        <v>43.316494632190576</v>
      </c>
      <c r="AG7378" s="2">
        <f ca="1"/>
        <v>4.5946125083013545E-2</v>
      </c>
      <c r="AH7378" s="2" t="str">
        <f ca="1"/>
        <v>Good</v>
      </c>
    </row>
    <row r="7379" spans="2:34" x14ac:dyDescent="0.2">
      <c r="B7379" s="2">
        <f ca="1"/>
        <v>0.31821746766583958</v>
      </c>
      <c r="O7379" s="2">
        <f ca="1"/>
        <v>-1.1207149540804124</v>
      </c>
      <c r="X7379" s="2">
        <f ca="1"/>
        <v>25.610874052453745</v>
      </c>
      <c r="AG7379" s="2">
        <f ca="1"/>
        <v>0.68449801582170466</v>
      </c>
      <c r="AH7379" s="2" t="str">
        <f ca="1"/>
        <v>Bad</v>
      </c>
    </row>
    <row r="7380" spans="2:34" x14ac:dyDescent="0.2">
      <c r="B7380" s="2">
        <f ca="1"/>
        <v>0.50391775372529146</v>
      </c>
      <c r="O7380" s="2">
        <f ca="1"/>
        <v>0.30935886552678615</v>
      </c>
      <c r="X7380" s="2">
        <f ca="1"/>
        <v>53.686629592039701</v>
      </c>
      <c r="AG7380" s="2">
        <f ca="1"/>
        <v>0.26837130509834517</v>
      </c>
      <c r="AH7380" s="2" t="str">
        <f ca="1"/>
        <v>OK</v>
      </c>
    </row>
    <row r="7381" spans="2:34" x14ac:dyDescent="0.2">
      <c r="B7381" s="2">
        <f ca="1"/>
        <v>0.56992274680762112</v>
      </c>
      <c r="O7381" s="2">
        <f ca="1"/>
        <v>-2.0792671093732711</v>
      </c>
      <c r="X7381" s="2">
        <f ca="1"/>
        <v>48.348483090746186</v>
      </c>
      <c r="AG7381" s="2">
        <f ca="1"/>
        <v>0.59974939559072338</v>
      </c>
      <c r="AH7381" s="2" t="str">
        <f ca="1"/>
        <v>Bad</v>
      </c>
    </row>
    <row r="7382" spans="2:34" x14ac:dyDescent="0.2">
      <c r="B7382" s="2">
        <f ca="1"/>
        <v>0.15714128948448502</v>
      </c>
      <c r="O7382" s="2">
        <f ca="1"/>
        <v>-0.30024309722523534</v>
      </c>
      <c r="X7382" s="2">
        <f ca="1"/>
        <v>55.381956389871874</v>
      </c>
      <c r="AG7382" s="2">
        <f ca="1"/>
        <v>0.20493792317716819</v>
      </c>
      <c r="AH7382" s="2" t="str">
        <f ca="1"/>
        <v>OK</v>
      </c>
    </row>
    <row r="7383" spans="2:34" x14ac:dyDescent="0.2">
      <c r="B7383" s="2">
        <f ca="1"/>
        <v>0.92575106118367079</v>
      </c>
      <c r="O7383" s="2">
        <f ca="1"/>
        <v>0.77827834496952331</v>
      </c>
      <c r="X7383" s="2">
        <f ca="1"/>
        <v>39.349577726071338</v>
      </c>
      <c r="AG7383" s="2">
        <f ca="1"/>
        <v>9.2621887580958795E-2</v>
      </c>
      <c r="AH7383" s="2" t="str">
        <f ca="1"/>
        <v>OK</v>
      </c>
    </row>
    <row r="7384" spans="2:34" x14ac:dyDescent="0.2">
      <c r="B7384" s="2">
        <f ca="1"/>
        <v>0.41127827843741005</v>
      </c>
      <c r="O7384" s="2">
        <f ca="1"/>
        <v>-0.38495026959686612</v>
      </c>
      <c r="X7384" s="2">
        <f ca="1"/>
        <v>23.567881330386435</v>
      </c>
      <c r="AG7384" s="2">
        <f ca="1"/>
        <v>0.9000287274764065</v>
      </c>
      <c r="AH7384" s="2" t="str">
        <f ca="1"/>
        <v>Bad</v>
      </c>
    </row>
    <row r="7385" spans="2:34" x14ac:dyDescent="0.2">
      <c r="B7385" s="2">
        <f ca="1"/>
        <v>0.92321808348713996</v>
      </c>
      <c r="O7385" s="2">
        <f ca="1"/>
        <v>0.51058396781022219</v>
      </c>
      <c r="X7385" s="2">
        <f ca="1"/>
        <v>56.73867100035163</v>
      </c>
      <c r="AG7385" s="2">
        <f ca="1"/>
        <v>0.91440024578318413</v>
      </c>
      <c r="AH7385" s="2" t="str">
        <f ca="1"/>
        <v>Bad</v>
      </c>
    </row>
    <row r="7386" spans="2:34" x14ac:dyDescent="0.2">
      <c r="B7386" s="2">
        <f ca="1"/>
        <v>0.59810844263368979</v>
      </c>
      <c r="O7386" s="2">
        <f ca="1"/>
        <v>-0.66578146359304324</v>
      </c>
      <c r="X7386" s="2">
        <f ca="1"/>
        <v>52.947958195645867</v>
      </c>
      <c r="AG7386" s="2">
        <f ca="1"/>
        <v>0.68513398833453687</v>
      </c>
      <c r="AH7386" s="2" t="str">
        <f ca="1"/>
        <v>Bad</v>
      </c>
    </row>
    <row r="7387" spans="2:34" x14ac:dyDescent="0.2">
      <c r="B7387" s="2">
        <f ca="1"/>
        <v>0.31768432761572041</v>
      </c>
      <c r="O7387" s="2">
        <f ca="1"/>
        <v>0.80153465439463656</v>
      </c>
      <c r="X7387" s="2">
        <f ca="1"/>
        <v>43.072990519192928</v>
      </c>
      <c r="AG7387" s="2">
        <f ca="1"/>
        <v>0.30541956410933979</v>
      </c>
      <c r="AH7387" s="2" t="str">
        <f ca="1"/>
        <v>OK</v>
      </c>
    </row>
    <row r="7388" spans="2:34" x14ac:dyDescent="0.2">
      <c r="B7388" s="2">
        <f ca="1"/>
        <v>0.63861199709300442</v>
      </c>
      <c r="O7388" s="2">
        <f ca="1"/>
        <v>1.3252849214488862</v>
      </c>
      <c r="X7388" s="2">
        <f ca="1"/>
        <v>61.349339361912349</v>
      </c>
      <c r="AG7388" s="2">
        <f ca="1"/>
        <v>0.75529517751297415</v>
      </c>
      <c r="AH7388" s="2" t="str">
        <f ca="1"/>
        <v>Bad</v>
      </c>
    </row>
    <row r="7389" spans="2:34" x14ac:dyDescent="0.2">
      <c r="B7389" s="2">
        <f ca="1"/>
        <v>0.20752185776638332</v>
      </c>
      <c r="O7389" s="2">
        <f ca="1"/>
        <v>-0.30747094680764303</v>
      </c>
      <c r="X7389" s="2">
        <f ca="1"/>
        <v>65.713622457612971</v>
      </c>
      <c r="AG7389" s="2">
        <f ca="1"/>
        <v>0.43324299425469603</v>
      </c>
      <c r="AH7389" s="2" t="str">
        <f ca="1"/>
        <v>Bad</v>
      </c>
    </row>
    <row r="7390" spans="2:34" x14ac:dyDescent="0.2">
      <c r="B7390" s="2">
        <f ca="1"/>
        <v>0.16141020734377931</v>
      </c>
      <c r="O7390" s="2">
        <f ca="1"/>
        <v>0.97700640210353018</v>
      </c>
      <c r="X7390" s="2">
        <f ca="1"/>
        <v>67.72906581933438</v>
      </c>
      <c r="AG7390" s="2">
        <f ca="1"/>
        <v>0.49289227953958492</v>
      </c>
      <c r="AH7390" s="2" t="str">
        <f ca="1"/>
        <v>Bad</v>
      </c>
    </row>
    <row r="7391" spans="2:34" x14ac:dyDescent="0.2">
      <c r="B7391" s="2">
        <f ca="1"/>
        <v>0.82637559223199752</v>
      </c>
      <c r="O7391" s="2">
        <f ca="1"/>
        <v>0.24668400630229195</v>
      </c>
      <c r="X7391" s="2">
        <f ca="1"/>
        <v>50.043953776942985</v>
      </c>
      <c r="AG7391" s="2">
        <f ca="1"/>
        <v>0.84013674901122171</v>
      </c>
      <c r="AH7391" s="2" t="str">
        <f ca="1"/>
        <v>Bad</v>
      </c>
    </row>
    <row r="7392" spans="2:34" x14ac:dyDescent="0.2">
      <c r="B7392" s="2">
        <f ca="1"/>
        <v>6.3119546367418122E-2</v>
      </c>
      <c r="O7392" s="2">
        <f ca="1"/>
        <v>1.2166610552811621</v>
      </c>
      <c r="X7392" s="2">
        <f ca="1"/>
        <v>34.876887154046329</v>
      </c>
      <c r="AG7392" s="2">
        <f ca="1"/>
        <v>0.4713169267830386</v>
      </c>
      <c r="AH7392" s="2" t="str">
        <f ca="1"/>
        <v>Bad</v>
      </c>
    </row>
    <row r="7393" spans="2:34" x14ac:dyDescent="0.2">
      <c r="B7393" s="2">
        <f ca="1"/>
        <v>0.15896699767857836</v>
      </c>
      <c r="O7393" s="2">
        <f ca="1"/>
        <v>-1.8311114262791461</v>
      </c>
      <c r="X7393" s="2">
        <f ca="1"/>
        <v>37.15012438929277</v>
      </c>
      <c r="AG7393" s="2">
        <f ca="1"/>
        <v>0.89612485686365906</v>
      </c>
      <c r="AH7393" s="2" t="str">
        <f ca="1"/>
        <v>Bad</v>
      </c>
    </row>
    <row r="7394" spans="2:34" x14ac:dyDescent="0.2">
      <c r="B7394" s="2">
        <f ca="1"/>
        <v>0.76739633945383545</v>
      </c>
      <c r="O7394" s="2">
        <f ca="1"/>
        <v>-1.3897290825927227</v>
      </c>
      <c r="X7394" s="2">
        <f ca="1"/>
        <v>51.261274638973255</v>
      </c>
      <c r="AG7394" s="2">
        <f ca="1"/>
        <v>0.72839879962826148</v>
      </c>
      <c r="AH7394" s="2" t="str">
        <f ca="1"/>
        <v>Bad</v>
      </c>
    </row>
    <row r="7395" spans="2:34" x14ac:dyDescent="0.2">
      <c r="B7395" s="2">
        <f ca="1"/>
        <v>0.95437324500485898</v>
      </c>
      <c r="O7395" s="2">
        <f ca="1"/>
        <v>-1.4441081716982676</v>
      </c>
      <c r="X7395" s="2">
        <f ca="1"/>
        <v>42.629847074582841</v>
      </c>
      <c r="AG7395" s="2">
        <f ca="1"/>
        <v>0.44292389733717763</v>
      </c>
      <c r="AH7395" s="2" t="str">
        <f ca="1"/>
        <v>Bad</v>
      </c>
    </row>
    <row r="7396" spans="2:34" x14ac:dyDescent="0.2">
      <c r="B7396" s="2">
        <f ca="1"/>
        <v>0.82593688904371176</v>
      </c>
      <c r="O7396" s="2">
        <f ca="1"/>
        <v>-1.7103761884636117</v>
      </c>
      <c r="X7396" s="2">
        <f ca="1"/>
        <v>47.280418124339796</v>
      </c>
      <c r="AG7396" s="2">
        <f ca="1"/>
        <v>0.40956184018881037</v>
      </c>
      <c r="AH7396" s="2" t="str">
        <f ca="1"/>
        <v>Bad</v>
      </c>
    </row>
    <row r="7397" spans="2:34" x14ac:dyDescent="0.2">
      <c r="B7397" s="2">
        <f ca="1"/>
        <v>0.4508581861253198</v>
      </c>
      <c r="O7397" s="2">
        <f ca="1"/>
        <v>2.3800263976400098</v>
      </c>
      <c r="X7397" s="2">
        <f ca="1"/>
        <v>63.033223334077341</v>
      </c>
      <c r="AG7397" s="2">
        <f ca="1"/>
        <v>2.8710063743154102E-2</v>
      </c>
      <c r="AH7397" s="2" t="str">
        <f ca="1"/>
        <v>Good</v>
      </c>
    </row>
    <row r="7398" spans="2:34" x14ac:dyDescent="0.2">
      <c r="B7398" s="2">
        <f ca="1"/>
        <v>0.74546470677192489</v>
      </c>
      <c r="O7398" s="2">
        <f ca="1"/>
        <v>-6.6057726499910041E-2</v>
      </c>
      <c r="X7398" s="2">
        <f ca="1"/>
        <v>58.308233717724846</v>
      </c>
      <c r="AG7398" s="2">
        <f ca="1"/>
        <v>0.95612770095448596</v>
      </c>
      <c r="AH7398" s="2" t="str">
        <f ca="1"/>
        <v>Bad</v>
      </c>
    </row>
    <row r="7399" spans="2:34" x14ac:dyDescent="0.2">
      <c r="B7399" s="2">
        <f ca="1"/>
        <v>3.9460609475083341E-2</v>
      </c>
      <c r="O7399" s="2">
        <f ca="1"/>
        <v>1.05161154160869</v>
      </c>
      <c r="X7399" s="2">
        <f ca="1"/>
        <v>57.764124325671666</v>
      </c>
      <c r="AG7399" s="2">
        <f ca="1"/>
        <v>0.13047382895235682</v>
      </c>
      <c r="AH7399" s="2" t="str">
        <f ca="1"/>
        <v>OK</v>
      </c>
    </row>
    <row r="7400" spans="2:34" x14ac:dyDescent="0.2">
      <c r="B7400" s="2">
        <f ca="1"/>
        <v>0.16647936965438093</v>
      </c>
      <c r="O7400" s="2">
        <f ca="1"/>
        <v>-0.2014147579874544</v>
      </c>
      <c r="X7400" s="2">
        <f ca="1"/>
        <v>41.199765718447964</v>
      </c>
      <c r="AG7400" s="2">
        <f ca="1"/>
        <v>0.49818996191501785</v>
      </c>
      <c r="AH7400" s="2" t="str">
        <f ca="1"/>
        <v>Bad</v>
      </c>
    </row>
    <row r="7401" spans="2:34" x14ac:dyDescent="0.2">
      <c r="B7401" s="2">
        <f ca="1"/>
        <v>0.92138812878333209</v>
      </c>
      <c r="O7401" s="2">
        <f ca="1"/>
        <v>-0.5847850036839608</v>
      </c>
      <c r="X7401" s="2">
        <f ca="1"/>
        <v>29.3373947954416</v>
      </c>
      <c r="AG7401" s="2">
        <f ca="1"/>
        <v>0.29254561811946456</v>
      </c>
      <c r="AH7401" s="2" t="str">
        <f ca="1"/>
        <v>OK</v>
      </c>
    </row>
    <row r="7402" spans="2:34" x14ac:dyDescent="0.2">
      <c r="B7402" s="2">
        <f ca="1"/>
        <v>0.58589280510330077</v>
      </c>
      <c r="O7402" s="2">
        <f ca="1"/>
        <v>-0.59522201863207402</v>
      </c>
      <c r="X7402" s="2">
        <f ca="1"/>
        <v>43.597260579903327</v>
      </c>
      <c r="AG7402" s="2">
        <f ca="1"/>
        <v>0.87046586358136957</v>
      </c>
      <c r="AH7402" s="2" t="str">
        <f ca="1"/>
        <v>Bad</v>
      </c>
    </row>
    <row r="7403" spans="2:34" x14ac:dyDescent="0.2">
      <c r="B7403" s="2">
        <f ca="1"/>
        <v>0.36186992276687691</v>
      </c>
      <c r="O7403" s="2">
        <f ca="1"/>
        <v>0.96677800607342335</v>
      </c>
      <c r="X7403" s="2">
        <f ca="1"/>
        <v>77.781813957372478</v>
      </c>
      <c r="AG7403" s="2">
        <f ca="1"/>
        <v>0.89189252188077472</v>
      </c>
      <c r="AH7403" s="2" t="str">
        <f ca="1"/>
        <v>Bad</v>
      </c>
    </row>
    <row r="7404" spans="2:34" x14ac:dyDescent="0.2">
      <c r="B7404" s="2">
        <f ca="1"/>
        <v>0.46992169789371263</v>
      </c>
      <c r="O7404" s="2">
        <f ca="1"/>
        <v>-1.0315081343761607</v>
      </c>
      <c r="X7404" s="2">
        <f ca="1"/>
        <v>62.730060489185647</v>
      </c>
      <c r="AG7404" s="2">
        <f ca="1"/>
        <v>0.11025037763499457</v>
      </c>
      <c r="AH7404" s="2" t="str">
        <f ca="1"/>
        <v>OK</v>
      </c>
    </row>
    <row r="7405" spans="2:34" x14ac:dyDescent="0.2">
      <c r="B7405" s="2">
        <f ca="1"/>
        <v>0.60412458423267057</v>
      </c>
      <c r="O7405" s="2">
        <f ca="1"/>
        <v>-1.442915307023344</v>
      </c>
      <c r="X7405" s="2">
        <f ca="1"/>
        <v>71.759795149059585</v>
      </c>
      <c r="AG7405" s="2">
        <f ca="1"/>
        <v>0.63013111770602914</v>
      </c>
      <c r="AH7405" s="2" t="str">
        <f ca="1"/>
        <v>Bad</v>
      </c>
    </row>
    <row r="7406" spans="2:34" x14ac:dyDescent="0.2">
      <c r="B7406" s="2">
        <f ca="1"/>
        <v>0.49440891371058915</v>
      </c>
      <c r="O7406" s="2">
        <f ca="1"/>
        <v>1.2333369363739344</v>
      </c>
      <c r="X7406" s="2">
        <f ca="1"/>
        <v>33.552701621033037</v>
      </c>
      <c r="AG7406" s="2">
        <f ca="1"/>
        <v>0.59315464128963868</v>
      </c>
      <c r="AH7406" s="2" t="str">
        <f ca="1"/>
        <v>Bad</v>
      </c>
    </row>
    <row r="7407" spans="2:34" x14ac:dyDescent="0.2">
      <c r="B7407" s="2">
        <f ca="1"/>
        <v>0.8869462993405941</v>
      </c>
      <c r="O7407" s="2">
        <f ca="1"/>
        <v>-0.50867638398682624</v>
      </c>
      <c r="X7407" s="2">
        <f ca="1"/>
        <v>40.352435994793716</v>
      </c>
      <c r="AG7407" s="2">
        <f ca="1"/>
        <v>0.67100193640882089</v>
      </c>
      <c r="AH7407" s="2" t="str">
        <f ca="1"/>
        <v>Bad</v>
      </c>
    </row>
    <row r="7408" spans="2:34" x14ac:dyDescent="0.2">
      <c r="B7408" s="2">
        <f ca="1"/>
        <v>0.73977900173562472</v>
      </c>
      <c r="O7408" s="2">
        <f ca="1"/>
        <v>2.8838680699801662</v>
      </c>
      <c r="X7408" s="2">
        <f ca="1"/>
        <v>72.635330058296205</v>
      </c>
      <c r="AG7408" s="2">
        <f ca="1"/>
        <v>0.69494791069317086</v>
      </c>
      <c r="AH7408" s="2" t="str">
        <f ca="1"/>
        <v>Bad</v>
      </c>
    </row>
    <row r="7409" spans="2:34" x14ac:dyDescent="0.2">
      <c r="B7409" s="2">
        <f ca="1"/>
        <v>0.3668906335623956</v>
      </c>
      <c r="O7409" s="2">
        <f ca="1"/>
        <v>3.7351543066064731E-2</v>
      </c>
      <c r="X7409" s="2">
        <f ca="1"/>
        <v>40.549028952846896</v>
      </c>
      <c r="AG7409" s="2">
        <f ca="1"/>
        <v>0.32154163615048525</v>
      </c>
      <c r="AH7409" s="2" t="str">
        <f ca="1"/>
        <v>OK</v>
      </c>
    </row>
    <row r="7410" spans="2:34" x14ac:dyDescent="0.2">
      <c r="B7410" s="2">
        <f ca="1"/>
        <v>0.62862775070084198</v>
      </c>
      <c r="O7410" s="2">
        <f ca="1"/>
        <v>-0.60832873260687048</v>
      </c>
      <c r="X7410" s="2">
        <f ca="1"/>
        <v>62.786701199553249</v>
      </c>
      <c r="AG7410" s="2">
        <f ca="1"/>
        <v>0.11930722438647101</v>
      </c>
      <c r="AH7410" s="2" t="str">
        <f ca="1"/>
        <v>OK</v>
      </c>
    </row>
    <row r="7411" spans="2:34" x14ac:dyDescent="0.2">
      <c r="B7411" s="2">
        <f ca="1"/>
        <v>0.59347633921932608</v>
      </c>
      <c r="O7411" s="2">
        <f ca="1"/>
        <v>0.14112024741437942</v>
      </c>
      <c r="X7411" s="2">
        <f ca="1"/>
        <v>34.003500021833837</v>
      </c>
      <c r="AG7411" s="2">
        <f ca="1"/>
        <v>0.65706310603092866</v>
      </c>
      <c r="AH7411" s="2" t="str">
        <f ca="1"/>
        <v>Bad</v>
      </c>
    </row>
    <row r="7412" spans="2:34" x14ac:dyDescent="0.2">
      <c r="B7412" s="2">
        <f ca="1"/>
        <v>0.10185389837163505</v>
      </c>
      <c r="O7412" s="2">
        <f ca="1"/>
        <v>3.3832202587962254E-2</v>
      </c>
      <c r="X7412" s="2">
        <f ca="1"/>
        <v>71.76767603578412</v>
      </c>
      <c r="AG7412" s="2">
        <f ca="1"/>
        <v>0.3836320743883066</v>
      </c>
      <c r="AH7412" s="2" t="str">
        <f ca="1"/>
        <v>OK</v>
      </c>
    </row>
    <row r="7413" spans="2:34" x14ac:dyDescent="0.2">
      <c r="B7413" s="2">
        <f ca="1"/>
        <v>0.46365967333749647</v>
      </c>
      <c r="O7413" s="2">
        <f ca="1"/>
        <v>1.1218847385970361</v>
      </c>
      <c r="X7413" s="2">
        <f ca="1"/>
        <v>44.276475827810017</v>
      </c>
      <c r="AG7413" s="2">
        <f ca="1"/>
        <v>0.70407219408772614</v>
      </c>
      <c r="AH7413" s="2" t="str">
        <f ca="1"/>
        <v>Bad</v>
      </c>
    </row>
    <row r="7414" spans="2:34" x14ac:dyDescent="0.2">
      <c r="B7414" s="2">
        <f ca="1"/>
        <v>0.69845472522531149</v>
      </c>
      <c r="O7414" s="2">
        <f ca="1"/>
        <v>1.4205239053452823</v>
      </c>
      <c r="X7414" s="2">
        <f ca="1"/>
        <v>36.300595263245853</v>
      </c>
      <c r="AG7414" s="2">
        <f ca="1"/>
        <v>0.14848575360777327</v>
      </c>
      <c r="AH7414" s="2" t="str">
        <f ca="1"/>
        <v>OK</v>
      </c>
    </row>
    <row r="7415" spans="2:34" x14ac:dyDescent="0.2">
      <c r="B7415" s="2">
        <f ca="1"/>
        <v>0.69786773270186586</v>
      </c>
      <c r="O7415" s="2">
        <f ca="1"/>
        <v>-0.94320852141050637</v>
      </c>
      <c r="X7415" s="2">
        <f ca="1"/>
        <v>70.368416676634538</v>
      </c>
      <c r="AG7415" s="2">
        <f ca="1"/>
        <v>0.56277614865242298</v>
      </c>
      <c r="AH7415" s="2" t="str">
        <f ca="1"/>
        <v>Bad</v>
      </c>
    </row>
    <row r="7416" spans="2:34" x14ac:dyDescent="0.2">
      <c r="B7416" s="2">
        <f ca="1"/>
        <v>0.73451709679281962</v>
      </c>
      <c r="O7416" s="2">
        <f ca="1"/>
        <v>0.22497435152125334</v>
      </c>
      <c r="X7416" s="2">
        <f ca="1"/>
        <v>68.245996979333427</v>
      </c>
      <c r="AG7416" s="2">
        <f ca="1"/>
        <v>0.21873471103702036</v>
      </c>
      <c r="AH7416" s="2" t="str">
        <f ca="1"/>
        <v>OK</v>
      </c>
    </row>
    <row r="7417" spans="2:34" x14ac:dyDescent="0.2">
      <c r="B7417" s="2">
        <f ca="1"/>
        <v>0.2249384195521833</v>
      </c>
      <c r="O7417" s="2">
        <f ca="1"/>
        <v>1.6023235447538984</v>
      </c>
      <c r="X7417" s="2">
        <f ca="1"/>
        <v>23.050387401177886</v>
      </c>
      <c r="AG7417" s="2">
        <f ca="1"/>
        <v>0.46313235096510752</v>
      </c>
      <c r="AH7417" s="2" t="str">
        <f ca="1"/>
        <v>Bad</v>
      </c>
    </row>
    <row r="7418" spans="2:34" x14ac:dyDescent="0.2">
      <c r="B7418" s="2">
        <f ca="1"/>
        <v>0.94254999513732263</v>
      </c>
      <c r="O7418" s="2">
        <f ca="1"/>
        <v>1.1429004876200071</v>
      </c>
      <c r="X7418" s="2">
        <f ca="1"/>
        <v>64.8754599186381</v>
      </c>
      <c r="AG7418" s="2">
        <f ca="1"/>
        <v>5.0535927320266349E-2</v>
      </c>
      <c r="AH7418" s="2" t="str">
        <f ca="1"/>
        <v>OK</v>
      </c>
    </row>
    <row r="7419" spans="2:34" x14ac:dyDescent="0.2">
      <c r="B7419" s="2">
        <f ca="1"/>
        <v>0.69315827700638999</v>
      </c>
      <c r="O7419" s="2">
        <f ca="1"/>
        <v>1.1072067954808344</v>
      </c>
      <c r="X7419" s="2">
        <f ca="1"/>
        <v>31.564264765405458</v>
      </c>
      <c r="AG7419" s="2">
        <f ca="1"/>
        <v>0.51512748669454811</v>
      </c>
      <c r="AH7419" s="2" t="str">
        <f ca="1"/>
        <v>Bad</v>
      </c>
    </row>
    <row r="7420" spans="2:34" x14ac:dyDescent="0.2">
      <c r="B7420" s="2">
        <f ca="1"/>
        <v>4.4006738231187281E-2</v>
      </c>
      <c r="O7420" s="2">
        <f ca="1"/>
        <v>-0.58959538243299769</v>
      </c>
      <c r="X7420" s="2">
        <f ca="1"/>
        <v>41.629962106526818</v>
      </c>
      <c r="AG7420" s="2">
        <f ca="1"/>
        <v>0.27918519161451427</v>
      </c>
      <c r="AH7420" s="2" t="str">
        <f ca="1"/>
        <v>OK</v>
      </c>
    </row>
    <row r="7421" spans="2:34" x14ac:dyDescent="0.2">
      <c r="B7421" s="2">
        <f ca="1"/>
        <v>1.4887872829619786E-2</v>
      </c>
      <c r="O7421" s="2">
        <f ca="1"/>
        <v>0.62231989828468726</v>
      </c>
      <c r="X7421" s="2">
        <f ca="1"/>
        <v>23.38162037858439</v>
      </c>
      <c r="AG7421" s="2">
        <f ca="1"/>
        <v>0.65737268849102382</v>
      </c>
      <c r="AH7421" s="2" t="str">
        <f ca="1"/>
        <v>Bad</v>
      </c>
    </row>
    <row r="7422" spans="2:34" x14ac:dyDescent="0.2">
      <c r="B7422" s="2">
        <f ca="1"/>
        <v>0.45700270543980692</v>
      </c>
      <c r="O7422" s="2">
        <f ca="1"/>
        <v>-0.66322066180470396</v>
      </c>
      <c r="X7422" s="2">
        <f ca="1"/>
        <v>50.306191237978844</v>
      </c>
      <c r="AG7422" s="2">
        <f ca="1"/>
        <v>0.28527140840973342</v>
      </c>
      <c r="AH7422" s="2" t="str">
        <f ca="1"/>
        <v>OK</v>
      </c>
    </row>
    <row r="7423" spans="2:34" x14ac:dyDescent="0.2">
      <c r="B7423" s="2">
        <f ca="1"/>
        <v>0.59059459822500693</v>
      </c>
      <c r="O7423" s="2">
        <f ca="1"/>
        <v>-1.4525313298195111</v>
      </c>
      <c r="X7423" s="2">
        <f ca="1"/>
        <v>50.324337635729819</v>
      </c>
      <c r="AG7423" s="2">
        <f ca="1"/>
        <v>0.86164722443209385</v>
      </c>
      <c r="AH7423" s="2" t="str">
        <f ca="1"/>
        <v>Bad</v>
      </c>
    </row>
    <row r="7424" spans="2:34" x14ac:dyDescent="0.2">
      <c r="B7424" s="2">
        <f ca="1"/>
        <v>2.9779138592354704E-2</v>
      </c>
      <c r="O7424" s="2">
        <f ca="1"/>
        <v>-0.24147084896605156</v>
      </c>
      <c r="X7424" s="2">
        <f ca="1"/>
        <v>31.691397701855717</v>
      </c>
      <c r="AG7424" s="2">
        <f ca="1"/>
        <v>0.91089107121751578</v>
      </c>
      <c r="AH7424" s="2" t="str">
        <f ca="1"/>
        <v>Bad</v>
      </c>
    </row>
    <row r="7425" spans="2:34" x14ac:dyDescent="0.2">
      <c r="B7425" s="2">
        <f ca="1"/>
        <v>0.32783144033902301</v>
      </c>
      <c r="O7425" s="2">
        <f ca="1"/>
        <v>1.4682557288124785</v>
      </c>
      <c r="X7425" s="2">
        <f ca="1"/>
        <v>38.605455356286484</v>
      </c>
      <c r="AG7425" s="2">
        <f ca="1"/>
        <v>0.26429717347313741</v>
      </c>
      <c r="AH7425" s="2" t="str">
        <f ca="1"/>
        <v>OK</v>
      </c>
    </row>
    <row r="7426" spans="2:34" x14ac:dyDescent="0.2">
      <c r="B7426" s="2">
        <f ca="1"/>
        <v>0.92463720892570356</v>
      </c>
      <c r="O7426" s="2">
        <f ca="1"/>
        <v>0.20205795484293829</v>
      </c>
      <c r="X7426" s="2">
        <f ca="1"/>
        <v>43.605694624684837</v>
      </c>
      <c r="AG7426" s="2">
        <f ca="1"/>
        <v>1.0185828990765033E-2</v>
      </c>
      <c r="AH7426" s="2" t="str">
        <f ca="1"/>
        <v>Good</v>
      </c>
    </row>
    <row r="7427" spans="2:34" x14ac:dyDescent="0.2">
      <c r="B7427" s="2">
        <f ca="1"/>
        <v>0.13625608006151091</v>
      </c>
      <c r="O7427" s="2">
        <f ca="1"/>
        <v>0.46184337905713252</v>
      </c>
      <c r="X7427" s="2">
        <f ca="1"/>
        <v>16.553789075046804</v>
      </c>
      <c r="AG7427" s="2">
        <f ca="1"/>
        <v>0.18914263293101707</v>
      </c>
      <c r="AH7427" s="2" t="str">
        <f ca="1"/>
        <v>OK</v>
      </c>
    </row>
    <row r="7428" spans="2:34" x14ac:dyDescent="0.2">
      <c r="B7428" s="2">
        <f ca="1"/>
        <v>0.31163363434083458</v>
      </c>
      <c r="O7428" s="2">
        <f ca="1"/>
        <v>-1.34659805894602</v>
      </c>
      <c r="X7428" s="2">
        <f ca="1"/>
        <v>68.453611327985996</v>
      </c>
      <c r="AG7428" s="2">
        <f ca="1"/>
        <v>0.69905121021588834</v>
      </c>
      <c r="AH7428" s="2" t="str">
        <f ca="1"/>
        <v>Bad</v>
      </c>
    </row>
    <row r="7429" spans="2:34" x14ac:dyDescent="0.2">
      <c r="B7429" s="2">
        <f ca="1"/>
        <v>0.35925076296388836</v>
      </c>
      <c r="O7429" s="2">
        <f ca="1"/>
        <v>-1.1265338137927412</v>
      </c>
      <c r="X7429" s="2">
        <f ca="1"/>
        <v>65.897612291688731</v>
      </c>
      <c r="AG7429" s="2">
        <f ca="1"/>
        <v>0.85527861815134232</v>
      </c>
      <c r="AH7429" s="2" t="str">
        <f ca="1"/>
        <v>Bad</v>
      </c>
    </row>
    <row r="7430" spans="2:34" x14ac:dyDescent="0.2">
      <c r="B7430" s="2">
        <f ca="1"/>
        <v>0.17049561439333805</v>
      </c>
      <c r="O7430" s="2">
        <f ca="1"/>
        <v>-0.42523314101573489</v>
      </c>
      <c r="X7430" s="2">
        <f ca="1"/>
        <v>42.683135200096494</v>
      </c>
      <c r="AG7430" s="2">
        <f ca="1"/>
        <v>0.12997174371350906</v>
      </c>
      <c r="AH7430" s="2" t="str">
        <f ca="1"/>
        <v>OK</v>
      </c>
    </row>
    <row r="7431" spans="2:34" x14ac:dyDescent="0.2">
      <c r="B7431" s="2">
        <f ca="1"/>
        <v>0.90152419255037763</v>
      </c>
      <c r="O7431" s="2">
        <f ca="1"/>
        <v>1.5759037688564512</v>
      </c>
      <c r="X7431" s="2">
        <f ca="1"/>
        <v>25.807282571777876</v>
      </c>
      <c r="AG7431" s="2">
        <f ca="1"/>
        <v>0.82583391457874167</v>
      </c>
      <c r="AH7431" s="2" t="str">
        <f ca="1"/>
        <v>Bad</v>
      </c>
    </row>
    <row r="7432" spans="2:34" x14ac:dyDescent="0.2">
      <c r="B7432" s="2">
        <f ca="1"/>
        <v>0.43512152180591102</v>
      </c>
      <c r="O7432" s="2">
        <f ca="1"/>
        <v>0.20173740196499035</v>
      </c>
      <c r="X7432" s="2">
        <f ca="1"/>
        <v>63.168040594389154</v>
      </c>
      <c r="AG7432" s="2">
        <f ca="1"/>
        <v>0.70856602718306094</v>
      </c>
      <c r="AH7432" s="2" t="str">
        <f ca="1"/>
        <v>Bad</v>
      </c>
    </row>
    <row r="7433" spans="2:34" x14ac:dyDescent="0.2">
      <c r="B7433" s="2">
        <f ca="1"/>
        <v>0.19645352249507497</v>
      </c>
      <c r="O7433" s="2">
        <f ca="1"/>
        <v>0.26964636983589219</v>
      </c>
      <c r="X7433" s="2">
        <f ca="1"/>
        <v>51.372110037108747</v>
      </c>
      <c r="AG7433" s="2">
        <f ca="1"/>
        <v>0.31964246888950321</v>
      </c>
      <c r="AH7433" s="2" t="str">
        <f ca="1"/>
        <v>OK</v>
      </c>
    </row>
    <row r="7434" spans="2:34" x14ac:dyDescent="0.2">
      <c r="B7434" s="2">
        <f ca="1"/>
        <v>0.31981790987555847</v>
      </c>
      <c r="O7434" s="2">
        <f ca="1"/>
        <v>1.0300229230861464</v>
      </c>
      <c r="X7434" s="2">
        <f ca="1"/>
        <v>39.42790864925756</v>
      </c>
      <c r="AG7434" s="2">
        <f ca="1"/>
        <v>0.46642284992210481</v>
      </c>
      <c r="AH7434" s="2" t="str">
        <f ca="1"/>
        <v>Bad</v>
      </c>
    </row>
    <row r="7435" spans="2:34" x14ac:dyDescent="0.2">
      <c r="B7435" s="2">
        <f ca="1"/>
        <v>0.45946303203303107</v>
      </c>
      <c r="O7435" s="2">
        <f ca="1"/>
        <v>0.28153977715497736</v>
      </c>
      <c r="X7435" s="2">
        <f ca="1"/>
        <v>42.802591304163037</v>
      </c>
      <c r="AG7435" s="2">
        <f ca="1"/>
        <v>0.7136738118732584</v>
      </c>
      <c r="AH7435" s="2" t="str">
        <f ca="1"/>
        <v>Bad</v>
      </c>
    </row>
    <row r="7436" spans="2:34" x14ac:dyDescent="0.2">
      <c r="B7436" s="2">
        <f ca="1"/>
        <v>0.52501307655185703</v>
      </c>
      <c r="O7436" s="2">
        <f ca="1"/>
        <v>-1.552373469339738</v>
      </c>
      <c r="X7436" s="2">
        <f ca="1"/>
        <v>43.663062026123647</v>
      </c>
      <c r="AG7436" s="2">
        <f ca="1"/>
        <v>0.48493713331147115</v>
      </c>
      <c r="AH7436" s="2" t="str">
        <f ca="1"/>
        <v>Bad</v>
      </c>
    </row>
    <row r="7437" spans="2:34" x14ac:dyDescent="0.2">
      <c r="B7437" s="2">
        <f ca="1"/>
        <v>0.31397450762339663</v>
      </c>
      <c r="O7437" s="2">
        <f ca="1"/>
        <v>0.38620255796911557</v>
      </c>
      <c r="X7437" s="2">
        <f ca="1"/>
        <v>53.824251371039431</v>
      </c>
      <c r="AG7437" s="2">
        <f ca="1"/>
        <v>3.3935638986622774E-2</v>
      </c>
      <c r="AH7437" s="2" t="str">
        <f ca="1"/>
        <v>Good</v>
      </c>
    </row>
    <row r="7438" spans="2:34" x14ac:dyDescent="0.2">
      <c r="B7438" s="2">
        <f ca="1"/>
        <v>0.43439756636661575</v>
      </c>
      <c r="O7438" s="2">
        <f ca="1"/>
        <v>0.13139586902496661</v>
      </c>
      <c r="X7438" s="2">
        <f ca="1"/>
        <v>55.294174627065651</v>
      </c>
      <c r="AG7438" s="2">
        <f ca="1"/>
        <v>0.2762230093937128</v>
      </c>
      <c r="AH7438" s="2" t="str">
        <f ca="1"/>
        <v>OK</v>
      </c>
    </row>
    <row r="7439" spans="2:34" x14ac:dyDescent="0.2">
      <c r="B7439" s="2">
        <f ca="1"/>
        <v>0.74694438024435628</v>
      </c>
      <c r="O7439" s="2">
        <f ca="1"/>
        <v>0.24560532552796199</v>
      </c>
      <c r="X7439" s="2">
        <f ca="1"/>
        <v>43.693255082401507</v>
      </c>
      <c r="AG7439" s="2">
        <f ca="1"/>
        <v>0.50051171605846401</v>
      </c>
      <c r="AH7439" s="2" t="str">
        <f ca="1"/>
        <v>Bad</v>
      </c>
    </row>
    <row r="7440" spans="2:34" x14ac:dyDescent="0.2">
      <c r="B7440" s="2">
        <f ca="1"/>
        <v>9.0579730728954422E-2</v>
      </c>
      <c r="O7440" s="2">
        <f ca="1"/>
        <v>0.70719700712102929</v>
      </c>
      <c r="X7440" s="2">
        <f ca="1"/>
        <v>47.631725076695815</v>
      </c>
      <c r="AG7440" s="2">
        <f ca="1"/>
        <v>0.16645914601729883</v>
      </c>
      <c r="AH7440" s="2" t="str">
        <f ca="1"/>
        <v>OK</v>
      </c>
    </row>
    <row r="7441" spans="2:34" x14ac:dyDescent="0.2">
      <c r="B7441" s="2">
        <f ca="1"/>
        <v>0.52782656077374979</v>
      </c>
      <c r="O7441" s="2">
        <f ca="1"/>
        <v>1.6114040082569523</v>
      </c>
      <c r="X7441" s="2">
        <f ca="1"/>
        <v>62.165871653908383</v>
      </c>
      <c r="AG7441" s="2">
        <f ca="1"/>
        <v>0.30648111186859106</v>
      </c>
      <c r="AH7441" s="2" t="str">
        <f ca="1"/>
        <v>OK</v>
      </c>
    </row>
    <row r="7442" spans="2:34" x14ac:dyDescent="0.2">
      <c r="B7442" s="2">
        <f ca="1"/>
        <v>0.2075881003115343</v>
      </c>
      <c r="O7442" s="2">
        <f ca="1"/>
        <v>1.604320813688884</v>
      </c>
      <c r="X7442" s="2">
        <f ca="1"/>
        <v>45.178636139198538</v>
      </c>
      <c r="AG7442" s="2">
        <f ca="1"/>
        <v>0.18154745832906682</v>
      </c>
      <c r="AH7442" s="2" t="str">
        <f ca="1"/>
        <v>OK</v>
      </c>
    </row>
    <row r="7443" spans="2:34" x14ac:dyDescent="0.2">
      <c r="B7443" s="2">
        <f ca="1"/>
        <v>0.9478016024392597</v>
      </c>
      <c r="O7443" s="2">
        <f ca="1"/>
        <v>-1.4389697137709434</v>
      </c>
      <c r="X7443" s="2">
        <f ca="1"/>
        <v>38.727695754076663</v>
      </c>
      <c r="AG7443" s="2">
        <f ca="1"/>
        <v>0.9698166773641248</v>
      </c>
      <c r="AH7443" s="2" t="str">
        <f ca="1"/>
        <v>Bad</v>
      </c>
    </row>
    <row r="7444" spans="2:34" x14ac:dyDescent="0.2">
      <c r="B7444" s="2">
        <f ca="1"/>
        <v>3.2967749759402087E-2</v>
      </c>
      <c r="O7444" s="2">
        <f ca="1"/>
        <v>0.99683596154309317</v>
      </c>
      <c r="X7444" s="2">
        <f ca="1"/>
        <v>65.867133894385091</v>
      </c>
      <c r="AG7444" s="2">
        <f ca="1"/>
        <v>2.8706020223569606E-2</v>
      </c>
      <c r="AH7444" s="2" t="str">
        <f ca="1"/>
        <v>Good</v>
      </c>
    </row>
    <row r="7445" spans="2:34" x14ac:dyDescent="0.2">
      <c r="B7445" s="2">
        <f ca="1"/>
        <v>0.32676478922728402</v>
      </c>
      <c r="O7445" s="2">
        <f ca="1"/>
        <v>0.42192820925223706</v>
      </c>
      <c r="X7445" s="2">
        <f ca="1"/>
        <v>32.768273852089308</v>
      </c>
      <c r="AG7445" s="2">
        <f ca="1"/>
        <v>0.95924933319199845</v>
      </c>
      <c r="AH7445" s="2" t="str">
        <f ca="1"/>
        <v>Bad</v>
      </c>
    </row>
    <row r="7446" spans="2:34" x14ac:dyDescent="0.2">
      <c r="B7446" s="2">
        <f ca="1"/>
        <v>3.5038184187109023E-2</v>
      </c>
      <c r="O7446" s="2">
        <f ca="1"/>
        <v>3.0736898442220596E-2</v>
      </c>
      <c r="X7446" s="2">
        <f ca="1"/>
        <v>42.106582832159127</v>
      </c>
      <c r="AG7446" s="2">
        <f ca="1"/>
        <v>0.92845625813706523</v>
      </c>
      <c r="AH7446" s="2" t="str">
        <f ca="1"/>
        <v>Bad</v>
      </c>
    </row>
    <row r="7447" spans="2:34" x14ac:dyDescent="0.2">
      <c r="B7447" s="2">
        <f ca="1"/>
        <v>3.1893712212229808E-3</v>
      </c>
      <c r="O7447" s="2">
        <f ca="1"/>
        <v>0.62885605365667596</v>
      </c>
      <c r="X7447" s="2">
        <f ca="1"/>
        <v>82.019129785589868</v>
      </c>
      <c r="AG7447" s="2">
        <f ca="1"/>
        <v>0.78254641393078961</v>
      </c>
      <c r="AH7447" s="2" t="str">
        <f ca="1"/>
        <v>Bad</v>
      </c>
    </row>
    <row r="7448" spans="2:34" x14ac:dyDescent="0.2">
      <c r="B7448" s="2">
        <f ca="1"/>
        <v>0.12999825870626669</v>
      </c>
      <c r="O7448" s="2">
        <f ca="1"/>
        <v>-0.61538410965629398</v>
      </c>
      <c r="X7448" s="2">
        <f ca="1"/>
        <v>29.616302596133977</v>
      </c>
      <c r="AG7448" s="2">
        <f ca="1"/>
        <v>0.83233745831496719</v>
      </c>
      <c r="AH7448" s="2" t="str">
        <f ca="1"/>
        <v>Bad</v>
      </c>
    </row>
    <row r="7449" spans="2:34" x14ac:dyDescent="0.2">
      <c r="B7449" s="2">
        <f ca="1"/>
        <v>0.84507172143004805</v>
      </c>
      <c r="O7449" s="2">
        <f ca="1"/>
        <v>0.13956509940329115</v>
      </c>
      <c r="X7449" s="2">
        <f ca="1"/>
        <v>48.139890611889378</v>
      </c>
      <c r="AG7449" s="2">
        <f ca="1"/>
        <v>4.298629385997188E-2</v>
      </c>
      <c r="AH7449" s="2" t="str">
        <f ca="1"/>
        <v>Good</v>
      </c>
    </row>
    <row r="7450" spans="2:34" x14ac:dyDescent="0.2">
      <c r="B7450" s="2">
        <f ca="1"/>
        <v>0.68715799257197352</v>
      </c>
      <c r="O7450" s="2">
        <f ca="1"/>
        <v>1.2144117421745362</v>
      </c>
      <c r="X7450" s="2">
        <f ca="1"/>
        <v>44.314600299553284</v>
      </c>
      <c r="AG7450" s="2">
        <f ca="1"/>
        <v>0.10510286774034738</v>
      </c>
      <c r="AH7450" s="2" t="str">
        <f ca="1"/>
        <v>OK</v>
      </c>
    </row>
    <row r="7451" spans="2:34" x14ac:dyDescent="0.2">
      <c r="B7451" s="2">
        <f ca="1"/>
        <v>0.29413259716237583</v>
      </c>
      <c r="O7451" s="2">
        <f ca="1"/>
        <v>-0.91714907368435628</v>
      </c>
      <c r="X7451" s="2">
        <f ca="1"/>
        <v>58.096182232758416</v>
      </c>
      <c r="AG7451" s="2">
        <f ca="1"/>
        <v>0.59239565518292792</v>
      </c>
      <c r="AH7451" s="2" t="str">
        <f ca="1"/>
        <v>Bad</v>
      </c>
    </row>
    <row r="7452" spans="2:34" x14ac:dyDescent="0.2">
      <c r="B7452" s="2">
        <f ca="1"/>
        <v>0.75723008891090937</v>
      </c>
      <c r="O7452" s="2">
        <f ca="1"/>
        <v>-0.48451734945629787</v>
      </c>
      <c r="X7452" s="2">
        <f ca="1"/>
        <v>40.715747601136663</v>
      </c>
      <c r="AG7452" s="2">
        <f ca="1"/>
        <v>0.59350056249630634</v>
      </c>
      <c r="AH7452" s="2" t="str">
        <f ca="1"/>
        <v>Bad</v>
      </c>
    </row>
    <row r="7453" spans="2:34" x14ac:dyDescent="0.2">
      <c r="B7453" s="2">
        <f ca="1"/>
        <v>0.70085727069389603</v>
      </c>
      <c r="O7453" s="2">
        <f ca="1"/>
        <v>1.0143151131733197</v>
      </c>
      <c r="X7453" s="2">
        <f ca="1"/>
        <v>40.742478057168697</v>
      </c>
      <c r="AG7453" s="2">
        <f ca="1"/>
        <v>0.97238073361375954</v>
      </c>
      <c r="AH7453" s="2" t="str">
        <f ca="1"/>
        <v>Bad</v>
      </c>
    </row>
    <row r="7454" spans="2:34" x14ac:dyDescent="0.2">
      <c r="B7454" s="2">
        <f ca="1"/>
        <v>0.31420811987178343</v>
      </c>
      <c r="O7454" s="2">
        <f ca="1"/>
        <v>0.76372197074053338</v>
      </c>
      <c r="X7454" s="2">
        <f ca="1"/>
        <v>72.743252260747397</v>
      </c>
      <c r="AG7454" s="2">
        <f ca="1"/>
        <v>9.4955802030564751E-2</v>
      </c>
      <c r="AH7454" s="2" t="str">
        <f ca="1"/>
        <v>OK</v>
      </c>
    </row>
    <row r="7455" spans="2:34" x14ac:dyDescent="0.2">
      <c r="B7455" s="2">
        <f ca="1"/>
        <v>0.89970880990161084</v>
      </c>
      <c r="O7455" s="2">
        <f ca="1"/>
        <v>-1.0208174764121185</v>
      </c>
      <c r="X7455" s="2">
        <f ca="1"/>
        <v>52.169095649229085</v>
      </c>
      <c r="AG7455" s="2">
        <f ca="1"/>
        <v>0.69218448491379858</v>
      </c>
      <c r="AH7455" s="2" t="str">
        <f ca="1"/>
        <v>Bad</v>
      </c>
    </row>
    <row r="7456" spans="2:34" x14ac:dyDescent="0.2">
      <c r="B7456" s="2">
        <f ca="1"/>
        <v>0.4237223241008603</v>
      </c>
      <c r="O7456" s="2">
        <f ca="1"/>
        <v>1.0518998312581094</v>
      </c>
      <c r="X7456" s="2">
        <f ca="1"/>
        <v>29.097210794842368</v>
      </c>
      <c r="AG7456" s="2">
        <f ca="1"/>
        <v>0.82054013248745639</v>
      </c>
      <c r="AH7456" s="2" t="str">
        <f ca="1"/>
        <v>Bad</v>
      </c>
    </row>
    <row r="7457" spans="2:34" x14ac:dyDescent="0.2">
      <c r="B7457" s="2">
        <f ca="1"/>
        <v>0.55781103304532786</v>
      </c>
      <c r="O7457" s="2">
        <f ca="1"/>
        <v>-1.1715058424036859</v>
      </c>
      <c r="X7457" s="2">
        <f ca="1"/>
        <v>40.057189938500784</v>
      </c>
      <c r="AG7457" s="2">
        <f ca="1"/>
        <v>0.63266558441850673</v>
      </c>
      <c r="AH7457" s="2" t="str">
        <f ca="1"/>
        <v>Bad</v>
      </c>
    </row>
    <row r="7458" spans="2:34" x14ac:dyDescent="0.2">
      <c r="B7458" s="2">
        <f ca="1"/>
        <v>0.99183253854376852</v>
      </c>
      <c r="O7458" s="2">
        <f ca="1"/>
        <v>0.5623017215683096</v>
      </c>
      <c r="X7458" s="2">
        <f ca="1"/>
        <v>62.353173649095986</v>
      </c>
      <c r="AG7458" s="2">
        <f ca="1"/>
        <v>0.77703857150722033</v>
      </c>
      <c r="AH7458" s="2" t="str">
        <f ca="1"/>
        <v>Bad</v>
      </c>
    </row>
    <row r="7459" spans="2:34" x14ac:dyDescent="0.2">
      <c r="B7459" s="2">
        <f ca="1"/>
        <v>0.84565977193647823</v>
      </c>
      <c r="O7459" s="2">
        <f ca="1"/>
        <v>1.5508390049480958</v>
      </c>
      <c r="X7459" s="2">
        <f ca="1"/>
        <v>43.966020908311606</v>
      </c>
      <c r="AG7459" s="2">
        <f ca="1"/>
        <v>0.71227959326486623</v>
      </c>
      <c r="AH7459" s="2" t="str">
        <f ca="1"/>
        <v>Bad</v>
      </c>
    </row>
    <row r="7460" spans="2:34" x14ac:dyDescent="0.2">
      <c r="B7460" s="2">
        <f ca="1"/>
        <v>0.96496636727166463</v>
      </c>
      <c r="O7460" s="2">
        <f ca="1"/>
        <v>-3.0103224371229163E-2</v>
      </c>
      <c r="X7460" s="2">
        <f ca="1"/>
        <v>60.566297636619581</v>
      </c>
      <c r="AG7460" s="2">
        <f ca="1"/>
        <v>0.89898629666111707</v>
      </c>
      <c r="AH7460" s="2" t="str">
        <f ca="1"/>
        <v>Bad</v>
      </c>
    </row>
    <row r="7461" spans="2:34" x14ac:dyDescent="0.2">
      <c r="B7461" s="2">
        <f ca="1"/>
        <v>0.5360104614222756</v>
      </c>
      <c r="O7461" s="2">
        <f ca="1"/>
        <v>0.68293324884323059</v>
      </c>
      <c r="X7461" s="2">
        <f ca="1"/>
        <v>44.359616093801407</v>
      </c>
      <c r="AG7461" s="2">
        <f ca="1"/>
        <v>0.52731355451804673</v>
      </c>
      <c r="AH7461" s="2" t="str">
        <f ca="1"/>
        <v>Bad</v>
      </c>
    </row>
    <row r="7462" spans="2:34" x14ac:dyDescent="0.2">
      <c r="B7462" s="2">
        <f ca="1"/>
        <v>0.28249140095801151</v>
      </c>
      <c r="O7462" s="2">
        <f ca="1"/>
        <v>-1.2145753386086808</v>
      </c>
      <c r="X7462" s="2">
        <f ca="1"/>
        <v>54.307230186347908</v>
      </c>
      <c r="AG7462" s="2">
        <f ca="1"/>
        <v>2.8402389864007782E-2</v>
      </c>
      <c r="AH7462" s="2" t="str">
        <f ca="1"/>
        <v>Good</v>
      </c>
    </row>
    <row r="7463" spans="2:34" x14ac:dyDescent="0.2">
      <c r="B7463" s="2">
        <f ca="1"/>
        <v>0.63465671481702279</v>
      </c>
      <c r="O7463" s="2">
        <f ca="1"/>
        <v>-0.48319939426479924</v>
      </c>
      <c r="X7463" s="2">
        <f ca="1"/>
        <v>47.704659300040078</v>
      </c>
      <c r="AG7463" s="2">
        <f ca="1"/>
        <v>0.93794319791513492</v>
      </c>
      <c r="AH7463" s="2" t="str">
        <f ca="1"/>
        <v>Bad</v>
      </c>
    </row>
    <row r="7464" spans="2:34" x14ac:dyDescent="0.2">
      <c r="B7464" s="2">
        <f ca="1"/>
        <v>0.81272297028483176</v>
      </c>
      <c r="O7464" s="2">
        <f ca="1"/>
        <v>0.96437512751229193</v>
      </c>
      <c r="X7464" s="2">
        <f ca="1"/>
        <v>74.828176163533229</v>
      </c>
      <c r="AG7464" s="2">
        <f ca="1"/>
        <v>0.79399121660652172</v>
      </c>
      <c r="AH7464" s="2" t="str">
        <f ca="1"/>
        <v>Bad</v>
      </c>
    </row>
    <row r="7465" spans="2:34" x14ac:dyDescent="0.2">
      <c r="B7465" s="2">
        <f ca="1"/>
        <v>0.68413279718624209</v>
      </c>
      <c r="O7465" s="2">
        <f ca="1"/>
        <v>1.1303721292609463</v>
      </c>
      <c r="X7465" s="2">
        <f ca="1"/>
        <v>50.252377104439397</v>
      </c>
      <c r="AG7465" s="2">
        <f ca="1"/>
        <v>0.36891641832921529</v>
      </c>
      <c r="AH7465" s="2" t="str">
        <f ca="1"/>
        <v>OK</v>
      </c>
    </row>
    <row r="7466" spans="2:34" x14ac:dyDescent="0.2">
      <c r="B7466" s="2">
        <f ca="1"/>
        <v>0.26176851266267809</v>
      </c>
      <c r="O7466" s="2">
        <f ca="1"/>
        <v>0.72926090699720636</v>
      </c>
      <c r="X7466" s="2">
        <f ca="1"/>
        <v>56.466048192178881</v>
      </c>
      <c r="AG7466" s="2">
        <f ca="1"/>
        <v>0.88748680372215949</v>
      </c>
      <c r="AH7466" s="2" t="str">
        <f ca="1"/>
        <v>Bad</v>
      </c>
    </row>
    <row r="7467" spans="2:34" x14ac:dyDescent="0.2">
      <c r="B7467" s="2">
        <f ca="1"/>
        <v>0.69845977904440981</v>
      </c>
      <c r="O7467" s="2">
        <f ca="1"/>
        <v>-1.1318550007548009</v>
      </c>
      <c r="X7467" s="2">
        <f ca="1"/>
        <v>70.998556730442274</v>
      </c>
      <c r="AG7467" s="2">
        <f ca="1"/>
        <v>0.45806347899699285</v>
      </c>
      <c r="AH7467" s="2" t="str">
        <f ca="1"/>
        <v>Bad</v>
      </c>
    </row>
    <row r="7468" spans="2:34" x14ac:dyDescent="0.2">
      <c r="B7468" s="2">
        <f ca="1"/>
        <v>1.8557551125963911E-4</v>
      </c>
      <c r="O7468" s="2">
        <f ca="1"/>
        <v>-0.11788134281738223</v>
      </c>
      <c r="X7468" s="2">
        <f ca="1"/>
        <v>99.780061903652665</v>
      </c>
      <c r="AG7468" s="2">
        <f ca="1"/>
        <v>0.30180225732936616</v>
      </c>
      <c r="AH7468" s="2" t="str">
        <f ca="1"/>
        <v>OK</v>
      </c>
    </row>
    <row r="7469" spans="2:34" x14ac:dyDescent="0.2">
      <c r="B7469" s="2">
        <f ca="1"/>
        <v>5.1424149886760695E-2</v>
      </c>
      <c r="O7469" s="2">
        <f ca="1"/>
        <v>-0.41418544804925833</v>
      </c>
      <c r="X7469" s="2">
        <f ca="1"/>
        <v>44.001196175738492</v>
      </c>
      <c r="AG7469" s="2">
        <f ca="1"/>
        <v>0.31787007118091881</v>
      </c>
      <c r="AH7469" s="2" t="str">
        <f ca="1"/>
        <v>OK</v>
      </c>
    </row>
    <row r="7470" spans="2:34" x14ac:dyDescent="0.2">
      <c r="B7470" s="2">
        <f ca="1"/>
        <v>0.19384474745686497</v>
      </c>
      <c r="O7470" s="2">
        <f ca="1"/>
        <v>0.33220984018543315</v>
      </c>
      <c r="X7470" s="2">
        <f ca="1"/>
        <v>30.870512166464628</v>
      </c>
      <c r="AG7470" s="2">
        <f ca="1"/>
        <v>0.88525502770651521</v>
      </c>
      <c r="AH7470" s="2" t="str">
        <f ca="1"/>
        <v>Bad</v>
      </c>
    </row>
    <row r="7471" spans="2:34" x14ac:dyDescent="0.2">
      <c r="B7471" s="2">
        <f ca="1"/>
        <v>0.18309423735463826</v>
      </c>
      <c r="O7471" s="2">
        <f ca="1"/>
        <v>0.24610920816976947</v>
      </c>
      <c r="X7471" s="2">
        <f ca="1"/>
        <v>30.915564981838244</v>
      </c>
      <c r="AG7471" s="2">
        <f ca="1"/>
        <v>0.58216749080631081</v>
      </c>
      <c r="AH7471" s="2" t="str">
        <f ca="1"/>
        <v>Bad</v>
      </c>
    </row>
    <row r="7472" spans="2:34" x14ac:dyDescent="0.2">
      <c r="B7472" s="2">
        <f ca="1"/>
        <v>0.30492264403110192</v>
      </c>
      <c r="O7472" s="2">
        <f ca="1"/>
        <v>0.76893658160573763</v>
      </c>
      <c r="X7472" s="2">
        <f ca="1"/>
        <v>47.020452340810891</v>
      </c>
      <c r="AG7472" s="2">
        <f ca="1"/>
        <v>4.4782715405496276E-2</v>
      </c>
      <c r="AH7472" s="2" t="str">
        <f ca="1"/>
        <v>Good</v>
      </c>
    </row>
    <row r="7473" spans="2:34" x14ac:dyDescent="0.2">
      <c r="B7473" s="2">
        <f ca="1"/>
        <v>0.98330371040200526</v>
      </c>
      <c r="O7473" s="2">
        <f ca="1"/>
        <v>-2.2611166423793492</v>
      </c>
      <c r="X7473" s="2">
        <f ca="1"/>
        <v>61.697278525253189</v>
      </c>
      <c r="AG7473" s="2">
        <f ca="1"/>
        <v>0.1335915748606844</v>
      </c>
      <c r="AH7473" s="2" t="str">
        <f ca="1"/>
        <v>OK</v>
      </c>
    </row>
    <row r="7474" spans="2:34" x14ac:dyDescent="0.2">
      <c r="B7474" s="2">
        <f ca="1"/>
        <v>0.10503995721909942</v>
      </c>
      <c r="O7474" s="2">
        <f ca="1"/>
        <v>-1.3717586112076066</v>
      </c>
      <c r="X7474" s="2">
        <f ca="1"/>
        <v>56.732253653002324</v>
      </c>
      <c r="AG7474" s="2">
        <f ca="1"/>
        <v>1.0900042752284733E-2</v>
      </c>
      <c r="AH7474" s="2" t="str">
        <f ca="1"/>
        <v>Good</v>
      </c>
    </row>
    <row r="7475" spans="2:34" x14ac:dyDescent="0.2">
      <c r="B7475" s="2">
        <f ca="1"/>
        <v>0.80108147887694292</v>
      </c>
      <c r="O7475" s="2">
        <f ca="1"/>
        <v>1.2612820857416693</v>
      </c>
      <c r="X7475" s="2">
        <f ca="1"/>
        <v>53.056912321698945</v>
      </c>
      <c r="AG7475" s="2">
        <f ca="1"/>
        <v>0.80928346730502754</v>
      </c>
      <c r="AH7475" s="2" t="str">
        <f ca="1"/>
        <v>Bad</v>
      </c>
    </row>
    <row r="7476" spans="2:34" x14ac:dyDescent="0.2">
      <c r="B7476" s="2">
        <f ca="1"/>
        <v>0.91550929533680314</v>
      </c>
      <c r="O7476" s="2">
        <f ca="1"/>
        <v>0.84643031748327491</v>
      </c>
      <c r="X7476" s="2">
        <f ca="1"/>
        <v>37.243507083646911</v>
      </c>
      <c r="AG7476" s="2">
        <f ca="1"/>
        <v>0.74352739469547946</v>
      </c>
      <c r="AH7476" s="2" t="str">
        <f ca="1"/>
        <v>Bad</v>
      </c>
    </row>
    <row r="7477" spans="2:34" x14ac:dyDescent="0.2">
      <c r="B7477" s="2">
        <f ca="1"/>
        <v>0.6266385020934695</v>
      </c>
      <c r="O7477" s="2">
        <f ca="1"/>
        <v>-1.1952421583069783</v>
      </c>
      <c r="X7477" s="2">
        <f ca="1"/>
        <v>47.531747103619466</v>
      </c>
      <c r="AG7477" s="2">
        <f ca="1"/>
        <v>0.12904024776364564</v>
      </c>
      <c r="AH7477" s="2" t="str">
        <f ca="1"/>
        <v>OK</v>
      </c>
    </row>
    <row r="7478" spans="2:34" x14ac:dyDescent="0.2">
      <c r="B7478" s="2">
        <f ca="1"/>
        <v>0.94189461972867283</v>
      </c>
      <c r="O7478" s="2">
        <f ca="1"/>
        <v>0.22577999381312536</v>
      </c>
      <c r="X7478" s="2">
        <f ca="1"/>
        <v>38.212508208113555</v>
      </c>
      <c r="AG7478" s="2">
        <f ca="1"/>
        <v>0.96046630285559598</v>
      </c>
      <c r="AH7478" s="2" t="str">
        <f ca="1"/>
        <v>Bad</v>
      </c>
    </row>
    <row r="7479" spans="2:34" x14ac:dyDescent="0.2">
      <c r="B7479" s="2">
        <f ca="1"/>
        <v>0.3725566416348074</v>
      </c>
      <c r="O7479" s="2">
        <f ca="1"/>
        <v>-0.54287273504071565</v>
      </c>
      <c r="X7479" s="2">
        <f ca="1"/>
        <v>35.571290762509989</v>
      </c>
      <c r="AG7479" s="2">
        <f ca="1"/>
        <v>0.88190817067875016</v>
      </c>
      <c r="AH7479" s="2" t="str">
        <f ca="1"/>
        <v>Bad</v>
      </c>
    </row>
    <row r="7480" spans="2:34" x14ac:dyDescent="0.2">
      <c r="B7480" s="2">
        <f ca="1"/>
        <v>0.83980238866921852</v>
      </c>
      <c r="O7480" s="2">
        <f ca="1"/>
        <v>0.91530802708046899</v>
      </c>
      <c r="X7480" s="2">
        <f ca="1"/>
        <v>38.132319981603814</v>
      </c>
      <c r="AG7480" s="2">
        <f ca="1"/>
        <v>0.36747764130564464</v>
      </c>
      <c r="AH7480" s="2" t="str">
        <f ca="1"/>
        <v>OK</v>
      </c>
    </row>
    <row r="7481" spans="2:34" x14ac:dyDescent="0.2">
      <c r="B7481" s="2">
        <f ca="1"/>
        <v>0.7544535377769952</v>
      </c>
      <c r="O7481" s="2">
        <f ca="1"/>
        <v>-0.17512074703132116</v>
      </c>
      <c r="X7481" s="2">
        <f ca="1"/>
        <v>55.225759675994709</v>
      </c>
      <c r="AG7481" s="2">
        <f ca="1"/>
        <v>0.71182485355442493</v>
      </c>
      <c r="AH7481" s="2" t="str">
        <f ca="1"/>
        <v>Bad</v>
      </c>
    </row>
    <row r="7482" spans="2:34" x14ac:dyDescent="0.2">
      <c r="B7482" s="2">
        <f ca="1"/>
        <v>0.50929538118010798</v>
      </c>
      <c r="O7482" s="2">
        <f ca="1"/>
        <v>0.36483977665234646</v>
      </c>
      <c r="X7482" s="2">
        <f ca="1"/>
        <v>73.671806766372782</v>
      </c>
      <c r="AG7482" s="2">
        <f ca="1"/>
        <v>0.28819027080664661</v>
      </c>
      <c r="AH7482" s="2" t="str">
        <f ca="1"/>
        <v>OK</v>
      </c>
    </row>
    <row r="7483" spans="2:34" x14ac:dyDescent="0.2">
      <c r="B7483" s="2">
        <f ca="1"/>
        <v>7.839918877550045E-2</v>
      </c>
      <c r="O7483" s="2">
        <f ca="1"/>
        <v>-0.66618058990494211</v>
      </c>
      <c r="X7483" s="2">
        <f ca="1"/>
        <v>58.273079817723186</v>
      </c>
      <c r="AG7483" s="2">
        <f ca="1"/>
        <v>0.92253538697509119</v>
      </c>
      <c r="AH7483" s="2" t="str">
        <f ca="1"/>
        <v>Bad</v>
      </c>
    </row>
    <row r="7484" spans="2:34" x14ac:dyDescent="0.2">
      <c r="B7484" s="2">
        <f ca="1"/>
        <v>0.90887168241477312</v>
      </c>
      <c r="O7484" s="2">
        <f ca="1"/>
        <v>-4.4575425497966489E-2</v>
      </c>
      <c r="X7484" s="2">
        <f ca="1"/>
        <v>96.585663545793238</v>
      </c>
      <c r="AG7484" s="2">
        <f ca="1"/>
        <v>0.26056527457087042</v>
      </c>
      <c r="AH7484" s="2" t="str">
        <f ca="1"/>
        <v>OK</v>
      </c>
    </row>
    <row r="7485" spans="2:34" x14ac:dyDescent="0.2">
      <c r="B7485" s="2">
        <f ca="1"/>
        <v>0.52480519793355307</v>
      </c>
      <c r="O7485" s="2">
        <f ca="1"/>
        <v>1.8695297042927495</v>
      </c>
      <c r="X7485" s="2">
        <f ca="1"/>
        <v>43.312934684690887</v>
      </c>
      <c r="AG7485" s="2">
        <f ca="1"/>
        <v>0.6307370364318905</v>
      </c>
      <c r="AH7485" s="2" t="str">
        <f ca="1"/>
        <v>Bad</v>
      </c>
    </row>
    <row r="7486" spans="2:34" x14ac:dyDescent="0.2">
      <c r="B7486" s="2">
        <f ca="1"/>
        <v>0.89059931219773847</v>
      </c>
      <c r="O7486" s="2">
        <f ca="1"/>
        <v>0.70733254591542394</v>
      </c>
      <c r="X7486" s="2">
        <f ca="1"/>
        <v>60.457056659802049</v>
      </c>
      <c r="AG7486" s="2">
        <f ca="1"/>
        <v>0.4033373225605541</v>
      </c>
      <c r="AH7486" s="2" t="str">
        <f ca="1"/>
        <v>Bad</v>
      </c>
    </row>
    <row r="7487" spans="2:34" x14ac:dyDescent="0.2">
      <c r="B7487" s="2">
        <f ca="1"/>
        <v>2.596341055624718E-2</v>
      </c>
      <c r="O7487" s="2">
        <f ca="1"/>
        <v>1.351022059373169</v>
      </c>
      <c r="X7487" s="2">
        <f ca="1"/>
        <v>77.693190986926012</v>
      </c>
      <c r="AG7487" s="2">
        <f ca="1"/>
        <v>0.10578598635818182</v>
      </c>
      <c r="AH7487" s="2" t="str">
        <f ca="1"/>
        <v>OK</v>
      </c>
    </row>
    <row r="7488" spans="2:34" x14ac:dyDescent="0.2">
      <c r="B7488" s="2">
        <f ca="1"/>
        <v>0.35765072515542018</v>
      </c>
      <c r="O7488" s="2">
        <f ca="1"/>
        <v>-1.3155769988550425</v>
      </c>
      <c r="X7488" s="2">
        <f ca="1"/>
        <v>41.029599178271866</v>
      </c>
      <c r="AG7488" s="2">
        <f ca="1"/>
        <v>0.93395075681821771</v>
      </c>
      <c r="AH7488" s="2" t="str">
        <f ca="1"/>
        <v>Bad</v>
      </c>
    </row>
    <row r="7489" spans="2:34" x14ac:dyDescent="0.2">
      <c r="B7489" s="2">
        <f ca="1"/>
        <v>0.9605914996157916</v>
      </c>
      <c r="O7489" s="2">
        <f ca="1"/>
        <v>1.0483213888037894</v>
      </c>
      <c r="X7489" s="2">
        <f ca="1"/>
        <v>57.454067790020446</v>
      </c>
      <c r="AG7489" s="2">
        <f ca="1"/>
        <v>0.22809108324626948</v>
      </c>
      <c r="AH7489" s="2" t="str">
        <f ca="1"/>
        <v>OK</v>
      </c>
    </row>
    <row r="7490" spans="2:34" x14ac:dyDescent="0.2">
      <c r="B7490" s="2">
        <f ca="1"/>
        <v>0.64324261988954068</v>
      </c>
      <c r="O7490" s="2">
        <f ca="1"/>
        <v>6.5282400242076807E-2</v>
      </c>
      <c r="X7490" s="2">
        <f ca="1"/>
        <v>74.850124127253451</v>
      </c>
      <c r="AG7490" s="2">
        <f ca="1"/>
        <v>0.61556212879666417</v>
      </c>
      <c r="AH7490" s="2" t="str">
        <f ca="1"/>
        <v>Bad</v>
      </c>
    </row>
    <row r="7491" spans="2:34" x14ac:dyDescent="0.2">
      <c r="B7491" s="2">
        <f ca="1"/>
        <v>0.42118082491483211</v>
      </c>
      <c r="O7491" s="2">
        <f ca="1"/>
        <v>-0.63897845658646268</v>
      </c>
      <c r="X7491" s="2">
        <f ca="1"/>
        <v>58.729862461800678</v>
      </c>
      <c r="AG7491" s="2">
        <f ca="1"/>
        <v>0.65049865290986575</v>
      </c>
      <c r="AH7491" s="2" t="str">
        <f ca="1"/>
        <v>Bad</v>
      </c>
    </row>
    <row r="7492" spans="2:34" x14ac:dyDescent="0.2">
      <c r="B7492" s="2">
        <f ca="1"/>
        <v>0.47361703564395796</v>
      </c>
      <c r="O7492" s="2">
        <f ca="1"/>
        <v>-0.18570332283408414</v>
      </c>
      <c r="X7492" s="2">
        <f ca="1"/>
        <v>45.048990484852837</v>
      </c>
      <c r="AG7492" s="2">
        <f ca="1"/>
        <v>0.49012467717356256</v>
      </c>
      <c r="AH7492" s="2" t="str">
        <f ca="1"/>
        <v>Bad</v>
      </c>
    </row>
    <row r="7493" spans="2:34" x14ac:dyDescent="0.2">
      <c r="B7493" s="2">
        <f ca="1"/>
        <v>0.20362394196501943</v>
      </c>
      <c r="O7493" s="2">
        <f ca="1"/>
        <v>1.801975444530477</v>
      </c>
      <c r="X7493" s="2">
        <f ca="1"/>
        <v>61.957000519170435</v>
      </c>
      <c r="AG7493" s="2">
        <f ca="1"/>
        <v>0.93089339998620524</v>
      </c>
      <c r="AH7493" s="2" t="str">
        <f ca="1"/>
        <v>Bad</v>
      </c>
    </row>
    <row r="7494" spans="2:34" x14ac:dyDescent="0.2">
      <c r="B7494" s="2">
        <f ca="1"/>
        <v>0.81348214039804301</v>
      </c>
      <c r="O7494" s="2">
        <f ca="1"/>
        <v>-0.78039294190042241</v>
      </c>
      <c r="X7494" s="2">
        <f ca="1"/>
        <v>37.362105825881272</v>
      </c>
      <c r="AG7494" s="2">
        <f ca="1"/>
        <v>0.75541772728324719</v>
      </c>
      <c r="AH7494" s="2" t="str">
        <f ca="1"/>
        <v>Bad</v>
      </c>
    </row>
    <row r="7495" spans="2:34" x14ac:dyDescent="0.2">
      <c r="B7495" s="2">
        <f ca="1"/>
        <v>0.46762114744029648</v>
      </c>
      <c r="O7495" s="2">
        <f ca="1"/>
        <v>-2.7177746397895195</v>
      </c>
      <c r="X7495" s="2">
        <f ca="1"/>
        <v>53.742249841529947</v>
      </c>
      <c r="AG7495" s="2">
        <f ca="1"/>
        <v>1.965566711098532E-2</v>
      </c>
      <c r="AH7495" s="2" t="str">
        <f ca="1"/>
        <v>Good</v>
      </c>
    </row>
    <row r="7496" spans="2:34" x14ac:dyDescent="0.2">
      <c r="B7496" s="2">
        <f ca="1"/>
        <v>0.27478858162437336</v>
      </c>
      <c r="O7496" s="2">
        <f ca="1"/>
        <v>-0.31903560353657778</v>
      </c>
      <c r="X7496" s="2">
        <f ca="1"/>
        <v>24.080735237265433</v>
      </c>
      <c r="AG7496" s="2">
        <f ca="1"/>
        <v>0.57933446669233413</v>
      </c>
      <c r="AH7496" s="2" t="str">
        <f ca="1"/>
        <v>Bad</v>
      </c>
    </row>
    <row r="7497" spans="2:34" x14ac:dyDescent="0.2">
      <c r="B7497" s="2">
        <f ca="1"/>
        <v>3.4556781821774019E-2</v>
      </c>
      <c r="O7497" s="2">
        <f ca="1"/>
        <v>3.0936635181976008E-2</v>
      </c>
      <c r="X7497" s="2">
        <f ca="1"/>
        <v>53.384473701125977</v>
      </c>
      <c r="AG7497" s="2">
        <f ca="1"/>
        <v>2.2391701693601496E-2</v>
      </c>
      <c r="AH7497" s="2" t="str">
        <f ca="1"/>
        <v>Good</v>
      </c>
    </row>
    <row r="7498" spans="2:34" x14ac:dyDescent="0.2">
      <c r="B7498" s="2">
        <f ca="1"/>
        <v>0.99499040427024554</v>
      </c>
      <c r="O7498" s="2">
        <f ca="1"/>
        <v>-0.30283214044764484</v>
      </c>
      <c r="X7498" s="2">
        <f ca="1"/>
        <v>79.858507824468262</v>
      </c>
      <c r="AG7498" s="2">
        <f ca="1"/>
        <v>0.27500761138024821</v>
      </c>
      <c r="AH7498" s="2" t="str">
        <f ca="1"/>
        <v>OK</v>
      </c>
    </row>
    <row r="7499" spans="2:34" x14ac:dyDescent="0.2">
      <c r="B7499" s="2">
        <f ca="1"/>
        <v>0.51032286031780472</v>
      </c>
      <c r="O7499" s="2">
        <f ca="1"/>
        <v>0.43461085027610569</v>
      </c>
      <c r="X7499" s="2">
        <f ca="1"/>
        <v>36.462828677559038</v>
      </c>
      <c r="AG7499" s="2">
        <f ca="1"/>
        <v>0.86843056093121973</v>
      </c>
      <c r="AH7499" s="2" t="str">
        <f ca="1"/>
        <v>Bad</v>
      </c>
    </row>
    <row r="7500" spans="2:34" x14ac:dyDescent="0.2">
      <c r="B7500" s="2">
        <f ca="1"/>
        <v>0.42381734257657344</v>
      </c>
      <c r="O7500" s="2">
        <f ca="1"/>
        <v>0.13828008509094031</v>
      </c>
      <c r="X7500" s="2">
        <f ca="1"/>
        <v>50.198547294171519</v>
      </c>
      <c r="AG7500" s="2">
        <f ca="1"/>
        <v>0.37219435754460828</v>
      </c>
      <c r="AH7500" s="2" t="str">
        <f ca="1"/>
        <v>OK</v>
      </c>
    </row>
    <row r="7501" spans="2:34" x14ac:dyDescent="0.2">
      <c r="B7501" s="2">
        <f ca="1"/>
        <v>3.7630947327554232E-2</v>
      </c>
      <c r="O7501" s="2">
        <f ca="1"/>
        <v>-1.3714754148689694</v>
      </c>
      <c r="X7501" s="2">
        <f ca="1"/>
        <v>67.993735987315205</v>
      </c>
      <c r="AG7501" s="2">
        <f ca="1"/>
        <v>0.31392698935144292</v>
      </c>
      <c r="AH7501" s="2" t="str">
        <f ca="1"/>
        <v>OK</v>
      </c>
    </row>
    <row r="7502" spans="2:34" x14ac:dyDescent="0.2">
      <c r="B7502" s="2">
        <f ca="1"/>
        <v>0.64706472969925044</v>
      </c>
      <c r="O7502" s="2">
        <f ca="1"/>
        <v>-0.15918282666372452</v>
      </c>
      <c r="X7502" s="2">
        <f ca="1"/>
        <v>43.678649014752928</v>
      </c>
      <c r="AG7502" s="2">
        <f ca="1"/>
        <v>0.90079708539906678</v>
      </c>
      <c r="AH7502" s="2" t="str">
        <f ca="1"/>
        <v>Bad</v>
      </c>
    </row>
    <row r="7503" spans="2:34" x14ac:dyDescent="0.2">
      <c r="B7503" s="2">
        <f ca="1"/>
        <v>0.74422825537929049</v>
      </c>
      <c r="O7503" s="2">
        <f ca="1"/>
        <v>0.86761820785393939</v>
      </c>
      <c r="X7503" s="2">
        <f ca="1"/>
        <v>24.494945162587968</v>
      </c>
      <c r="AG7503" s="2">
        <f ca="1"/>
        <v>0.81234288910696129</v>
      </c>
      <c r="AH7503" s="2" t="str">
        <f ca="1"/>
        <v>Bad</v>
      </c>
    </row>
    <row r="7504" spans="2:34" x14ac:dyDescent="0.2">
      <c r="B7504" s="2">
        <f ca="1"/>
        <v>0.44973263463281632</v>
      </c>
      <c r="O7504" s="2">
        <f ca="1"/>
        <v>-3.9820197936850821E-2</v>
      </c>
      <c r="X7504" s="2">
        <f ca="1"/>
        <v>26.869148366621406</v>
      </c>
      <c r="AG7504" s="2">
        <f ca="1"/>
        <v>0.71544148552688358</v>
      </c>
      <c r="AH7504" s="2" t="str">
        <f ca="1"/>
        <v>Bad</v>
      </c>
    </row>
    <row r="7505" spans="2:34" x14ac:dyDescent="0.2">
      <c r="B7505" s="2">
        <f ca="1"/>
        <v>0.32316485116500782</v>
      </c>
      <c r="O7505" s="2">
        <f ca="1"/>
        <v>1.127479274880717</v>
      </c>
      <c r="X7505" s="2">
        <f ca="1"/>
        <v>45.266747966469183</v>
      </c>
      <c r="AG7505" s="2">
        <f ca="1"/>
        <v>0.64680097918276247</v>
      </c>
      <c r="AH7505" s="2" t="str">
        <f ca="1"/>
        <v>Bad</v>
      </c>
    </row>
    <row r="7506" spans="2:34" x14ac:dyDescent="0.2">
      <c r="B7506" s="2">
        <f ca="1"/>
        <v>0.82301515925497681</v>
      </c>
      <c r="O7506" s="2">
        <f ca="1"/>
        <v>0.44650558238945126</v>
      </c>
      <c r="X7506" s="2">
        <f ca="1"/>
        <v>81.063211957329258</v>
      </c>
      <c r="AG7506" s="2">
        <f ca="1"/>
        <v>0.39171291105929651</v>
      </c>
      <c r="AH7506" s="2" t="str">
        <f ca="1"/>
        <v>OK</v>
      </c>
    </row>
    <row r="7507" spans="2:34" x14ac:dyDescent="0.2">
      <c r="B7507" s="2">
        <f ca="1"/>
        <v>0.69514708038112571</v>
      </c>
      <c r="O7507" s="2">
        <f ca="1"/>
        <v>-9.6738234239250986E-2</v>
      </c>
      <c r="X7507" s="2">
        <f ca="1"/>
        <v>39.574664760367881</v>
      </c>
      <c r="AG7507" s="2">
        <f ca="1"/>
        <v>0.7488096264168822</v>
      </c>
      <c r="AH7507" s="2" t="str">
        <f ca="1"/>
        <v>Bad</v>
      </c>
    </row>
    <row r="7508" spans="2:34" x14ac:dyDescent="0.2">
      <c r="B7508" s="2">
        <f ca="1"/>
        <v>0.68179311732568793</v>
      </c>
      <c r="O7508" s="2">
        <f ca="1"/>
        <v>-1.1437625952098767</v>
      </c>
      <c r="X7508" s="2">
        <f ca="1"/>
        <v>53.506385685439028</v>
      </c>
      <c r="AG7508" s="2">
        <f ca="1"/>
        <v>0.4880505172456131</v>
      </c>
      <c r="AH7508" s="2" t="str">
        <f ca="1"/>
        <v>Bad</v>
      </c>
    </row>
    <row r="7509" spans="2:34" x14ac:dyDescent="0.2">
      <c r="B7509" s="2">
        <f ca="1"/>
        <v>0.54414547113331913</v>
      </c>
      <c r="O7509" s="2">
        <f ca="1"/>
        <v>-0.39165001527437676</v>
      </c>
      <c r="X7509" s="2">
        <f ca="1"/>
        <v>25.419383769319964</v>
      </c>
      <c r="AG7509" s="2">
        <f ca="1"/>
        <v>0.52504970001889006</v>
      </c>
      <c r="AH7509" s="2" t="str">
        <f ca="1"/>
        <v>Bad</v>
      </c>
    </row>
    <row r="7510" spans="2:34" x14ac:dyDescent="0.2">
      <c r="B7510" s="2">
        <f ca="1"/>
        <v>0.48303761489869212</v>
      </c>
      <c r="O7510" s="2">
        <f ca="1"/>
        <v>0.95460708622592005</v>
      </c>
      <c r="X7510" s="2">
        <f ca="1"/>
        <v>46.120556412326863</v>
      </c>
      <c r="AG7510" s="2">
        <f ca="1"/>
        <v>0.22267492178298953</v>
      </c>
      <c r="AH7510" s="2" t="str">
        <f ca="1"/>
        <v>OK</v>
      </c>
    </row>
    <row r="7511" spans="2:34" x14ac:dyDescent="0.2">
      <c r="B7511" s="2">
        <f ca="1"/>
        <v>0.24695820634163668</v>
      </c>
      <c r="O7511" s="2">
        <f ca="1"/>
        <v>-0.60891940303288428</v>
      </c>
      <c r="X7511" s="2">
        <f ca="1"/>
        <v>41.157222374105274</v>
      </c>
      <c r="AG7511" s="2">
        <f ca="1"/>
        <v>0.14198466120886621</v>
      </c>
      <c r="AH7511" s="2" t="str">
        <f ca="1"/>
        <v>OK</v>
      </c>
    </row>
    <row r="7512" spans="2:34" x14ac:dyDescent="0.2">
      <c r="B7512" s="2">
        <f ca="1"/>
        <v>0.635974298429129</v>
      </c>
      <c r="O7512" s="2">
        <f ca="1"/>
        <v>-0.11377624434816482</v>
      </c>
      <c r="X7512" s="2">
        <f ca="1"/>
        <v>41.822103243284268</v>
      </c>
      <c r="AG7512" s="2">
        <f ca="1"/>
        <v>0.33246019701242058</v>
      </c>
      <c r="AH7512" s="2" t="str">
        <f ca="1"/>
        <v>OK</v>
      </c>
    </row>
    <row r="7513" spans="2:34" x14ac:dyDescent="0.2">
      <c r="B7513" s="2">
        <f ca="1"/>
        <v>0.56115420412072536</v>
      </c>
      <c r="O7513" s="2">
        <f ca="1"/>
        <v>0.40791899457176511</v>
      </c>
      <c r="X7513" s="2">
        <f ca="1"/>
        <v>43.898009628843766</v>
      </c>
      <c r="AG7513" s="2">
        <f ca="1"/>
        <v>0.76652083665517878</v>
      </c>
      <c r="AH7513" s="2" t="str">
        <f ca="1"/>
        <v>Bad</v>
      </c>
    </row>
    <row r="7514" spans="2:34" x14ac:dyDescent="0.2">
      <c r="B7514" s="2">
        <f ca="1"/>
        <v>0.5053425259863944</v>
      </c>
      <c r="O7514" s="2">
        <f ca="1"/>
        <v>-0.4100471436417103</v>
      </c>
      <c r="X7514" s="2">
        <f ca="1"/>
        <v>31.131999745903961</v>
      </c>
      <c r="AG7514" s="2">
        <f ca="1"/>
        <v>0.77393449873525944</v>
      </c>
      <c r="AH7514" s="2" t="str">
        <f ca="1"/>
        <v>Bad</v>
      </c>
    </row>
    <row r="7515" spans="2:34" x14ac:dyDescent="0.2">
      <c r="B7515" s="2">
        <f ca="1"/>
        <v>0.41377608676158184</v>
      </c>
      <c r="O7515" s="2">
        <f ca="1"/>
        <v>0.96793922916277375</v>
      </c>
      <c r="X7515" s="2">
        <f ca="1"/>
        <v>79.063660036252429</v>
      </c>
      <c r="AG7515" s="2">
        <f ca="1"/>
        <v>0.73659695167814099</v>
      </c>
      <c r="AH7515" s="2" t="str">
        <f ca="1"/>
        <v>Bad</v>
      </c>
    </row>
    <row r="7516" spans="2:34" x14ac:dyDescent="0.2">
      <c r="B7516" s="2">
        <f ca="1"/>
        <v>0.80823793791344545</v>
      </c>
      <c r="O7516" s="2">
        <f ca="1"/>
        <v>-1.1308390940807149</v>
      </c>
      <c r="X7516" s="2">
        <f ca="1"/>
        <v>28.994103709874093</v>
      </c>
      <c r="AG7516" s="2">
        <f ca="1"/>
        <v>0.10434784768973437</v>
      </c>
      <c r="AH7516" s="2" t="str">
        <f ca="1"/>
        <v>OK</v>
      </c>
    </row>
    <row r="7517" spans="2:34" x14ac:dyDescent="0.2">
      <c r="B7517" s="2">
        <f ca="1"/>
        <v>2.1849588384067253E-2</v>
      </c>
      <c r="O7517" s="2">
        <f ca="1"/>
        <v>-1.4958218313048843</v>
      </c>
      <c r="X7517" s="2">
        <f ca="1"/>
        <v>48.49098405169719</v>
      </c>
      <c r="AG7517" s="2">
        <f ca="1"/>
        <v>0.12489036561035394</v>
      </c>
      <c r="AH7517" s="2" t="str">
        <f ca="1"/>
        <v>OK</v>
      </c>
    </row>
    <row r="7518" spans="2:34" x14ac:dyDescent="0.2">
      <c r="B7518" s="2">
        <f ca="1"/>
        <v>0.79661932299874771</v>
      </c>
      <c r="O7518" s="2">
        <f ca="1"/>
        <v>-0.69987152168721567</v>
      </c>
      <c r="X7518" s="2">
        <f ca="1"/>
        <v>32.638208430027035</v>
      </c>
      <c r="AG7518" s="2">
        <f ca="1"/>
        <v>3.7994111316846935E-2</v>
      </c>
      <c r="AH7518" s="2" t="str">
        <f ca="1"/>
        <v>Good</v>
      </c>
    </row>
    <row r="7519" spans="2:34" x14ac:dyDescent="0.2">
      <c r="B7519" s="2">
        <f ca="1"/>
        <v>0.70619787850039417</v>
      </c>
      <c r="O7519" s="2">
        <f ca="1"/>
        <v>-0.48060031235060702</v>
      </c>
      <c r="X7519" s="2">
        <f ca="1"/>
        <v>97.201078398561833</v>
      </c>
      <c r="AG7519" s="2">
        <f ca="1"/>
        <v>0.70344549295061776</v>
      </c>
      <c r="AH7519" s="2" t="str">
        <f ca="1"/>
        <v>Bad</v>
      </c>
    </row>
    <row r="7520" spans="2:34" x14ac:dyDescent="0.2">
      <c r="B7520" s="2">
        <f ca="1"/>
        <v>3.3138048339495407E-2</v>
      </c>
      <c r="O7520" s="2">
        <f ca="1"/>
        <v>-0.62391886775929184</v>
      </c>
      <c r="X7520" s="2">
        <f ca="1"/>
        <v>44.379832602182972</v>
      </c>
      <c r="AG7520" s="2">
        <f ca="1"/>
        <v>0.86283068503343041</v>
      </c>
      <c r="AH7520" s="2" t="str">
        <f ca="1"/>
        <v>Bad</v>
      </c>
    </row>
    <row r="7521" spans="2:34" x14ac:dyDescent="0.2">
      <c r="B7521" s="2">
        <f ca="1"/>
        <v>0.21096858253678596</v>
      </c>
      <c r="O7521" s="2">
        <f ca="1"/>
        <v>0.79250258494745296</v>
      </c>
      <c r="X7521" s="2">
        <f ca="1"/>
        <v>75.513833077627837</v>
      </c>
      <c r="AG7521" s="2">
        <f ca="1"/>
        <v>0.52451289364156639</v>
      </c>
      <c r="AH7521" s="2" t="str">
        <f ca="1"/>
        <v>Bad</v>
      </c>
    </row>
    <row r="7522" spans="2:34" x14ac:dyDescent="0.2">
      <c r="B7522" s="2">
        <f ca="1"/>
        <v>0.13221272491723779</v>
      </c>
      <c r="O7522" s="2">
        <f ca="1"/>
        <v>-1.1713792455273562</v>
      </c>
      <c r="X7522" s="2">
        <f ca="1"/>
        <v>75.47353010157525</v>
      </c>
      <c r="AG7522" s="2">
        <f ca="1"/>
        <v>0.48538056618677783</v>
      </c>
      <c r="AH7522" s="2" t="str">
        <f ca="1"/>
        <v>Bad</v>
      </c>
    </row>
    <row r="7523" spans="2:34" x14ac:dyDescent="0.2">
      <c r="B7523" s="2">
        <f ca="1"/>
        <v>0.40809789513676153</v>
      </c>
      <c r="O7523" s="2">
        <f ca="1"/>
        <v>0.65109854743226825</v>
      </c>
      <c r="X7523" s="2">
        <f ca="1"/>
        <v>70.108509072089959</v>
      </c>
      <c r="AG7523" s="2">
        <f ca="1"/>
        <v>0.79186062577406746</v>
      </c>
      <c r="AH7523" s="2" t="str">
        <f ca="1"/>
        <v>Bad</v>
      </c>
    </row>
    <row r="7524" spans="2:34" x14ac:dyDescent="0.2">
      <c r="B7524" s="2">
        <f ca="1"/>
        <v>0.97428769232994505</v>
      </c>
      <c r="O7524" s="2">
        <f ca="1"/>
        <v>0.13991710918863903</v>
      </c>
      <c r="X7524" s="2">
        <f ca="1"/>
        <v>38.402866723519942</v>
      </c>
      <c r="AG7524" s="2">
        <f ca="1"/>
        <v>0.12593539272381205</v>
      </c>
      <c r="AH7524" s="2" t="str">
        <f ca="1"/>
        <v>OK</v>
      </c>
    </row>
    <row r="7525" spans="2:34" x14ac:dyDescent="0.2">
      <c r="B7525" s="2">
        <f ca="1"/>
        <v>0.38578521889619855</v>
      </c>
      <c r="O7525" s="2">
        <f ca="1"/>
        <v>0.52709804090495171</v>
      </c>
      <c r="X7525" s="2">
        <f ca="1"/>
        <v>33.599446267300962</v>
      </c>
      <c r="AG7525" s="2">
        <f ca="1"/>
        <v>7.7967409521938258E-2</v>
      </c>
      <c r="AH7525" s="2" t="str">
        <f ca="1"/>
        <v>OK</v>
      </c>
    </row>
    <row r="7526" spans="2:34" x14ac:dyDescent="0.2">
      <c r="B7526" s="2">
        <f ca="1"/>
        <v>0.54600248664214912</v>
      </c>
      <c r="O7526" s="2">
        <f ca="1"/>
        <v>-3.713983757613501E-2</v>
      </c>
      <c r="X7526" s="2">
        <f ca="1"/>
        <v>34.656180870062563</v>
      </c>
      <c r="AG7526" s="2">
        <f ca="1"/>
        <v>0.54805151624259829</v>
      </c>
      <c r="AH7526" s="2" t="str">
        <f ca="1"/>
        <v>Bad</v>
      </c>
    </row>
    <row r="7527" spans="2:34" x14ac:dyDescent="0.2">
      <c r="B7527" s="2">
        <f ca="1"/>
        <v>0.27338995629120388</v>
      </c>
      <c r="O7527" s="2">
        <f ca="1"/>
        <v>0.21512354348877266</v>
      </c>
      <c r="X7527" s="2">
        <f ca="1"/>
        <v>42.676459896321923</v>
      </c>
      <c r="AG7527" s="2">
        <f ca="1"/>
        <v>2.0454269909665479E-2</v>
      </c>
      <c r="AH7527" s="2" t="str">
        <f ca="1"/>
        <v>Good</v>
      </c>
    </row>
    <row r="7528" spans="2:34" x14ac:dyDescent="0.2">
      <c r="B7528" s="2">
        <f ca="1"/>
        <v>0.25792426747455055</v>
      </c>
      <c r="O7528" s="2">
        <f ca="1"/>
        <v>0.63039530287049717</v>
      </c>
      <c r="X7528" s="2">
        <f ca="1"/>
        <v>41.466312782317928</v>
      </c>
      <c r="AG7528" s="2">
        <f ca="1"/>
        <v>0.22504647921275311</v>
      </c>
      <c r="AH7528" s="2" t="str">
        <f ca="1"/>
        <v>OK</v>
      </c>
    </row>
    <row r="7529" spans="2:34" x14ac:dyDescent="0.2">
      <c r="B7529" s="2">
        <f ca="1"/>
        <v>0.3346375039101559</v>
      </c>
      <c r="O7529" s="2">
        <f ca="1"/>
        <v>-0.44333073031325027</v>
      </c>
      <c r="X7529" s="2">
        <f ca="1"/>
        <v>31.503308097615339</v>
      </c>
      <c r="AG7529" s="2">
        <f ca="1"/>
        <v>2.2801031487135415E-2</v>
      </c>
      <c r="AH7529" s="2" t="str">
        <f ca="1"/>
        <v>Good</v>
      </c>
    </row>
    <row r="7530" spans="2:34" x14ac:dyDescent="0.2">
      <c r="B7530" s="2">
        <f ca="1"/>
        <v>0.17222632101438995</v>
      </c>
      <c r="O7530" s="2">
        <f ca="1"/>
        <v>0.52818716353765072</v>
      </c>
      <c r="X7530" s="2">
        <f ca="1"/>
        <v>22.351549482137251</v>
      </c>
      <c r="AG7530" s="2">
        <f ca="1"/>
        <v>0.61073827900562794</v>
      </c>
      <c r="AH7530" s="2" t="str">
        <f ca="1"/>
        <v>Bad</v>
      </c>
    </row>
    <row r="7531" spans="2:34" x14ac:dyDescent="0.2">
      <c r="B7531" s="2">
        <f ca="1"/>
        <v>0.99512014526386938</v>
      </c>
      <c r="O7531" s="2">
        <f ca="1"/>
        <v>-1.5081973396736958</v>
      </c>
      <c r="X7531" s="2">
        <f ca="1"/>
        <v>71.812881098309646</v>
      </c>
      <c r="AG7531" s="2">
        <f ca="1"/>
        <v>0.66844955104600401</v>
      </c>
      <c r="AH7531" s="2" t="str">
        <f ca="1"/>
        <v>Bad</v>
      </c>
    </row>
    <row r="7532" spans="2:34" x14ac:dyDescent="0.2">
      <c r="B7532" s="2">
        <f ca="1"/>
        <v>0.59466451781569707</v>
      </c>
      <c r="O7532" s="2">
        <f ca="1"/>
        <v>-8.7227669417115683E-2</v>
      </c>
      <c r="X7532" s="2">
        <f ca="1"/>
        <v>76.776188679272153</v>
      </c>
      <c r="AG7532" s="2">
        <f ca="1"/>
        <v>1.9342408194744642E-3</v>
      </c>
      <c r="AH7532" s="2" t="str">
        <f ca="1"/>
        <v>Good</v>
      </c>
    </row>
    <row r="7533" spans="2:34" x14ac:dyDescent="0.2">
      <c r="B7533" s="2">
        <f ca="1"/>
        <v>0.50607765777760472</v>
      </c>
      <c r="O7533" s="2">
        <f ca="1"/>
        <v>0.31697796427884534</v>
      </c>
      <c r="X7533" s="2">
        <f ca="1"/>
        <v>72.074205507040858</v>
      </c>
      <c r="AG7533" s="2">
        <f ca="1"/>
        <v>0.14510660123040764</v>
      </c>
      <c r="AH7533" s="2" t="str">
        <f ca="1"/>
        <v>OK</v>
      </c>
    </row>
    <row r="7534" spans="2:34" x14ac:dyDescent="0.2">
      <c r="B7534" s="2">
        <f ca="1"/>
        <v>0.27985375714592586</v>
      </c>
      <c r="O7534" s="2">
        <f ca="1"/>
        <v>-0.69399983338353366</v>
      </c>
      <c r="X7534" s="2">
        <f ca="1"/>
        <v>35.86633983835722</v>
      </c>
      <c r="AG7534" s="2">
        <f ca="1"/>
        <v>0.18052950962091296</v>
      </c>
      <c r="AH7534" s="2" t="str">
        <f ca="1"/>
        <v>OK</v>
      </c>
    </row>
    <row r="7535" spans="2:34" x14ac:dyDescent="0.2">
      <c r="B7535" s="2">
        <f ca="1"/>
        <v>0.30574714834299876</v>
      </c>
      <c r="O7535" s="2">
        <f ca="1"/>
        <v>0.72275235655174908</v>
      </c>
      <c r="X7535" s="2">
        <f ca="1"/>
        <v>33.753307094964072</v>
      </c>
      <c r="AG7535" s="2">
        <f ca="1"/>
        <v>0.65295921150337932</v>
      </c>
      <c r="AH7535" s="2" t="str">
        <f ca="1"/>
        <v>Bad</v>
      </c>
    </row>
    <row r="7536" spans="2:34" x14ac:dyDescent="0.2">
      <c r="B7536" s="2">
        <f ca="1"/>
        <v>0.36789621607184264</v>
      </c>
      <c r="O7536" s="2">
        <f ca="1"/>
        <v>0.53035811333097282</v>
      </c>
      <c r="X7536" s="2">
        <f ca="1"/>
        <v>46.621456946252017</v>
      </c>
      <c r="AG7536" s="2">
        <f ca="1"/>
        <v>0.11119062106115285</v>
      </c>
      <c r="AH7536" s="2" t="str">
        <f ca="1"/>
        <v>OK</v>
      </c>
    </row>
    <row r="7537" spans="2:34" x14ac:dyDescent="0.2">
      <c r="B7537" s="2">
        <f ca="1"/>
        <v>0.60793383054638905</v>
      </c>
      <c r="O7537" s="2">
        <f ca="1"/>
        <v>1.0127876012548912E-2</v>
      </c>
      <c r="X7537" s="2">
        <f ca="1"/>
        <v>83.636432938726841</v>
      </c>
      <c r="AG7537" s="2">
        <f ca="1"/>
        <v>0.7390498557773002</v>
      </c>
      <c r="AH7537" s="2" t="str">
        <f ca="1"/>
        <v>Bad</v>
      </c>
    </row>
    <row r="7538" spans="2:34" x14ac:dyDescent="0.2">
      <c r="B7538" s="2">
        <f ca="1"/>
        <v>0.55926432112420521</v>
      </c>
      <c r="O7538" s="2">
        <f ca="1"/>
        <v>-0.32076665515635711</v>
      </c>
      <c r="X7538" s="2">
        <f ca="1"/>
        <v>69.300801783132769</v>
      </c>
      <c r="AG7538" s="2">
        <f ca="1"/>
        <v>0.82203355078043994</v>
      </c>
      <c r="AH7538" s="2" t="str">
        <f ca="1"/>
        <v>Bad</v>
      </c>
    </row>
    <row r="7539" spans="2:34" x14ac:dyDescent="0.2">
      <c r="B7539" s="2">
        <f ca="1"/>
        <v>0.55454562365522309</v>
      </c>
      <c r="O7539" s="2">
        <f ca="1"/>
        <v>-0.4426140170165539</v>
      </c>
      <c r="X7539" s="2">
        <f ca="1"/>
        <v>47.993178673139781</v>
      </c>
      <c r="AG7539" s="2">
        <f ca="1"/>
        <v>5.7936435992325563E-2</v>
      </c>
      <c r="AH7539" s="2" t="str">
        <f ca="1"/>
        <v>OK</v>
      </c>
    </row>
    <row r="7540" spans="2:34" x14ac:dyDescent="0.2">
      <c r="B7540" s="2">
        <f ca="1"/>
        <v>0.74239490404040698</v>
      </c>
      <c r="O7540" s="2">
        <f ca="1"/>
        <v>1.0160461482783245</v>
      </c>
      <c r="X7540" s="2">
        <f ca="1"/>
        <v>73.412062315692282</v>
      </c>
      <c r="AG7540" s="2">
        <f ca="1"/>
        <v>0.27107619696580909</v>
      </c>
      <c r="AH7540" s="2" t="str">
        <f ca="1"/>
        <v>OK</v>
      </c>
    </row>
    <row r="7541" spans="2:34" x14ac:dyDescent="0.2">
      <c r="B7541" s="2">
        <f ca="1"/>
        <v>0.51140664323199503</v>
      </c>
      <c r="O7541" s="2">
        <f ca="1"/>
        <v>-1.4728824074465614E-2</v>
      </c>
      <c r="X7541" s="2">
        <f ca="1"/>
        <v>60.185041541250143</v>
      </c>
      <c r="AG7541" s="2">
        <f ca="1"/>
        <v>0.89806817462933664</v>
      </c>
      <c r="AH7541" s="2" t="str">
        <f ca="1"/>
        <v>Bad</v>
      </c>
    </row>
    <row r="7542" spans="2:34" x14ac:dyDescent="0.2">
      <c r="B7542" s="2">
        <f ca="1"/>
        <v>0.97243831023317151</v>
      </c>
      <c r="O7542" s="2">
        <f ca="1"/>
        <v>-0.91966910086775644</v>
      </c>
      <c r="X7542" s="2">
        <f ca="1"/>
        <v>36.744559372860905</v>
      </c>
      <c r="AG7542" s="2">
        <f ca="1"/>
        <v>0.35547879031735197</v>
      </c>
      <c r="AH7542" s="2" t="str">
        <f ca="1"/>
        <v>OK</v>
      </c>
    </row>
    <row r="7543" spans="2:34" x14ac:dyDescent="0.2">
      <c r="B7543" s="2">
        <f ca="1"/>
        <v>0.23955483395923283</v>
      </c>
      <c r="O7543" s="2">
        <f ca="1"/>
        <v>0.12663964131406033</v>
      </c>
      <c r="X7543" s="2">
        <f ca="1"/>
        <v>45.963166581175237</v>
      </c>
      <c r="AG7543" s="2">
        <f ca="1"/>
        <v>0.66997981064032475</v>
      </c>
      <c r="AH7543" s="2" t="str">
        <f ca="1"/>
        <v>Bad</v>
      </c>
    </row>
    <row r="7544" spans="2:34" x14ac:dyDescent="0.2">
      <c r="B7544" s="2">
        <f ca="1"/>
        <v>0.82270475303848256</v>
      </c>
      <c r="O7544" s="2">
        <f ca="1"/>
        <v>0.25114261328573456</v>
      </c>
      <c r="X7544" s="2">
        <f ca="1"/>
        <v>40.405642628018342</v>
      </c>
      <c r="AG7544" s="2">
        <f ca="1"/>
        <v>0.53741887124370114</v>
      </c>
      <c r="AH7544" s="2" t="str">
        <f ca="1"/>
        <v>Bad</v>
      </c>
    </row>
    <row r="7545" spans="2:34" x14ac:dyDescent="0.2">
      <c r="B7545" s="2">
        <f ca="1"/>
        <v>0.12434036946874372</v>
      </c>
      <c r="O7545" s="2">
        <f ca="1"/>
        <v>-1.1795023633159576</v>
      </c>
      <c r="X7545" s="2">
        <f ca="1"/>
        <v>41.629363200786507</v>
      </c>
      <c r="AG7545" s="2">
        <f ca="1"/>
        <v>0.8331737239455641</v>
      </c>
      <c r="AH7545" s="2" t="str">
        <f ca="1"/>
        <v>Bad</v>
      </c>
    </row>
    <row r="7546" spans="2:34" x14ac:dyDescent="0.2">
      <c r="B7546" s="2">
        <f ca="1"/>
        <v>0.54511466528841224</v>
      </c>
      <c r="O7546" s="2">
        <f ca="1"/>
        <v>0.14782399761188469</v>
      </c>
      <c r="X7546" s="2">
        <f ca="1"/>
        <v>67.993641886752968</v>
      </c>
      <c r="AG7546" s="2">
        <f ca="1"/>
        <v>0.69386117388782087</v>
      </c>
      <c r="AH7546" s="2" t="str">
        <f ca="1"/>
        <v>Bad</v>
      </c>
    </row>
    <row r="7547" spans="2:34" x14ac:dyDescent="0.2">
      <c r="B7547" s="2">
        <f ca="1"/>
        <v>6.9890368824905291E-2</v>
      </c>
      <c r="O7547" s="2">
        <f ca="1"/>
        <v>-8.9041365913842388E-2</v>
      </c>
      <c r="X7547" s="2">
        <f ca="1"/>
        <v>61.727066462957332</v>
      </c>
      <c r="AG7547" s="2">
        <f ca="1"/>
        <v>0.48456091551266467</v>
      </c>
      <c r="AH7547" s="2" t="str">
        <f ca="1"/>
        <v>Bad</v>
      </c>
    </row>
    <row r="7548" spans="2:34" x14ac:dyDescent="0.2">
      <c r="B7548" s="2">
        <f ca="1"/>
        <v>0.46139743522622267</v>
      </c>
      <c r="O7548" s="2">
        <f ca="1"/>
        <v>0.78117870533927602</v>
      </c>
      <c r="X7548" s="2">
        <f ca="1"/>
        <v>46.059750620830393</v>
      </c>
      <c r="AG7548" s="2">
        <f ca="1"/>
        <v>0.46942614814232697</v>
      </c>
      <c r="AH7548" s="2" t="str">
        <f ca="1"/>
        <v>Bad</v>
      </c>
    </row>
    <row r="7549" spans="2:34" x14ac:dyDescent="0.2">
      <c r="B7549" s="2">
        <f ca="1"/>
        <v>0.74852022602524482</v>
      </c>
      <c r="O7549" s="2">
        <f ca="1"/>
        <v>0.91547849349987453</v>
      </c>
      <c r="X7549" s="2">
        <f ca="1"/>
        <v>45.403906889381325</v>
      </c>
      <c r="AG7549" s="2">
        <f ca="1"/>
        <v>0.13504425375371909</v>
      </c>
      <c r="AH7549" s="2" t="str">
        <f ca="1"/>
        <v>OK</v>
      </c>
    </row>
    <row r="7550" spans="2:34" x14ac:dyDescent="0.2">
      <c r="B7550" s="2">
        <f ca="1"/>
        <v>0.9425491767995624</v>
      </c>
      <c r="O7550" s="2">
        <f ca="1"/>
        <v>-0.75889981786311167</v>
      </c>
      <c r="X7550" s="2">
        <f ca="1"/>
        <v>41.25779604351284</v>
      </c>
      <c r="AG7550" s="2">
        <f ca="1"/>
        <v>0.99011225652196333</v>
      </c>
      <c r="AH7550" s="2" t="str">
        <f ca="1"/>
        <v>Bad</v>
      </c>
    </row>
    <row r="7551" spans="2:34" x14ac:dyDescent="0.2">
      <c r="B7551" s="2">
        <f ca="1"/>
        <v>0.71642074128189948</v>
      </c>
      <c r="O7551" s="2">
        <f ca="1"/>
        <v>0.42548128827704812</v>
      </c>
      <c r="X7551" s="2">
        <f ca="1"/>
        <v>30.662556799713347</v>
      </c>
      <c r="AG7551" s="2">
        <f ca="1"/>
        <v>0.8430284521587581</v>
      </c>
      <c r="AH7551" s="2" t="str">
        <f ca="1"/>
        <v>Bad</v>
      </c>
    </row>
    <row r="7552" spans="2:34" x14ac:dyDescent="0.2">
      <c r="B7552" s="2">
        <f ca="1"/>
        <v>0.19718875454702567</v>
      </c>
      <c r="O7552" s="2">
        <f ca="1"/>
        <v>-0.79363892987112061</v>
      </c>
      <c r="X7552" s="2">
        <f ca="1"/>
        <v>60.452239014932907</v>
      </c>
      <c r="AG7552" s="2">
        <f ca="1"/>
        <v>0.98519248193095499</v>
      </c>
      <c r="AH7552" s="2" t="str">
        <f ca="1"/>
        <v>Bad</v>
      </c>
    </row>
    <row r="7553" spans="2:34" x14ac:dyDescent="0.2">
      <c r="B7553" s="2">
        <f ca="1"/>
        <v>9.4904499730279035E-2</v>
      </c>
      <c r="O7553" s="2">
        <f ca="1"/>
        <v>-3.3034711202843819E-2</v>
      </c>
      <c r="X7553" s="2">
        <f ca="1"/>
        <v>57.28044706690072</v>
      </c>
      <c r="AG7553" s="2">
        <f ca="1"/>
        <v>0.33256182356108033</v>
      </c>
      <c r="AH7553" s="2" t="str">
        <f ca="1"/>
        <v>OK</v>
      </c>
    </row>
    <row r="7554" spans="2:34" x14ac:dyDescent="0.2">
      <c r="B7554" s="2">
        <f ca="1"/>
        <v>0.55941948301096467</v>
      </c>
      <c r="O7554" s="2">
        <f ca="1"/>
        <v>-0.39470836790792624</v>
      </c>
      <c r="X7554" s="2">
        <f ca="1"/>
        <v>42.104050238893684</v>
      </c>
      <c r="AG7554" s="2">
        <f ca="1"/>
        <v>0.43085933442468272</v>
      </c>
      <c r="AH7554" s="2" t="str">
        <f ca="1"/>
        <v>Bad</v>
      </c>
    </row>
    <row r="7555" spans="2:34" x14ac:dyDescent="0.2">
      <c r="B7555" s="2">
        <f ca="1"/>
        <v>0.3681994589329074</v>
      </c>
      <c r="O7555" s="2">
        <f ca="1"/>
        <v>-1.6841257074631297</v>
      </c>
      <c r="X7555" s="2">
        <f ca="1"/>
        <v>66.699095809721967</v>
      </c>
      <c r="AG7555" s="2">
        <f ca="1"/>
        <v>0.37414478475285895</v>
      </c>
      <c r="AH7555" s="2" t="str">
        <f ca="1"/>
        <v>OK</v>
      </c>
    </row>
    <row r="7556" spans="2:34" x14ac:dyDescent="0.2">
      <c r="B7556" s="2">
        <f ca="1"/>
        <v>0.88254491508118416</v>
      </c>
      <c r="O7556" s="2">
        <f ca="1"/>
        <v>1.4609469383305338</v>
      </c>
      <c r="X7556" s="2">
        <f ca="1"/>
        <v>62.898855236453102</v>
      </c>
      <c r="AG7556" s="2">
        <f ca="1"/>
        <v>0.43531522732952221</v>
      </c>
      <c r="AH7556" s="2" t="str">
        <f ca="1"/>
        <v>Bad</v>
      </c>
    </row>
    <row r="7557" spans="2:34" x14ac:dyDescent="0.2">
      <c r="B7557" s="2">
        <f ca="1"/>
        <v>0.9023200906817519</v>
      </c>
      <c r="O7557" s="2">
        <f ca="1"/>
        <v>-0.72160185958490253</v>
      </c>
      <c r="X7557" s="2">
        <f ca="1"/>
        <v>40.680452699778861</v>
      </c>
      <c r="AG7557" s="2">
        <f ca="1"/>
        <v>0.9583518389462109</v>
      </c>
      <c r="AH7557" s="2" t="str">
        <f ca="1"/>
        <v>Bad</v>
      </c>
    </row>
    <row r="7558" spans="2:34" x14ac:dyDescent="0.2">
      <c r="B7558" s="2">
        <f ca="1"/>
        <v>0.45599145001803865</v>
      </c>
      <c r="O7558" s="2">
        <f ca="1"/>
        <v>0.19993463283407559</v>
      </c>
      <c r="X7558" s="2">
        <f ca="1"/>
        <v>34.868817632495549</v>
      </c>
      <c r="AG7558" s="2">
        <f ca="1"/>
        <v>0.91806264718049135</v>
      </c>
      <c r="AH7558" s="2" t="str">
        <f ca="1"/>
        <v>Bad</v>
      </c>
    </row>
    <row r="7559" spans="2:34" x14ac:dyDescent="0.2">
      <c r="B7559" s="2">
        <f ca="1"/>
        <v>0.60942601031202503</v>
      </c>
      <c r="O7559" s="2">
        <f ca="1"/>
        <v>-1.5661673175108368</v>
      </c>
      <c r="X7559" s="2">
        <f ca="1"/>
        <v>76.5974481740827</v>
      </c>
      <c r="AG7559" s="2">
        <f ca="1"/>
        <v>0.29412657121589159</v>
      </c>
      <c r="AH7559" s="2" t="str">
        <f ca="1"/>
        <v>OK</v>
      </c>
    </row>
    <row r="7560" spans="2:34" x14ac:dyDescent="0.2">
      <c r="B7560" s="2">
        <f ca="1"/>
        <v>0.90019638406245694</v>
      </c>
      <c r="O7560" s="2">
        <f ca="1"/>
        <v>-1.4872090982862729</v>
      </c>
      <c r="X7560" s="2">
        <f ca="1"/>
        <v>50.438167289064964</v>
      </c>
      <c r="AG7560" s="2">
        <f ca="1"/>
        <v>0.95206427867379251</v>
      </c>
      <c r="AH7560" s="2" t="str">
        <f ca="1"/>
        <v>Bad</v>
      </c>
    </row>
    <row r="7561" spans="2:34" x14ac:dyDescent="0.2">
      <c r="B7561" s="2">
        <f ca="1"/>
        <v>0.81628403571154196</v>
      </c>
      <c r="O7561" s="2">
        <f ca="1"/>
        <v>-1.1015070117251866E-2</v>
      </c>
      <c r="X7561" s="2">
        <f ca="1"/>
        <v>37.913743025109326</v>
      </c>
      <c r="AG7561" s="2">
        <f ca="1"/>
        <v>0.7713224963637153</v>
      </c>
      <c r="AH7561" s="2" t="str">
        <f ca="1"/>
        <v>Bad</v>
      </c>
    </row>
    <row r="7562" spans="2:34" x14ac:dyDescent="0.2">
      <c r="B7562" s="2">
        <f ca="1"/>
        <v>4.6109200802578743E-2</v>
      </c>
      <c r="O7562" s="2">
        <f ca="1"/>
        <v>-0.11511982420823007</v>
      </c>
      <c r="X7562" s="2">
        <f ca="1"/>
        <v>61.642826646940506</v>
      </c>
      <c r="AG7562" s="2">
        <f ca="1"/>
        <v>0.32846317484650611</v>
      </c>
      <c r="AH7562" s="2" t="str">
        <f ca="1"/>
        <v>OK</v>
      </c>
    </row>
    <row r="7563" spans="2:34" x14ac:dyDescent="0.2">
      <c r="B7563" s="2">
        <f ca="1"/>
        <v>0.32317239714437163</v>
      </c>
      <c r="O7563" s="2">
        <f ca="1"/>
        <v>0.73670008939787335</v>
      </c>
      <c r="X7563" s="2">
        <f ca="1"/>
        <v>68.472790282312786</v>
      </c>
      <c r="AG7563" s="2">
        <f ca="1"/>
        <v>0.69911292436408101</v>
      </c>
      <c r="AH7563" s="2" t="str">
        <f ca="1"/>
        <v>Bad</v>
      </c>
    </row>
    <row r="7564" spans="2:34" x14ac:dyDescent="0.2">
      <c r="B7564" s="2">
        <f ca="1"/>
        <v>4.3549614037226014E-3</v>
      </c>
      <c r="O7564" s="2">
        <f ca="1"/>
        <v>-4.1341600160947095E-2</v>
      </c>
      <c r="X7564" s="2">
        <f ca="1"/>
        <v>60.491535968425801</v>
      </c>
      <c r="AG7564" s="2">
        <f ca="1"/>
        <v>0.44688376638624594</v>
      </c>
      <c r="AH7564" s="2" t="str">
        <f ca="1"/>
        <v>Bad</v>
      </c>
    </row>
    <row r="7565" spans="2:34" x14ac:dyDescent="0.2">
      <c r="B7565" s="2">
        <f ca="1"/>
        <v>0.98222758052165449</v>
      </c>
      <c r="O7565" s="2">
        <f ca="1"/>
        <v>-0.94676720732661757</v>
      </c>
      <c r="X7565" s="2">
        <f ca="1"/>
        <v>55.924161736867816</v>
      </c>
      <c r="AG7565" s="2">
        <f ca="1"/>
        <v>0.17143501581127119</v>
      </c>
      <c r="AH7565" s="2" t="str">
        <f ca="1"/>
        <v>OK</v>
      </c>
    </row>
    <row r="7566" spans="2:34" x14ac:dyDescent="0.2">
      <c r="B7566" s="2">
        <f ca="1"/>
        <v>0.88039659973285422</v>
      </c>
      <c r="O7566" s="2">
        <f ca="1"/>
        <v>-0.70937104195770406</v>
      </c>
      <c r="X7566" s="2">
        <f ca="1"/>
        <v>63.808836358129291</v>
      </c>
      <c r="AG7566" s="2">
        <f ca="1"/>
        <v>0.34684344657803057</v>
      </c>
      <c r="AH7566" s="2" t="str">
        <f ca="1"/>
        <v>OK</v>
      </c>
    </row>
    <row r="7567" spans="2:34" x14ac:dyDescent="0.2">
      <c r="B7567" s="2">
        <f ca="1"/>
        <v>6.8288419546461032E-2</v>
      </c>
      <c r="O7567" s="2">
        <f ca="1"/>
        <v>1.0746859520466383</v>
      </c>
      <c r="X7567" s="2">
        <f ca="1"/>
        <v>40.307154749511355</v>
      </c>
      <c r="AG7567" s="2">
        <f ca="1"/>
        <v>0.63148543976270544</v>
      </c>
      <c r="AH7567" s="2" t="str">
        <f ca="1"/>
        <v>Bad</v>
      </c>
    </row>
    <row r="7568" spans="2:34" x14ac:dyDescent="0.2">
      <c r="B7568" s="2">
        <f ca="1"/>
        <v>0.53387763260040999</v>
      </c>
      <c r="O7568" s="2">
        <f ca="1"/>
        <v>1.2715551424939964</v>
      </c>
      <c r="X7568" s="2">
        <f ca="1"/>
        <v>39.502745129509591</v>
      </c>
      <c r="AG7568" s="2">
        <f ca="1"/>
        <v>0.27387829464978197</v>
      </c>
      <c r="AH7568" s="2" t="str">
        <f ca="1"/>
        <v>OK</v>
      </c>
    </row>
    <row r="7569" spans="2:34" x14ac:dyDescent="0.2">
      <c r="B7569" s="2">
        <f ca="1"/>
        <v>0.46935967392132061</v>
      </c>
      <c r="O7569" s="2">
        <f ca="1"/>
        <v>-0.57654593656829511</v>
      </c>
      <c r="X7569" s="2">
        <f ca="1"/>
        <v>31.58261832668839</v>
      </c>
      <c r="AG7569" s="2">
        <f ca="1"/>
        <v>0.99744098436682194</v>
      </c>
      <c r="AH7569" s="2" t="str">
        <f ca="1"/>
        <v>Bad</v>
      </c>
    </row>
    <row r="7570" spans="2:34" x14ac:dyDescent="0.2">
      <c r="B7570" s="2">
        <f ca="1"/>
        <v>0.15297244005922206</v>
      </c>
      <c r="O7570" s="2">
        <f ca="1"/>
        <v>1.1955561588508599</v>
      </c>
      <c r="X7570" s="2">
        <f ca="1"/>
        <v>61.116718281217459</v>
      </c>
      <c r="AG7570" s="2">
        <f ca="1"/>
        <v>0.90544449227892265</v>
      </c>
      <c r="AH7570" s="2" t="str">
        <f ca="1"/>
        <v>Bad</v>
      </c>
    </row>
    <row r="7571" spans="2:34" x14ac:dyDescent="0.2">
      <c r="B7571" s="2">
        <f ca="1"/>
        <v>0.12223693451971718</v>
      </c>
      <c r="O7571" s="2">
        <f ca="1"/>
        <v>-0.41507435716492702</v>
      </c>
      <c r="X7571" s="2">
        <f ca="1"/>
        <v>36.311435104919703</v>
      </c>
      <c r="AG7571" s="2">
        <f ca="1"/>
        <v>0.66962051255135902</v>
      </c>
      <c r="AH7571" s="2" t="str">
        <f ca="1"/>
        <v>Bad</v>
      </c>
    </row>
    <row r="7572" spans="2:34" x14ac:dyDescent="0.2">
      <c r="B7572" s="2">
        <f ca="1"/>
        <v>0.55835133018527139</v>
      </c>
      <c r="O7572" s="2">
        <f ca="1"/>
        <v>1.4849433034085093</v>
      </c>
      <c r="X7572" s="2">
        <f ca="1"/>
        <v>64.937517557954166</v>
      </c>
      <c r="AG7572" s="2">
        <f ca="1"/>
        <v>0.1157285525607179</v>
      </c>
      <c r="AH7572" s="2" t="str">
        <f ca="1"/>
        <v>OK</v>
      </c>
    </row>
    <row r="7573" spans="2:34" x14ac:dyDescent="0.2">
      <c r="B7573" s="2">
        <f ca="1"/>
        <v>0.27583600440421785</v>
      </c>
      <c r="O7573" s="2">
        <f ca="1"/>
        <v>-0.21958167814384472</v>
      </c>
      <c r="X7573" s="2">
        <f ca="1"/>
        <v>45.323571229285442</v>
      </c>
      <c r="AG7573" s="2">
        <f ca="1"/>
        <v>0.99209560300004562</v>
      </c>
      <c r="AH7573" s="2" t="str">
        <f ca="1"/>
        <v>Bad</v>
      </c>
    </row>
    <row r="7574" spans="2:34" x14ac:dyDescent="0.2">
      <c r="B7574" s="2">
        <f ca="1"/>
        <v>6.5308472085845448E-2</v>
      </c>
      <c r="O7574" s="2">
        <f ca="1"/>
        <v>1.0639431920712921</v>
      </c>
      <c r="X7574" s="2">
        <f ca="1"/>
        <v>70.737747951642746</v>
      </c>
      <c r="AG7574" s="2">
        <f ca="1"/>
        <v>0.1253608482546964</v>
      </c>
      <c r="AH7574" s="2" t="str">
        <f ca="1"/>
        <v>OK</v>
      </c>
    </row>
    <row r="7575" spans="2:34" x14ac:dyDescent="0.2">
      <c r="B7575" s="2">
        <f ca="1"/>
        <v>0.59685583904534423</v>
      </c>
      <c r="O7575" s="2">
        <f ca="1"/>
        <v>-0.17348899675466287</v>
      </c>
      <c r="X7575" s="2">
        <f ca="1"/>
        <v>39.272010247066319</v>
      </c>
      <c r="AG7575" s="2">
        <f ca="1"/>
        <v>0.54578051785934822</v>
      </c>
      <c r="AH7575" s="2" t="str">
        <f ca="1"/>
        <v>Bad</v>
      </c>
    </row>
    <row r="7576" spans="2:34" x14ac:dyDescent="0.2">
      <c r="B7576" s="2">
        <f ca="1"/>
        <v>0.62092743428633579</v>
      </c>
      <c r="O7576" s="2">
        <f ca="1"/>
        <v>2.8002216064728193E-3</v>
      </c>
      <c r="X7576" s="2">
        <f ca="1"/>
        <v>46.607438224525211</v>
      </c>
      <c r="AG7576" s="2">
        <f ca="1"/>
        <v>0.53346920649174412</v>
      </c>
      <c r="AH7576" s="2" t="str">
        <f ca="1"/>
        <v>Bad</v>
      </c>
    </row>
    <row r="7577" spans="2:34" x14ac:dyDescent="0.2">
      <c r="B7577" s="2">
        <f ca="1"/>
        <v>0.76386141758856696</v>
      </c>
      <c r="O7577" s="2">
        <f ca="1"/>
        <v>1.9806259398879642</v>
      </c>
      <c r="X7577" s="2">
        <f ca="1"/>
        <v>49.373254018665193</v>
      </c>
      <c r="AG7577" s="2">
        <f ca="1"/>
        <v>0.31132386487315689</v>
      </c>
      <c r="AH7577" s="2" t="str">
        <f ca="1"/>
        <v>OK</v>
      </c>
    </row>
    <row r="7578" spans="2:34" x14ac:dyDescent="0.2">
      <c r="B7578" s="2">
        <f ca="1"/>
        <v>0.87287186371007564</v>
      </c>
      <c r="O7578" s="2">
        <f ca="1"/>
        <v>-1.3920698763199184</v>
      </c>
      <c r="X7578" s="2">
        <f ca="1"/>
        <v>73.474272749893842</v>
      </c>
      <c r="AG7578" s="2">
        <f ca="1"/>
        <v>0.14927797138939058</v>
      </c>
      <c r="AH7578" s="2" t="str">
        <f ca="1"/>
        <v>OK</v>
      </c>
    </row>
    <row r="7579" spans="2:34" x14ac:dyDescent="0.2">
      <c r="B7579" s="2">
        <f ca="1"/>
        <v>0.35610953220285269</v>
      </c>
      <c r="O7579" s="2">
        <f ca="1"/>
        <v>-0.94621415872513048</v>
      </c>
      <c r="X7579" s="2">
        <f ca="1"/>
        <v>87.618225039365058</v>
      </c>
      <c r="AG7579" s="2">
        <f ca="1"/>
        <v>0.88398053147702682</v>
      </c>
      <c r="AH7579" s="2" t="str">
        <f ca="1"/>
        <v>Bad</v>
      </c>
    </row>
    <row r="7580" spans="2:34" x14ac:dyDescent="0.2">
      <c r="B7580" s="2">
        <f ca="1"/>
        <v>1.7122093727254484E-2</v>
      </c>
      <c r="O7580" s="2">
        <f ca="1"/>
        <v>1.395362926702655</v>
      </c>
      <c r="X7580" s="2">
        <f ca="1"/>
        <v>75.939722570630821</v>
      </c>
      <c r="AG7580" s="2">
        <f ca="1"/>
        <v>0.1285418351848433</v>
      </c>
      <c r="AH7580" s="2" t="str">
        <f ca="1"/>
        <v>OK</v>
      </c>
    </row>
    <row r="7581" spans="2:34" x14ac:dyDescent="0.2">
      <c r="B7581" s="2">
        <f ca="1"/>
        <v>0.32986520137127018</v>
      </c>
      <c r="O7581" s="2">
        <f ca="1"/>
        <v>-0.12122346935140949</v>
      </c>
      <c r="X7581" s="2">
        <f ca="1"/>
        <v>52.535478469926119</v>
      </c>
      <c r="AG7581" s="2">
        <f ca="1"/>
        <v>0.23033069416221674</v>
      </c>
      <c r="AH7581" s="2" t="str">
        <f ca="1"/>
        <v>OK</v>
      </c>
    </row>
    <row r="7582" spans="2:34" x14ac:dyDescent="0.2">
      <c r="B7582" s="2">
        <f ca="1"/>
        <v>2.9111492529503291E-2</v>
      </c>
      <c r="O7582" s="2">
        <f ca="1"/>
        <v>1.4441504749599727</v>
      </c>
      <c r="X7582" s="2">
        <f ca="1"/>
        <v>47.795028183764032</v>
      </c>
      <c r="AG7582" s="2">
        <f ca="1"/>
        <v>0.51552310285363223</v>
      </c>
      <c r="AH7582" s="2" t="str">
        <f ca="1"/>
        <v>Bad</v>
      </c>
    </row>
    <row r="7583" spans="2:34" x14ac:dyDescent="0.2">
      <c r="B7583" s="2">
        <f ca="1"/>
        <v>0.92723476144517658</v>
      </c>
      <c r="O7583" s="2">
        <f ca="1"/>
        <v>0.85329651233946202</v>
      </c>
      <c r="X7583" s="2">
        <f ca="1"/>
        <v>60.843382350666324</v>
      </c>
      <c r="AG7583" s="2">
        <f ca="1"/>
        <v>0.54798543461266358</v>
      </c>
      <c r="AH7583" s="2" t="str">
        <f ca="1"/>
        <v>Bad</v>
      </c>
    </row>
    <row r="7584" spans="2:34" x14ac:dyDescent="0.2">
      <c r="B7584" s="2">
        <f ca="1"/>
        <v>0.13576770486303702</v>
      </c>
      <c r="O7584" s="2">
        <f ca="1"/>
        <v>0.24448773575026561</v>
      </c>
      <c r="X7584" s="2">
        <f ca="1"/>
        <v>52.362308804257786</v>
      </c>
      <c r="AG7584" s="2">
        <f ca="1"/>
        <v>0.84335113278147045</v>
      </c>
      <c r="AH7584" s="2" t="str">
        <f ca="1"/>
        <v>Bad</v>
      </c>
    </row>
    <row r="7585" spans="2:34" x14ac:dyDescent="0.2">
      <c r="B7585" s="2">
        <f ca="1"/>
        <v>0.82398248222789072</v>
      </c>
      <c r="O7585" s="2">
        <f ca="1"/>
        <v>-0.27414648551683574</v>
      </c>
      <c r="X7585" s="2">
        <f ca="1"/>
        <v>77.037369224668865</v>
      </c>
      <c r="AG7585" s="2">
        <f ca="1"/>
        <v>0.507940114810292</v>
      </c>
      <c r="AH7585" s="2" t="str">
        <f ca="1"/>
        <v>Bad</v>
      </c>
    </row>
    <row r="7586" spans="2:34" x14ac:dyDescent="0.2">
      <c r="B7586" s="2">
        <f ca="1"/>
        <v>4.2965811953959543E-2</v>
      </c>
      <c r="O7586" s="2">
        <f ca="1"/>
        <v>0.36262849988920509</v>
      </c>
      <c r="X7586" s="2">
        <f ca="1"/>
        <v>39.476056524293043</v>
      </c>
      <c r="AG7586" s="2">
        <f ca="1"/>
        <v>0.63630493465090088</v>
      </c>
      <c r="AH7586" s="2" t="str">
        <f ca="1"/>
        <v>Bad</v>
      </c>
    </row>
    <row r="7587" spans="2:34" x14ac:dyDescent="0.2">
      <c r="B7587" s="2">
        <f ca="1"/>
        <v>0.61273393288803835</v>
      </c>
      <c r="O7587" s="2">
        <f ca="1"/>
        <v>-0.46985273195295191</v>
      </c>
      <c r="X7587" s="2">
        <f ca="1"/>
        <v>45.985144291458901</v>
      </c>
      <c r="AG7587" s="2">
        <f ca="1"/>
        <v>0.35716010056007486</v>
      </c>
      <c r="AH7587" s="2" t="str">
        <f ca="1"/>
        <v>OK</v>
      </c>
    </row>
    <row r="7588" spans="2:34" x14ac:dyDescent="0.2">
      <c r="B7588" s="2">
        <f ca="1"/>
        <v>0.58252663141086702</v>
      </c>
      <c r="O7588" s="2">
        <f ca="1"/>
        <v>0.62965109145347853</v>
      </c>
      <c r="X7588" s="2">
        <f ca="1"/>
        <v>45.981580505498918</v>
      </c>
      <c r="AG7588" s="2">
        <f ca="1"/>
        <v>9.2763037819803884E-2</v>
      </c>
      <c r="AH7588" s="2" t="str">
        <f ca="1"/>
        <v>OK</v>
      </c>
    </row>
    <row r="7589" spans="2:34" x14ac:dyDescent="0.2">
      <c r="B7589" s="2">
        <f ca="1"/>
        <v>0.65650559707617906</v>
      </c>
      <c r="O7589" s="2">
        <f ca="1"/>
        <v>0.12608139501876675</v>
      </c>
      <c r="X7589" s="2">
        <f ca="1"/>
        <v>38.350888299729391</v>
      </c>
      <c r="AG7589" s="2">
        <f ca="1"/>
        <v>0.37873578761598292</v>
      </c>
      <c r="AH7589" s="2" t="str">
        <f ca="1"/>
        <v>OK</v>
      </c>
    </row>
    <row r="7590" spans="2:34" x14ac:dyDescent="0.2">
      <c r="B7590" s="2">
        <f ca="1"/>
        <v>0.86683776114902744</v>
      </c>
      <c r="O7590" s="2">
        <f ca="1"/>
        <v>0.57741267583928135</v>
      </c>
      <c r="X7590" s="2">
        <f ca="1"/>
        <v>61.081986636497739</v>
      </c>
      <c r="AG7590" s="2">
        <f ca="1"/>
        <v>0.28422401571460654</v>
      </c>
      <c r="AH7590" s="2" t="str">
        <f ca="1"/>
        <v>OK</v>
      </c>
    </row>
    <row r="7591" spans="2:34" x14ac:dyDescent="0.2">
      <c r="B7591" s="2">
        <f ca="1"/>
        <v>0.94519443202840736</v>
      </c>
      <c r="O7591" s="2">
        <f ca="1"/>
        <v>1.5393399055749262</v>
      </c>
      <c r="X7591" s="2">
        <f ca="1"/>
        <v>37.703152790960644</v>
      </c>
      <c r="AG7591" s="2">
        <f ca="1"/>
        <v>0.17367269682333575</v>
      </c>
      <c r="AH7591" s="2" t="str">
        <f ca="1"/>
        <v>OK</v>
      </c>
    </row>
    <row r="7592" spans="2:34" x14ac:dyDescent="0.2">
      <c r="B7592" s="2">
        <f ca="1"/>
        <v>0.30514921913050785</v>
      </c>
      <c r="O7592" s="2">
        <f ca="1"/>
        <v>-0.25379171271569928</v>
      </c>
      <c r="X7592" s="2">
        <f ca="1"/>
        <v>42.640446774110067</v>
      </c>
      <c r="AG7592" s="2">
        <f ca="1"/>
        <v>0.96476782860172361</v>
      </c>
      <c r="AH7592" s="2" t="str">
        <f ca="1"/>
        <v>Bad</v>
      </c>
    </row>
    <row r="7593" spans="2:34" x14ac:dyDescent="0.2">
      <c r="B7593" s="2">
        <f ca="1"/>
        <v>0.56022965275932513</v>
      </c>
      <c r="O7593" s="2">
        <f ca="1"/>
        <v>-0.65035874067891164</v>
      </c>
      <c r="X7593" s="2">
        <f ca="1"/>
        <v>25.42250672887679</v>
      </c>
      <c r="AG7593" s="2">
        <f ca="1"/>
        <v>0.92233216509741789</v>
      </c>
      <c r="AH7593" s="2" t="str">
        <f ca="1"/>
        <v>Bad</v>
      </c>
    </row>
    <row r="7594" spans="2:34" x14ac:dyDescent="0.2">
      <c r="B7594" s="2">
        <f ca="1"/>
        <v>0.4075236361272303</v>
      </c>
      <c r="O7594" s="2">
        <f ca="1"/>
        <v>-1.7903978787656032</v>
      </c>
      <c r="X7594" s="2">
        <f ca="1"/>
        <v>57.54547589577777</v>
      </c>
      <c r="AG7594" s="2">
        <f ca="1"/>
        <v>0.16804951145589397</v>
      </c>
      <c r="AH7594" s="2" t="str">
        <f ca="1"/>
        <v>OK</v>
      </c>
    </row>
    <row r="7595" spans="2:34" x14ac:dyDescent="0.2">
      <c r="B7595" s="2">
        <f ca="1"/>
        <v>0.65634467583536726</v>
      </c>
      <c r="O7595" s="2">
        <f ca="1"/>
        <v>-1.0395249663626605</v>
      </c>
      <c r="X7595" s="2">
        <f ca="1"/>
        <v>27.027966646256655</v>
      </c>
      <c r="AG7595" s="2">
        <f ca="1"/>
        <v>0.10866318848921797</v>
      </c>
      <c r="AH7595" s="2" t="str">
        <f ca="1"/>
        <v>OK</v>
      </c>
    </row>
    <row r="7596" spans="2:34" x14ac:dyDescent="0.2">
      <c r="B7596" s="2">
        <f ca="1"/>
        <v>0.49441539984777427</v>
      </c>
      <c r="O7596" s="2">
        <f ca="1"/>
        <v>-2.1260060631672864</v>
      </c>
      <c r="X7596" s="2">
        <f ca="1"/>
        <v>62.37939539066312</v>
      </c>
      <c r="AG7596" s="2">
        <f ca="1"/>
        <v>0.88711867453197679</v>
      </c>
      <c r="AH7596" s="2" t="str">
        <f ca="1"/>
        <v>Bad</v>
      </c>
    </row>
    <row r="7597" spans="2:34" x14ac:dyDescent="0.2">
      <c r="B7597" s="2">
        <f ca="1"/>
        <v>0.34717346273553473</v>
      </c>
      <c r="O7597" s="2">
        <f ca="1"/>
        <v>0.66327309394816014</v>
      </c>
      <c r="X7597" s="2">
        <f ca="1"/>
        <v>33.88006879604481</v>
      </c>
      <c r="AG7597" s="2">
        <f ca="1"/>
        <v>0.80979092784537943</v>
      </c>
      <c r="AH7597" s="2" t="str">
        <f ca="1"/>
        <v>Bad</v>
      </c>
    </row>
    <row r="7598" spans="2:34" x14ac:dyDescent="0.2">
      <c r="B7598" s="2">
        <f ca="1"/>
        <v>0.72033703405694549</v>
      </c>
      <c r="O7598" s="2">
        <f ca="1"/>
        <v>-0.26107557053745362</v>
      </c>
      <c r="X7598" s="2">
        <f ca="1"/>
        <v>49.927015017014476</v>
      </c>
      <c r="AG7598" s="2">
        <f ca="1"/>
        <v>0.7458677577969941</v>
      </c>
      <c r="AH7598" s="2" t="str">
        <f ca="1"/>
        <v>Bad</v>
      </c>
    </row>
    <row r="7599" spans="2:34" x14ac:dyDescent="0.2">
      <c r="B7599" s="2">
        <f ca="1"/>
        <v>0.49978407057837426</v>
      </c>
      <c r="O7599" s="2">
        <f ca="1"/>
        <v>0.54165240596075148</v>
      </c>
      <c r="X7599" s="2">
        <f ca="1"/>
        <v>63.583679357971562</v>
      </c>
      <c r="AG7599" s="2">
        <f ca="1"/>
        <v>7.8447601530466704E-2</v>
      </c>
      <c r="AH7599" s="2" t="str">
        <f ca="1"/>
        <v>OK</v>
      </c>
    </row>
    <row r="7600" spans="2:34" x14ac:dyDescent="0.2">
      <c r="B7600" s="2">
        <f ca="1"/>
        <v>0.32978366176358676</v>
      </c>
      <c r="O7600" s="2">
        <f ca="1"/>
        <v>-0.43837684434792434</v>
      </c>
      <c r="X7600" s="2">
        <f ca="1"/>
        <v>43.4191307621048</v>
      </c>
      <c r="AG7600" s="2">
        <f ca="1"/>
        <v>0.38684387947312193</v>
      </c>
      <c r="AH7600" s="2" t="str">
        <f ca="1"/>
        <v>OK</v>
      </c>
    </row>
    <row r="7601" spans="2:34" x14ac:dyDescent="0.2">
      <c r="B7601" s="2">
        <f ca="1"/>
        <v>0.81248445710009087</v>
      </c>
      <c r="O7601" s="2">
        <f ca="1"/>
        <v>-0.30741066069108852</v>
      </c>
      <c r="X7601" s="2">
        <f ca="1"/>
        <v>62.269131122019338</v>
      </c>
      <c r="AG7601" s="2">
        <f ca="1"/>
        <v>0.6791808576720777</v>
      </c>
      <c r="AH7601" s="2" t="str">
        <f ca="1"/>
        <v>Bad</v>
      </c>
    </row>
    <row r="7602" spans="2:34" x14ac:dyDescent="0.2">
      <c r="B7602" s="2">
        <f ca="1"/>
        <v>0.79179466013380373</v>
      </c>
      <c r="O7602" s="2">
        <f ca="1"/>
        <v>0.98037672472465276</v>
      </c>
      <c r="X7602" s="2">
        <f ca="1"/>
        <v>77.055682720093571</v>
      </c>
      <c r="AG7602" s="2">
        <f ca="1"/>
        <v>0.95735458931261519</v>
      </c>
      <c r="AH7602" s="2" t="str">
        <f ca="1"/>
        <v>Bad</v>
      </c>
    </row>
    <row r="7603" spans="2:34" x14ac:dyDescent="0.2">
      <c r="B7603" s="2">
        <f ca="1"/>
        <v>0.53362358426107015</v>
      </c>
      <c r="O7603" s="2">
        <f ca="1"/>
        <v>0.75767832826490233</v>
      </c>
      <c r="X7603" s="2">
        <f ca="1"/>
        <v>37.630728339976123</v>
      </c>
      <c r="AG7603" s="2">
        <f ca="1"/>
        <v>0.12196632469435498</v>
      </c>
      <c r="AH7603" s="2" t="str">
        <f ca="1"/>
        <v>OK</v>
      </c>
    </row>
    <row r="7604" spans="2:34" x14ac:dyDescent="0.2">
      <c r="B7604" s="2">
        <f ca="1"/>
        <v>0.32687396463751139</v>
      </c>
      <c r="O7604" s="2">
        <f ca="1"/>
        <v>-1.1630681389768476</v>
      </c>
      <c r="X7604" s="2">
        <f ca="1"/>
        <v>57.061832868202913</v>
      </c>
      <c r="AG7604" s="2">
        <f ca="1"/>
        <v>0.89860119040618081</v>
      </c>
      <c r="AH7604" s="2" t="str">
        <f ca="1"/>
        <v>Bad</v>
      </c>
    </row>
    <row r="7605" spans="2:34" x14ac:dyDescent="0.2">
      <c r="B7605" s="2">
        <f ca="1"/>
        <v>0.74663549838053944</v>
      </c>
      <c r="O7605" s="2">
        <f ca="1"/>
        <v>-0.54601624029065432</v>
      </c>
      <c r="X7605" s="2">
        <f ca="1"/>
        <v>53.771020902465949</v>
      </c>
      <c r="AG7605" s="2">
        <f ca="1"/>
        <v>0.78954860929281789</v>
      </c>
      <c r="AH7605" s="2" t="str">
        <f ca="1"/>
        <v>Bad</v>
      </c>
    </row>
    <row r="7606" spans="2:34" x14ac:dyDescent="0.2">
      <c r="B7606" s="2">
        <f ca="1"/>
        <v>0.2583288879285075</v>
      </c>
      <c r="O7606" s="2">
        <f ca="1"/>
        <v>-1.2993768424887158</v>
      </c>
      <c r="X7606" s="2">
        <f ca="1"/>
        <v>83.482680746682036</v>
      </c>
      <c r="AG7606" s="2">
        <f ca="1"/>
        <v>0.65062575589179317</v>
      </c>
      <c r="AH7606" s="2" t="str">
        <f ca="1"/>
        <v>Bad</v>
      </c>
    </row>
    <row r="7607" spans="2:34" x14ac:dyDescent="0.2">
      <c r="B7607" s="2">
        <f ca="1"/>
        <v>0.63481258104746097</v>
      </c>
      <c r="O7607" s="2">
        <f ca="1"/>
        <v>0.4764497854719284</v>
      </c>
      <c r="X7607" s="2">
        <f ca="1"/>
        <v>64.978861278771305</v>
      </c>
      <c r="AG7607" s="2">
        <f ca="1"/>
        <v>0.21468182522475909</v>
      </c>
      <c r="AH7607" s="2" t="str">
        <f ca="1"/>
        <v>OK</v>
      </c>
    </row>
    <row r="7608" spans="2:34" x14ac:dyDescent="0.2">
      <c r="B7608" s="2">
        <f ca="1"/>
        <v>0.88001095712310828</v>
      </c>
      <c r="O7608" s="2">
        <f ca="1"/>
        <v>0.32382809204829405</v>
      </c>
      <c r="X7608" s="2">
        <f ca="1"/>
        <v>32.44058527778207</v>
      </c>
      <c r="AG7608" s="2">
        <f ca="1"/>
        <v>0.62532843397157434</v>
      </c>
      <c r="AH7608" s="2" t="str">
        <f ca="1"/>
        <v>Bad</v>
      </c>
    </row>
    <row r="7609" spans="2:34" x14ac:dyDescent="0.2">
      <c r="B7609" s="2">
        <f ca="1"/>
        <v>0.5793354613971522</v>
      </c>
      <c r="O7609" s="2">
        <f ca="1"/>
        <v>-1.2019198822280155</v>
      </c>
      <c r="X7609" s="2">
        <f ca="1"/>
        <v>31.362361062925149</v>
      </c>
      <c r="AG7609" s="2">
        <f ca="1"/>
        <v>0.47018193318134971</v>
      </c>
      <c r="AH7609" s="2" t="str">
        <f ca="1"/>
        <v>Bad</v>
      </c>
    </row>
    <row r="7610" spans="2:34" x14ac:dyDescent="0.2">
      <c r="B7610" s="2">
        <f ca="1"/>
        <v>0.45748238220340864</v>
      </c>
      <c r="O7610" s="2">
        <f ca="1"/>
        <v>-0.33407358628361533</v>
      </c>
      <c r="X7610" s="2">
        <f ca="1"/>
        <v>45.784621997073323</v>
      </c>
      <c r="AG7610" s="2">
        <f ca="1"/>
        <v>0.51649170680898693</v>
      </c>
      <c r="AH7610" s="2" t="str">
        <f ca="1"/>
        <v>Bad</v>
      </c>
    </row>
    <row r="7611" spans="2:34" x14ac:dyDescent="0.2">
      <c r="B7611" s="2">
        <f ca="1"/>
        <v>0.93974316528227408</v>
      </c>
      <c r="O7611" s="2">
        <f ca="1"/>
        <v>0.94836558837346407</v>
      </c>
      <c r="X7611" s="2">
        <f ca="1"/>
        <v>63.883102846235936</v>
      </c>
      <c r="AG7611" s="2">
        <f ca="1"/>
        <v>6.4833381421524949E-2</v>
      </c>
      <c r="AH7611" s="2" t="str">
        <f ca="1"/>
        <v>OK</v>
      </c>
    </row>
    <row r="7612" spans="2:34" x14ac:dyDescent="0.2">
      <c r="B7612" s="2">
        <f ca="1"/>
        <v>0.57766397976271011</v>
      </c>
      <c r="O7612" s="2">
        <f ca="1"/>
        <v>-1.3238075987001499</v>
      </c>
      <c r="X7612" s="2">
        <f ca="1"/>
        <v>47.955391466369491</v>
      </c>
      <c r="AG7612" s="2">
        <f ca="1"/>
        <v>0.71276353765060296</v>
      </c>
      <c r="AH7612" s="2" t="str">
        <f ca="1"/>
        <v>Bad</v>
      </c>
    </row>
    <row r="7613" spans="2:34" x14ac:dyDescent="0.2">
      <c r="B7613" s="2">
        <f ca="1"/>
        <v>0.94508330774485549</v>
      </c>
      <c r="O7613" s="2">
        <f ca="1"/>
        <v>0.86984025466140447</v>
      </c>
      <c r="X7613" s="2">
        <f ca="1"/>
        <v>46.712597473141969</v>
      </c>
      <c r="AG7613" s="2">
        <f ca="1"/>
        <v>0.70545914644891128</v>
      </c>
      <c r="AH7613" s="2" t="str">
        <f ca="1"/>
        <v>Bad</v>
      </c>
    </row>
    <row r="7614" spans="2:34" x14ac:dyDescent="0.2">
      <c r="B7614" s="2">
        <f ca="1"/>
        <v>8.3183039145136028E-2</v>
      </c>
      <c r="O7614" s="2">
        <f ca="1"/>
        <v>-2.4102802952528122</v>
      </c>
      <c r="X7614" s="2">
        <f ca="1"/>
        <v>55.343951246664773</v>
      </c>
      <c r="AG7614" s="2">
        <f ca="1"/>
        <v>0.67763868475160027</v>
      </c>
      <c r="AH7614" s="2" t="str">
        <f ca="1"/>
        <v>Bad</v>
      </c>
    </row>
    <row r="7615" spans="2:34" x14ac:dyDescent="0.2">
      <c r="B7615" s="2">
        <f ca="1"/>
        <v>0.83014106662386888</v>
      </c>
      <c r="O7615" s="2">
        <f ca="1"/>
        <v>-8.2541303838878199E-2</v>
      </c>
      <c r="X7615" s="2">
        <f ca="1"/>
        <v>51.13690094568301</v>
      </c>
      <c r="AG7615" s="2">
        <f ca="1"/>
        <v>0.69428559193299422</v>
      </c>
      <c r="AH7615" s="2" t="str">
        <f ca="1"/>
        <v>Bad</v>
      </c>
    </row>
    <row r="7616" spans="2:34" x14ac:dyDescent="0.2">
      <c r="B7616" s="2">
        <f ca="1"/>
        <v>0.17214830838548778</v>
      </c>
      <c r="O7616" s="2">
        <f ca="1"/>
        <v>-0.19251827139053584</v>
      </c>
      <c r="X7616" s="2">
        <f ca="1"/>
        <v>61.871836432668218</v>
      </c>
      <c r="AG7616" s="2">
        <f ca="1"/>
        <v>0.18349411938363991</v>
      </c>
      <c r="AH7616" s="2" t="str">
        <f ca="1"/>
        <v>OK</v>
      </c>
    </row>
    <row r="7617" spans="2:34" x14ac:dyDescent="0.2">
      <c r="B7617" s="2">
        <f ca="1"/>
        <v>0.22368195355712706</v>
      </c>
      <c r="O7617" s="2">
        <f ca="1"/>
        <v>-1.3244111522173696</v>
      </c>
      <c r="X7617" s="2">
        <f ca="1"/>
        <v>43.047624313042412</v>
      </c>
      <c r="AG7617" s="2">
        <f ca="1"/>
        <v>0.63629989947601984</v>
      </c>
      <c r="AH7617" s="2" t="str">
        <f ca="1"/>
        <v>Bad</v>
      </c>
    </row>
    <row r="7618" spans="2:34" x14ac:dyDescent="0.2">
      <c r="B7618" s="2">
        <f ca="1"/>
        <v>0.77110355365993399</v>
      </c>
      <c r="O7618" s="2">
        <f ca="1"/>
        <v>0.61504952798351553</v>
      </c>
      <c r="X7618" s="2">
        <f ca="1"/>
        <v>48.944330138956353</v>
      </c>
      <c r="AG7618" s="2">
        <f ca="1"/>
        <v>5.2463937854255294E-2</v>
      </c>
      <c r="AH7618" s="2" t="str">
        <f ca="1"/>
        <v>OK</v>
      </c>
    </row>
    <row r="7619" spans="2:34" x14ac:dyDescent="0.2">
      <c r="B7619" s="2">
        <f ca="1"/>
        <v>0.6333706876136751</v>
      </c>
      <c r="O7619" s="2">
        <f ca="1"/>
        <v>0.23128922877273758</v>
      </c>
      <c r="X7619" s="2">
        <f ca="1"/>
        <v>59.055307543890379</v>
      </c>
      <c r="AG7619" s="2">
        <f ca="1"/>
        <v>0.71006466405341118</v>
      </c>
      <c r="AH7619" s="2" t="str">
        <f ca="1"/>
        <v>Bad</v>
      </c>
    </row>
    <row r="7620" spans="2:34" x14ac:dyDescent="0.2">
      <c r="B7620" s="2">
        <f ca="1"/>
        <v>0.87360269530291079</v>
      </c>
      <c r="O7620" s="2">
        <f ca="1"/>
        <v>-1.0353190859982666</v>
      </c>
      <c r="X7620" s="2">
        <f ca="1"/>
        <v>37.344669125276553</v>
      </c>
      <c r="AG7620" s="2">
        <f ca="1"/>
        <v>6.0227525853892239E-2</v>
      </c>
      <c r="AH7620" s="2" t="str">
        <f ca="1"/>
        <v>OK</v>
      </c>
    </row>
    <row r="7621" spans="2:34" x14ac:dyDescent="0.2">
      <c r="B7621" s="2">
        <f ca="1"/>
        <v>0.84721497625012288</v>
      </c>
      <c r="O7621" s="2">
        <f ca="1"/>
        <v>-1.2458065671451701</v>
      </c>
      <c r="X7621" s="2">
        <f ca="1"/>
        <v>27.914068082576922</v>
      </c>
      <c r="AG7621" s="2">
        <f ca="1"/>
        <v>0.95527550604340172</v>
      </c>
      <c r="AH7621" s="2" t="str">
        <f ca="1"/>
        <v>Bad</v>
      </c>
    </row>
    <row r="7622" spans="2:34" x14ac:dyDescent="0.2">
      <c r="B7622" s="2">
        <f ca="1"/>
        <v>0.73065557420584515</v>
      </c>
      <c r="O7622" s="2">
        <f ca="1"/>
        <v>-0.66844230979238639</v>
      </c>
      <c r="X7622" s="2">
        <f ca="1"/>
        <v>49.998555842591102</v>
      </c>
      <c r="AG7622" s="2">
        <f ca="1"/>
        <v>0.75431766608596362</v>
      </c>
      <c r="AH7622" s="2" t="str">
        <f ca="1"/>
        <v>Bad</v>
      </c>
    </row>
    <row r="7623" spans="2:34" x14ac:dyDescent="0.2">
      <c r="B7623" s="2">
        <f ca="1"/>
        <v>0.35366678383006422</v>
      </c>
      <c r="O7623" s="2">
        <f ca="1"/>
        <v>0.19920542063871546</v>
      </c>
      <c r="X7623" s="2">
        <f ca="1"/>
        <v>45.089034949413211</v>
      </c>
      <c r="AG7623" s="2">
        <f ca="1"/>
        <v>0.6910442644840491</v>
      </c>
      <c r="AH7623" s="2" t="str">
        <f ca="1"/>
        <v>Bad</v>
      </c>
    </row>
    <row r="7624" spans="2:34" x14ac:dyDescent="0.2">
      <c r="B7624" s="2">
        <f ca="1"/>
        <v>0.80243246875980634</v>
      </c>
      <c r="O7624" s="2">
        <f ca="1"/>
        <v>0.81477420805215384</v>
      </c>
      <c r="X7624" s="2">
        <f ca="1"/>
        <v>40.315705822844805</v>
      </c>
      <c r="AG7624" s="2">
        <f ca="1"/>
        <v>0.63038111439155498</v>
      </c>
      <c r="AH7624" s="2" t="str">
        <f ca="1"/>
        <v>Bad</v>
      </c>
    </row>
    <row r="7625" spans="2:34" x14ac:dyDescent="0.2">
      <c r="B7625" s="2">
        <f ca="1"/>
        <v>6.0647035228756252E-2</v>
      </c>
      <c r="O7625" s="2">
        <f ca="1"/>
        <v>-0.56607167118477175</v>
      </c>
      <c r="X7625" s="2">
        <f ca="1"/>
        <v>61.912127444559751</v>
      </c>
      <c r="AG7625" s="2">
        <f ca="1"/>
        <v>0.36049695913736746</v>
      </c>
      <c r="AH7625" s="2" t="str">
        <f ca="1"/>
        <v>OK</v>
      </c>
    </row>
    <row r="7626" spans="2:34" x14ac:dyDescent="0.2">
      <c r="B7626" s="2">
        <f ca="1"/>
        <v>0.18492356055093095</v>
      </c>
      <c r="O7626" s="2">
        <f ca="1"/>
        <v>-0.47778476280043636</v>
      </c>
      <c r="X7626" s="2">
        <f ca="1"/>
        <v>38.329382915792429</v>
      </c>
      <c r="AG7626" s="2">
        <f ca="1"/>
        <v>2.0988257669345423E-2</v>
      </c>
      <c r="AH7626" s="2" t="str">
        <f ca="1"/>
        <v>Good</v>
      </c>
    </row>
    <row r="7627" spans="2:34" x14ac:dyDescent="0.2">
      <c r="B7627" s="2">
        <f ca="1"/>
        <v>4.6606919251610757E-2</v>
      </c>
      <c r="O7627" s="2">
        <f ca="1"/>
        <v>-1.2425826682022383</v>
      </c>
      <c r="X7627" s="2">
        <f ca="1"/>
        <v>55.294388270211805</v>
      </c>
      <c r="AG7627" s="2">
        <f ca="1"/>
        <v>0.58671242526430101</v>
      </c>
      <c r="AH7627" s="2" t="str">
        <f ca="1"/>
        <v>Bad</v>
      </c>
    </row>
    <row r="7628" spans="2:34" x14ac:dyDescent="0.2">
      <c r="B7628" s="2">
        <f ca="1"/>
        <v>0.19237388025421609</v>
      </c>
      <c r="O7628" s="2">
        <f ca="1"/>
        <v>-0.27907866519387303</v>
      </c>
      <c r="X7628" s="2">
        <f ca="1"/>
        <v>82.504460783147678</v>
      </c>
      <c r="AG7628" s="2">
        <f ca="1"/>
        <v>0.4598428374438186</v>
      </c>
      <c r="AH7628" s="2" t="str">
        <f ca="1"/>
        <v>Bad</v>
      </c>
    </row>
    <row r="7629" spans="2:34" x14ac:dyDescent="0.2">
      <c r="B7629" s="2">
        <f ca="1"/>
        <v>0.16184861376690085</v>
      </c>
      <c r="O7629" s="2">
        <f ca="1"/>
        <v>1.0950451896652444</v>
      </c>
      <c r="X7629" s="2">
        <f ca="1"/>
        <v>39.569003331087266</v>
      </c>
      <c r="AG7629" s="2">
        <f ca="1"/>
        <v>0.55667380564757796</v>
      </c>
      <c r="AH7629" s="2" t="str">
        <f ca="1"/>
        <v>Bad</v>
      </c>
    </row>
    <row r="7630" spans="2:34" x14ac:dyDescent="0.2">
      <c r="B7630" s="2">
        <f ca="1"/>
        <v>0.39391394715704453</v>
      </c>
      <c r="O7630" s="2">
        <f ca="1"/>
        <v>0.95768971445377005</v>
      </c>
      <c r="X7630" s="2">
        <f ca="1"/>
        <v>30.50872818993242</v>
      </c>
      <c r="AG7630" s="2">
        <f ca="1"/>
        <v>9.509752531361948E-2</v>
      </c>
      <c r="AH7630" s="2" t="str">
        <f ca="1"/>
        <v>OK</v>
      </c>
    </row>
    <row r="7631" spans="2:34" x14ac:dyDescent="0.2">
      <c r="B7631" s="2">
        <f ca="1"/>
        <v>0.96321561774279929</v>
      </c>
      <c r="O7631" s="2">
        <f ca="1"/>
        <v>1.9815934265718323E-2</v>
      </c>
      <c r="X7631" s="2">
        <f ca="1"/>
        <v>40.609910405080313</v>
      </c>
      <c r="AG7631" s="2">
        <f ca="1"/>
        <v>0.41137890459506599</v>
      </c>
      <c r="AH7631" s="2" t="str">
        <f ca="1"/>
        <v>Bad</v>
      </c>
    </row>
    <row r="7632" spans="2:34" x14ac:dyDescent="0.2">
      <c r="B7632" s="2">
        <f ca="1"/>
        <v>0.96217420981423629</v>
      </c>
      <c r="O7632" s="2">
        <f ca="1"/>
        <v>0.16157245417535734</v>
      </c>
      <c r="X7632" s="2">
        <f ca="1"/>
        <v>47.889818579497799</v>
      </c>
      <c r="AG7632" s="2">
        <f ca="1"/>
        <v>0.16618890837862654</v>
      </c>
      <c r="AH7632" s="2" t="str">
        <f ca="1"/>
        <v>OK</v>
      </c>
    </row>
    <row r="7633" spans="2:34" x14ac:dyDescent="0.2">
      <c r="B7633" s="2">
        <f ca="1"/>
        <v>0.49661964884950649</v>
      </c>
      <c r="O7633" s="2">
        <f ca="1"/>
        <v>-1.4433857030805144</v>
      </c>
      <c r="X7633" s="2">
        <f ca="1"/>
        <v>42.488987799349196</v>
      </c>
      <c r="AG7633" s="2">
        <f ca="1"/>
        <v>0.30078478205608383</v>
      </c>
      <c r="AH7633" s="2" t="str">
        <f ca="1"/>
        <v>OK</v>
      </c>
    </row>
    <row r="7634" spans="2:34" x14ac:dyDescent="0.2">
      <c r="B7634" s="2">
        <f ca="1"/>
        <v>0.34119431535172828</v>
      </c>
      <c r="O7634" s="2">
        <f ca="1"/>
        <v>-0.59509173528961246</v>
      </c>
      <c r="X7634" s="2">
        <f ca="1"/>
        <v>74.279958965653137</v>
      </c>
      <c r="AG7634" s="2">
        <f ca="1"/>
        <v>0.800115271681761</v>
      </c>
      <c r="AH7634" s="2" t="str">
        <f ca="1"/>
        <v>Bad</v>
      </c>
    </row>
    <row r="7635" spans="2:34" x14ac:dyDescent="0.2">
      <c r="B7635" s="2">
        <f ca="1"/>
        <v>1.5073456093854798E-3</v>
      </c>
      <c r="O7635" s="2">
        <f ca="1"/>
        <v>-0.26037865587054954</v>
      </c>
      <c r="X7635" s="2">
        <f ca="1"/>
        <v>37.682691004153178</v>
      </c>
      <c r="AG7635" s="2">
        <f ca="1"/>
        <v>0.43640486382863375</v>
      </c>
      <c r="AH7635" s="2" t="str">
        <f ca="1"/>
        <v>Bad</v>
      </c>
    </row>
    <row r="7636" spans="2:34" x14ac:dyDescent="0.2">
      <c r="B7636" s="2">
        <f ca="1"/>
        <v>0.28935709927511133</v>
      </c>
      <c r="O7636" s="2">
        <f ca="1"/>
        <v>4.845770057147062E-2</v>
      </c>
      <c r="X7636" s="2">
        <f ca="1"/>
        <v>47.229859581886387</v>
      </c>
      <c r="AG7636" s="2">
        <f ca="1"/>
        <v>0.777197686483315</v>
      </c>
      <c r="AH7636" s="2" t="str">
        <f ca="1"/>
        <v>Bad</v>
      </c>
    </row>
    <row r="7637" spans="2:34" x14ac:dyDescent="0.2">
      <c r="B7637" s="2">
        <f ca="1"/>
        <v>0.6022523216812754</v>
      </c>
      <c r="O7637" s="2">
        <f ca="1"/>
        <v>-1.3018804056818949</v>
      </c>
      <c r="X7637" s="2">
        <f ca="1"/>
        <v>40.695573151796268</v>
      </c>
      <c r="AG7637" s="2">
        <f ca="1"/>
        <v>0.23021152332832284</v>
      </c>
      <c r="AH7637" s="2" t="str">
        <f ca="1"/>
        <v>OK</v>
      </c>
    </row>
    <row r="7638" spans="2:34" x14ac:dyDescent="0.2">
      <c r="B7638" s="2">
        <f ca="1"/>
        <v>0.2112409171578058</v>
      </c>
      <c r="O7638" s="2">
        <f ca="1"/>
        <v>-0.18089337104070771</v>
      </c>
      <c r="X7638" s="2">
        <f ca="1"/>
        <v>54.508680994545919</v>
      </c>
      <c r="AG7638" s="2">
        <f ca="1"/>
        <v>0.58767867285150133</v>
      </c>
      <c r="AH7638" s="2" t="str">
        <f ca="1"/>
        <v>Bad</v>
      </c>
    </row>
    <row r="7639" spans="2:34" x14ac:dyDescent="0.2">
      <c r="B7639" s="2">
        <f ca="1"/>
        <v>0.15825468100513862</v>
      </c>
      <c r="O7639" s="2">
        <f ca="1"/>
        <v>1.0302565320550297</v>
      </c>
      <c r="X7639" s="2">
        <f ca="1"/>
        <v>30.371503362277718</v>
      </c>
      <c r="AG7639" s="2">
        <f ca="1"/>
        <v>0.78208354288388504</v>
      </c>
      <c r="AH7639" s="2" t="str">
        <f ca="1"/>
        <v>Bad</v>
      </c>
    </row>
    <row r="7640" spans="2:34" x14ac:dyDescent="0.2">
      <c r="B7640" s="2">
        <f ca="1"/>
        <v>0.49170195692276675</v>
      </c>
      <c r="O7640" s="2">
        <f ca="1"/>
        <v>1.0784097129699186</v>
      </c>
      <c r="X7640" s="2">
        <f ca="1"/>
        <v>49.853691576495763</v>
      </c>
      <c r="AG7640" s="2">
        <f ca="1"/>
        <v>0.20549742034007279</v>
      </c>
      <c r="AH7640" s="2" t="str">
        <f ca="1"/>
        <v>OK</v>
      </c>
    </row>
    <row r="7641" spans="2:34" x14ac:dyDescent="0.2">
      <c r="B7641" s="2">
        <f ca="1"/>
        <v>0.71681314528707052</v>
      </c>
      <c r="O7641" s="2">
        <f ca="1"/>
        <v>-0.32322948005882285</v>
      </c>
      <c r="X7641" s="2">
        <f ca="1"/>
        <v>47.16756222038476</v>
      </c>
      <c r="AG7641" s="2">
        <f ca="1"/>
        <v>0.41446081396548484</v>
      </c>
      <c r="AH7641" s="2" t="str">
        <f ca="1"/>
        <v>Bad</v>
      </c>
    </row>
    <row r="7642" spans="2:34" x14ac:dyDescent="0.2">
      <c r="B7642" s="2">
        <f ca="1"/>
        <v>6.546910766565528E-2</v>
      </c>
      <c r="O7642" s="2">
        <f ca="1"/>
        <v>6.6903269007827268E-2</v>
      </c>
      <c r="X7642" s="2">
        <f ca="1"/>
        <v>26.942649078731908</v>
      </c>
      <c r="AG7642" s="2">
        <f ca="1"/>
        <v>0.34833530637326993</v>
      </c>
      <c r="AH7642" s="2" t="str">
        <f ca="1"/>
        <v>OK</v>
      </c>
    </row>
    <row r="7643" spans="2:34" x14ac:dyDescent="0.2">
      <c r="B7643" s="2">
        <f ca="1"/>
        <v>0.48888262421148476</v>
      </c>
      <c r="O7643" s="2">
        <f ca="1"/>
        <v>2.3466725396859545</v>
      </c>
      <c r="X7643" s="2">
        <f ca="1"/>
        <v>38.168323503269626</v>
      </c>
      <c r="AG7643" s="2">
        <f ca="1"/>
        <v>0.61129696858398841</v>
      </c>
      <c r="AH7643" s="2" t="str">
        <f ca="1"/>
        <v>Bad</v>
      </c>
    </row>
    <row r="7644" spans="2:34" x14ac:dyDescent="0.2">
      <c r="B7644" s="2">
        <f ca="1"/>
        <v>0.60418046030200978</v>
      </c>
      <c r="O7644" s="2">
        <f ca="1"/>
        <v>0.14520621194037883</v>
      </c>
      <c r="X7644" s="2">
        <f ca="1"/>
        <v>42.656441196000245</v>
      </c>
      <c r="AG7644" s="2">
        <f ca="1"/>
        <v>0.61819112233897555</v>
      </c>
      <c r="AH7644" s="2" t="str">
        <f ca="1"/>
        <v>Bad</v>
      </c>
    </row>
    <row r="7645" spans="2:34" x14ac:dyDescent="0.2">
      <c r="B7645" s="2">
        <f ca="1"/>
        <v>0.57300208267602137</v>
      </c>
      <c r="O7645" s="2">
        <f ca="1"/>
        <v>-0.15799569229389088</v>
      </c>
      <c r="X7645" s="2">
        <f ca="1"/>
        <v>70.915269801689348</v>
      </c>
      <c r="AG7645" s="2">
        <f ca="1"/>
        <v>0.40052577045738169</v>
      </c>
      <c r="AH7645" s="2" t="str">
        <f ca="1"/>
        <v>Bad</v>
      </c>
    </row>
    <row r="7646" spans="2:34" x14ac:dyDescent="0.2">
      <c r="B7646" s="2">
        <f ca="1"/>
        <v>0.42576639590884491</v>
      </c>
      <c r="O7646" s="2">
        <f ca="1"/>
        <v>1.0760737258080655</v>
      </c>
      <c r="X7646" s="2">
        <f ca="1"/>
        <v>53.388917719646038</v>
      </c>
      <c r="AG7646" s="2">
        <f ca="1"/>
        <v>0.57998509064182047</v>
      </c>
      <c r="AH7646" s="2" t="str">
        <f ca="1"/>
        <v>Bad</v>
      </c>
    </row>
    <row r="7647" spans="2:34" x14ac:dyDescent="0.2">
      <c r="B7647" s="2">
        <f ca="1"/>
        <v>0.90261019171067236</v>
      </c>
      <c r="O7647" s="2">
        <f ca="1"/>
        <v>0.48527585708358201</v>
      </c>
      <c r="X7647" s="2">
        <f ca="1"/>
        <v>43.813492786037799</v>
      </c>
      <c r="AG7647" s="2">
        <f ca="1"/>
        <v>0.70034748960740556</v>
      </c>
      <c r="AH7647" s="2" t="str">
        <f ca="1"/>
        <v>Bad</v>
      </c>
    </row>
    <row r="7648" spans="2:34" x14ac:dyDescent="0.2">
      <c r="B7648" s="2">
        <f ca="1"/>
        <v>0.67770194533617278</v>
      </c>
      <c r="O7648" s="2">
        <f ca="1"/>
        <v>-0.2666810849182617</v>
      </c>
      <c r="X7648" s="2">
        <f ca="1"/>
        <v>97.454003095834594</v>
      </c>
      <c r="AG7648" s="2">
        <f ca="1"/>
        <v>0.34510819701169915</v>
      </c>
      <c r="AH7648" s="2" t="str">
        <f ca="1"/>
        <v>OK</v>
      </c>
    </row>
    <row r="7649" spans="2:34" x14ac:dyDescent="0.2">
      <c r="B7649" s="2">
        <f ca="1"/>
        <v>2.2327223083682179E-2</v>
      </c>
      <c r="O7649" s="2">
        <f ca="1"/>
        <v>-0.27724938491362183</v>
      </c>
      <c r="X7649" s="2">
        <f ca="1"/>
        <v>42.870159691743268</v>
      </c>
      <c r="AG7649" s="2">
        <f ca="1"/>
        <v>6.4174725992416137E-2</v>
      </c>
      <c r="AH7649" s="2" t="str">
        <f ca="1"/>
        <v>OK</v>
      </c>
    </row>
    <row r="7650" spans="2:34" x14ac:dyDescent="0.2">
      <c r="B7650" s="2">
        <f ca="1"/>
        <v>9.0529505742594996E-2</v>
      </c>
      <c r="O7650" s="2">
        <f ca="1"/>
        <v>0.50900433363906739</v>
      </c>
      <c r="X7650" s="2">
        <f ca="1"/>
        <v>37.85574523047945</v>
      </c>
      <c r="AG7650" s="2">
        <f ca="1"/>
        <v>0.14721001332407369</v>
      </c>
      <c r="AH7650" s="2" t="str">
        <f ca="1"/>
        <v>OK</v>
      </c>
    </row>
    <row r="7651" spans="2:34" x14ac:dyDescent="0.2">
      <c r="B7651" s="2">
        <f ca="1"/>
        <v>0.67630228647687529</v>
      </c>
      <c r="O7651" s="2">
        <f ca="1"/>
        <v>-1.8698653929124258</v>
      </c>
      <c r="X7651" s="2">
        <f ca="1"/>
        <v>74.822682327221656</v>
      </c>
      <c r="AG7651" s="2">
        <f ca="1"/>
        <v>0.63873590670548985</v>
      </c>
      <c r="AH7651" s="2" t="str">
        <f ca="1"/>
        <v>Bad</v>
      </c>
    </row>
    <row r="7652" spans="2:34" x14ac:dyDescent="0.2">
      <c r="B7652" s="2">
        <f ca="1"/>
        <v>0.60672039190407556</v>
      </c>
      <c r="O7652" s="2">
        <f ca="1"/>
        <v>1.5415629263484247</v>
      </c>
      <c r="X7652" s="2">
        <f ca="1"/>
        <v>50.022370788194593</v>
      </c>
      <c r="AG7652" s="2">
        <f ca="1"/>
        <v>0.7028770840488674</v>
      </c>
      <c r="AH7652" s="2" t="str">
        <f ca="1"/>
        <v>Bad</v>
      </c>
    </row>
    <row r="7653" spans="2:34" x14ac:dyDescent="0.2">
      <c r="B7653" s="2">
        <f ca="1"/>
        <v>0.2616940898732123</v>
      </c>
      <c r="O7653" s="2">
        <f ca="1"/>
        <v>-1.023681992622707</v>
      </c>
      <c r="X7653" s="2">
        <f ca="1"/>
        <v>35.534186230517442</v>
      </c>
      <c r="AG7653" s="2">
        <f ca="1"/>
        <v>0.85547632513461003</v>
      </c>
      <c r="AH7653" s="2" t="str">
        <f ca="1"/>
        <v>Bad</v>
      </c>
    </row>
    <row r="7654" spans="2:34" x14ac:dyDescent="0.2">
      <c r="B7654" s="2">
        <f ca="1"/>
        <v>0.87511006651028445</v>
      </c>
      <c r="O7654" s="2">
        <f ca="1"/>
        <v>0.44399297280858635</v>
      </c>
      <c r="X7654" s="2">
        <f ca="1"/>
        <v>42.490014256038918</v>
      </c>
      <c r="AG7654" s="2">
        <f ca="1"/>
        <v>0.86654113380402387</v>
      </c>
      <c r="AH7654" s="2" t="str">
        <f ca="1"/>
        <v>Bad</v>
      </c>
    </row>
    <row r="7655" spans="2:34" x14ac:dyDescent="0.2">
      <c r="B7655" s="2">
        <f ca="1"/>
        <v>0.18332516815895761</v>
      </c>
      <c r="O7655" s="2">
        <f ca="1"/>
        <v>1.4782639412810297</v>
      </c>
      <c r="X7655" s="2">
        <f ca="1"/>
        <v>60.528564170236351</v>
      </c>
      <c r="AG7655" s="2">
        <f ca="1"/>
        <v>3.2014297214680854E-2</v>
      </c>
      <c r="AH7655" s="2" t="str">
        <f ca="1"/>
        <v>Good</v>
      </c>
    </row>
    <row r="7656" spans="2:34" x14ac:dyDescent="0.2">
      <c r="B7656" s="2">
        <f ca="1"/>
        <v>0.99223978956348335</v>
      </c>
      <c r="O7656" s="2">
        <f ca="1"/>
        <v>0.38977264387139965</v>
      </c>
      <c r="X7656" s="2">
        <f ca="1"/>
        <v>53.099180394806652</v>
      </c>
      <c r="AG7656" s="2">
        <f ca="1"/>
        <v>4.5056419827056882E-2</v>
      </c>
      <c r="AH7656" s="2" t="str">
        <f ca="1"/>
        <v>Good</v>
      </c>
    </row>
    <row r="7657" spans="2:34" x14ac:dyDescent="0.2">
      <c r="B7657" s="2">
        <f ca="1"/>
        <v>0.20437335319243211</v>
      </c>
      <c r="O7657" s="2">
        <f ca="1"/>
        <v>0.30912552361126472</v>
      </c>
      <c r="X7657" s="2">
        <f ca="1"/>
        <v>69.312138833273409</v>
      </c>
      <c r="AG7657" s="2">
        <f ca="1"/>
        <v>0.73062486503806046</v>
      </c>
      <c r="AH7657" s="2" t="str">
        <f ca="1"/>
        <v>Bad</v>
      </c>
    </row>
    <row r="7658" spans="2:34" x14ac:dyDescent="0.2">
      <c r="B7658" s="2">
        <f ca="1"/>
        <v>0.13795991429467724</v>
      </c>
      <c r="O7658" s="2">
        <f ca="1"/>
        <v>1.1804709117577425</v>
      </c>
      <c r="X7658" s="2">
        <f ca="1"/>
        <v>38.965674370937236</v>
      </c>
      <c r="AG7658" s="2">
        <f ca="1"/>
        <v>0.55981289726380745</v>
      </c>
      <c r="AH7658" s="2" t="str">
        <f ca="1"/>
        <v>Bad</v>
      </c>
    </row>
    <row r="7659" spans="2:34" x14ac:dyDescent="0.2">
      <c r="B7659" s="2">
        <f ca="1"/>
        <v>0.44541023667968882</v>
      </c>
      <c r="O7659" s="2">
        <f ca="1"/>
        <v>3.3382205901325478E-2</v>
      </c>
      <c r="X7659" s="2">
        <f ca="1"/>
        <v>47.63816489090587</v>
      </c>
      <c r="AG7659" s="2">
        <f ca="1"/>
        <v>0.95132223644530622</v>
      </c>
      <c r="AH7659" s="2" t="str">
        <f ca="1"/>
        <v>Bad</v>
      </c>
    </row>
    <row r="7660" spans="2:34" x14ac:dyDescent="0.2">
      <c r="B7660" s="2">
        <f ca="1"/>
        <v>0.79279431110680543</v>
      </c>
      <c r="O7660" s="2">
        <f ca="1"/>
        <v>1.8187274151528703</v>
      </c>
      <c r="X7660" s="2">
        <f ca="1"/>
        <v>44.223135842242115</v>
      </c>
      <c r="AG7660" s="2">
        <f ca="1"/>
        <v>0.93216412117569702</v>
      </c>
      <c r="AH7660" s="2" t="str">
        <f ca="1"/>
        <v>Bad</v>
      </c>
    </row>
    <row r="7661" spans="2:34" x14ac:dyDescent="0.2">
      <c r="B7661" s="2">
        <f ca="1"/>
        <v>0.79270548214175407</v>
      </c>
      <c r="O7661" s="2">
        <f ca="1"/>
        <v>-1.696869502151918</v>
      </c>
      <c r="X7661" s="2">
        <f ca="1"/>
        <v>57.517943572076945</v>
      </c>
      <c r="AG7661" s="2">
        <f ca="1"/>
        <v>0.22193246871920036</v>
      </c>
      <c r="AH7661" s="2" t="str">
        <f ca="1"/>
        <v>OK</v>
      </c>
    </row>
    <row r="7662" spans="2:34" x14ac:dyDescent="0.2">
      <c r="B7662" s="2">
        <f ca="1"/>
        <v>0.70216774085682476</v>
      </c>
      <c r="O7662" s="2">
        <f ca="1"/>
        <v>0.60288898983486072</v>
      </c>
      <c r="X7662" s="2">
        <f ca="1"/>
        <v>63.540553840321827</v>
      </c>
      <c r="AG7662" s="2">
        <f ca="1"/>
        <v>0.65165137292503461</v>
      </c>
      <c r="AH7662" s="2" t="str">
        <f ca="1"/>
        <v>Bad</v>
      </c>
    </row>
    <row r="7663" spans="2:34" x14ac:dyDescent="0.2">
      <c r="B7663" s="2">
        <f ca="1"/>
        <v>0.95593796875788528</v>
      </c>
      <c r="O7663" s="2">
        <f ca="1"/>
        <v>-0.41082566091755707</v>
      </c>
      <c r="X7663" s="2">
        <f ca="1"/>
        <v>48.496573713694453</v>
      </c>
      <c r="AG7663" s="2">
        <f ca="1"/>
        <v>0.95036334306674064</v>
      </c>
      <c r="AH7663" s="2" t="str">
        <f ca="1"/>
        <v>Bad</v>
      </c>
    </row>
    <row r="7664" spans="2:34" x14ac:dyDescent="0.2">
      <c r="B7664" s="2">
        <f ca="1"/>
        <v>0.10650470843025284</v>
      </c>
      <c r="O7664" s="2">
        <f ca="1"/>
        <v>0.38107334626593953</v>
      </c>
      <c r="X7664" s="2">
        <f ca="1"/>
        <v>83.87906026854256</v>
      </c>
      <c r="AG7664" s="2">
        <f ca="1"/>
        <v>0.9784489842617865</v>
      </c>
      <c r="AH7664" s="2" t="str">
        <f ca="1"/>
        <v>Bad</v>
      </c>
    </row>
    <row r="7665" spans="2:34" x14ac:dyDescent="0.2">
      <c r="B7665" s="2">
        <f ca="1"/>
        <v>0.4599409062230293</v>
      </c>
      <c r="O7665" s="2">
        <f ca="1"/>
        <v>-2.2238320817923464E-2</v>
      </c>
      <c r="X7665" s="2">
        <f ca="1"/>
        <v>37.58849357732602</v>
      </c>
      <c r="AG7665" s="2">
        <f ca="1"/>
        <v>3.6578387559138559E-2</v>
      </c>
      <c r="AH7665" s="2" t="str">
        <f ca="1"/>
        <v>Good</v>
      </c>
    </row>
    <row r="7666" spans="2:34" x14ac:dyDescent="0.2">
      <c r="B7666" s="2">
        <f ca="1"/>
        <v>0.84499157804224945</v>
      </c>
      <c r="O7666" s="2">
        <f ca="1"/>
        <v>-0.49001433591171062</v>
      </c>
      <c r="X7666" s="2">
        <f ca="1"/>
        <v>44.157957959920388</v>
      </c>
      <c r="AG7666" s="2">
        <f ca="1"/>
        <v>0.85118874567271008</v>
      </c>
      <c r="AH7666" s="2" t="str">
        <f ca="1"/>
        <v>Bad</v>
      </c>
    </row>
    <row r="7667" spans="2:34" x14ac:dyDescent="0.2">
      <c r="B7667" s="2">
        <f ca="1"/>
        <v>0.14702946328282263</v>
      </c>
      <c r="O7667" s="2">
        <f ca="1"/>
        <v>1.3170116052642462</v>
      </c>
      <c r="X7667" s="2">
        <f ca="1"/>
        <v>50.534832281703011</v>
      </c>
      <c r="AG7667" s="2">
        <f ca="1"/>
        <v>0.31555482402268842</v>
      </c>
      <c r="AH7667" s="2" t="str">
        <f ca="1"/>
        <v>OK</v>
      </c>
    </row>
    <row r="7668" spans="2:34" x14ac:dyDescent="0.2">
      <c r="B7668" s="2">
        <f ca="1"/>
        <v>0.22334505047542397</v>
      </c>
      <c r="O7668" s="2">
        <f ca="1"/>
        <v>-0.51817962806884077</v>
      </c>
      <c r="X7668" s="2">
        <f ca="1"/>
        <v>72.599242994522811</v>
      </c>
      <c r="AG7668" s="2">
        <f ca="1"/>
        <v>0.85462353671131641</v>
      </c>
      <c r="AH7668" s="2" t="str">
        <f ca="1"/>
        <v>Bad</v>
      </c>
    </row>
    <row r="7669" spans="2:34" x14ac:dyDescent="0.2">
      <c r="B7669" s="2">
        <f ca="1"/>
        <v>0.30445421593182953</v>
      </c>
      <c r="O7669" s="2">
        <f ca="1"/>
        <v>0.78949778150064898</v>
      </c>
      <c r="X7669" s="2">
        <f ca="1"/>
        <v>36.041292986858259</v>
      </c>
      <c r="AG7669" s="2">
        <f ca="1"/>
        <v>0.66647821098448223</v>
      </c>
      <c r="AH7669" s="2" t="str">
        <f ca="1"/>
        <v>Bad</v>
      </c>
    </row>
    <row r="7670" spans="2:34" x14ac:dyDescent="0.2">
      <c r="B7670" s="2">
        <f ca="1"/>
        <v>0.59815012415840618</v>
      </c>
      <c r="O7670" s="2">
        <f ca="1"/>
        <v>-0.51350518497418074</v>
      </c>
      <c r="X7670" s="2">
        <f ca="1"/>
        <v>61.599271909196879</v>
      </c>
      <c r="AG7670" s="2">
        <f ca="1"/>
        <v>0.30604242406733939</v>
      </c>
      <c r="AH7670" s="2" t="str">
        <f ca="1"/>
        <v>OK</v>
      </c>
    </row>
    <row r="7671" spans="2:34" x14ac:dyDescent="0.2">
      <c r="B7671" s="2">
        <f ca="1"/>
        <v>0.76768543949727852</v>
      </c>
      <c r="O7671" s="2">
        <f ca="1"/>
        <v>-0.4628417624961933</v>
      </c>
      <c r="X7671" s="2">
        <f ca="1"/>
        <v>51.919663350125909</v>
      </c>
      <c r="AG7671" s="2">
        <f ca="1"/>
        <v>0.35460907761555616</v>
      </c>
      <c r="AH7671" s="2" t="str">
        <f ca="1"/>
        <v>OK</v>
      </c>
    </row>
    <row r="7672" spans="2:34" x14ac:dyDescent="0.2">
      <c r="B7672" s="2">
        <f ca="1"/>
        <v>0.90653366231690735</v>
      </c>
      <c r="O7672" s="2">
        <f ca="1"/>
        <v>-0.50717660006442689</v>
      </c>
      <c r="X7672" s="2">
        <f ca="1"/>
        <v>55.884235215524583</v>
      </c>
      <c r="AG7672" s="2">
        <f ca="1"/>
        <v>0.61405463178661224</v>
      </c>
      <c r="AH7672" s="2" t="str">
        <f ca="1"/>
        <v>Bad</v>
      </c>
    </row>
    <row r="7673" spans="2:34" x14ac:dyDescent="0.2">
      <c r="B7673" s="2">
        <f ca="1"/>
        <v>0.25960619390047746</v>
      </c>
      <c r="O7673" s="2">
        <f ca="1"/>
        <v>-0.40856549672076731</v>
      </c>
      <c r="X7673" s="2">
        <f ca="1"/>
        <v>48.963390660871589</v>
      </c>
      <c r="AG7673" s="2">
        <f ca="1"/>
        <v>0.52236039180205673</v>
      </c>
      <c r="AH7673" s="2" t="str">
        <f ca="1"/>
        <v>Bad</v>
      </c>
    </row>
    <row r="7674" spans="2:34" x14ac:dyDescent="0.2">
      <c r="B7674" s="2">
        <f ca="1"/>
        <v>0.37287637631432613</v>
      </c>
      <c r="O7674" s="2">
        <f ca="1"/>
        <v>0.81400400181755961</v>
      </c>
      <c r="X7674" s="2">
        <f ca="1"/>
        <v>27.378538808785677</v>
      </c>
      <c r="AG7674" s="2">
        <f ca="1"/>
        <v>0.27819662880422746</v>
      </c>
      <c r="AH7674" s="2" t="str">
        <f ca="1"/>
        <v>OK</v>
      </c>
    </row>
    <row r="7675" spans="2:34" x14ac:dyDescent="0.2">
      <c r="B7675" s="2">
        <f ca="1"/>
        <v>0.48556762262868092</v>
      </c>
      <c r="O7675" s="2">
        <f ca="1"/>
        <v>-0.65872989766183687</v>
      </c>
      <c r="X7675" s="2">
        <f ca="1"/>
        <v>44.464239240851093</v>
      </c>
      <c r="AG7675" s="2">
        <f ca="1"/>
        <v>0.34841881422745069</v>
      </c>
      <c r="AH7675" s="2" t="str">
        <f ca="1"/>
        <v>OK</v>
      </c>
    </row>
    <row r="7676" spans="2:34" x14ac:dyDescent="0.2">
      <c r="B7676" s="2">
        <f ca="1"/>
        <v>0.60820968220923799</v>
      </c>
      <c r="O7676" s="2">
        <f ca="1"/>
        <v>-0.24066459223853806</v>
      </c>
      <c r="X7676" s="2">
        <f ca="1"/>
        <v>58.057506515142272</v>
      </c>
      <c r="AG7676" s="2">
        <f ca="1"/>
        <v>0.46359309173436913</v>
      </c>
      <c r="AH7676" s="2" t="str">
        <f ca="1"/>
        <v>Bad</v>
      </c>
    </row>
    <row r="7677" spans="2:34" x14ac:dyDescent="0.2">
      <c r="B7677" s="2">
        <f ca="1"/>
        <v>0.81558667066906421</v>
      </c>
      <c r="O7677" s="2">
        <f ca="1"/>
        <v>-1.2275506726360954</v>
      </c>
      <c r="X7677" s="2">
        <f ca="1"/>
        <v>50.306619378430703</v>
      </c>
      <c r="AG7677" s="2">
        <f ca="1"/>
        <v>0.3005239330660221</v>
      </c>
      <c r="AH7677" s="2" t="str">
        <f ca="1"/>
        <v>OK</v>
      </c>
    </row>
    <row r="7678" spans="2:34" x14ac:dyDescent="0.2">
      <c r="B7678" s="2">
        <f ca="1"/>
        <v>0.35595644982962105</v>
      </c>
      <c r="O7678" s="2">
        <f ca="1"/>
        <v>-0.62454289778134142</v>
      </c>
      <c r="X7678" s="2">
        <f ca="1"/>
        <v>54.349378011255034</v>
      </c>
      <c r="AG7678" s="2">
        <f ca="1"/>
        <v>0.72743914903487417</v>
      </c>
      <c r="AH7678" s="2" t="str">
        <f ca="1"/>
        <v>Bad</v>
      </c>
    </row>
    <row r="7679" spans="2:34" x14ac:dyDescent="0.2">
      <c r="B7679" s="2">
        <f ca="1"/>
        <v>0.32933378343686925</v>
      </c>
      <c r="O7679" s="2">
        <f ca="1"/>
        <v>0.31877579706859088</v>
      </c>
      <c r="X7679" s="2">
        <f ca="1"/>
        <v>33.058290194387247</v>
      </c>
      <c r="AG7679" s="2">
        <f ca="1"/>
        <v>0.5841461138132209</v>
      </c>
      <c r="AH7679" s="2" t="str">
        <f ca="1"/>
        <v>Bad</v>
      </c>
    </row>
    <row r="7680" spans="2:34" x14ac:dyDescent="0.2">
      <c r="B7680" s="2">
        <f ca="1"/>
        <v>0.32553713051816047</v>
      </c>
      <c r="O7680" s="2">
        <f ca="1"/>
        <v>1.0737338344865217</v>
      </c>
      <c r="X7680" s="2">
        <f ca="1"/>
        <v>41.377241989790562</v>
      </c>
      <c r="AG7680" s="2">
        <f ca="1"/>
        <v>0.58365750166107211</v>
      </c>
      <c r="AH7680" s="2" t="str">
        <f ca="1"/>
        <v>Bad</v>
      </c>
    </row>
    <row r="7681" spans="2:34" x14ac:dyDescent="0.2">
      <c r="B7681" s="2">
        <f ca="1"/>
        <v>4.8342448042884456E-2</v>
      </c>
      <c r="O7681" s="2">
        <f ca="1"/>
        <v>-1.1059395967429748</v>
      </c>
      <c r="X7681" s="2">
        <f ca="1"/>
        <v>63.691632978231503</v>
      </c>
      <c r="AG7681" s="2">
        <f ca="1"/>
        <v>2.8024019730399363E-2</v>
      </c>
      <c r="AH7681" s="2" t="str">
        <f ca="1"/>
        <v>Good</v>
      </c>
    </row>
    <row r="7682" spans="2:34" x14ac:dyDescent="0.2">
      <c r="B7682" s="2">
        <f ca="1"/>
        <v>0.40638161016932361</v>
      </c>
      <c r="O7682" s="2">
        <f ca="1"/>
        <v>2.1763433963626619</v>
      </c>
      <c r="X7682" s="2">
        <f ca="1"/>
        <v>41.102241537654585</v>
      </c>
      <c r="AG7682" s="2">
        <f ca="1"/>
        <v>0.43233327132167187</v>
      </c>
      <c r="AH7682" s="2" t="str">
        <f ca="1"/>
        <v>Bad</v>
      </c>
    </row>
    <row r="7683" spans="2:34" x14ac:dyDescent="0.2">
      <c r="B7683" s="2">
        <f ca="1"/>
        <v>0.71296237293840803</v>
      </c>
      <c r="O7683" s="2">
        <f ca="1"/>
        <v>-0.75444496243198056</v>
      </c>
      <c r="X7683" s="2">
        <f ca="1"/>
        <v>53.151847445594257</v>
      </c>
      <c r="AG7683" s="2">
        <f ca="1"/>
        <v>0.88373552689976465</v>
      </c>
      <c r="AH7683" s="2" t="str">
        <f ca="1"/>
        <v>Bad</v>
      </c>
    </row>
    <row r="7684" spans="2:34" x14ac:dyDescent="0.2">
      <c r="B7684" s="2">
        <f ca="1"/>
        <v>8.9505059762123418E-2</v>
      </c>
      <c r="O7684" s="2">
        <f ca="1"/>
        <v>-2.2572779894782045</v>
      </c>
      <c r="X7684" s="2">
        <f ca="1"/>
        <v>45.044259186334855</v>
      </c>
      <c r="AG7684" s="2">
        <f ca="1"/>
        <v>0.38017062601568785</v>
      </c>
      <c r="AH7684" s="2" t="str">
        <f ca="1"/>
        <v>OK</v>
      </c>
    </row>
    <row r="7685" spans="2:34" x14ac:dyDescent="0.2">
      <c r="B7685" s="2">
        <f ca="1"/>
        <v>9.5890407841074055E-2</v>
      </c>
      <c r="O7685" s="2">
        <f ca="1"/>
        <v>1.3865422808953101</v>
      </c>
      <c r="X7685" s="2">
        <f ca="1"/>
        <v>45.135138224320698</v>
      </c>
      <c r="AG7685" s="2">
        <f ca="1"/>
        <v>0.22388830496317702</v>
      </c>
      <c r="AH7685" s="2" t="str">
        <f ca="1"/>
        <v>OK</v>
      </c>
    </row>
    <row r="7686" spans="2:34" x14ac:dyDescent="0.2">
      <c r="B7686" s="2">
        <f ca="1"/>
        <v>0.28400929784425322</v>
      </c>
      <c r="O7686" s="2">
        <f ca="1"/>
        <v>-0.36389385521546602</v>
      </c>
      <c r="X7686" s="2">
        <f ca="1"/>
        <v>47.22968298198041</v>
      </c>
      <c r="AG7686" s="2">
        <f ca="1"/>
        <v>0.10213619562797405</v>
      </c>
      <c r="AH7686" s="2" t="str">
        <f ca="1"/>
        <v>OK</v>
      </c>
    </row>
    <row r="7687" spans="2:34" x14ac:dyDescent="0.2">
      <c r="B7687" s="2">
        <f ca="1"/>
        <v>0.30131135153846866</v>
      </c>
      <c r="O7687" s="2">
        <f ca="1"/>
        <v>0.23543820019288256</v>
      </c>
      <c r="X7687" s="2">
        <f ca="1"/>
        <v>68.191536613178243</v>
      </c>
      <c r="AG7687" s="2">
        <f ca="1"/>
        <v>0.97552012539013044</v>
      </c>
      <c r="AH7687" s="2" t="str">
        <f ca="1"/>
        <v>Bad</v>
      </c>
    </row>
    <row r="7688" spans="2:34" x14ac:dyDescent="0.2">
      <c r="B7688" s="2">
        <f ca="1"/>
        <v>0.27184046210448942</v>
      </c>
      <c r="O7688" s="2">
        <f ca="1"/>
        <v>-0.3518440028640949</v>
      </c>
      <c r="X7688" s="2">
        <f ca="1"/>
        <v>47.756956819264936</v>
      </c>
      <c r="AG7688" s="2">
        <f ca="1"/>
        <v>0.5032978978513476</v>
      </c>
      <c r="AH7688" s="2" t="str">
        <f ca="1"/>
        <v>Bad</v>
      </c>
    </row>
    <row r="7689" spans="2:34" x14ac:dyDescent="0.2">
      <c r="B7689" s="2">
        <f ca="1"/>
        <v>0.65066741019680308</v>
      </c>
      <c r="O7689" s="2">
        <f ca="1"/>
        <v>-0.67314927492664933</v>
      </c>
      <c r="X7689" s="2">
        <f ca="1"/>
        <v>76.88984994470529</v>
      </c>
      <c r="AG7689" s="2">
        <f ca="1"/>
        <v>0.94115645684911331</v>
      </c>
      <c r="AH7689" s="2" t="str">
        <f ca="1"/>
        <v>Bad</v>
      </c>
    </row>
    <row r="7690" spans="2:34" x14ac:dyDescent="0.2">
      <c r="B7690" s="2">
        <f ca="1"/>
        <v>0.79521394904353571</v>
      </c>
      <c r="O7690" s="2">
        <f ca="1"/>
        <v>-1.0399197881525395</v>
      </c>
      <c r="X7690" s="2">
        <f ca="1"/>
        <v>62.93134692872799</v>
      </c>
      <c r="AG7690" s="2">
        <f ca="1"/>
        <v>0.45006078186671949</v>
      </c>
      <c r="AH7690" s="2" t="str">
        <f ca="1"/>
        <v>Bad</v>
      </c>
    </row>
    <row r="7691" spans="2:34" x14ac:dyDescent="0.2">
      <c r="B7691" s="2">
        <f ca="1"/>
        <v>0.56945897026351466</v>
      </c>
      <c r="O7691" s="2">
        <f ca="1"/>
        <v>-0.3384156235616429</v>
      </c>
      <c r="X7691" s="2">
        <f ca="1"/>
        <v>39.368411272531013</v>
      </c>
      <c r="AG7691" s="2">
        <f ca="1"/>
        <v>0.94966416156684841</v>
      </c>
      <c r="AH7691" s="2" t="str">
        <f ca="1"/>
        <v>Bad</v>
      </c>
    </row>
    <row r="7692" spans="2:34" x14ac:dyDescent="0.2">
      <c r="B7692" s="2">
        <f ca="1"/>
        <v>0.67320871957666339</v>
      </c>
      <c r="O7692" s="2">
        <f ca="1"/>
        <v>-1.5692161368673698</v>
      </c>
      <c r="X7692" s="2">
        <f ca="1"/>
        <v>54.800246327011777</v>
      </c>
      <c r="AG7692" s="2">
        <f ca="1"/>
        <v>0.26006292728951297</v>
      </c>
      <c r="AH7692" s="2" t="str">
        <f ca="1"/>
        <v>OK</v>
      </c>
    </row>
    <row r="7693" spans="2:34" x14ac:dyDescent="0.2">
      <c r="B7693" s="2">
        <f ca="1"/>
        <v>8.6643452314065117E-2</v>
      </c>
      <c r="O7693" s="2">
        <f ca="1"/>
        <v>0.48727324040285253</v>
      </c>
      <c r="X7693" s="2">
        <f ca="1"/>
        <v>59.973568080174495</v>
      </c>
      <c r="AG7693" s="2">
        <f ca="1"/>
        <v>0.76812083202921078</v>
      </c>
      <c r="AH7693" s="2" t="str">
        <f ca="1"/>
        <v>Bad</v>
      </c>
    </row>
    <row r="7694" spans="2:34" x14ac:dyDescent="0.2">
      <c r="B7694" s="2">
        <f ca="1"/>
        <v>0.33168723278933609</v>
      </c>
      <c r="O7694" s="2">
        <f ca="1"/>
        <v>1.9260402275501312</v>
      </c>
      <c r="X7694" s="2">
        <f ca="1"/>
        <v>39.178598630711349</v>
      </c>
      <c r="AG7694" s="2">
        <f ca="1"/>
        <v>0.53354146522178469</v>
      </c>
      <c r="AH7694" s="2" t="str">
        <f ca="1"/>
        <v>Bad</v>
      </c>
    </row>
    <row r="7695" spans="2:34" x14ac:dyDescent="0.2">
      <c r="B7695" s="2">
        <f ca="1"/>
        <v>0.17321501853400334</v>
      </c>
      <c r="O7695" s="2">
        <f ca="1"/>
        <v>0.38219710185300831</v>
      </c>
      <c r="X7695" s="2">
        <f ca="1"/>
        <v>43.828172926826305</v>
      </c>
      <c r="AG7695" s="2">
        <f ca="1"/>
        <v>0.81726500116684675</v>
      </c>
      <c r="AH7695" s="2" t="str">
        <f ca="1"/>
        <v>Bad</v>
      </c>
    </row>
    <row r="7696" spans="2:34" x14ac:dyDescent="0.2">
      <c r="B7696" s="2">
        <f ca="1"/>
        <v>0.88111119472715127</v>
      </c>
      <c r="O7696" s="2">
        <f ca="1"/>
        <v>0.59801886088993084</v>
      </c>
      <c r="X7696" s="2">
        <f ca="1"/>
        <v>61.301889296165015</v>
      </c>
      <c r="AG7696" s="2">
        <f ca="1"/>
        <v>0.10774947284979586</v>
      </c>
      <c r="AH7696" s="2" t="str">
        <f ca="1"/>
        <v>OK</v>
      </c>
    </row>
    <row r="7697" spans="2:34" x14ac:dyDescent="0.2">
      <c r="B7697" s="2">
        <f ca="1"/>
        <v>0.94277101543330133</v>
      </c>
      <c r="O7697" s="2">
        <f ca="1"/>
        <v>-1.0382650012245405</v>
      </c>
      <c r="X7697" s="2">
        <f ca="1"/>
        <v>58.650034934233503</v>
      </c>
      <c r="AG7697" s="2">
        <f ca="1"/>
        <v>0.29117745352015234</v>
      </c>
      <c r="AH7697" s="2" t="str">
        <f ca="1"/>
        <v>OK</v>
      </c>
    </row>
    <row r="7698" spans="2:34" x14ac:dyDescent="0.2">
      <c r="B7698" s="2">
        <f ca="1"/>
        <v>0.61621202615657422</v>
      </c>
      <c r="O7698" s="2">
        <f ca="1"/>
        <v>-0.54316235879651742</v>
      </c>
      <c r="X7698" s="2">
        <f ca="1"/>
        <v>45.706448675933338</v>
      </c>
      <c r="AG7698" s="2">
        <f ca="1"/>
        <v>5.8883452557427773E-3</v>
      </c>
      <c r="AH7698" s="2" t="str">
        <f ca="1"/>
        <v>Good</v>
      </c>
    </row>
    <row r="7699" spans="2:34" x14ac:dyDescent="0.2">
      <c r="B7699" s="2">
        <f ca="1"/>
        <v>0.16172848784495342</v>
      </c>
      <c r="O7699" s="2">
        <f ca="1"/>
        <v>-1.1329414147169339</v>
      </c>
      <c r="X7699" s="2">
        <f ca="1"/>
        <v>30.550319274980108</v>
      </c>
      <c r="AG7699" s="2">
        <f ca="1"/>
        <v>0.6592866528233714</v>
      </c>
      <c r="AH7699" s="2" t="str">
        <f ca="1"/>
        <v>Bad</v>
      </c>
    </row>
    <row r="7700" spans="2:34" x14ac:dyDescent="0.2">
      <c r="B7700" s="2">
        <f ca="1"/>
        <v>0.83889648032858033</v>
      </c>
      <c r="O7700" s="2">
        <f ca="1"/>
        <v>0.45071084769023051</v>
      </c>
      <c r="X7700" s="2">
        <f ca="1"/>
        <v>46.560402255777461</v>
      </c>
      <c r="AG7700" s="2">
        <f ca="1"/>
        <v>0.13435349316328926</v>
      </c>
      <c r="AH7700" s="2" t="str">
        <f ca="1"/>
        <v>OK</v>
      </c>
    </row>
    <row r="7701" spans="2:34" x14ac:dyDescent="0.2">
      <c r="B7701" s="2">
        <f ca="1"/>
        <v>0.56955214438169333</v>
      </c>
      <c r="O7701" s="2">
        <f ca="1"/>
        <v>2.0283734298185205</v>
      </c>
      <c r="X7701" s="2">
        <f ca="1"/>
        <v>61.776077958986839</v>
      </c>
      <c r="AG7701" s="2">
        <f ca="1"/>
        <v>0.20609251822005237</v>
      </c>
      <c r="AH7701" s="2" t="str">
        <f ca="1"/>
        <v>OK</v>
      </c>
    </row>
    <row r="7702" spans="2:34" x14ac:dyDescent="0.2">
      <c r="B7702" s="2">
        <f ca="1"/>
        <v>0.73144016788255661</v>
      </c>
      <c r="O7702" s="2">
        <f ca="1"/>
        <v>0.89860218217674726</v>
      </c>
      <c r="X7702" s="2">
        <f ca="1"/>
        <v>46.182517039086804</v>
      </c>
      <c r="AG7702" s="2">
        <f ca="1"/>
        <v>0.48488539302690437</v>
      </c>
      <c r="AH7702" s="2" t="str">
        <f ca="1"/>
        <v>Bad</v>
      </c>
    </row>
    <row r="7703" spans="2:34" x14ac:dyDescent="0.2">
      <c r="B7703" s="2">
        <f ca="1"/>
        <v>0.28357715562471797</v>
      </c>
      <c r="O7703" s="2">
        <f ca="1"/>
        <v>-0.37984608954950971</v>
      </c>
      <c r="X7703" s="2">
        <f ca="1"/>
        <v>58.127817144100433</v>
      </c>
      <c r="AG7703" s="2">
        <f ca="1"/>
        <v>0.61495946491652265</v>
      </c>
      <c r="AH7703" s="2" t="str">
        <f ca="1"/>
        <v>Bad</v>
      </c>
    </row>
    <row r="7704" spans="2:34" x14ac:dyDescent="0.2">
      <c r="B7704" s="2">
        <f ca="1"/>
        <v>0.69042767112193792</v>
      </c>
      <c r="O7704" s="2">
        <f ca="1"/>
        <v>-0.60874702560306115</v>
      </c>
      <c r="X7704" s="2">
        <f ca="1"/>
        <v>56.845098923340196</v>
      </c>
      <c r="AG7704" s="2">
        <f ca="1"/>
        <v>0.61452863267128666</v>
      </c>
      <c r="AH7704" s="2" t="str">
        <f ca="1"/>
        <v>Bad</v>
      </c>
    </row>
    <row r="7705" spans="2:34" x14ac:dyDescent="0.2">
      <c r="B7705" s="2">
        <f ca="1"/>
        <v>0.65618081808746309</v>
      </c>
      <c r="O7705" s="2">
        <f ca="1"/>
        <v>-0.16525431361186999</v>
      </c>
      <c r="X7705" s="2">
        <f ca="1"/>
        <v>23.854002005145688</v>
      </c>
      <c r="AG7705" s="2">
        <f ca="1"/>
        <v>0.60984248960220366</v>
      </c>
      <c r="AH7705" s="2" t="str">
        <f ca="1"/>
        <v>Bad</v>
      </c>
    </row>
    <row r="7706" spans="2:34" x14ac:dyDescent="0.2">
      <c r="B7706" s="2">
        <f ca="1"/>
        <v>0.51815730573846608</v>
      </c>
      <c r="O7706" s="2">
        <f ca="1"/>
        <v>0.66998408637715057</v>
      </c>
      <c r="X7706" s="2">
        <f ca="1"/>
        <v>49.823970774839253</v>
      </c>
      <c r="AG7706" s="2">
        <f ca="1"/>
        <v>0.81832464133372174</v>
      </c>
      <c r="AH7706" s="2" t="str">
        <f ca="1"/>
        <v>Bad</v>
      </c>
    </row>
    <row r="7707" spans="2:34" x14ac:dyDescent="0.2">
      <c r="B7707" s="2">
        <f ca="1"/>
        <v>0.59998378132744845</v>
      </c>
      <c r="O7707" s="2">
        <f ca="1"/>
        <v>0.46681177724125023</v>
      </c>
      <c r="X7707" s="2">
        <f ca="1"/>
        <v>51.568442107154844</v>
      </c>
      <c r="AG7707" s="2">
        <f ca="1"/>
        <v>9.3556988407631492E-2</v>
      </c>
      <c r="AH7707" s="2" t="str">
        <f ca="1"/>
        <v>OK</v>
      </c>
    </row>
    <row r="7708" spans="2:34" x14ac:dyDescent="0.2">
      <c r="B7708" s="2">
        <f ca="1"/>
        <v>0.98172152164627446</v>
      </c>
      <c r="O7708" s="2">
        <f ca="1"/>
        <v>-1.5277135519244653</v>
      </c>
      <c r="X7708" s="2">
        <f ca="1"/>
        <v>64.151619930900793</v>
      </c>
      <c r="AG7708" s="2">
        <f ca="1"/>
        <v>0.52326580286975566</v>
      </c>
      <c r="AH7708" s="2" t="str">
        <f ca="1"/>
        <v>Bad</v>
      </c>
    </row>
    <row r="7709" spans="2:34" x14ac:dyDescent="0.2">
      <c r="B7709" s="2">
        <f ca="1"/>
        <v>0.2218588272812676</v>
      </c>
      <c r="O7709" s="2">
        <f ca="1"/>
        <v>-0.58370563202336423</v>
      </c>
      <c r="X7709" s="2">
        <f ca="1"/>
        <v>59.585491477312608</v>
      </c>
      <c r="AG7709" s="2">
        <f ca="1"/>
        <v>0.30322150952169591</v>
      </c>
      <c r="AH7709" s="2" t="str">
        <f ca="1"/>
        <v>OK</v>
      </c>
    </row>
    <row r="7710" spans="2:34" x14ac:dyDescent="0.2">
      <c r="B7710" s="2">
        <f ca="1"/>
        <v>0.67981114850859337</v>
      </c>
      <c r="O7710" s="2">
        <f ca="1"/>
        <v>-6.2200760314713069E-2</v>
      </c>
      <c r="X7710" s="2">
        <f ca="1"/>
        <v>52.066694987228679</v>
      </c>
      <c r="AG7710" s="2">
        <f ca="1"/>
        <v>4.0573126397512649E-2</v>
      </c>
      <c r="AH7710" s="2" t="str">
        <f ca="1"/>
        <v>Good</v>
      </c>
    </row>
    <row r="7711" spans="2:34" x14ac:dyDescent="0.2">
      <c r="B7711" s="2">
        <f ca="1"/>
        <v>0.78876790044090117</v>
      </c>
      <c r="O7711" s="2">
        <f ca="1"/>
        <v>-1.592528278128865</v>
      </c>
      <c r="X7711" s="2">
        <f ca="1"/>
        <v>68.063726574948859</v>
      </c>
      <c r="AG7711" s="2">
        <f ca="1"/>
        <v>0.88834209888051685</v>
      </c>
      <c r="AH7711" s="2" t="str">
        <f ca="1"/>
        <v>Bad</v>
      </c>
    </row>
    <row r="7712" spans="2:34" x14ac:dyDescent="0.2">
      <c r="B7712" s="2">
        <f ca="1"/>
        <v>0.26638713787419221</v>
      </c>
      <c r="O7712" s="2">
        <f ca="1"/>
        <v>0.72998324938443426</v>
      </c>
      <c r="X7712" s="2">
        <f ca="1"/>
        <v>35.577007946556563</v>
      </c>
      <c r="AG7712" s="2">
        <f ca="1"/>
        <v>0.85811334630096048</v>
      </c>
      <c r="AH7712" s="2" t="str">
        <f ca="1"/>
        <v>Bad</v>
      </c>
    </row>
    <row r="7713" spans="2:34" x14ac:dyDescent="0.2">
      <c r="B7713" s="2">
        <f ca="1"/>
        <v>8.3735005301116772E-2</v>
      </c>
      <c r="O7713" s="2">
        <f ca="1"/>
        <v>-0.43546639697967526</v>
      </c>
      <c r="X7713" s="2">
        <f ca="1"/>
        <v>52.359395997797129</v>
      </c>
      <c r="AG7713" s="2">
        <f ca="1"/>
        <v>0.4910806406358954</v>
      </c>
      <c r="AH7713" s="2" t="str">
        <f ca="1"/>
        <v>Bad</v>
      </c>
    </row>
    <row r="7714" spans="2:34" x14ac:dyDescent="0.2">
      <c r="B7714" s="2">
        <f ca="1"/>
        <v>0.40764632161381065</v>
      </c>
      <c r="O7714" s="2">
        <f ca="1"/>
        <v>1.832483969042028</v>
      </c>
      <c r="X7714" s="2">
        <f ca="1"/>
        <v>39.953712926364645</v>
      </c>
      <c r="AG7714" s="2">
        <f ca="1"/>
        <v>0.18767177253776945</v>
      </c>
      <c r="AH7714" s="2" t="str">
        <f ca="1"/>
        <v>OK</v>
      </c>
    </row>
    <row r="7715" spans="2:34" x14ac:dyDescent="0.2">
      <c r="B7715" s="2">
        <f ca="1"/>
        <v>0.72490049698989489</v>
      </c>
      <c r="O7715" s="2">
        <f ca="1"/>
        <v>-0.96737209776177735</v>
      </c>
      <c r="X7715" s="2">
        <f ca="1"/>
        <v>47.357339142782521</v>
      </c>
      <c r="AG7715" s="2">
        <f ca="1"/>
        <v>0.86731738419987248</v>
      </c>
      <c r="AH7715" s="2" t="str">
        <f ca="1"/>
        <v>Bad</v>
      </c>
    </row>
    <row r="7716" spans="2:34" x14ac:dyDescent="0.2">
      <c r="B7716" s="2">
        <f ca="1"/>
        <v>0.41881645186527394</v>
      </c>
      <c r="O7716" s="2">
        <f ca="1"/>
        <v>0.45488747551558112</v>
      </c>
      <c r="X7716" s="2">
        <f ca="1"/>
        <v>25.234415323186631</v>
      </c>
      <c r="AG7716" s="2">
        <f ca="1"/>
        <v>0.42910272446281605</v>
      </c>
      <c r="AH7716" s="2" t="str">
        <f ca="1"/>
        <v>Bad</v>
      </c>
    </row>
    <row r="7717" spans="2:34" x14ac:dyDescent="0.2">
      <c r="B7717" s="2">
        <f ca="1"/>
        <v>0.78847803570850328</v>
      </c>
      <c r="O7717" s="2">
        <f ca="1"/>
        <v>-0.49451868405326893</v>
      </c>
      <c r="X7717" s="2">
        <f ca="1"/>
        <v>47.0295564744643</v>
      </c>
      <c r="AG7717" s="2">
        <f ca="1"/>
        <v>3.2357405830202746E-2</v>
      </c>
      <c r="AH7717" s="2" t="str">
        <f ca="1"/>
        <v>Good</v>
      </c>
    </row>
    <row r="7718" spans="2:34" x14ac:dyDescent="0.2">
      <c r="B7718" s="2">
        <f ca="1"/>
        <v>0.61005183683891584</v>
      </c>
      <c r="O7718" s="2">
        <f ca="1"/>
        <v>1.486584971005011</v>
      </c>
      <c r="X7718" s="2">
        <f ca="1"/>
        <v>54.434291501906259</v>
      </c>
      <c r="AG7718" s="2">
        <f ca="1"/>
        <v>0.98639175087800823</v>
      </c>
      <c r="AH7718" s="2" t="str">
        <f ca="1"/>
        <v>Bad</v>
      </c>
    </row>
    <row r="7719" spans="2:34" x14ac:dyDescent="0.2">
      <c r="B7719" s="2">
        <f ca="1"/>
        <v>0.91507005714187062</v>
      </c>
      <c r="O7719" s="2">
        <f ca="1"/>
        <v>-7.1562965629596298E-2</v>
      </c>
      <c r="X7719" s="2">
        <f ca="1"/>
        <v>62.470488067572717</v>
      </c>
      <c r="AG7719" s="2">
        <f ca="1"/>
        <v>0.96890616696311738</v>
      </c>
      <c r="AH7719" s="2" t="str">
        <f ca="1"/>
        <v>Bad</v>
      </c>
    </row>
    <row r="7720" spans="2:34" x14ac:dyDescent="0.2">
      <c r="B7720" s="2">
        <f ca="1"/>
        <v>0.87265017705480452</v>
      </c>
      <c r="O7720" s="2">
        <f ca="1"/>
        <v>-0.92275586278989941</v>
      </c>
      <c r="X7720" s="2">
        <f ca="1"/>
        <v>84.909925632763944</v>
      </c>
      <c r="AG7720" s="2">
        <f ca="1"/>
        <v>0.98574658552888494</v>
      </c>
      <c r="AH7720" s="2" t="str">
        <f ca="1"/>
        <v>Bad</v>
      </c>
    </row>
    <row r="7721" spans="2:34" x14ac:dyDescent="0.2">
      <c r="B7721" s="2">
        <f ca="1"/>
        <v>0.12017324178143651</v>
      </c>
      <c r="O7721" s="2">
        <f ca="1"/>
        <v>1.1921987715657913</v>
      </c>
      <c r="X7721" s="2">
        <f ca="1"/>
        <v>66.947062992938555</v>
      </c>
      <c r="AG7721" s="2">
        <f ca="1"/>
        <v>0.66034397785339038</v>
      </c>
      <c r="AH7721" s="2" t="str">
        <f ca="1"/>
        <v>Bad</v>
      </c>
    </row>
    <row r="7722" spans="2:34" x14ac:dyDescent="0.2">
      <c r="B7722" s="2">
        <f ca="1"/>
        <v>0.6080408180477439</v>
      </c>
      <c r="O7722" s="2">
        <f ca="1"/>
        <v>9.5559865313988839E-3</v>
      </c>
      <c r="X7722" s="2">
        <f ca="1"/>
        <v>28.21691044614689</v>
      </c>
      <c r="AG7722" s="2">
        <f ca="1"/>
        <v>0.21240104724609754</v>
      </c>
      <c r="AH7722" s="2" t="str">
        <f ca="1"/>
        <v>OK</v>
      </c>
    </row>
    <row r="7723" spans="2:34" x14ac:dyDescent="0.2">
      <c r="B7723" s="2">
        <f ca="1"/>
        <v>0.66079437779545258</v>
      </c>
      <c r="O7723" s="2">
        <f ca="1"/>
        <v>-1.4244101380753409</v>
      </c>
      <c r="X7723" s="2">
        <f ca="1"/>
        <v>37.252302144838772</v>
      </c>
      <c r="AG7723" s="2">
        <f ca="1"/>
        <v>0.9707266843534752</v>
      </c>
      <c r="AH7723" s="2" t="str">
        <f ca="1"/>
        <v>Bad</v>
      </c>
    </row>
    <row r="7724" spans="2:34" x14ac:dyDescent="0.2">
      <c r="B7724" s="2">
        <f ca="1"/>
        <v>0.20477324392901908</v>
      </c>
      <c r="O7724" s="2">
        <f ca="1"/>
        <v>0.37698801711598107</v>
      </c>
      <c r="X7724" s="2">
        <f ca="1"/>
        <v>50.273018083664184</v>
      </c>
      <c r="AG7724" s="2">
        <f ca="1"/>
        <v>0.72648548387612588</v>
      </c>
      <c r="AH7724" s="2" t="str">
        <f ca="1"/>
        <v>Bad</v>
      </c>
    </row>
    <row r="7725" spans="2:34" x14ac:dyDescent="0.2">
      <c r="B7725" s="2">
        <f ca="1"/>
        <v>0.11917775302048006</v>
      </c>
      <c r="O7725" s="2">
        <f ca="1"/>
        <v>1.7210370792837308</v>
      </c>
      <c r="X7725" s="2">
        <f ca="1"/>
        <v>43.895595594355299</v>
      </c>
      <c r="AG7725" s="2">
        <f ca="1"/>
        <v>4.7197701034203288E-2</v>
      </c>
      <c r="AH7725" s="2" t="str">
        <f ca="1"/>
        <v>Good</v>
      </c>
    </row>
    <row r="7726" spans="2:34" x14ac:dyDescent="0.2">
      <c r="B7726" s="2">
        <f ca="1"/>
        <v>0.7015913607904305</v>
      </c>
      <c r="O7726" s="2">
        <f ca="1"/>
        <v>-0.20084925684309299</v>
      </c>
      <c r="X7726" s="2">
        <f ca="1"/>
        <v>44.828616400262618</v>
      </c>
      <c r="AG7726" s="2">
        <f ca="1"/>
        <v>0.31850838842243667</v>
      </c>
      <c r="AH7726" s="2" t="str">
        <f ca="1"/>
        <v>OK</v>
      </c>
    </row>
    <row r="7727" spans="2:34" x14ac:dyDescent="0.2">
      <c r="B7727" s="2">
        <f ca="1"/>
        <v>0.68295906779393478</v>
      </c>
      <c r="O7727" s="2">
        <f ca="1"/>
        <v>0.83679125175156033</v>
      </c>
      <c r="X7727" s="2">
        <f ca="1"/>
        <v>39.198196261366569</v>
      </c>
      <c r="AG7727" s="2">
        <f ca="1"/>
        <v>0.24028018409328178</v>
      </c>
      <c r="AH7727" s="2" t="str">
        <f ca="1"/>
        <v>OK</v>
      </c>
    </row>
    <row r="7728" spans="2:34" x14ac:dyDescent="0.2">
      <c r="B7728" s="2">
        <f ca="1"/>
        <v>0.57855418029468408</v>
      </c>
      <c r="O7728" s="2">
        <f ca="1"/>
        <v>-0.424592780010556</v>
      </c>
      <c r="X7728" s="2">
        <f ca="1"/>
        <v>52.478699998881417</v>
      </c>
      <c r="AG7728" s="2">
        <f ca="1"/>
        <v>0.35708400036752441</v>
      </c>
      <c r="AH7728" s="2" t="str">
        <f ca="1"/>
        <v>OK</v>
      </c>
    </row>
    <row r="7729" spans="2:34" x14ac:dyDescent="0.2">
      <c r="B7729" s="2">
        <f ca="1"/>
        <v>0.20612934896763857</v>
      </c>
      <c r="O7729" s="2">
        <f ca="1"/>
        <v>0.56340660734536163</v>
      </c>
      <c r="X7729" s="2">
        <f ca="1"/>
        <v>33.477341523519812</v>
      </c>
      <c r="AG7729" s="2">
        <f ca="1"/>
        <v>0.43419329581482358</v>
      </c>
      <c r="AH7729" s="2" t="str">
        <f ca="1"/>
        <v>Bad</v>
      </c>
    </row>
    <row r="7730" spans="2:34" x14ac:dyDescent="0.2">
      <c r="B7730" s="2">
        <f ca="1"/>
        <v>0.90465937934886642</v>
      </c>
      <c r="O7730" s="2">
        <f ca="1"/>
        <v>2.9909083047282622E-2</v>
      </c>
      <c r="X7730" s="2">
        <f ca="1"/>
        <v>39.712718866259237</v>
      </c>
      <c r="AG7730" s="2">
        <f ca="1"/>
        <v>7.9751421012283386E-2</v>
      </c>
      <c r="AH7730" s="2" t="str">
        <f ca="1"/>
        <v>OK</v>
      </c>
    </row>
    <row r="7731" spans="2:34" x14ac:dyDescent="0.2">
      <c r="B7731" s="2">
        <f ca="1"/>
        <v>6.0568937168451242E-2</v>
      </c>
      <c r="O7731" s="2">
        <f ca="1"/>
        <v>1.8533747526245763</v>
      </c>
      <c r="X7731" s="2">
        <f ca="1"/>
        <v>66.806513299254448</v>
      </c>
      <c r="AG7731" s="2">
        <f ca="1"/>
        <v>0.93063027825619482</v>
      </c>
      <c r="AH7731" s="2" t="str">
        <f ca="1"/>
        <v>Bad</v>
      </c>
    </row>
    <row r="7732" spans="2:34" x14ac:dyDescent="0.2">
      <c r="B7732" s="2">
        <f ca="1"/>
        <v>0.3248469013081543</v>
      </c>
      <c r="O7732" s="2">
        <f ca="1"/>
        <v>-2.4099157896549319</v>
      </c>
      <c r="X7732" s="2">
        <f ca="1"/>
        <v>52.455428432174415</v>
      </c>
      <c r="AG7732" s="2">
        <f ca="1"/>
        <v>3.6501313088385334E-2</v>
      </c>
      <c r="AH7732" s="2" t="str">
        <f ca="1"/>
        <v>Good</v>
      </c>
    </row>
    <row r="7733" spans="2:34" x14ac:dyDescent="0.2">
      <c r="B7733" s="2">
        <f ca="1"/>
        <v>0.56891593008929275</v>
      </c>
      <c r="O7733" s="2">
        <f ca="1"/>
        <v>0.56962484433467464</v>
      </c>
      <c r="X7733" s="2">
        <f ca="1"/>
        <v>49.669968382418837</v>
      </c>
      <c r="AG7733" s="2">
        <f ca="1"/>
        <v>0.36858096447810951</v>
      </c>
      <c r="AH7733" s="2" t="str">
        <f ca="1"/>
        <v>OK</v>
      </c>
    </row>
    <row r="7734" spans="2:34" x14ac:dyDescent="0.2">
      <c r="B7734" s="2">
        <f ca="1"/>
        <v>0.11832772011909243</v>
      </c>
      <c r="O7734" s="2">
        <f ca="1"/>
        <v>1.0524805156211792</v>
      </c>
      <c r="X7734" s="2">
        <f ca="1"/>
        <v>35.962663512895659</v>
      </c>
      <c r="AG7734" s="2">
        <f ca="1"/>
        <v>5.0623429360432182E-2</v>
      </c>
      <c r="AH7734" s="2" t="str">
        <f ca="1"/>
        <v>OK</v>
      </c>
    </row>
    <row r="7735" spans="2:34" x14ac:dyDescent="0.2">
      <c r="B7735" s="2">
        <f ca="1"/>
        <v>0.74681435495977211</v>
      </c>
      <c r="O7735" s="2">
        <f ca="1"/>
        <v>0.24423339364421184</v>
      </c>
      <c r="X7735" s="2">
        <f ca="1"/>
        <v>32.010815714300385</v>
      </c>
      <c r="AG7735" s="2">
        <f ca="1"/>
        <v>0.27627785473769273</v>
      </c>
      <c r="AH7735" s="2" t="str">
        <f ca="1"/>
        <v>OK</v>
      </c>
    </row>
    <row r="7736" spans="2:34" x14ac:dyDescent="0.2">
      <c r="B7736" s="2">
        <f ca="1"/>
        <v>0.8713248680618233</v>
      </c>
      <c r="O7736" s="2">
        <f ca="1"/>
        <v>-1.7871830369625497</v>
      </c>
      <c r="X7736" s="2">
        <f ca="1"/>
        <v>54.199840584425942</v>
      </c>
      <c r="AG7736" s="2">
        <f ca="1"/>
        <v>0.45974010181013214</v>
      </c>
      <c r="AH7736" s="2" t="str">
        <f ca="1"/>
        <v>Bad</v>
      </c>
    </row>
    <row r="7737" spans="2:34" x14ac:dyDescent="0.2">
      <c r="B7737" s="2">
        <f ca="1"/>
        <v>0.94131076164498473</v>
      </c>
      <c r="O7737" s="2">
        <f ca="1"/>
        <v>-0.12440721948101319</v>
      </c>
      <c r="X7737" s="2">
        <f ca="1"/>
        <v>43.809564298136472</v>
      </c>
      <c r="AG7737" s="2">
        <f ca="1"/>
        <v>0.29472852432946217</v>
      </c>
      <c r="AH7737" s="2" t="str">
        <f ca="1"/>
        <v>OK</v>
      </c>
    </row>
    <row r="7738" spans="2:34" x14ac:dyDescent="0.2">
      <c r="B7738" s="2">
        <f ca="1"/>
        <v>0.47604788340791426</v>
      </c>
      <c r="O7738" s="2">
        <f ca="1"/>
        <v>0.26878131237431224</v>
      </c>
      <c r="X7738" s="2">
        <f ca="1"/>
        <v>70.957474056034187</v>
      </c>
      <c r="AG7738" s="2">
        <f ca="1"/>
        <v>0.2353929101396115</v>
      </c>
      <c r="AH7738" s="2" t="str">
        <f ca="1"/>
        <v>OK</v>
      </c>
    </row>
    <row r="7739" spans="2:34" x14ac:dyDescent="0.2">
      <c r="B7739" s="2">
        <f ca="1"/>
        <v>0.78494757568186713</v>
      </c>
      <c r="O7739" s="2">
        <f ca="1"/>
        <v>0.17639949024627277</v>
      </c>
      <c r="X7739" s="2">
        <f ca="1"/>
        <v>49.355314237662796</v>
      </c>
      <c r="AG7739" s="2">
        <f ca="1"/>
        <v>0.665487201324378</v>
      </c>
      <c r="AH7739" s="2" t="str">
        <f ca="1"/>
        <v>Bad</v>
      </c>
    </row>
    <row r="7740" spans="2:34" x14ac:dyDescent="0.2">
      <c r="B7740" s="2">
        <f ca="1"/>
        <v>0.66485648346232828</v>
      </c>
      <c r="O7740" s="2">
        <f ca="1"/>
        <v>-1.5043252673307239</v>
      </c>
      <c r="X7740" s="2">
        <f ca="1"/>
        <v>58.332753010658124</v>
      </c>
      <c r="AG7740" s="2">
        <f ca="1"/>
        <v>0.42686722913552333</v>
      </c>
      <c r="AH7740" s="2" t="str">
        <f ca="1"/>
        <v>Bad</v>
      </c>
    </row>
    <row r="7741" spans="2:34" x14ac:dyDescent="0.2">
      <c r="B7741" s="2">
        <f ca="1"/>
        <v>0.76104633916738273</v>
      </c>
      <c r="O7741" s="2">
        <f ca="1"/>
        <v>-0.50738846127685611</v>
      </c>
      <c r="X7741" s="2">
        <f ca="1"/>
        <v>64.080307262444165</v>
      </c>
      <c r="AG7741" s="2">
        <f ca="1"/>
        <v>3.9332070556414189E-2</v>
      </c>
      <c r="AH7741" s="2" t="str">
        <f ca="1"/>
        <v>Good</v>
      </c>
    </row>
    <row r="7742" spans="2:34" x14ac:dyDescent="0.2">
      <c r="B7742" s="2">
        <f ca="1"/>
        <v>0.36332363867680861</v>
      </c>
      <c r="O7742" s="2">
        <f ca="1"/>
        <v>8.4898982423562055E-3</v>
      </c>
      <c r="X7742" s="2">
        <f ca="1"/>
        <v>67.116659694900036</v>
      </c>
      <c r="AG7742" s="2">
        <f ca="1"/>
        <v>0.61636287849723237</v>
      </c>
      <c r="AH7742" s="2" t="str">
        <f ca="1"/>
        <v>Bad</v>
      </c>
    </row>
    <row r="7743" spans="2:34" x14ac:dyDescent="0.2">
      <c r="B7743" s="2">
        <f ca="1"/>
        <v>0.1987437007252979</v>
      </c>
      <c r="O7743" s="2">
        <f ca="1"/>
        <v>-0.53313004580880119</v>
      </c>
      <c r="X7743" s="2">
        <f ca="1"/>
        <v>48.202777698788289</v>
      </c>
      <c r="AG7743" s="2">
        <f ca="1"/>
        <v>0.36295830452682587</v>
      </c>
      <c r="AH7743" s="2" t="str">
        <f ca="1"/>
        <v>OK</v>
      </c>
    </row>
    <row r="7744" spans="2:34" x14ac:dyDescent="0.2">
      <c r="B7744" s="2">
        <f ca="1"/>
        <v>8.0495567769679255E-2</v>
      </c>
      <c r="O7744" s="2">
        <f ca="1"/>
        <v>-7.9487716656827509E-2</v>
      </c>
      <c r="X7744" s="2">
        <f ca="1"/>
        <v>44.444041458522435</v>
      </c>
      <c r="AG7744" s="2">
        <f ca="1"/>
        <v>0.2863043217771104</v>
      </c>
      <c r="AH7744" s="2" t="str">
        <f ca="1"/>
        <v>OK</v>
      </c>
    </row>
    <row r="7745" spans="2:34" x14ac:dyDescent="0.2">
      <c r="B7745" s="2">
        <f ca="1"/>
        <v>0.21563237686509562</v>
      </c>
      <c r="O7745" s="2">
        <f ca="1"/>
        <v>0.88498485705595897</v>
      </c>
      <c r="X7745" s="2">
        <f ca="1"/>
        <v>27.256497844478812</v>
      </c>
      <c r="AG7745" s="2">
        <f ca="1"/>
        <v>0.96234390828810112</v>
      </c>
      <c r="AH7745" s="2" t="str">
        <f ca="1"/>
        <v>Bad</v>
      </c>
    </row>
    <row r="7746" spans="2:34" x14ac:dyDescent="0.2">
      <c r="B7746" s="2">
        <f ca="1"/>
        <v>8.5016514175197511E-2</v>
      </c>
      <c r="O7746" s="2">
        <f ca="1"/>
        <v>-0.7071765326050985</v>
      </c>
      <c r="X7746" s="2">
        <f ca="1"/>
        <v>51.768102283568012</v>
      </c>
      <c r="AG7746" s="2">
        <f ca="1"/>
        <v>0.31932653550161327</v>
      </c>
      <c r="AH7746" s="2" t="str">
        <f ca="1"/>
        <v>OK</v>
      </c>
    </row>
    <row r="7747" spans="2:34" x14ac:dyDescent="0.2">
      <c r="B7747" s="2">
        <f ca="1"/>
        <v>0.65431289436321283</v>
      </c>
      <c r="O7747" s="2">
        <f ca="1"/>
        <v>-1.9264333819206585</v>
      </c>
      <c r="X7747" s="2">
        <f ca="1"/>
        <v>46.642443230749024</v>
      </c>
      <c r="AG7747" s="2">
        <f ca="1"/>
        <v>0.54085914761514586</v>
      </c>
      <c r="AH7747" s="2" t="str">
        <f ca="1"/>
        <v>Bad</v>
      </c>
    </row>
    <row r="7748" spans="2:34" x14ac:dyDescent="0.2">
      <c r="B7748" s="2">
        <f ca="1"/>
        <v>0.58294135559189297</v>
      </c>
      <c r="O7748" s="2">
        <f ca="1"/>
        <v>-0.696251836249419</v>
      </c>
      <c r="X7748" s="2">
        <f ca="1"/>
        <v>67.291427806329807</v>
      </c>
      <c r="AG7748" s="2">
        <f ca="1"/>
        <v>0.14551113849556474</v>
      </c>
      <c r="AH7748" s="2" t="str">
        <f ca="1"/>
        <v>OK</v>
      </c>
    </row>
    <row r="7749" spans="2:34" x14ac:dyDescent="0.2">
      <c r="B7749" s="2">
        <f ca="1"/>
        <v>0.87240642748124841</v>
      </c>
      <c r="O7749" s="2">
        <f ca="1"/>
        <v>0.21914889500244616</v>
      </c>
      <c r="X7749" s="2">
        <f ca="1"/>
        <v>33.903497955777048</v>
      </c>
      <c r="AG7749" s="2">
        <f ca="1"/>
        <v>0.2835281795766833</v>
      </c>
      <c r="AH7749" s="2" t="str">
        <f ca="1"/>
        <v>OK</v>
      </c>
    </row>
    <row r="7750" spans="2:34" x14ac:dyDescent="0.2">
      <c r="B7750" s="2">
        <f ca="1"/>
        <v>0.56607666078231644</v>
      </c>
      <c r="O7750" s="2">
        <f ca="1"/>
        <v>-2.0833121585228251E-2</v>
      </c>
      <c r="X7750" s="2">
        <f ca="1"/>
        <v>45.632995124409987</v>
      </c>
      <c r="AG7750" s="2">
        <f ca="1"/>
        <v>0.53947012187443533</v>
      </c>
      <c r="AH7750" s="2" t="str">
        <f ca="1"/>
        <v>Bad</v>
      </c>
    </row>
    <row r="7751" spans="2:34" x14ac:dyDescent="0.2">
      <c r="B7751" s="2">
        <f ca="1"/>
        <v>5.2443760972125553E-2</v>
      </c>
      <c r="O7751" s="2">
        <f ca="1"/>
        <v>-0.37879979739572095</v>
      </c>
      <c r="X7751" s="2">
        <f ca="1"/>
        <v>38.567394321806091</v>
      </c>
      <c r="AG7751" s="2">
        <f ca="1"/>
        <v>0.25590684866181324</v>
      </c>
      <c r="AH7751" s="2" t="str">
        <f ca="1"/>
        <v>OK</v>
      </c>
    </row>
    <row r="7752" spans="2:34" x14ac:dyDescent="0.2">
      <c r="B7752" s="2">
        <f ca="1"/>
        <v>0.16302534660428858</v>
      </c>
      <c r="O7752" s="2">
        <f ca="1"/>
        <v>-0.99323045787996411</v>
      </c>
      <c r="X7752" s="2">
        <f ca="1"/>
        <v>64.701130840259509</v>
      </c>
      <c r="AG7752" s="2">
        <f ca="1"/>
        <v>0.5207776735283518</v>
      </c>
      <c r="AH7752" s="2" t="str">
        <f ca="1"/>
        <v>Bad</v>
      </c>
    </row>
    <row r="7753" spans="2:34" x14ac:dyDescent="0.2">
      <c r="B7753" s="2">
        <f ca="1"/>
        <v>0.20136654161704426</v>
      </c>
      <c r="O7753" s="2">
        <f ca="1"/>
        <v>1.3502390360807472</v>
      </c>
      <c r="X7753" s="2">
        <f ca="1"/>
        <v>46.231693691318902</v>
      </c>
      <c r="AG7753" s="2">
        <f ca="1"/>
        <v>9.4694475652565391E-2</v>
      </c>
      <c r="AH7753" s="2" t="str">
        <f ca="1"/>
        <v>OK</v>
      </c>
    </row>
    <row r="7754" spans="2:34" x14ac:dyDescent="0.2">
      <c r="B7754" s="2">
        <f ca="1"/>
        <v>0.64470353596764984</v>
      </c>
      <c r="O7754" s="2">
        <f ca="1"/>
        <v>-0.37151498858708332</v>
      </c>
      <c r="X7754" s="2">
        <f ca="1"/>
        <v>48.552702765832557</v>
      </c>
      <c r="AG7754" s="2">
        <f ca="1"/>
        <v>0.59558105402854067</v>
      </c>
      <c r="AH7754" s="2" t="str">
        <f ca="1"/>
        <v>Bad</v>
      </c>
    </row>
    <row r="7755" spans="2:34" x14ac:dyDescent="0.2">
      <c r="B7755" s="2">
        <f ca="1"/>
        <v>0.30279229483462711</v>
      </c>
      <c r="O7755" s="2">
        <f ca="1"/>
        <v>-3.2525455572537912E-3</v>
      </c>
      <c r="X7755" s="2">
        <f ca="1"/>
        <v>54.480085230764033</v>
      </c>
      <c r="AG7755" s="2">
        <f ca="1"/>
        <v>0.17034610278051332</v>
      </c>
      <c r="AH7755" s="2" t="str">
        <f ca="1"/>
        <v>OK</v>
      </c>
    </row>
    <row r="7756" spans="2:34" x14ac:dyDescent="0.2">
      <c r="B7756" s="2">
        <f ca="1"/>
        <v>0.74409745264143434</v>
      </c>
      <c r="O7756" s="2">
        <f ca="1"/>
        <v>1.3559769255087715</v>
      </c>
      <c r="X7756" s="2">
        <f ca="1"/>
        <v>32.736835974988523</v>
      </c>
      <c r="AG7756" s="2">
        <f ca="1"/>
        <v>0.48197102030953554</v>
      </c>
      <c r="AH7756" s="2" t="str">
        <f ca="1"/>
        <v>Bad</v>
      </c>
    </row>
    <row r="7757" spans="2:34" x14ac:dyDescent="0.2">
      <c r="B7757" s="2">
        <f ca="1"/>
        <v>0.83218070183687631</v>
      </c>
      <c r="O7757" s="2">
        <f ca="1"/>
        <v>1.2465122444712338</v>
      </c>
      <c r="X7757" s="2">
        <f ca="1"/>
        <v>60.350239977673539</v>
      </c>
      <c r="AG7757" s="2">
        <f ca="1"/>
        <v>0.31131330793806411</v>
      </c>
      <c r="AH7757" s="2" t="str">
        <f ca="1"/>
        <v>OK</v>
      </c>
    </row>
    <row r="7758" spans="2:34" x14ac:dyDescent="0.2">
      <c r="B7758" s="2">
        <f ca="1"/>
        <v>0.32047569524816999</v>
      </c>
      <c r="O7758" s="2">
        <f ca="1"/>
        <v>1.2686140397692207</v>
      </c>
      <c r="X7758" s="2">
        <f ca="1"/>
        <v>69.471512450918397</v>
      </c>
      <c r="AG7758" s="2">
        <f ca="1"/>
        <v>0.3325625709106077</v>
      </c>
      <c r="AH7758" s="2" t="str">
        <f ca="1"/>
        <v>OK</v>
      </c>
    </row>
    <row r="7759" spans="2:34" x14ac:dyDescent="0.2">
      <c r="B7759" s="2">
        <f ca="1"/>
        <v>0.71965228484763344</v>
      </c>
      <c r="O7759" s="2">
        <f ca="1"/>
        <v>9.0545955181267165E-2</v>
      </c>
      <c r="X7759" s="2">
        <f ca="1"/>
        <v>62.016254470657003</v>
      </c>
      <c r="AG7759" s="2">
        <f ca="1"/>
        <v>0.97916856759062476</v>
      </c>
      <c r="AH7759" s="2" t="str">
        <f ca="1"/>
        <v>Bad</v>
      </c>
    </row>
    <row r="7760" spans="2:34" x14ac:dyDescent="0.2">
      <c r="B7760" s="2">
        <f ca="1"/>
        <v>0.30167685943374889</v>
      </c>
      <c r="O7760" s="2">
        <f ca="1"/>
        <v>3.3451787154746546E-2</v>
      </c>
      <c r="X7760" s="2">
        <f ca="1"/>
        <v>61.039197356702424</v>
      </c>
      <c r="AG7760" s="2">
        <f ca="1"/>
        <v>0.13376329571310275</v>
      </c>
      <c r="AH7760" s="2" t="str">
        <f ca="1"/>
        <v>OK</v>
      </c>
    </row>
    <row r="7761" spans="2:34" x14ac:dyDescent="0.2">
      <c r="B7761" s="2">
        <f ca="1"/>
        <v>9.9714552930938227E-2</v>
      </c>
      <c r="O7761" s="2">
        <f ca="1"/>
        <v>-0.14134484683161683</v>
      </c>
      <c r="X7761" s="2">
        <f ca="1"/>
        <v>52.436964158088614</v>
      </c>
      <c r="AG7761" s="2">
        <f ca="1"/>
        <v>0.53108615779797774</v>
      </c>
      <c r="AH7761" s="2" t="str">
        <f ca="1"/>
        <v>Bad</v>
      </c>
    </row>
    <row r="7762" spans="2:34" x14ac:dyDescent="0.2">
      <c r="B7762" s="2">
        <f ca="1"/>
        <v>0.38311409128071139</v>
      </c>
      <c r="O7762" s="2">
        <f ca="1"/>
        <v>-9.3329421587251826E-2</v>
      </c>
      <c r="X7762" s="2">
        <f ca="1"/>
        <v>52.298789244959352</v>
      </c>
      <c r="AG7762" s="2">
        <f ca="1"/>
        <v>0.7077735873961557</v>
      </c>
      <c r="AH7762" s="2" t="str">
        <f ca="1"/>
        <v>Bad</v>
      </c>
    </row>
    <row r="7763" spans="2:34" x14ac:dyDescent="0.2">
      <c r="B7763" s="2">
        <f ca="1"/>
        <v>0.87275232120295887</v>
      </c>
      <c r="O7763" s="2">
        <f ca="1"/>
        <v>0.99940188560947429</v>
      </c>
      <c r="X7763" s="2">
        <f ca="1"/>
        <v>51.508372536303504</v>
      </c>
      <c r="AG7763" s="2">
        <f ca="1"/>
        <v>0.31852337285241972</v>
      </c>
      <c r="AH7763" s="2" t="str">
        <f ca="1"/>
        <v>OK</v>
      </c>
    </row>
    <row r="7764" spans="2:34" x14ac:dyDescent="0.2">
      <c r="B7764" s="2">
        <f ca="1"/>
        <v>0.18602616307286701</v>
      </c>
      <c r="O7764" s="2">
        <f ca="1"/>
        <v>0.89988090597665837</v>
      </c>
      <c r="X7764" s="2">
        <f ca="1"/>
        <v>58.287218564209738</v>
      </c>
      <c r="AG7764" s="2">
        <f ca="1"/>
        <v>1.43008897730037E-2</v>
      </c>
      <c r="AH7764" s="2" t="str">
        <f ca="1"/>
        <v>Good</v>
      </c>
    </row>
    <row r="7765" spans="2:34" x14ac:dyDescent="0.2">
      <c r="B7765" s="2">
        <f ca="1"/>
        <v>0.74057097277252826</v>
      </c>
      <c r="O7765" s="2">
        <f ca="1"/>
        <v>-0.11209063058090139</v>
      </c>
      <c r="X7765" s="2">
        <f ca="1"/>
        <v>45.58035451880896</v>
      </c>
      <c r="AG7765" s="2">
        <f ca="1"/>
        <v>0.764108667558282</v>
      </c>
      <c r="AH7765" s="2" t="str">
        <f ca="1"/>
        <v>Bad</v>
      </c>
    </row>
    <row r="7766" spans="2:34" x14ac:dyDescent="0.2">
      <c r="B7766" s="2">
        <f ca="1"/>
        <v>0.88910133747656839</v>
      </c>
      <c r="O7766" s="2">
        <f ca="1"/>
        <v>0.90319964862284541</v>
      </c>
      <c r="X7766" s="2">
        <f ca="1"/>
        <v>34.57220285175832</v>
      </c>
      <c r="AG7766" s="2">
        <f ca="1"/>
        <v>0.16357750830981943</v>
      </c>
      <c r="AH7766" s="2" t="str">
        <f ca="1"/>
        <v>OK</v>
      </c>
    </row>
    <row r="7767" spans="2:34" x14ac:dyDescent="0.2">
      <c r="B7767" s="2">
        <f ca="1"/>
        <v>0.52477055417701934</v>
      </c>
      <c r="O7767" s="2">
        <f ca="1"/>
        <v>-0.32895897902518345</v>
      </c>
      <c r="X7767" s="2">
        <f ca="1"/>
        <v>46.965788131927454</v>
      </c>
      <c r="AG7767" s="2">
        <f ca="1"/>
        <v>3.4209256572394153E-2</v>
      </c>
      <c r="AH7767" s="2" t="str">
        <f ca="1"/>
        <v>Good</v>
      </c>
    </row>
    <row r="7768" spans="2:34" x14ac:dyDescent="0.2">
      <c r="B7768" s="2">
        <f ca="1"/>
        <v>0.38629151800842498</v>
      </c>
      <c r="O7768" s="2">
        <f ca="1"/>
        <v>-0.89128438255713061</v>
      </c>
      <c r="X7768" s="2">
        <f ca="1"/>
        <v>73.942790813180764</v>
      </c>
      <c r="AG7768" s="2">
        <f ca="1"/>
        <v>0.56132023058962632</v>
      </c>
      <c r="AH7768" s="2" t="str">
        <f ca="1"/>
        <v>Bad</v>
      </c>
    </row>
    <row r="7769" spans="2:34" x14ac:dyDescent="0.2">
      <c r="B7769" s="2">
        <f ca="1"/>
        <v>0.8616431795920243</v>
      </c>
      <c r="O7769" s="2">
        <f ca="1"/>
        <v>-1.2933468277317799</v>
      </c>
      <c r="X7769" s="2">
        <f ca="1"/>
        <v>29.470795075029145</v>
      </c>
      <c r="AG7769" s="2">
        <f ca="1"/>
        <v>0.60913912418776106</v>
      </c>
      <c r="AH7769" s="2" t="str">
        <f ca="1"/>
        <v>Bad</v>
      </c>
    </row>
    <row r="7770" spans="2:34" x14ac:dyDescent="0.2">
      <c r="B7770" s="2">
        <f ca="1"/>
        <v>0.92733899876003512</v>
      </c>
      <c r="O7770" s="2">
        <f ca="1"/>
        <v>0.26685979247497449</v>
      </c>
      <c r="X7770" s="2">
        <f ca="1"/>
        <v>82.748697071389316</v>
      </c>
      <c r="AG7770" s="2">
        <f ca="1"/>
        <v>0.77177161656576199</v>
      </c>
      <c r="AH7770" s="2" t="str">
        <f ca="1"/>
        <v>Bad</v>
      </c>
    </row>
    <row r="7771" spans="2:34" x14ac:dyDescent="0.2">
      <c r="B7771" s="2">
        <f ca="1"/>
        <v>7.5207660364098317E-2</v>
      </c>
      <c r="O7771" s="2">
        <f ca="1"/>
        <v>-0.44628835843171455</v>
      </c>
      <c r="X7771" s="2">
        <f ca="1"/>
        <v>33.571941569683077</v>
      </c>
      <c r="AG7771" s="2">
        <f ca="1"/>
        <v>0.67353209780222745</v>
      </c>
      <c r="AH7771" s="2" t="str">
        <f ca="1"/>
        <v>Bad</v>
      </c>
    </row>
    <row r="7772" spans="2:34" x14ac:dyDescent="0.2">
      <c r="B7772" s="2">
        <f ca="1"/>
        <v>0.73060070862781301</v>
      </c>
      <c r="O7772" s="2">
        <f ca="1"/>
        <v>0.17668042636546538</v>
      </c>
      <c r="X7772" s="2">
        <f ca="1"/>
        <v>58.167279965434858</v>
      </c>
      <c r="AG7772" s="2">
        <f ca="1"/>
        <v>0.60396325834599685</v>
      </c>
      <c r="AH7772" s="2" t="str">
        <f ca="1"/>
        <v>Bad</v>
      </c>
    </row>
    <row r="7773" spans="2:34" x14ac:dyDescent="0.2">
      <c r="B7773" s="2">
        <f ca="1"/>
        <v>0.14560694581111511</v>
      </c>
      <c r="O7773" s="2">
        <f ca="1"/>
        <v>-0.94366506017092766</v>
      </c>
      <c r="X7773" s="2">
        <f ca="1"/>
        <v>21.128289244703421</v>
      </c>
      <c r="AG7773" s="2">
        <f ca="1"/>
        <v>0.52794796169466052</v>
      </c>
      <c r="AH7773" s="2" t="str">
        <f ca="1"/>
        <v>Bad</v>
      </c>
    </row>
    <row r="7774" spans="2:34" x14ac:dyDescent="0.2">
      <c r="B7774" s="2">
        <f ca="1"/>
        <v>0.41125331126915832</v>
      </c>
      <c r="O7774" s="2">
        <f ca="1"/>
        <v>6.0826819998423681E-2</v>
      </c>
      <c r="X7774" s="2">
        <f ca="1"/>
        <v>41.821096694332816</v>
      </c>
      <c r="AG7774" s="2">
        <f ca="1"/>
        <v>5.1357160226972454E-3</v>
      </c>
      <c r="AH7774" s="2" t="str">
        <f ca="1"/>
        <v>Good</v>
      </c>
    </row>
    <row r="7775" spans="2:34" x14ac:dyDescent="0.2">
      <c r="B7775" s="2">
        <f ca="1"/>
        <v>0.88666547917238359</v>
      </c>
      <c r="O7775" s="2">
        <f ca="1"/>
        <v>0.58859392423555712</v>
      </c>
      <c r="X7775" s="2">
        <f ca="1"/>
        <v>53.902232096462903</v>
      </c>
      <c r="AG7775" s="2">
        <f ca="1"/>
        <v>0.75692319198931868</v>
      </c>
      <c r="AH7775" s="2" t="str">
        <f ca="1"/>
        <v>Bad</v>
      </c>
    </row>
    <row r="7776" spans="2:34" x14ac:dyDescent="0.2">
      <c r="B7776" s="2">
        <f ca="1"/>
        <v>0.39013749906555883</v>
      </c>
      <c r="O7776" s="2">
        <f ca="1"/>
        <v>-0.11920108828172467</v>
      </c>
      <c r="X7776" s="2">
        <f ca="1"/>
        <v>62.903778860470865</v>
      </c>
      <c r="AG7776" s="2">
        <f ca="1"/>
        <v>0.49000107199578591</v>
      </c>
      <c r="AH7776" s="2" t="str">
        <f ca="1"/>
        <v>Bad</v>
      </c>
    </row>
    <row r="7777" spans="2:34" x14ac:dyDescent="0.2">
      <c r="B7777" s="2">
        <f ca="1"/>
        <v>0.30762214537442634</v>
      </c>
      <c r="O7777" s="2">
        <f ca="1"/>
        <v>-0.41607373189660596</v>
      </c>
      <c r="X7777" s="2">
        <f ca="1"/>
        <v>24.356961011904058</v>
      </c>
      <c r="AG7777" s="2">
        <f ca="1"/>
        <v>0.37135327749328151</v>
      </c>
      <c r="AH7777" s="2" t="str">
        <f ca="1"/>
        <v>OK</v>
      </c>
    </row>
    <row r="7778" spans="2:34" x14ac:dyDescent="0.2">
      <c r="B7778" s="2">
        <f ca="1"/>
        <v>0.23050202002620113</v>
      </c>
      <c r="O7778" s="2">
        <f ca="1"/>
        <v>0.38399668941243775</v>
      </c>
      <c r="X7778" s="2">
        <f ca="1"/>
        <v>62.217842685128694</v>
      </c>
      <c r="AG7778" s="2">
        <f ca="1"/>
        <v>0.10583777905253999</v>
      </c>
      <c r="AH7778" s="2" t="str">
        <f ca="1"/>
        <v>OK</v>
      </c>
    </row>
    <row r="7779" spans="2:34" x14ac:dyDescent="0.2">
      <c r="B7779" s="2">
        <f ca="1"/>
        <v>0.14893747991698181</v>
      </c>
      <c r="O7779" s="2">
        <f ca="1"/>
        <v>-1.2299013873437632</v>
      </c>
      <c r="X7779" s="2">
        <f ca="1"/>
        <v>39.173061233808106</v>
      </c>
      <c r="AG7779" s="2">
        <f ca="1"/>
        <v>0.54053809952359821</v>
      </c>
      <c r="AH7779" s="2" t="str">
        <f ca="1"/>
        <v>Bad</v>
      </c>
    </row>
    <row r="7780" spans="2:34" x14ac:dyDescent="0.2">
      <c r="B7780" s="2">
        <f ca="1"/>
        <v>0.88508899531849994</v>
      </c>
      <c r="O7780" s="2">
        <f ca="1"/>
        <v>-0.43646437028328833</v>
      </c>
      <c r="X7780" s="2">
        <f ca="1"/>
        <v>47.452844016510625</v>
      </c>
      <c r="AG7780" s="2">
        <f ca="1"/>
        <v>0.16975645405685635</v>
      </c>
      <c r="AH7780" s="2" t="str">
        <f ca="1"/>
        <v>OK</v>
      </c>
    </row>
    <row r="7781" spans="2:34" x14ac:dyDescent="0.2">
      <c r="B7781" s="2">
        <f ca="1"/>
        <v>0.79687157725432733</v>
      </c>
      <c r="O7781" s="2">
        <f ca="1"/>
        <v>-0.66034721276619879</v>
      </c>
      <c r="X7781" s="2">
        <f ca="1"/>
        <v>66.566018896587934</v>
      </c>
      <c r="AG7781" s="2">
        <f ca="1"/>
        <v>0.82293035376264734</v>
      </c>
      <c r="AH7781" s="2" t="str">
        <f ca="1"/>
        <v>Bad</v>
      </c>
    </row>
    <row r="7782" spans="2:34" x14ac:dyDescent="0.2">
      <c r="B7782" s="2">
        <f ca="1"/>
        <v>2.3931204189118649E-2</v>
      </c>
      <c r="O7782" s="2">
        <f ca="1"/>
        <v>-0.13358394859456546</v>
      </c>
      <c r="X7782" s="2">
        <f ca="1"/>
        <v>63.145536861114671</v>
      </c>
      <c r="AG7782" s="2">
        <f ca="1"/>
        <v>2.4375587573589597E-2</v>
      </c>
      <c r="AH7782" s="2" t="str">
        <f ca="1"/>
        <v>Good</v>
      </c>
    </row>
    <row r="7783" spans="2:34" x14ac:dyDescent="0.2">
      <c r="B7783" s="2">
        <f ca="1"/>
        <v>1.204402728006615E-2</v>
      </c>
      <c r="O7783" s="2">
        <f ca="1"/>
        <v>0.60674699372400676</v>
      </c>
      <c r="X7783" s="2">
        <f ca="1"/>
        <v>41.850911720097571</v>
      </c>
      <c r="AG7783" s="2">
        <f ca="1"/>
        <v>0.74149288090944987</v>
      </c>
      <c r="AH7783" s="2" t="str">
        <f ca="1"/>
        <v>Bad</v>
      </c>
    </row>
    <row r="7784" spans="2:34" x14ac:dyDescent="0.2">
      <c r="B7784" s="2">
        <f ca="1"/>
        <v>0.771053550776168</v>
      </c>
      <c r="O7784" s="2">
        <f ca="1"/>
        <v>0.5715558204051383</v>
      </c>
      <c r="X7784" s="2">
        <f ca="1"/>
        <v>43.762119720255228</v>
      </c>
      <c r="AG7784" s="2">
        <f ca="1"/>
        <v>1.2925774749581231E-2</v>
      </c>
      <c r="AH7784" s="2" t="str">
        <f ca="1"/>
        <v>Good</v>
      </c>
    </row>
    <row r="7785" spans="2:34" x14ac:dyDescent="0.2">
      <c r="B7785" s="2">
        <f ca="1"/>
        <v>0.23039129683942172</v>
      </c>
      <c r="O7785" s="2">
        <f ca="1"/>
        <v>-1.0644078310679947</v>
      </c>
      <c r="X7785" s="2">
        <f ca="1"/>
        <v>52.320061357170019</v>
      </c>
      <c r="AG7785" s="2">
        <f ca="1"/>
        <v>0.54674832170194776</v>
      </c>
      <c r="AH7785" s="2" t="str">
        <f ca="1"/>
        <v>Bad</v>
      </c>
    </row>
    <row r="7786" spans="2:34" x14ac:dyDescent="0.2">
      <c r="B7786" s="2">
        <f ca="1"/>
        <v>0.97664179935481932</v>
      </c>
      <c r="O7786" s="2">
        <f ca="1"/>
        <v>-0.28207947070822798</v>
      </c>
      <c r="X7786" s="2">
        <f ca="1"/>
        <v>54.410148843276851</v>
      </c>
      <c r="AG7786" s="2">
        <f ca="1"/>
        <v>0.95038030418230601</v>
      </c>
      <c r="AH7786" s="2" t="str">
        <f ca="1"/>
        <v>Bad</v>
      </c>
    </row>
    <row r="7787" spans="2:34" x14ac:dyDescent="0.2">
      <c r="B7787" s="2">
        <f ca="1"/>
        <v>0.61771699216205955</v>
      </c>
      <c r="O7787" s="2">
        <f ca="1"/>
        <v>1.4880570267365505</v>
      </c>
      <c r="X7787" s="2">
        <f ca="1"/>
        <v>47.546432983753206</v>
      </c>
      <c r="AG7787" s="2">
        <f ca="1"/>
        <v>0.47795387048772997</v>
      </c>
      <c r="AH7787" s="2" t="str">
        <f ca="1"/>
        <v>Bad</v>
      </c>
    </row>
    <row r="7788" spans="2:34" x14ac:dyDescent="0.2">
      <c r="B7788" s="2">
        <f ca="1"/>
        <v>0.75006029897499404</v>
      </c>
      <c r="O7788" s="2">
        <f ca="1"/>
        <v>-1.5749805379868376</v>
      </c>
      <c r="X7788" s="2">
        <f ca="1"/>
        <v>45.972752115755362</v>
      </c>
      <c r="AG7788" s="2">
        <f ca="1"/>
        <v>1.2073603308094372E-2</v>
      </c>
      <c r="AH7788" s="2" t="str">
        <f ca="1"/>
        <v>Good</v>
      </c>
    </row>
    <row r="7789" spans="2:34" x14ac:dyDescent="0.2">
      <c r="B7789" s="2">
        <f ca="1"/>
        <v>0.38029740594242623</v>
      </c>
      <c r="O7789" s="2">
        <f ca="1"/>
        <v>-0.33047874177617875</v>
      </c>
      <c r="X7789" s="2">
        <f ca="1"/>
        <v>27.220552536419149</v>
      </c>
      <c r="AG7789" s="2">
        <f ca="1"/>
        <v>0.4619597662045869</v>
      </c>
      <c r="AH7789" s="2" t="str">
        <f ca="1"/>
        <v>Bad</v>
      </c>
    </row>
    <row r="7790" spans="2:34" x14ac:dyDescent="0.2">
      <c r="B7790" s="2">
        <f ca="1"/>
        <v>0.35975284717884204</v>
      </c>
      <c r="O7790" s="2">
        <f ca="1"/>
        <v>0.7426595162272559</v>
      </c>
      <c r="X7790" s="2">
        <f ca="1"/>
        <v>21.384002112416297</v>
      </c>
      <c r="AG7790" s="2">
        <f ca="1"/>
        <v>0.92324939212844193</v>
      </c>
      <c r="AH7790" s="2" t="str">
        <f ca="1"/>
        <v>Bad</v>
      </c>
    </row>
    <row r="7791" spans="2:34" x14ac:dyDescent="0.2">
      <c r="B7791" s="2">
        <f ca="1"/>
        <v>0.86740805248295549</v>
      </c>
      <c r="O7791" s="2">
        <f ca="1"/>
        <v>1.4403013409399312</v>
      </c>
      <c r="X7791" s="2">
        <f ca="1"/>
        <v>25.665007020987289</v>
      </c>
      <c r="AG7791" s="2">
        <f ca="1"/>
        <v>0.34643420102625555</v>
      </c>
      <c r="AH7791" s="2" t="str">
        <f ca="1"/>
        <v>OK</v>
      </c>
    </row>
    <row r="7792" spans="2:34" x14ac:dyDescent="0.2">
      <c r="B7792" s="2">
        <f ca="1"/>
        <v>0.98627284743407362</v>
      </c>
      <c r="O7792" s="2">
        <f ca="1"/>
        <v>-1.0130460167288329</v>
      </c>
      <c r="X7792" s="2">
        <f ca="1"/>
        <v>46.536430981912922</v>
      </c>
      <c r="AG7792" s="2">
        <f ca="1"/>
        <v>0.72013906760197721</v>
      </c>
      <c r="AH7792" s="2" t="str">
        <f ca="1"/>
        <v>Bad</v>
      </c>
    </row>
    <row r="7793" spans="2:34" x14ac:dyDescent="0.2">
      <c r="B7793" s="2">
        <f ca="1"/>
        <v>0.48889925726979233</v>
      </c>
      <c r="O7793" s="2">
        <f ca="1"/>
        <v>-1.0837893524891495</v>
      </c>
      <c r="X7793" s="2">
        <f ca="1"/>
        <v>50.569913243340345</v>
      </c>
      <c r="AG7793" s="2">
        <f ca="1"/>
        <v>0.59575797616959281</v>
      </c>
      <c r="AH7793" s="2" t="str">
        <f ca="1"/>
        <v>Bad</v>
      </c>
    </row>
    <row r="7794" spans="2:34" x14ac:dyDescent="0.2">
      <c r="B7794" s="2">
        <f ca="1"/>
        <v>0.65727562433461695</v>
      </c>
      <c r="O7794" s="2">
        <f ca="1"/>
        <v>1.5711621752120521</v>
      </c>
      <c r="X7794" s="2">
        <f ca="1"/>
        <v>66.584613712730643</v>
      </c>
      <c r="AG7794" s="2">
        <f ca="1"/>
        <v>0.57653410636044899</v>
      </c>
      <c r="AH7794" s="2" t="str">
        <f ca="1"/>
        <v>Bad</v>
      </c>
    </row>
    <row r="7795" spans="2:34" x14ac:dyDescent="0.2">
      <c r="B7795" s="2">
        <f ca="1"/>
        <v>0.51482348486533591</v>
      </c>
      <c r="O7795" s="2">
        <f ca="1"/>
        <v>-0.37316408629589304</v>
      </c>
      <c r="X7795" s="2">
        <f ca="1"/>
        <v>35.855358793732648</v>
      </c>
      <c r="AG7795" s="2">
        <f ca="1"/>
        <v>0.94951267929365812</v>
      </c>
      <c r="AH7795" s="2" t="str">
        <f ca="1"/>
        <v>Bad</v>
      </c>
    </row>
    <row r="7796" spans="2:34" x14ac:dyDescent="0.2">
      <c r="B7796" s="2">
        <f ca="1"/>
        <v>0.71638446208291451</v>
      </c>
      <c r="O7796" s="2">
        <f ca="1"/>
        <v>-1.9246125554146565</v>
      </c>
      <c r="X7796" s="2">
        <f ca="1"/>
        <v>40.600462229976287</v>
      </c>
      <c r="AG7796" s="2">
        <f ca="1"/>
        <v>0.46832798693752009</v>
      </c>
      <c r="AH7796" s="2" t="str">
        <f ca="1"/>
        <v>Bad</v>
      </c>
    </row>
    <row r="7797" spans="2:34" x14ac:dyDescent="0.2">
      <c r="B7797" s="2">
        <f ca="1"/>
        <v>0.16607399230716924</v>
      </c>
      <c r="O7797" s="2">
        <f ca="1"/>
        <v>-1.4616250503155037</v>
      </c>
      <c r="X7797" s="2">
        <f ca="1"/>
        <v>71.503086837878328</v>
      </c>
      <c r="AG7797" s="2">
        <f ca="1"/>
        <v>0.34260650183096542</v>
      </c>
      <c r="AH7797" s="2" t="str">
        <f ca="1"/>
        <v>OK</v>
      </c>
    </row>
    <row r="7798" spans="2:34" x14ac:dyDescent="0.2">
      <c r="B7798" s="2">
        <f ca="1"/>
        <v>0.96769211422611501</v>
      </c>
      <c r="O7798" s="2">
        <f ca="1"/>
        <v>0.52815681730181196</v>
      </c>
      <c r="X7798" s="2">
        <f ca="1"/>
        <v>42.792237065684802</v>
      </c>
      <c r="AG7798" s="2">
        <f ca="1"/>
        <v>0.73705612531726716</v>
      </c>
      <c r="AH7798" s="2" t="str">
        <f ca="1"/>
        <v>Bad</v>
      </c>
    </row>
    <row r="7799" spans="2:34" x14ac:dyDescent="0.2">
      <c r="B7799" s="2">
        <f ca="1"/>
        <v>0.1201746991096615</v>
      </c>
      <c r="O7799" s="2">
        <f ca="1"/>
        <v>-0.10720515544042802</v>
      </c>
      <c r="X7799" s="2">
        <f ca="1"/>
        <v>67.321754131797022</v>
      </c>
      <c r="AG7799" s="2">
        <f ca="1"/>
        <v>0.14967454667078561</v>
      </c>
      <c r="AH7799" s="2" t="str">
        <f ca="1"/>
        <v>OK</v>
      </c>
    </row>
    <row r="7800" spans="2:34" x14ac:dyDescent="0.2">
      <c r="B7800" s="2">
        <f ca="1"/>
        <v>0.1074159448729437</v>
      </c>
      <c r="O7800" s="2">
        <f ca="1"/>
        <v>0.94851336865555624</v>
      </c>
      <c r="X7800" s="2">
        <f ca="1"/>
        <v>78.565409938733097</v>
      </c>
      <c r="AG7800" s="2">
        <f ca="1"/>
        <v>8.3929567249115156E-2</v>
      </c>
      <c r="AH7800" s="2" t="str">
        <f ca="1"/>
        <v>OK</v>
      </c>
    </row>
    <row r="7801" spans="2:34" x14ac:dyDescent="0.2">
      <c r="B7801" s="2">
        <f ca="1"/>
        <v>0.2315807969534649</v>
      </c>
      <c r="O7801" s="2">
        <f ca="1"/>
        <v>0.53090187721370641</v>
      </c>
      <c r="X7801" s="2">
        <f ca="1"/>
        <v>35.578723664631106</v>
      </c>
      <c r="AG7801" s="2">
        <f ca="1"/>
        <v>0.48307276155980872</v>
      </c>
      <c r="AH7801" s="2" t="str">
        <f ca="1"/>
        <v>Bad</v>
      </c>
    </row>
    <row r="7802" spans="2:34" x14ac:dyDescent="0.2">
      <c r="B7802" s="2">
        <f ca="1"/>
        <v>0.58815067564228651</v>
      </c>
      <c r="O7802" s="2">
        <f ca="1"/>
        <v>-0.21265303883276246</v>
      </c>
      <c r="X7802" s="2">
        <f ca="1"/>
        <v>59.896381932516775</v>
      </c>
      <c r="AG7802" s="2">
        <f ca="1"/>
        <v>0.50287953368685279</v>
      </c>
      <c r="AH7802" s="2" t="str">
        <f ca="1"/>
        <v>Bad</v>
      </c>
    </row>
    <row r="7803" spans="2:34" x14ac:dyDescent="0.2">
      <c r="B7803" s="2">
        <f ca="1"/>
        <v>0.86263474086005032</v>
      </c>
      <c r="O7803" s="2">
        <f ca="1"/>
        <v>-0.20630009895753088</v>
      </c>
      <c r="X7803" s="2">
        <f ca="1"/>
        <v>54.265575537589747</v>
      </c>
      <c r="AG7803" s="2">
        <f ca="1"/>
        <v>0.52923735005891914</v>
      </c>
      <c r="AH7803" s="2" t="str">
        <f ca="1"/>
        <v>Bad</v>
      </c>
    </row>
    <row r="7804" spans="2:34" x14ac:dyDescent="0.2">
      <c r="B7804" s="2">
        <f ca="1"/>
        <v>0.8916196140678061</v>
      </c>
      <c r="O7804" s="2">
        <f ca="1"/>
        <v>0.20336143608944146</v>
      </c>
      <c r="X7804" s="2">
        <f ca="1"/>
        <v>48.003853702034441</v>
      </c>
      <c r="AG7804" s="2">
        <f ca="1"/>
        <v>0.91954423130633933</v>
      </c>
      <c r="AH7804" s="2" t="str">
        <f ca="1"/>
        <v>Bad</v>
      </c>
    </row>
    <row r="7805" spans="2:34" x14ac:dyDescent="0.2">
      <c r="B7805" s="2">
        <f ca="1"/>
        <v>0.79111511784841215</v>
      </c>
      <c r="O7805" s="2">
        <f ca="1"/>
        <v>0.7136668606341412</v>
      </c>
      <c r="X7805" s="2">
        <f ca="1"/>
        <v>34.545085687756192</v>
      </c>
      <c r="AG7805" s="2">
        <f ca="1"/>
        <v>0.10044012051733775</v>
      </c>
      <c r="AH7805" s="2" t="str">
        <f ca="1"/>
        <v>OK</v>
      </c>
    </row>
    <row r="7806" spans="2:34" x14ac:dyDescent="0.2">
      <c r="B7806" s="2">
        <f ca="1"/>
        <v>0.26786622507419544</v>
      </c>
      <c r="O7806" s="2">
        <f ca="1"/>
        <v>-0.45279808752449896</v>
      </c>
      <c r="X7806" s="2">
        <f ca="1"/>
        <v>54.169876943532628</v>
      </c>
      <c r="AG7806" s="2">
        <f ca="1"/>
        <v>0.66165742542494921</v>
      </c>
      <c r="AH7806" s="2" t="str">
        <f ca="1"/>
        <v>Bad</v>
      </c>
    </row>
    <row r="7807" spans="2:34" x14ac:dyDescent="0.2">
      <c r="B7807" s="2">
        <f ca="1"/>
        <v>0.83207024295893262</v>
      </c>
      <c r="O7807" s="2">
        <f ca="1"/>
        <v>0.804868906162577</v>
      </c>
      <c r="X7807" s="2">
        <f ca="1"/>
        <v>60.157039939936119</v>
      </c>
      <c r="AG7807" s="2">
        <f ca="1"/>
        <v>0.53008641212984475</v>
      </c>
      <c r="AH7807" s="2" t="str">
        <f ca="1"/>
        <v>Bad</v>
      </c>
    </row>
    <row r="7808" spans="2:34" x14ac:dyDescent="0.2">
      <c r="B7808" s="2">
        <f ca="1"/>
        <v>0.70990500275661295</v>
      </c>
      <c r="O7808" s="2">
        <f ca="1"/>
        <v>-1.517929001662591</v>
      </c>
      <c r="X7808" s="2">
        <f ca="1"/>
        <v>41.055928911147383</v>
      </c>
      <c r="AG7808" s="2">
        <f ca="1"/>
        <v>0.10068619161769132</v>
      </c>
      <c r="AH7808" s="2" t="str">
        <f ca="1"/>
        <v>OK</v>
      </c>
    </row>
    <row r="7809" spans="2:34" x14ac:dyDescent="0.2">
      <c r="B7809" s="2">
        <f ca="1"/>
        <v>0.19082215760640731</v>
      </c>
      <c r="O7809" s="2">
        <f ca="1"/>
        <v>-0.15028416306167219</v>
      </c>
      <c r="X7809" s="2">
        <f ca="1"/>
        <v>55.741661547414054</v>
      </c>
      <c r="AG7809" s="2">
        <f ca="1"/>
        <v>0.71038807395026593</v>
      </c>
      <c r="AH7809" s="2" t="str">
        <f ca="1"/>
        <v>Bad</v>
      </c>
    </row>
    <row r="7810" spans="2:34" x14ac:dyDescent="0.2">
      <c r="B7810" s="2">
        <f ca="1"/>
        <v>0.10980114361833881</v>
      </c>
      <c r="O7810" s="2">
        <f ca="1"/>
        <v>-0.29672650312559906</v>
      </c>
      <c r="X7810" s="2">
        <f ca="1"/>
        <v>27.780079969839051</v>
      </c>
      <c r="AG7810" s="2">
        <f ca="1"/>
        <v>0.29622624445873358</v>
      </c>
      <c r="AH7810" s="2" t="str">
        <f ca="1"/>
        <v>OK</v>
      </c>
    </row>
    <row r="7811" spans="2:34" x14ac:dyDescent="0.2">
      <c r="B7811" s="2">
        <f ca="1"/>
        <v>0.64763708497983474</v>
      </c>
      <c r="O7811" s="2">
        <f ca="1"/>
        <v>0.50512064620888308</v>
      </c>
      <c r="X7811" s="2">
        <f ca="1"/>
        <v>98.661769713219883</v>
      </c>
      <c r="AG7811" s="2">
        <f ca="1"/>
        <v>5.7070735021958585E-2</v>
      </c>
      <c r="AH7811" s="2" t="str">
        <f ca="1"/>
        <v>OK</v>
      </c>
    </row>
    <row r="7812" spans="2:34" x14ac:dyDescent="0.2">
      <c r="B7812" s="2">
        <f ca="1"/>
        <v>0.51181375801590145</v>
      </c>
      <c r="O7812" s="2">
        <f ca="1"/>
        <v>1.2969854887530929</v>
      </c>
      <c r="X7812" s="2">
        <f ca="1"/>
        <v>45.453033662929421</v>
      </c>
      <c r="AG7812" s="2">
        <f ca="1"/>
        <v>0.22634325031203195</v>
      </c>
      <c r="AH7812" s="2" t="str">
        <f ca="1"/>
        <v>OK</v>
      </c>
    </row>
    <row r="7813" spans="2:34" x14ac:dyDescent="0.2">
      <c r="B7813" s="2">
        <f ca="1"/>
        <v>0.914616305257693</v>
      </c>
      <c r="O7813" s="2">
        <f ca="1"/>
        <v>-1.3555740165804322</v>
      </c>
      <c r="X7813" s="2">
        <f ca="1"/>
        <v>55.783138376009404</v>
      </c>
      <c r="AG7813" s="2">
        <f ca="1"/>
        <v>0.42288467600084223</v>
      </c>
      <c r="AH7813" s="2" t="str">
        <f ca="1"/>
        <v>Bad</v>
      </c>
    </row>
    <row r="7814" spans="2:34" x14ac:dyDescent="0.2">
      <c r="B7814" s="2">
        <f ca="1"/>
        <v>4.382072041036511E-2</v>
      </c>
      <c r="O7814" s="2">
        <f ca="1"/>
        <v>-1.4214924925579506</v>
      </c>
      <c r="X7814" s="2">
        <f ca="1"/>
        <v>31.223717380168022</v>
      </c>
      <c r="AG7814" s="2">
        <f ca="1"/>
        <v>0.21135062284637085</v>
      </c>
      <c r="AH7814" s="2" t="str">
        <f ca="1"/>
        <v>OK</v>
      </c>
    </row>
    <row r="7815" spans="2:34" x14ac:dyDescent="0.2">
      <c r="B7815" s="2">
        <f ca="1"/>
        <v>0.66965141220975344</v>
      </c>
      <c r="O7815" s="2">
        <f ca="1"/>
        <v>0.39301835539242952</v>
      </c>
      <c r="X7815" s="2">
        <f ca="1"/>
        <v>42.706544691260575</v>
      </c>
      <c r="AG7815" s="2">
        <f ca="1"/>
        <v>0.80576506736781339</v>
      </c>
      <c r="AH7815" s="2" t="str">
        <f ca="1"/>
        <v>Bad</v>
      </c>
    </row>
    <row r="7816" spans="2:34" x14ac:dyDescent="0.2">
      <c r="B7816" s="2">
        <f ca="1"/>
        <v>0.82515663720956001</v>
      </c>
      <c r="O7816" s="2">
        <f ca="1"/>
        <v>-0.13719890343026717</v>
      </c>
      <c r="X7816" s="2">
        <f ca="1"/>
        <v>46.994790534157609</v>
      </c>
      <c r="AG7816" s="2">
        <f ca="1"/>
        <v>0.41831636843364284</v>
      </c>
      <c r="AH7816" s="2" t="str">
        <f ca="1"/>
        <v>Bad</v>
      </c>
    </row>
    <row r="7817" spans="2:34" x14ac:dyDescent="0.2">
      <c r="B7817" s="2">
        <f ca="1"/>
        <v>0.53950856820504534</v>
      </c>
      <c r="O7817" s="2">
        <f ca="1"/>
        <v>0.72238165509814145</v>
      </c>
      <c r="X7817" s="2">
        <f ca="1"/>
        <v>78.855486972209249</v>
      </c>
      <c r="AG7817" s="2">
        <f ca="1"/>
        <v>0.22667216848905491</v>
      </c>
      <c r="AH7817" s="2" t="str">
        <f ca="1"/>
        <v>OK</v>
      </c>
    </row>
    <row r="7818" spans="2:34" x14ac:dyDescent="0.2">
      <c r="B7818" s="2">
        <f ca="1"/>
        <v>7.8409539387673588E-2</v>
      </c>
      <c r="O7818" s="2">
        <f ca="1"/>
        <v>-1.1155497672474561</v>
      </c>
      <c r="X7818" s="2">
        <f ca="1"/>
        <v>49.740703644534896</v>
      </c>
      <c r="AG7818" s="2">
        <f ca="1"/>
        <v>0.52402540507344209</v>
      </c>
      <c r="AH7818" s="2" t="str">
        <f ca="1"/>
        <v>Bad</v>
      </c>
    </row>
    <row r="7819" spans="2:34" x14ac:dyDescent="0.2">
      <c r="B7819" s="2">
        <f ca="1"/>
        <v>0.37357545952695337</v>
      </c>
      <c r="O7819" s="2">
        <f ca="1"/>
        <v>0.609136525583861</v>
      </c>
      <c r="X7819" s="2">
        <f ca="1"/>
        <v>74.228032209629774</v>
      </c>
      <c r="AG7819" s="2">
        <f ca="1"/>
        <v>0.62683694022380942</v>
      </c>
      <c r="AH7819" s="2" t="str">
        <f ca="1"/>
        <v>Bad</v>
      </c>
    </row>
    <row r="7820" spans="2:34" x14ac:dyDescent="0.2">
      <c r="B7820" s="2">
        <f ca="1"/>
        <v>0.63265274301645502</v>
      </c>
      <c r="O7820" s="2">
        <f ca="1"/>
        <v>0.46948055128689598</v>
      </c>
      <c r="X7820" s="2">
        <f ca="1"/>
        <v>56.334137235522647</v>
      </c>
      <c r="AG7820" s="2">
        <f ca="1"/>
        <v>0.52772423857931683</v>
      </c>
      <c r="AH7820" s="2" t="str">
        <f ca="1"/>
        <v>Bad</v>
      </c>
    </row>
    <row r="7821" spans="2:34" x14ac:dyDescent="0.2">
      <c r="B7821" s="2">
        <f ca="1"/>
        <v>0.52430438957009029</v>
      </c>
      <c r="O7821" s="2">
        <f ca="1"/>
        <v>-1.1563886088082413</v>
      </c>
      <c r="X7821" s="2">
        <f ca="1"/>
        <v>32.336393037654013</v>
      </c>
      <c r="AG7821" s="2">
        <f ca="1"/>
        <v>0.98116380205240317</v>
      </c>
      <c r="AH7821" s="2" t="str">
        <f ca="1"/>
        <v>Bad</v>
      </c>
    </row>
    <row r="7822" spans="2:34" x14ac:dyDescent="0.2">
      <c r="B7822" s="2">
        <f ca="1"/>
        <v>0.32750824289598146</v>
      </c>
      <c r="O7822" s="2">
        <f ca="1"/>
        <v>-0.9753952732765262</v>
      </c>
      <c r="X7822" s="2">
        <f ca="1"/>
        <v>29.287929250045458</v>
      </c>
      <c r="AG7822" s="2">
        <f ca="1"/>
        <v>0.57634292648339902</v>
      </c>
      <c r="AH7822" s="2" t="str">
        <f ca="1"/>
        <v>Bad</v>
      </c>
    </row>
    <row r="7823" spans="2:34" x14ac:dyDescent="0.2">
      <c r="B7823" s="2">
        <f ca="1"/>
        <v>0.55809213535470104</v>
      </c>
      <c r="O7823" s="2">
        <f ca="1"/>
        <v>1.1541139582262909</v>
      </c>
      <c r="X7823" s="2">
        <f ca="1"/>
        <v>48.207294469305978</v>
      </c>
      <c r="AG7823" s="2">
        <f ca="1"/>
        <v>0.13307009068991849</v>
      </c>
      <c r="AH7823" s="2" t="str">
        <f ca="1"/>
        <v>OK</v>
      </c>
    </row>
    <row r="7824" spans="2:34" x14ac:dyDescent="0.2">
      <c r="B7824" s="2">
        <f ca="1"/>
        <v>0.95263816294078318</v>
      </c>
      <c r="O7824" s="2">
        <f ca="1"/>
        <v>-0.52547410277243889</v>
      </c>
      <c r="X7824" s="2">
        <f ca="1"/>
        <v>54.645930421767027</v>
      </c>
      <c r="AG7824" s="2">
        <f ca="1"/>
        <v>0.66906327565392587</v>
      </c>
      <c r="AH7824" s="2" t="str">
        <f ca="1"/>
        <v>Bad</v>
      </c>
    </row>
    <row r="7825" spans="2:34" x14ac:dyDescent="0.2">
      <c r="B7825" s="2">
        <f ca="1"/>
        <v>0.97176526127335605</v>
      </c>
      <c r="O7825" s="2">
        <f ca="1"/>
        <v>0.34977626770475517</v>
      </c>
      <c r="X7825" s="2">
        <f ca="1"/>
        <v>15.298447499140943</v>
      </c>
      <c r="AG7825" s="2">
        <f ca="1"/>
        <v>0.12945214357613621</v>
      </c>
      <c r="AH7825" s="2" t="str">
        <f ca="1"/>
        <v>OK</v>
      </c>
    </row>
    <row r="7826" spans="2:34" x14ac:dyDescent="0.2">
      <c r="B7826" s="2">
        <f ca="1"/>
        <v>0.33717463328389652</v>
      </c>
      <c r="O7826" s="2">
        <f ca="1"/>
        <v>1.1125956313192613</v>
      </c>
      <c r="X7826" s="2">
        <f ca="1"/>
        <v>42.88332838461578</v>
      </c>
      <c r="AG7826" s="2">
        <f ca="1"/>
        <v>0.18053460290151291</v>
      </c>
      <c r="AH7826" s="2" t="str">
        <f ca="1"/>
        <v>OK</v>
      </c>
    </row>
    <row r="7827" spans="2:34" x14ac:dyDescent="0.2">
      <c r="B7827" s="2">
        <f ca="1"/>
        <v>0.55158872294652816</v>
      </c>
      <c r="O7827" s="2">
        <f ca="1"/>
        <v>-0.83045068914841047</v>
      </c>
      <c r="X7827" s="2">
        <f ca="1"/>
        <v>49.850191018756306</v>
      </c>
      <c r="AG7827" s="2">
        <f ca="1"/>
        <v>0.92525055333030948</v>
      </c>
      <c r="AH7827" s="2" t="str">
        <f ca="1"/>
        <v>Bad</v>
      </c>
    </row>
    <row r="7828" spans="2:34" x14ac:dyDescent="0.2">
      <c r="B7828" s="2">
        <f ca="1"/>
        <v>0.95052390772479822</v>
      </c>
      <c r="O7828" s="2">
        <f ca="1"/>
        <v>-0.47375297736428457</v>
      </c>
      <c r="X7828" s="2">
        <f ca="1"/>
        <v>25.116602924835796</v>
      </c>
      <c r="AG7828" s="2">
        <f ca="1"/>
        <v>0.45493728552789636</v>
      </c>
      <c r="AH7828" s="2" t="str">
        <f ca="1"/>
        <v>Bad</v>
      </c>
    </row>
    <row r="7829" spans="2:34" x14ac:dyDescent="0.2">
      <c r="B7829" s="2">
        <f ca="1"/>
        <v>0.43669160867022105</v>
      </c>
      <c r="O7829" s="2">
        <f ca="1"/>
        <v>-1.0473301470730656</v>
      </c>
      <c r="X7829" s="2">
        <f ca="1"/>
        <v>50.334948566100778</v>
      </c>
      <c r="AG7829" s="2">
        <f ca="1"/>
        <v>0.44961800925277839</v>
      </c>
      <c r="AH7829" s="2" t="str">
        <f ca="1"/>
        <v>Bad</v>
      </c>
    </row>
    <row r="7830" spans="2:34" x14ac:dyDescent="0.2">
      <c r="B7830" s="2">
        <f ca="1"/>
        <v>0.58668225913730021</v>
      </c>
      <c r="O7830" s="2">
        <f ca="1"/>
        <v>-0.58849949374971289</v>
      </c>
      <c r="X7830" s="2">
        <f ca="1"/>
        <v>47.906680221353753</v>
      </c>
      <c r="AG7830" s="2">
        <f ca="1"/>
        <v>3.7151180306560061E-2</v>
      </c>
      <c r="AH7830" s="2" t="str">
        <f ca="1"/>
        <v>Good</v>
      </c>
    </row>
    <row r="7831" spans="2:34" x14ac:dyDescent="0.2">
      <c r="B7831" s="2">
        <f ca="1"/>
        <v>0.56956543046586239</v>
      </c>
      <c r="O7831" s="2">
        <f ca="1"/>
        <v>-4.5458475547801108E-2</v>
      </c>
      <c r="X7831" s="2">
        <f ca="1"/>
        <v>32.46020706859909</v>
      </c>
      <c r="AG7831" s="2">
        <f ca="1"/>
        <v>0.28239539250891554</v>
      </c>
      <c r="AH7831" s="2" t="str">
        <f ca="1"/>
        <v>OK</v>
      </c>
    </row>
    <row r="7832" spans="2:34" x14ac:dyDescent="0.2">
      <c r="B7832" s="2">
        <f ca="1"/>
        <v>0.79310733004330736</v>
      </c>
      <c r="O7832" s="2">
        <f ca="1"/>
        <v>-0.64547295396107485</v>
      </c>
      <c r="X7832" s="2">
        <f ca="1"/>
        <v>56.936010242236463</v>
      </c>
      <c r="AG7832" s="2">
        <f ca="1"/>
        <v>0.9663917094381842</v>
      </c>
      <c r="AH7832" s="2" t="str">
        <f ca="1"/>
        <v>Bad</v>
      </c>
    </row>
    <row r="7833" spans="2:34" x14ac:dyDescent="0.2">
      <c r="B7833" s="2">
        <f ca="1"/>
        <v>0.62724404849764182</v>
      </c>
      <c r="O7833" s="2">
        <f ca="1"/>
        <v>-0.10278999287684412</v>
      </c>
      <c r="X7833" s="2">
        <f ca="1"/>
        <v>51.350862188027129</v>
      </c>
      <c r="AG7833" s="2">
        <f ca="1"/>
        <v>0.7260109309084275</v>
      </c>
      <c r="AH7833" s="2" t="str">
        <f ca="1"/>
        <v>Bad</v>
      </c>
    </row>
    <row r="7834" spans="2:34" x14ac:dyDescent="0.2">
      <c r="B7834" s="2">
        <f ca="1"/>
        <v>0.96678778349528449</v>
      </c>
      <c r="O7834" s="2">
        <f ca="1"/>
        <v>0.52167960032397576</v>
      </c>
      <c r="X7834" s="2">
        <f ca="1"/>
        <v>36.870101605150637</v>
      </c>
      <c r="AG7834" s="2">
        <f ca="1"/>
        <v>0.41736032260030376</v>
      </c>
      <c r="AH7834" s="2" t="str">
        <f ca="1"/>
        <v>Bad</v>
      </c>
    </row>
    <row r="7835" spans="2:34" x14ac:dyDescent="0.2">
      <c r="B7835" s="2">
        <f ca="1"/>
        <v>0.71180983133851172</v>
      </c>
      <c r="O7835" s="2">
        <f ca="1"/>
        <v>1.5733119204687731</v>
      </c>
      <c r="X7835" s="2">
        <f ca="1"/>
        <v>39.668693908458103</v>
      </c>
      <c r="AG7835" s="2">
        <f ca="1"/>
        <v>1.0262636745061338E-2</v>
      </c>
      <c r="AH7835" s="2" t="str">
        <f ca="1"/>
        <v>Good</v>
      </c>
    </row>
    <row r="7836" spans="2:34" x14ac:dyDescent="0.2">
      <c r="B7836" s="2">
        <f ca="1"/>
        <v>0.16223296882780769</v>
      </c>
      <c r="O7836" s="2">
        <f ca="1"/>
        <v>1.4055949686917442</v>
      </c>
      <c r="X7836" s="2">
        <f ca="1"/>
        <v>40.049922300023127</v>
      </c>
      <c r="AG7836" s="2">
        <f ca="1"/>
        <v>0.1334720376840326</v>
      </c>
      <c r="AH7836" s="2" t="str">
        <f ca="1"/>
        <v>OK</v>
      </c>
    </row>
    <row r="7837" spans="2:34" x14ac:dyDescent="0.2">
      <c r="B7837" s="2">
        <f ca="1"/>
        <v>0.12554549305450435</v>
      </c>
      <c r="O7837" s="2">
        <f ca="1"/>
        <v>-0.7469517941529179</v>
      </c>
      <c r="X7837" s="2">
        <f ca="1"/>
        <v>77.23038465761681</v>
      </c>
      <c r="AG7837" s="2">
        <f ca="1"/>
        <v>0.8358844460987549</v>
      </c>
      <c r="AH7837" s="2" t="str">
        <f ca="1"/>
        <v>Bad</v>
      </c>
    </row>
    <row r="7838" spans="2:34" x14ac:dyDescent="0.2">
      <c r="B7838" s="2">
        <f ca="1"/>
        <v>0.59241460218172026</v>
      </c>
      <c r="O7838" s="2">
        <f ca="1"/>
        <v>0.7184445399398417</v>
      </c>
      <c r="X7838" s="2">
        <f ca="1"/>
        <v>33.941128396883975</v>
      </c>
      <c r="AG7838" s="2">
        <f ca="1"/>
        <v>0.91682012377581334</v>
      </c>
      <c r="AH7838" s="2" t="str">
        <f ca="1"/>
        <v>Bad</v>
      </c>
    </row>
    <row r="7839" spans="2:34" x14ac:dyDescent="0.2">
      <c r="B7839" s="2">
        <f ca="1"/>
        <v>0.26430405377016042</v>
      </c>
      <c r="O7839" s="2">
        <f ca="1"/>
        <v>-6.127256165105778E-2</v>
      </c>
      <c r="X7839" s="2">
        <f ca="1"/>
        <v>43.70615427789123</v>
      </c>
      <c r="AG7839" s="2">
        <f ca="1"/>
        <v>0.66158779745279195</v>
      </c>
      <c r="AH7839" s="2" t="str">
        <f ca="1"/>
        <v>Bad</v>
      </c>
    </row>
    <row r="7840" spans="2:34" x14ac:dyDescent="0.2">
      <c r="B7840" s="2">
        <f ca="1"/>
        <v>0.59581907961541303</v>
      </c>
      <c r="O7840" s="2">
        <f ca="1"/>
        <v>0.20219767174027575</v>
      </c>
      <c r="X7840" s="2">
        <f ca="1"/>
        <v>72.993091727465071</v>
      </c>
      <c r="AG7840" s="2">
        <f ca="1"/>
        <v>0.39759677016580697</v>
      </c>
      <c r="AH7840" s="2" t="str">
        <f ca="1"/>
        <v>OK</v>
      </c>
    </row>
    <row r="7841" spans="2:34" x14ac:dyDescent="0.2">
      <c r="B7841" s="2">
        <f ca="1"/>
        <v>0.48123589493356111</v>
      </c>
      <c r="O7841" s="2">
        <f ca="1"/>
        <v>0.58893808376899859</v>
      </c>
      <c r="X7841" s="2">
        <f ca="1"/>
        <v>39.494083871768176</v>
      </c>
      <c r="AG7841" s="2">
        <f ca="1"/>
        <v>3.2158225882746194E-2</v>
      </c>
      <c r="AH7841" s="2" t="str">
        <f ca="1"/>
        <v>Good</v>
      </c>
    </row>
    <row r="7842" spans="2:34" x14ac:dyDescent="0.2">
      <c r="B7842" s="2">
        <f ca="1"/>
        <v>0.68515890603751339</v>
      </c>
      <c r="O7842" s="2">
        <f ca="1"/>
        <v>-0.50422787036986438</v>
      </c>
      <c r="X7842" s="2">
        <f ca="1"/>
        <v>48.675263295680359</v>
      </c>
      <c r="AG7842" s="2">
        <f ca="1"/>
        <v>0.56970884735420491</v>
      </c>
      <c r="AH7842" s="2" t="str">
        <f ca="1"/>
        <v>Bad</v>
      </c>
    </row>
    <row r="7843" spans="2:34" x14ac:dyDescent="0.2">
      <c r="B7843" s="2">
        <f ca="1"/>
        <v>0.57247111480724588</v>
      </c>
      <c r="O7843" s="2">
        <f ca="1"/>
        <v>0.86492609814803245</v>
      </c>
      <c r="X7843" s="2">
        <f ca="1"/>
        <v>52.916244895499496</v>
      </c>
      <c r="AG7843" s="2">
        <f ca="1"/>
        <v>0.63253362918336431</v>
      </c>
      <c r="AH7843" s="2" t="str">
        <f ca="1"/>
        <v>Bad</v>
      </c>
    </row>
    <row r="7844" spans="2:34" x14ac:dyDescent="0.2">
      <c r="B7844" s="2">
        <f ca="1"/>
        <v>0.45223429806527959</v>
      </c>
      <c r="O7844" s="2">
        <f ca="1"/>
        <v>-0.29634053803847865</v>
      </c>
      <c r="X7844" s="2">
        <f ca="1"/>
        <v>55.232797873280504</v>
      </c>
      <c r="AG7844" s="2">
        <f ca="1"/>
        <v>0.81234319160122026</v>
      </c>
      <c r="AH7844" s="2" t="str">
        <f ca="1"/>
        <v>Bad</v>
      </c>
    </row>
    <row r="7845" spans="2:34" x14ac:dyDescent="0.2">
      <c r="B7845" s="2">
        <f ca="1"/>
        <v>0.61901752401743493</v>
      </c>
      <c r="O7845" s="2">
        <f ca="1"/>
        <v>0.19879789571716838</v>
      </c>
      <c r="X7845" s="2">
        <f ca="1"/>
        <v>16.610066128201002</v>
      </c>
      <c r="AG7845" s="2">
        <f ca="1"/>
        <v>0.91853035003192751</v>
      </c>
      <c r="AH7845" s="2" t="str">
        <f ca="1"/>
        <v>Bad</v>
      </c>
    </row>
    <row r="7846" spans="2:34" x14ac:dyDescent="0.2">
      <c r="B7846" s="2">
        <f ca="1"/>
        <v>0.83525039036695303</v>
      </c>
      <c r="O7846" s="2">
        <f ca="1"/>
        <v>-0.48572160725907387</v>
      </c>
      <c r="X7846" s="2">
        <f ca="1"/>
        <v>40.624925934907317</v>
      </c>
      <c r="AG7846" s="2">
        <f ca="1"/>
        <v>0.93145581681298872</v>
      </c>
      <c r="AH7846" s="2" t="str">
        <f ca="1"/>
        <v>Bad</v>
      </c>
    </row>
    <row r="7847" spans="2:34" x14ac:dyDescent="0.2">
      <c r="B7847" s="2">
        <f ca="1"/>
        <v>0.65465562879604966</v>
      </c>
      <c r="O7847" s="2">
        <f ca="1"/>
        <v>0.37230019613430809</v>
      </c>
      <c r="X7847" s="2">
        <f ca="1"/>
        <v>52.625030499506245</v>
      </c>
      <c r="AG7847" s="2">
        <f ca="1"/>
        <v>0.86805014523594637</v>
      </c>
      <c r="AH7847" s="2" t="str">
        <f ca="1"/>
        <v>Bad</v>
      </c>
    </row>
    <row r="7848" spans="2:34" x14ac:dyDescent="0.2">
      <c r="B7848" s="2">
        <f ca="1"/>
        <v>0.47137432102255361</v>
      </c>
      <c r="O7848" s="2">
        <f ca="1"/>
        <v>0.37106835440381658</v>
      </c>
      <c r="X7848" s="2">
        <f ca="1"/>
        <v>63.837349188391102</v>
      </c>
      <c r="AG7848" s="2">
        <f ca="1"/>
        <v>0.99013952761302115</v>
      </c>
      <c r="AH7848" s="2" t="str">
        <f ca="1"/>
        <v>Bad</v>
      </c>
    </row>
    <row r="7849" spans="2:34" x14ac:dyDescent="0.2">
      <c r="B7849" s="2">
        <f ca="1"/>
        <v>0.79973230810335938</v>
      </c>
      <c r="O7849" s="2">
        <f ca="1"/>
        <v>-0.26000615872904659</v>
      </c>
      <c r="X7849" s="2">
        <f ca="1"/>
        <v>34.960149691933367</v>
      </c>
      <c r="AG7849" s="2">
        <f ca="1"/>
        <v>0.49532282755201584</v>
      </c>
      <c r="AH7849" s="2" t="str">
        <f ca="1"/>
        <v>Bad</v>
      </c>
    </row>
    <row r="7850" spans="2:34" x14ac:dyDescent="0.2">
      <c r="B7850" s="2">
        <f ca="1"/>
        <v>0.45465424192835391</v>
      </c>
      <c r="O7850" s="2">
        <f ca="1"/>
        <v>0.80757646735120514</v>
      </c>
      <c r="X7850" s="2">
        <f ca="1"/>
        <v>57.662136055516136</v>
      </c>
      <c r="AG7850" s="2">
        <f ca="1"/>
        <v>0.65036277621725769</v>
      </c>
      <c r="AH7850" s="2" t="str">
        <f ca="1"/>
        <v>Bad</v>
      </c>
    </row>
    <row r="7851" spans="2:34" x14ac:dyDescent="0.2">
      <c r="B7851" s="2">
        <f ca="1"/>
        <v>0.74822400916194542</v>
      </c>
      <c r="O7851" s="2">
        <f ca="1"/>
        <v>-1.5474909993738264</v>
      </c>
      <c r="X7851" s="2">
        <f ca="1"/>
        <v>65.298567653542747</v>
      </c>
      <c r="AG7851" s="2">
        <f ca="1"/>
        <v>0.55557909597215072</v>
      </c>
      <c r="AH7851" s="2" t="str">
        <f ca="1"/>
        <v>Bad</v>
      </c>
    </row>
    <row r="7852" spans="2:34" x14ac:dyDescent="0.2">
      <c r="B7852" s="2">
        <f ca="1"/>
        <v>0.97843261297320061</v>
      </c>
      <c r="O7852" s="2">
        <f ca="1"/>
        <v>-1.7525442608578163</v>
      </c>
      <c r="X7852" s="2">
        <f ca="1"/>
        <v>71.258858136593915</v>
      </c>
      <c r="AG7852" s="2">
        <f ca="1"/>
        <v>0.22563539732146998</v>
      </c>
      <c r="AH7852" s="2" t="str">
        <f ca="1"/>
        <v>OK</v>
      </c>
    </row>
    <row r="7853" spans="2:34" x14ac:dyDescent="0.2">
      <c r="B7853" s="2">
        <f ca="1"/>
        <v>0.10974716363451131</v>
      </c>
      <c r="O7853" s="2">
        <f ca="1"/>
        <v>1.1265680253305128</v>
      </c>
      <c r="X7853" s="2">
        <f ca="1"/>
        <v>33.689715536019648</v>
      </c>
      <c r="AG7853" s="2">
        <f ca="1"/>
        <v>0.7728692736601348</v>
      </c>
      <c r="AH7853" s="2" t="str">
        <f ca="1"/>
        <v>Bad</v>
      </c>
    </row>
    <row r="7854" spans="2:34" x14ac:dyDescent="0.2">
      <c r="B7854" s="2">
        <f ca="1"/>
        <v>9.7074045015994592E-3</v>
      </c>
      <c r="O7854" s="2">
        <f ca="1"/>
        <v>-0.34674106442530633</v>
      </c>
      <c r="X7854" s="2">
        <f ca="1"/>
        <v>63.333976379941021</v>
      </c>
      <c r="AG7854" s="2">
        <f ca="1"/>
        <v>0.58360582412482276</v>
      </c>
      <c r="AH7854" s="2" t="str">
        <f ca="1"/>
        <v>Bad</v>
      </c>
    </row>
    <row r="7855" spans="2:34" x14ac:dyDescent="0.2">
      <c r="B7855" s="2">
        <f ca="1"/>
        <v>0.97896107606405236</v>
      </c>
      <c r="O7855" s="2">
        <f ca="1"/>
        <v>1.4335970144424324</v>
      </c>
      <c r="X7855" s="2">
        <f ca="1"/>
        <v>65.552937783134283</v>
      </c>
      <c r="AG7855" s="2">
        <f ca="1"/>
        <v>0.47049465211630803</v>
      </c>
      <c r="AH7855" s="2" t="str">
        <f ca="1"/>
        <v>Bad</v>
      </c>
    </row>
    <row r="7856" spans="2:34" x14ac:dyDescent="0.2">
      <c r="B7856" s="2">
        <f ca="1"/>
        <v>2.3787834687730491E-2</v>
      </c>
      <c r="O7856" s="2">
        <f ca="1"/>
        <v>1.3342572205685967</v>
      </c>
      <c r="X7856" s="2">
        <f ca="1"/>
        <v>43.022365862296049</v>
      </c>
      <c r="AG7856" s="2">
        <f ca="1"/>
        <v>0.64711050981610163</v>
      </c>
      <c r="AH7856" s="2" t="str">
        <f ca="1"/>
        <v>Bad</v>
      </c>
    </row>
    <row r="7857" spans="2:34" x14ac:dyDescent="0.2">
      <c r="B7857" s="2">
        <f ca="1"/>
        <v>0.45364170787584124</v>
      </c>
      <c r="O7857" s="2">
        <f ca="1"/>
        <v>-0.85986744789357827</v>
      </c>
      <c r="X7857" s="2">
        <f ca="1"/>
        <v>60.252445404889777</v>
      </c>
      <c r="AG7857" s="2">
        <f ca="1"/>
        <v>0.256059960039005</v>
      </c>
      <c r="AH7857" s="2" t="str">
        <f ca="1"/>
        <v>OK</v>
      </c>
    </row>
    <row r="7858" spans="2:34" x14ac:dyDescent="0.2">
      <c r="B7858" s="2">
        <f ca="1"/>
        <v>0.64629135021205131</v>
      </c>
      <c r="O7858" s="2">
        <f ca="1"/>
        <v>1.2207787888711639</v>
      </c>
      <c r="X7858" s="2">
        <f ca="1"/>
        <v>55.231940025990724</v>
      </c>
      <c r="AG7858" s="2">
        <f ca="1"/>
        <v>0.62394395503966549</v>
      </c>
      <c r="AH7858" s="2" t="str">
        <f ca="1"/>
        <v>Bad</v>
      </c>
    </row>
    <row r="7859" spans="2:34" x14ac:dyDescent="0.2">
      <c r="B7859" s="2">
        <f ca="1"/>
        <v>0.95380782706697409</v>
      </c>
      <c r="O7859" s="2">
        <f ca="1"/>
        <v>1.2512866178149857</v>
      </c>
      <c r="X7859" s="2">
        <f ca="1"/>
        <v>29.023906713681992</v>
      </c>
      <c r="AG7859" s="2">
        <f ca="1"/>
        <v>0.15395051400261006</v>
      </c>
      <c r="AH7859" s="2" t="str">
        <f ca="1"/>
        <v>OK</v>
      </c>
    </row>
    <row r="7860" spans="2:34" x14ac:dyDescent="0.2">
      <c r="B7860" s="2">
        <f ca="1"/>
        <v>0.69089932158011003</v>
      </c>
      <c r="O7860" s="2">
        <f ca="1"/>
        <v>1.1064043493382312</v>
      </c>
      <c r="X7860" s="2">
        <f ca="1"/>
        <v>38.130831322475693</v>
      </c>
      <c r="AG7860" s="2">
        <f ca="1"/>
        <v>0.12058151616407486</v>
      </c>
      <c r="AH7860" s="2" t="str">
        <f ca="1"/>
        <v>OK</v>
      </c>
    </row>
    <row r="7861" spans="2:34" x14ac:dyDescent="0.2">
      <c r="B7861" s="2">
        <f ca="1"/>
        <v>0.84741345524150646</v>
      </c>
      <c r="O7861" s="2">
        <f ca="1"/>
        <v>0.30719476705688881</v>
      </c>
      <c r="X7861" s="2">
        <f ca="1"/>
        <v>42.101520417735529</v>
      </c>
      <c r="AG7861" s="2">
        <f ca="1"/>
        <v>1.2053891939078909E-3</v>
      </c>
      <c r="AH7861" s="2" t="str">
        <f ca="1"/>
        <v>Good</v>
      </c>
    </row>
    <row r="7862" spans="2:34" x14ac:dyDescent="0.2">
      <c r="B7862" s="2">
        <f ca="1"/>
        <v>0.69141672960167133</v>
      </c>
      <c r="O7862" s="2">
        <f ca="1"/>
        <v>-1.1792390008093137</v>
      </c>
      <c r="X7862" s="2">
        <f ca="1"/>
        <v>29.476792925907127</v>
      </c>
      <c r="AG7862" s="2">
        <f ca="1"/>
        <v>0.22196893590487909</v>
      </c>
      <c r="AH7862" s="2" t="str">
        <f ca="1"/>
        <v>OK</v>
      </c>
    </row>
    <row r="7863" spans="2:34" x14ac:dyDescent="0.2">
      <c r="B7863" s="2">
        <f ca="1"/>
        <v>1.557366023323925E-2</v>
      </c>
      <c r="O7863" s="2">
        <f ca="1"/>
        <v>2.0316255326228303</v>
      </c>
      <c r="X7863" s="2">
        <f ca="1"/>
        <v>60.306532560955091</v>
      </c>
      <c r="AG7863" s="2">
        <f ca="1"/>
        <v>0.10315234431758791</v>
      </c>
      <c r="AH7863" s="2" t="str">
        <f ca="1"/>
        <v>OK</v>
      </c>
    </row>
    <row r="7864" spans="2:34" x14ac:dyDescent="0.2">
      <c r="B7864" s="2">
        <f ca="1"/>
        <v>0.27163130046779749</v>
      </c>
      <c r="O7864" s="2">
        <f ca="1"/>
        <v>1.0922144597085173</v>
      </c>
      <c r="X7864" s="2">
        <f ca="1"/>
        <v>37.453042426231434</v>
      </c>
      <c r="AG7864" s="2">
        <f ca="1"/>
        <v>0.11603713777409008</v>
      </c>
      <c r="AH7864" s="2" t="str">
        <f ca="1"/>
        <v>OK</v>
      </c>
    </row>
    <row r="7865" spans="2:34" x14ac:dyDescent="0.2">
      <c r="B7865" s="2">
        <f ca="1"/>
        <v>0.42678161374662826</v>
      </c>
      <c r="O7865" s="2">
        <f ca="1"/>
        <v>1.3035762882887123</v>
      </c>
      <c r="X7865" s="2">
        <f ca="1"/>
        <v>57.905125118863403</v>
      </c>
      <c r="AG7865" s="2">
        <f ca="1"/>
        <v>0.1346987132241011</v>
      </c>
      <c r="AH7865" s="2" t="str">
        <f ca="1"/>
        <v>OK</v>
      </c>
    </row>
    <row r="7866" spans="2:34" x14ac:dyDescent="0.2">
      <c r="B7866" s="2">
        <f ca="1"/>
        <v>0.3024502033305021</v>
      </c>
      <c r="O7866" s="2">
        <f ca="1"/>
        <v>-1.5509512012370594</v>
      </c>
      <c r="X7866" s="2">
        <f ca="1"/>
        <v>60.77826822580068</v>
      </c>
      <c r="AG7866" s="2">
        <f ca="1"/>
        <v>0.99552246038990466</v>
      </c>
      <c r="AH7866" s="2" t="str">
        <f ca="1"/>
        <v>Bad</v>
      </c>
    </row>
    <row r="7867" spans="2:34" x14ac:dyDescent="0.2">
      <c r="B7867" s="2">
        <f ca="1"/>
        <v>0.43328565157755539</v>
      </c>
      <c r="O7867" s="2">
        <f ca="1"/>
        <v>-0.48984530411248012</v>
      </c>
      <c r="X7867" s="2">
        <f ca="1"/>
        <v>41.106457663878018</v>
      </c>
      <c r="AG7867" s="2">
        <f ca="1"/>
        <v>1.0749307037128286E-2</v>
      </c>
      <c r="AH7867" s="2" t="str">
        <f ca="1"/>
        <v>Good</v>
      </c>
    </row>
    <row r="7868" spans="2:34" x14ac:dyDescent="0.2">
      <c r="B7868" s="2">
        <f ca="1"/>
        <v>0.17856810149356228</v>
      </c>
      <c r="O7868" s="2">
        <f ca="1"/>
        <v>-0.7836048797462063</v>
      </c>
      <c r="X7868" s="2">
        <f ca="1"/>
        <v>74.524776344767332</v>
      </c>
      <c r="AG7868" s="2">
        <f ca="1"/>
        <v>5.0452478927615285E-2</v>
      </c>
      <c r="AH7868" s="2" t="str">
        <f ca="1"/>
        <v>OK</v>
      </c>
    </row>
    <row r="7869" spans="2:34" x14ac:dyDescent="0.2">
      <c r="B7869" s="2">
        <f ca="1"/>
        <v>0.89189365550027033</v>
      </c>
      <c r="O7869" s="2">
        <f ca="1"/>
        <v>1.5089830947336855</v>
      </c>
      <c r="X7869" s="2">
        <f ca="1"/>
        <v>29.377579695349567</v>
      </c>
      <c r="AG7869" s="2">
        <f ca="1"/>
        <v>9.3834607138788773E-2</v>
      </c>
      <c r="AH7869" s="2" t="str">
        <f ca="1"/>
        <v>OK</v>
      </c>
    </row>
    <row r="7870" spans="2:34" x14ac:dyDescent="0.2">
      <c r="B7870" s="2">
        <f ca="1"/>
        <v>0.67363583448791187</v>
      </c>
      <c r="O7870" s="2">
        <f ca="1"/>
        <v>2.5656742475182241</v>
      </c>
      <c r="X7870" s="2">
        <f ca="1"/>
        <v>64.649501209921866</v>
      </c>
      <c r="AG7870" s="2">
        <f ca="1"/>
        <v>0.27758865597814375</v>
      </c>
      <c r="AH7870" s="2" t="str">
        <f ca="1"/>
        <v>OK</v>
      </c>
    </row>
    <row r="7871" spans="2:34" x14ac:dyDescent="0.2">
      <c r="B7871" s="2">
        <f ca="1"/>
        <v>0.90506368632702539</v>
      </c>
      <c r="O7871" s="2">
        <f ca="1"/>
        <v>1.1089701502324927</v>
      </c>
      <c r="X7871" s="2">
        <f ca="1"/>
        <v>62.921184173704162</v>
      </c>
      <c r="AG7871" s="2">
        <f ca="1"/>
        <v>2.9702335589543161E-3</v>
      </c>
      <c r="AH7871" s="2" t="str">
        <f ca="1"/>
        <v>Good</v>
      </c>
    </row>
    <row r="7872" spans="2:34" x14ac:dyDescent="0.2">
      <c r="B7872" s="2">
        <f ca="1"/>
        <v>0.70622174015287742</v>
      </c>
      <c r="O7872" s="2">
        <f ca="1"/>
        <v>0.73346921199605275</v>
      </c>
      <c r="X7872" s="2">
        <f ca="1"/>
        <v>51.155140808337919</v>
      </c>
      <c r="AG7872" s="2">
        <f ca="1"/>
        <v>0.27687232155528263</v>
      </c>
      <c r="AH7872" s="2" t="str">
        <f ca="1"/>
        <v>OK</v>
      </c>
    </row>
    <row r="7873" spans="2:34" x14ac:dyDescent="0.2">
      <c r="B7873" s="2">
        <f ca="1"/>
        <v>0.89768805356522119</v>
      </c>
      <c r="O7873" s="2">
        <f ca="1"/>
        <v>-1.792152465541559</v>
      </c>
      <c r="X7873" s="2">
        <f ca="1"/>
        <v>43.821396915482332</v>
      </c>
      <c r="AG7873" s="2">
        <f ca="1"/>
        <v>0.87944718848404624</v>
      </c>
      <c r="AH7873" s="2" t="str">
        <f ca="1"/>
        <v>Bad</v>
      </c>
    </row>
    <row r="7874" spans="2:34" x14ac:dyDescent="0.2">
      <c r="B7874" s="2">
        <f ca="1"/>
        <v>0.29563280133746361</v>
      </c>
      <c r="O7874" s="2">
        <f ca="1"/>
        <v>0.27851835100585742</v>
      </c>
      <c r="X7874" s="2">
        <f ca="1"/>
        <v>44.02205823100747</v>
      </c>
      <c r="AG7874" s="2">
        <f ca="1"/>
        <v>0.75542748909750457</v>
      </c>
      <c r="AH7874" s="2" t="str">
        <f ca="1"/>
        <v>Bad</v>
      </c>
    </row>
    <row r="7875" spans="2:34" x14ac:dyDescent="0.2">
      <c r="B7875" s="2">
        <f ca="1"/>
        <v>0.41574996601941927</v>
      </c>
      <c r="O7875" s="2">
        <f ca="1"/>
        <v>0.28105366839037971</v>
      </c>
      <c r="X7875" s="2">
        <f ca="1"/>
        <v>31.403561620778405</v>
      </c>
      <c r="AG7875" s="2">
        <f ca="1"/>
        <v>0.81727042461413335</v>
      </c>
      <c r="AH7875" s="2" t="str">
        <f ca="1"/>
        <v>Bad</v>
      </c>
    </row>
    <row r="7876" spans="2:34" x14ac:dyDescent="0.2">
      <c r="B7876" s="2">
        <f ca="1"/>
        <v>0.66639898905642037</v>
      </c>
      <c r="O7876" s="2">
        <f ca="1"/>
        <v>-2.0356869220364531</v>
      </c>
      <c r="X7876" s="2">
        <f ca="1"/>
        <v>60.904879942811874</v>
      </c>
      <c r="AG7876" s="2">
        <f ca="1"/>
        <v>0.72974944784420748</v>
      </c>
      <c r="AH7876" s="2" t="str">
        <f ca="1"/>
        <v>Bad</v>
      </c>
    </row>
    <row r="7877" spans="2:34" x14ac:dyDescent="0.2">
      <c r="B7877" s="2">
        <f ca="1"/>
        <v>0.54444089392918493</v>
      </c>
      <c r="O7877" s="2">
        <f ca="1"/>
        <v>-2.1242306794237251</v>
      </c>
      <c r="X7877" s="2">
        <f ca="1"/>
        <v>57.308962343987027</v>
      </c>
      <c r="AG7877" s="2">
        <f ca="1"/>
        <v>7.0096607760832486E-2</v>
      </c>
      <c r="AH7877" s="2" t="str">
        <f ca="1"/>
        <v>OK</v>
      </c>
    </row>
    <row r="7878" spans="2:34" x14ac:dyDescent="0.2">
      <c r="B7878" s="2">
        <f ca="1"/>
        <v>0.13342322768403769</v>
      </c>
      <c r="O7878" s="2">
        <f ca="1"/>
        <v>-1.0558957575759549</v>
      </c>
      <c r="X7878" s="2">
        <f ca="1"/>
        <v>80.443924501492759</v>
      </c>
      <c r="AG7878" s="2">
        <f ca="1"/>
        <v>4.6614805608259813E-2</v>
      </c>
      <c r="AH7878" s="2" t="str">
        <f ca="1"/>
        <v>Good</v>
      </c>
    </row>
    <row r="7879" spans="2:34" x14ac:dyDescent="0.2">
      <c r="B7879" s="2">
        <f ca="1"/>
        <v>0.6464319128682301</v>
      </c>
      <c r="O7879" s="2">
        <f ca="1"/>
        <v>0.54683054005589193</v>
      </c>
      <c r="X7879" s="2">
        <f ca="1"/>
        <v>61.767738844078899</v>
      </c>
      <c r="AG7879" s="2">
        <f ca="1"/>
        <v>0.36395762338209559</v>
      </c>
      <c r="AH7879" s="2" t="str">
        <f ca="1"/>
        <v>OK</v>
      </c>
    </row>
    <row r="7880" spans="2:34" x14ac:dyDescent="0.2">
      <c r="B7880" s="2">
        <f ca="1"/>
        <v>9.2672176934656125E-3</v>
      </c>
      <c r="O7880" s="2">
        <f ca="1"/>
        <v>-0.29441990308521765</v>
      </c>
      <c r="X7880" s="2">
        <f ca="1"/>
        <v>38.784071192419709</v>
      </c>
      <c r="AG7880" s="2">
        <f ca="1"/>
        <v>0.86991462169922196</v>
      </c>
      <c r="AH7880" s="2" t="str">
        <f ca="1"/>
        <v>Bad</v>
      </c>
    </row>
    <row r="7881" spans="2:34" x14ac:dyDescent="0.2">
      <c r="B7881" s="2">
        <f ca="1"/>
        <v>0.9268754480482424</v>
      </c>
      <c r="O7881" s="2">
        <f ca="1"/>
        <v>0.1427029433990851</v>
      </c>
      <c r="X7881" s="2">
        <f ca="1"/>
        <v>31.062485187575554</v>
      </c>
      <c r="AG7881" s="2">
        <f ca="1"/>
        <v>0.30740723888026955</v>
      </c>
      <c r="AH7881" s="2" t="str">
        <f ca="1"/>
        <v>OK</v>
      </c>
    </row>
    <row r="7882" spans="2:34" x14ac:dyDescent="0.2">
      <c r="B7882" s="2">
        <f ca="1"/>
        <v>4.5533488119266163E-2</v>
      </c>
      <c r="O7882" s="2">
        <f ca="1"/>
        <v>1.6615920237173198</v>
      </c>
      <c r="X7882" s="2">
        <f ca="1"/>
        <v>38.47906134698394</v>
      </c>
      <c r="AG7882" s="2">
        <f ca="1"/>
        <v>0.76386343568609183</v>
      </c>
      <c r="AH7882" s="2" t="str">
        <f ca="1"/>
        <v>Bad</v>
      </c>
    </row>
    <row r="7883" spans="2:34" x14ac:dyDescent="0.2">
      <c r="B7883" s="2">
        <f ca="1"/>
        <v>0.70485644120333313</v>
      </c>
      <c r="O7883" s="2">
        <f ca="1"/>
        <v>-1.1014071654435327</v>
      </c>
      <c r="X7883" s="2">
        <f ca="1"/>
        <v>32.507921929051307</v>
      </c>
      <c r="AG7883" s="2">
        <f ca="1"/>
        <v>0.51916815361372448</v>
      </c>
      <c r="AH7883" s="2" t="str">
        <f ca="1"/>
        <v>Bad</v>
      </c>
    </row>
    <row r="7884" spans="2:34" x14ac:dyDescent="0.2">
      <c r="B7884" s="2">
        <f ca="1"/>
        <v>0.84865802878078811</v>
      </c>
      <c r="O7884" s="2">
        <f ca="1"/>
        <v>0.11388144876180774</v>
      </c>
      <c r="X7884" s="2">
        <f ca="1"/>
        <v>55.223238203017779</v>
      </c>
      <c r="AG7884" s="2">
        <f ca="1"/>
        <v>0.65442377838120103</v>
      </c>
      <c r="AH7884" s="2" t="str">
        <f ca="1"/>
        <v>Bad</v>
      </c>
    </row>
    <row r="7885" spans="2:34" x14ac:dyDescent="0.2">
      <c r="B7885" s="2">
        <f ca="1"/>
        <v>0.90029805593964762</v>
      </c>
      <c r="O7885" s="2">
        <f ca="1"/>
        <v>1.6746312891485402</v>
      </c>
      <c r="X7885" s="2">
        <f ca="1"/>
        <v>38.483852626886126</v>
      </c>
      <c r="AG7885" s="2">
        <f ca="1"/>
        <v>0.12021971886489013</v>
      </c>
      <c r="AH7885" s="2" t="str">
        <f ca="1"/>
        <v>OK</v>
      </c>
    </row>
    <row r="7886" spans="2:34" x14ac:dyDescent="0.2">
      <c r="B7886" s="2">
        <f ca="1"/>
        <v>0.9018907314876774</v>
      </c>
      <c r="O7886" s="2">
        <f ca="1"/>
        <v>-0.69546228078474814</v>
      </c>
      <c r="X7886" s="2">
        <f ca="1"/>
        <v>37.999791304186516</v>
      </c>
      <c r="AG7886" s="2">
        <f ca="1"/>
        <v>0.91244234989073503</v>
      </c>
      <c r="AH7886" s="2" t="str">
        <f ca="1"/>
        <v>Bad</v>
      </c>
    </row>
    <row r="7887" spans="2:34" x14ac:dyDescent="0.2">
      <c r="B7887" s="2">
        <f ca="1"/>
        <v>0.34626442904646004</v>
      </c>
      <c r="O7887" s="2">
        <f ca="1"/>
        <v>-0.27951326854266656</v>
      </c>
      <c r="X7887" s="2">
        <f ca="1"/>
        <v>46.92418073107676</v>
      </c>
      <c r="AG7887" s="2">
        <f ca="1"/>
        <v>0.63440839734694943</v>
      </c>
      <c r="AH7887" s="2" t="str">
        <f ca="1"/>
        <v>Bad</v>
      </c>
    </row>
    <row r="7888" spans="2:34" x14ac:dyDescent="0.2">
      <c r="B7888" s="2">
        <f ca="1"/>
        <v>0.89813449548963642</v>
      </c>
      <c r="O7888" s="2">
        <f ca="1"/>
        <v>-1.6452836722805548</v>
      </c>
      <c r="X7888" s="2">
        <f ca="1"/>
        <v>54.776859405115495</v>
      </c>
      <c r="AG7888" s="2">
        <f ca="1"/>
        <v>0.42466355781446352</v>
      </c>
      <c r="AH7888" s="2" t="str">
        <f ca="1"/>
        <v>Bad</v>
      </c>
    </row>
    <row r="7889" spans="2:34" x14ac:dyDescent="0.2">
      <c r="B7889" s="2">
        <f ca="1"/>
        <v>0.86999575227672521</v>
      </c>
      <c r="O7889" s="2">
        <f ca="1"/>
        <v>-3.9222042127774456E-2</v>
      </c>
      <c r="X7889" s="2">
        <f ca="1"/>
        <v>46.425806312847499</v>
      </c>
      <c r="AG7889" s="2">
        <f ca="1"/>
        <v>0.21540788694163426</v>
      </c>
      <c r="AH7889" s="2" t="str">
        <f ca="1"/>
        <v>OK</v>
      </c>
    </row>
    <row r="7890" spans="2:34" x14ac:dyDescent="0.2">
      <c r="B7890" s="2">
        <f ca="1"/>
        <v>0.65316703948817811</v>
      </c>
      <c r="O7890" s="2">
        <f ca="1"/>
        <v>-0.20237997095863247</v>
      </c>
      <c r="X7890" s="2">
        <f ca="1"/>
        <v>45.595010558606646</v>
      </c>
      <c r="AG7890" s="2">
        <f ca="1"/>
        <v>0.43882163997461787</v>
      </c>
      <c r="AH7890" s="2" t="str">
        <f ca="1"/>
        <v>Bad</v>
      </c>
    </row>
    <row r="7891" spans="2:34" x14ac:dyDescent="0.2">
      <c r="B7891" s="2">
        <f ca="1"/>
        <v>0.77789616880934576</v>
      </c>
      <c r="O7891" s="2">
        <f ca="1"/>
        <v>-0.15538745007673757</v>
      </c>
      <c r="X7891" s="2">
        <f ca="1"/>
        <v>40.24304510733468</v>
      </c>
      <c r="AG7891" s="2">
        <f ca="1"/>
        <v>0.69580564104640419</v>
      </c>
      <c r="AH7891" s="2" t="str">
        <f ca="1"/>
        <v>Bad</v>
      </c>
    </row>
    <row r="7892" spans="2:34" x14ac:dyDescent="0.2">
      <c r="B7892" s="2">
        <f ca="1"/>
        <v>0.83407002173789069</v>
      </c>
      <c r="O7892" s="2">
        <f ca="1"/>
        <v>0.4260385943003448</v>
      </c>
      <c r="X7892" s="2">
        <f ca="1"/>
        <v>42.25932350901823</v>
      </c>
      <c r="AG7892" s="2">
        <f ca="1"/>
        <v>0.48429689918560248</v>
      </c>
      <c r="AH7892" s="2" t="str">
        <f ca="1"/>
        <v>Bad</v>
      </c>
    </row>
    <row r="7893" spans="2:34" x14ac:dyDescent="0.2">
      <c r="B7893" s="2">
        <f ca="1"/>
        <v>0.45175931790656088</v>
      </c>
      <c r="O7893" s="2">
        <f ca="1"/>
        <v>0.5793959213372798</v>
      </c>
      <c r="X7893" s="2">
        <f ca="1"/>
        <v>67.304675877147531</v>
      </c>
      <c r="AG7893" s="2">
        <f ca="1"/>
        <v>0.84481087656866283</v>
      </c>
      <c r="AH7893" s="2" t="str">
        <f ca="1"/>
        <v>Bad</v>
      </c>
    </row>
    <row r="7894" spans="2:34" x14ac:dyDescent="0.2">
      <c r="B7894" s="2">
        <f ca="1"/>
        <v>0.2951466145731374</v>
      </c>
      <c r="O7894" s="2">
        <f ca="1"/>
        <v>0.61928181655199133</v>
      </c>
      <c r="X7894" s="2">
        <f ca="1"/>
        <v>56.008507733087917</v>
      </c>
      <c r="AG7894" s="2">
        <f ca="1"/>
        <v>5.950852326598377E-2</v>
      </c>
      <c r="AH7894" s="2" t="str">
        <f ca="1"/>
        <v>OK</v>
      </c>
    </row>
    <row r="7895" spans="2:34" x14ac:dyDescent="0.2">
      <c r="B7895" s="2">
        <f ca="1"/>
        <v>0.98519642530685969</v>
      </c>
      <c r="O7895" s="2">
        <f ca="1"/>
        <v>-2.1412734359952412</v>
      </c>
      <c r="X7895" s="2">
        <f ca="1"/>
        <v>72.761105082635893</v>
      </c>
      <c r="AG7895" s="2">
        <f ca="1"/>
        <v>0.15000455051724093</v>
      </c>
      <c r="AH7895" s="2" t="str">
        <f ca="1"/>
        <v>OK</v>
      </c>
    </row>
    <row r="7896" spans="2:34" x14ac:dyDescent="0.2">
      <c r="B7896" s="2">
        <f ca="1"/>
        <v>0.22522107269364033</v>
      </c>
      <c r="O7896" s="2">
        <f ca="1"/>
        <v>-0.74042960437169958</v>
      </c>
      <c r="X7896" s="2">
        <f ca="1"/>
        <v>49.03448639041612</v>
      </c>
      <c r="AG7896" s="2">
        <f ca="1"/>
        <v>0.76332541057079362</v>
      </c>
      <c r="AH7896" s="2" t="str">
        <f ca="1"/>
        <v>Bad</v>
      </c>
    </row>
    <row r="7897" spans="2:34" x14ac:dyDescent="0.2">
      <c r="B7897" s="2">
        <f ca="1"/>
        <v>0.63474383459703421</v>
      </c>
      <c r="O7897" s="2">
        <f ca="1"/>
        <v>1.7360760974891218</v>
      </c>
      <c r="X7897" s="2">
        <f ca="1"/>
        <v>60.541820884826414</v>
      </c>
      <c r="AG7897" s="2">
        <f ca="1"/>
        <v>0.31341320288125019</v>
      </c>
      <c r="AH7897" s="2" t="str">
        <f ca="1"/>
        <v>OK</v>
      </c>
    </row>
    <row r="7898" spans="2:34" x14ac:dyDescent="0.2">
      <c r="B7898" s="2">
        <f ca="1"/>
        <v>0.93553612884232429</v>
      </c>
      <c r="O7898" s="2">
        <f ca="1"/>
        <v>1.7886422275864047</v>
      </c>
      <c r="X7898" s="2">
        <f ca="1"/>
        <v>34.16255072705183</v>
      </c>
      <c r="AG7898" s="2">
        <f ca="1"/>
        <v>0.21155966551916161</v>
      </c>
      <c r="AH7898" s="2" t="str">
        <f ca="1"/>
        <v>OK</v>
      </c>
    </row>
    <row r="7899" spans="2:34" x14ac:dyDescent="0.2">
      <c r="B7899" s="2">
        <f ca="1"/>
        <v>0.27993709780054887</v>
      </c>
      <c r="O7899" s="2">
        <f ca="1"/>
        <v>0.32152167242589957</v>
      </c>
      <c r="X7899" s="2">
        <f ca="1"/>
        <v>52.580992773853822</v>
      </c>
      <c r="AG7899" s="2">
        <f ca="1"/>
        <v>0.4677676332799201</v>
      </c>
      <c r="AH7899" s="2" t="str">
        <f ca="1"/>
        <v>Bad</v>
      </c>
    </row>
    <row r="7900" spans="2:34" x14ac:dyDescent="0.2">
      <c r="B7900" s="2">
        <f ca="1"/>
        <v>0.80011619340802986</v>
      </c>
      <c r="O7900" s="2">
        <f ca="1"/>
        <v>-0.29814001326999595</v>
      </c>
      <c r="X7900" s="2">
        <f ca="1"/>
        <v>51.991086095165116</v>
      </c>
      <c r="AG7900" s="2">
        <f ca="1"/>
        <v>0.73910774021695347</v>
      </c>
      <c r="AH7900" s="2" t="str">
        <f ca="1"/>
        <v>Bad</v>
      </c>
    </row>
    <row r="7901" spans="2:34" x14ac:dyDescent="0.2">
      <c r="B7901" s="2">
        <f ca="1"/>
        <v>0.62629148426012682</v>
      </c>
      <c r="O7901" s="2">
        <f ca="1"/>
        <v>0.30923628725175811</v>
      </c>
      <c r="X7901" s="2">
        <f ca="1"/>
        <v>71.159958213142048</v>
      </c>
      <c r="AG7901" s="2">
        <f ca="1"/>
        <v>0.42317243818603489</v>
      </c>
      <c r="AH7901" s="2" t="str">
        <f ca="1"/>
        <v>Bad</v>
      </c>
    </row>
    <row r="7902" spans="2:34" x14ac:dyDescent="0.2">
      <c r="B7902" s="2">
        <f ca="1"/>
        <v>0.52806512907481351</v>
      </c>
      <c r="O7902" s="2">
        <f ca="1"/>
        <v>0.57244491793358576</v>
      </c>
      <c r="X7902" s="2">
        <f ca="1"/>
        <v>60.239220200838766</v>
      </c>
      <c r="AG7902" s="2">
        <f ca="1"/>
        <v>0.96293018882949566</v>
      </c>
      <c r="AH7902" s="2" t="str">
        <f ca="1"/>
        <v>Bad</v>
      </c>
    </row>
    <row r="7903" spans="2:34" x14ac:dyDescent="0.2">
      <c r="B7903" s="2">
        <f ca="1"/>
        <v>0.29054040071487597</v>
      </c>
      <c r="O7903" s="2">
        <f ca="1"/>
        <v>-4.6049702302526002E-2</v>
      </c>
      <c r="X7903" s="2">
        <f ca="1"/>
        <v>17.151206832232003</v>
      </c>
      <c r="AG7903" s="2">
        <f ca="1"/>
        <v>1.5860344549020411E-2</v>
      </c>
      <c r="AH7903" s="2" t="str">
        <f ca="1"/>
        <v>Good</v>
      </c>
    </row>
    <row r="7904" spans="2:34" x14ac:dyDescent="0.2">
      <c r="B7904" s="2">
        <f ca="1"/>
        <v>0.41655313980459718</v>
      </c>
      <c r="O7904" s="2">
        <f ca="1"/>
        <v>0.47629847788595447</v>
      </c>
      <c r="X7904" s="2">
        <f ca="1"/>
        <v>39.295789013537842</v>
      </c>
      <c r="AG7904" s="2">
        <f ca="1"/>
        <v>0.46976011965623155</v>
      </c>
      <c r="AH7904" s="2" t="str">
        <f ca="1"/>
        <v>Bad</v>
      </c>
    </row>
    <row r="7905" spans="2:34" x14ac:dyDescent="0.2">
      <c r="B7905" s="2">
        <f ca="1"/>
        <v>0.98844021338902355</v>
      </c>
      <c r="O7905" s="2">
        <f ca="1"/>
        <v>1.4515283603437354</v>
      </c>
      <c r="X7905" s="2">
        <f ca="1"/>
        <v>40.313964730464853</v>
      </c>
      <c r="AG7905" s="2">
        <f ca="1"/>
        <v>9.0268339833194267E-2</v>
      </c>
      <c r="AH7905" s="2" t="str">
        <f ca="1"/>
        <v>OK</v>
      </c>
    </row>
    <row r="7906" spans="2:34" x14ac:dyDescent="0.2">
      <c r="B7906" s="2">
        <f ca="1"/>
        <v>1.5460609129549274E-2</v>
      </c>
      <c r="O7906" s="2">
        <f ca="1"/>
        <v>7.0691958756001622E-2</v>
      </c>
      <c r="X7906" s="2">
        <f ca="1"/>
        <v>74.342565664952943</v>
      </c>
      <c r="AG7906" s="2">
        <f ca="1"/>
        <v>0.13464121558150199</v>
      </c>
      <c r="AH7906" s="2" t="str">
        <f ca="1"/>
        <v>OK</v>
      </c>
    </row>
    <row r="7907" spans="2:34" x14ac:dyDescent="0.2">
      <c r="B7907" s="2">
        <f ca="1"/>
        <v>0.5641599628116909</v>
      </c>
      <c r="O7907" s="2">
        <f ca="1"/>
        <v>0.4220222416872848</v>
      </c>
      <c r="X7907" s="2">
        <f ca="1"/>
        <v>53.643961977960153</v>
      </c>
      <c r="AG7907" s="2">
        <f ca="1"/>
        <v>0.54369553409993387</v>
      </c>
      <c r="AH7907" s="2" t="str">
        <f ca="1"/>
        <v>Bad</v>
      </c>
    </row>
    <row r="7908" spans="2:34" x14ac:dyDescent="0.2">
      <c r="B7908" s="2">
        <f ca="1"/>
        <v>0.99633525622484065</v>
      </c>
      <c r="O7908" s="2">
        <f ca="1"/>
        <v>0.33934201104881107</v>
      </c>
      <c r="X7908" s="2">
        <f ca="1"/>
        <v>21.884531497166368</v>
      </c>
      <c r="AG7908" s="2">
        <f ca="1"/>
        <v>0.75574639004803323</v>
      </c>
      <c r="AH7908" s="2" t="str">
        <f ca="1"/>
        <v>Bad</v>
      </c>
    </row>
    <row r="7909" spans="2:34" x14ac:dyDescent="0.2">
      <c r="B7909" s="2">
        <f ca="1"/>
        <v>0.19272454607634582</v>
      </c>
      <c r="O7909" s="2">
        <f ca="1"/>
        <v>0.71144864562621968</v>
      </c>
      <c r="X7909" s="2">
        <f ca="1"/>
        <v>49.967577820619375</v>
      </c>
      <c r="AG7909" s="2">
        <f ca="1"/>
        <v>0.58085155784995823</v>
      </c>
      <c r="AH7909" s="2" t="str">
        <f ca="1"/>
        <v>Bad</v>
      </c>
    </row>
    <row r="7910" spans="2:34" x14ac:dyDescent="0.2">
      <c r="B7910" s="2">
        <f ca="1"/>
        <v>0.61505988609634543</v>
      </c>
      <c r="O7910" s="2">
        <f ca="1"/>
        <v>0.51985654729082087</v>
      </c>
      <c r="X7910" s="2">
        <f ca="1"/>
        <v>61.415392462728803</v>
      </c>
      <c r="AG7910" s="2">
        <f ca="1"/>
        <v>0.67254427389966542</v>
      </c>
      <c r="AH7910" s="2" t="str">
        <f ca="1"/>
        <v>Bad</v>
      </c>
    </row>
    <row r="7911" spans="2:34" x14ac:dyDescent="0.2">
      <c r="B7911" s="2">
        <f ca="1"/>
        <v>0.85462792476835836</v>
      </c>
      <c r="O7911" s="2">
        <f ca="1"/>
        <v>0.21751541463633112</v>
      </c>
      <c r="X7911" s="2">
        <f ca="1"/>
        <v>28.04397899674818</v>
      </c>
      <c r="AG7911" s="2">
        <f ca="1"/>
        <v>0.59966331531686312</v>
      </c>
      <c r="AH7911" s="2" t="str">
        <f ca="1"/>
        <v>Bad</v>
      </c>
    </row>
    <row r="7912" spans="2:34" x14ac:dyDescent="0.2">
      <c r="B7912" s="2">
        <f ca="1"/>
        <v>0.95129572901609283</v>
      </c>
      <c r="O7912" s="2">
        <f ca="1"/>
        <v>-0.8221541504908364</v>
      </c>
      <c r="X7912" s="2">
        <f ca="1"/>
        <v>43.530950290680224</v>
      </c>
      <c r="AG7912" s="2">
        <f ca="1"/>
        <v>0.99164409491278849</v>
      </c>
      <c r="AH7912" s="2" t="str">
        <f ca="1"/>
        <v>Bad</v>
      </c>
    </row>
    <row r="7913" spans="2:34" x14ac:dyDescent="0.2">
      <c r="B7913" s="2">
        <f ca="1"/>
        <v>0.13503879158214804</v>
      </c>
      <c r="O7913" s="2">
        <f ca="1"/>
        <v>-0.92859738431245531</v>
      </c>
      <c r="X7913" s="2">
        <f ca="1"/>
        <v>44.57614065901894</v>
      </c>
      <c r="AG7913" s="2">
        <f ca="1"/>
        <v>0.17155664543193327</v>
      </c>
      <c r="AH7913" s="2" t="str">
        <f ca="1"/>
        <v>OK</v>
      </c>
    </row>
    <row r="7914" spans="2:34" x14ac:dyDescent="0.2">
      <c r="B7914" s="2">
        <f ca="1"/>
        <v>0.58664707034435515</v>
      </c>
      <c r="O7914" s="2">
        <f ca="1"/>
        <v>-1.4822755175793503</v>
      </c>
      <c r="X7914" s="2">
        <f ca="1"/>
        <v>40.709712063560701</v>
      </c>
      <c r="AG7914" s="2">
        <f ca="1"/>
        <v>0.40143851120248697</v>
      </c>
      <c r="AH7914" s="2" t="str">
        <f ca="1"/>
        <v>Bad</v>
      </c>
    </row>
    <row r="7915" spans="2:34" x14ac:dyDescent="0.2">
      <c r="B7915" s="2">
        <f ca="1"/>
        <v>0.70737818325429291</v>
      </c>
      <c r="O7915" s="2">
        <f ca="1"/>
        <v>-0.87523403979868097</v>
      </c>
      <c r="X7915" s="2">
        <f ca="1"/>
        <v>44.976647743537598</v>
      </c>
      <c r="AG7915" s="2">
        <f ca="1"/>
        <v>0.47196876941078525</v>
      </c>
      <c r="AH7915" s="2" t="str">
        <f ca="1"/>
        <v>Bad</v>
      </c>
    </row>
    <row r="7916" spans="2:34" x14ac:dyDescent="0.2">
      <c r="B7916" s="2">
        <f ca="1"/>
        <v>0.44291499706563742</v>
      </c>
      <c r="O7916" s="2">
        <f ca="1"/>
        <v>-1.1592907107441417</v>
      </c>
      <c r="X7916" s="2">
        <f ca="1"/>
        <v>26.817486701364608</v>
      </c>
      <c r="AG7916" s="2">
        <f ca="1"/>
        <v>0.15998909740566902</v>
      </c>
      <c r="AH7916" s="2" t="str">
        <f ca="1"/>
        <v>OK</v>
      </c>
    </row>
    <row r="7917" spans="2:34" x14ac:dyDescent="0.2">
      <c r="B7917" s="2">
        <f ca="1"/>
        <v>0.49380723267359494</v>
      </c>
      <c r="O7917" s="2">
        <f ca="1"/>
        <v>-0.10740190855396428</v>
      </c>
      <c r="X7917" s="2">
        <f ca="1"/>
        <v>78.681109952696517</v>
      </c>
      <c r="AG7917" s="2">
        <f ca="1"/>
        <v>0.19896777591640991</v>
      </c>
      <c r="AH7917" s="2" t="str">
        <f ca="1"/>
        <v>OK</v>
      </c>
    </row>
    <row r="7918" spans="2:34" x14ac:dyDescent="0.2">
      <c r="B7918" s="2">
        <f ca="1"/>
        <v>0.22077268950210183</v>
      </c>
      <c r="O7918" s="2">
        <f ca="1"/>
        <v>-0.74221361948688924</v>
      </c>
      <c r="X7918" s="2">
        <f ca="1"/>
        <v>25.78407662228468</v>
      </c>
      <c r="AG7918" s="2">
        <f ca="1"/>
        <v>0.61966284726717435</v>
      </c>
      <c r="AH7918" s="2" t="str">
        <f ca="1"/>
        <v>Bad</v>
      </c>
    </row>
    <row r="7919" spans="2:34" x14ac:dyDescent="0.2">
      <c r="B7919" s="2">
        <f ca="1"/>
        <v>0.84490923328779477</v>
      </c>
      <c r="O7919" s="2">
        <f ca="1"/>
        <v>-0.7405318241368678</v>
      </c>
      <c r="X7919" s="2">
        <f ca="1"/>
        <v>58.160041496198325</v>
      </c>
      <c r="AG7919" s="2">
        <f ca="1"/>
        <v>0.28257249755431801</v>
      </c>
      <c r="AH7919" s="2" t="str">
        <f ca="1"/>
        <v>OK</v>
      </c>
    </row>
    <row r="7920" spans="2:34" x14ac:dyDescent="0.2">
      <c r="B7920" s="2">
        <f ca="1"/>
        <v>0.78179259657545153</v>
      </c>
      <c r="O7920" s="2">
        <f ca="1"/>
        <v>-0.68088136529048759</v>
      </c>
      <c r="X7920" s="2">
        <f ca="1"/>
        <v>57.581706239426424</v>
      </c>
      <c r="AG7920" s="2">
        <f ca="1"/>
        <v>0.18654694861693333</v>
      </c>
      <c r="AH7920" s="2" t="str">
        <f ca="1"/>
        <v>OK</v>
      </c>
    </row>
    <row r="7921" spans="2:34" x14ac:dyDescent="0.2">
      <c r="B7921" s="2">
        <f ca="1"/>
        <v>0.43785320947531736</v>
      </c>
      <c r="O7921" s="2">
        <f ca="1"/>
        <v>-2.8446601108696195</v>
      </c>
      <c r="X7921" s="2">
        <f ca="1"/>
        <v>75.996744213610455</v>
      </c>
      <c r="AG7921" s="2">
        <f ca="1"/>
        <v>0.70684117225119936</v>
      </c>
      <c r="AH7921" s="2" t="str">
        <f ca="1"/>
        <v>Bad</v>
      </c>
    </row>
    <row r="7922" spans="2:34" x14ac:dyDescent="0.2">
      <c r="B7922" s="2">
        <f ca="1"/>
        <v>2.009395207661413E-2</v>
      </c>
      <c r="O7922" s="2">
        <f ca="1"/>
        <v>1.0852545942175964</v>
      </c>
      <c r="X7922" s="2">
        <f ca="1"/>
        <v>30.393386999125926</v>
      </c>
      <c r="AG7922" s="2">
        <f ca="1"/>
        <v>0.91674720971140089</v>
      </c>
      <c r="AH7922" s="2" t="str">
        <f ca="1"/>
        <v>Bad</v>
      </c>
    </row>
    <row r="7923" spans="2:34" x14ac:dyDescent="0.2">
      <c r="B7923" s="2">
        <f ca="1"/>
        <v>0.88156731641525443</v>
      </c>
      <c r="O7923" s="2">
        <f ca="1"/>
        <v>0.98136209905715188</v>
      </c>
      <c r="X7923" s="2">
        <f ca="1"/>
        <v>33.547943867550067</v>
      </c>
      <c r="AG7923" s="2">
        <f ca="1"/>
        <v>0.32825365798440664</v>
      </c>
      <c r="AH7923" s="2" t="str">
        <f ca="1"/>
        <v>OK</v>
      </c>
    </row>
    <row r="7924" spans="2:34" x14ac:dyDescent="0.2">
      <c r="B7924" s="2">
        <f ca="1"/>
        <v>0.47516978104648522</v>
      </c>
      <c r="O7924" s="2">
        <f ca="1"/>
        <v>1.7820534069668101</v>
      </c>
      <c r="X7924" s="2">
        <f ca="1"/>
        <v>60.216529805382855</v>
      </c>
      <c r="AG7924" s="2">
        <f ca="1"/>
        <v>0.45668541381539351</v>
      </c>
      <c r="AH7924" s="2" t="str">
        <f ca="1"/>
        <v>Bad</v>
      </c>
    </row>
    <row r="7925" spans="2:34" x14ac:dyDescent="0.2">
      <c r="B7925" s="2">
        <f ca="1"/>
        <v>9.3888575331757318E-2</v>
      </c>
      <c r="O7925" s="2">
        <f ca="1"/>
        <v>0.99486830340326682</v>
      </c>
      <c r="X7925" s="2">
        <f ca="1"/>
        <v>45.122413597707038</v>
      </c>
      <c r="AG7925" s="2">
        <f ca="1"/>
        <v>0.10703054848146909</v>
      </c>
      <c r="AH7925" s="2" t="str">
        <f ca="1"/>
        <v>OK</v>
      </c>
    </row>
    <row r="7926" spans="2:34" x14ac:dyDescent="0.2">
      <c r="B7926" s="2">
        <f ca="1"/>
        <v>0.99594555384808259</v>
      </c>
      <c r="O7926" s="2">
        <f ca="1"/>
        <v>-0.86013555327468394</v>
      </c>
      <c r="X7926" s="2">
        <f ca="1"/>
        <v>47.420835012662899</v>
      </c>
      <c r="AG7926" s="2">
        <f ca="1"/>
        <v>0.76839707622515308</v>
      </c>
      <c r="AH7926" s="2" t="str">
        <f ca="1"/>
        <v>Bad</v>
      </c>
    </row>
    <row r="7927" spans="2:34" x14ac:dyDescent="0.2">
      <c r="B7927" s="2">
        <f ca="1"/>
        <v>0.10645203397900072</v>
      </c>
      <c r="O7927" s="2">
        <f ca="1"/>
        <v>-0.91199830340822341</v>
      </c>
      <c r="X7927" s="2">
        <f ca="1"/>
        <v>32.000201386757425</v>
      </c>
      <c r="AG7927" s="2">
        <f ca="1"/>
        <v>0.13392242240007657</v>
      </c>
      <c r="AH7927" s="2" t="str">
        <f ca="1"/>
        <v>OK</v>
      </c>
    </row>
    <row r="7928" spans="2:34" x14ac:dyDescent="0.2">
      <c r="B7928" s="2">
        <f ca="1"/>
        <v>8.6640571158905777E-2</v>
      </c>
      <c r="O7928" s="2">
        <f ca="1"/>
        <v>1.9778508988742696</v>
      </c>
      <c r="X7928" s="2">
        <f ca="1"/>
        <v>32.624554586797629</v>
      </c>
      <c r="AG7928" s="2">
        <f ca="1"/>
        <v>0.69170515801899835</v>
      </c>
      <c r="AH7928" s="2" t="str">
        <f ca="1"/>
        <v>Bad</v>
      </c>
    </row>
    <row r="7929" spans="2:34" x14ac:dyDescent="0.2">
      <c r="B7929" s="2">
        <f ca="1"/>
        <v>0.62705466340477778</v>
      </c>
      <c r="O7929" s="2">
        <f ca="1"/>
        <v>0.87073214225352324</v>
      </c>
      <c r="X7929" s="2">
        <f ca="1"/>
        <v>70.037568607153702</v>
      </c>
      <c r="AG7929" s="2">
        <f ca="1"/>
        <v>0.82340689227262875</v>
      </c>
      <c r="AH7929" s="2" t="str">
        <f ca="1"/>
        <v>Bad</v>
      </c>
    </row>
    <row r="7930" spans="2:34" x14ac:dyDescent="0.2">
      <c r="B7930" s="2">
        <f ca="1"/>
        <v>0.74618085591674466</v>
      </c>
      <c r="O7930" s="2">
        <f ca="1"/>
        <v>0.58580974802621422</v>
      </c>
      <c r="X7930" s="2">
        <f ca="1"/>
        <v>38.546075828373688</v>
      </c>
      <c r="AG7930" s="2">
        <f ca="1"/>
        <v>0.64629735674449718</v>
      </c>
      <c r="AH7930" s="2" t="str">
        <f ca="1"/>
        <v>Bad</v>
      </c>
    </row>
    <row r="7931" spans="2:34" x14ac:dyDescent="0.2">
      <c r="B7931" s="2">
        <f ca="1"/>
        <v>0.63790191425435294</v>
      </c>
      <c r="O7931" s="2">
        <f ca="1"/>
        <v>-1.0581853757094186</v>
      </c>
      <c r="X7931" s="2">
        <f ca="1"/>
        <v>45.870813251335065</v>
      </c>
      <c r="AG7931" s="2">
        <f ca="1"/>
        <v>0.24803010207366993</v>
      </c>
      <c r="AH7931" s="2" t="str">
        <f ca="1"/>
        <v>OK</v>
      </c>
    </row>
    <row r="7932" spans="2:34" x14ac:dyDescent="0.2">
      <c r="B7932" s="2">
        <f ca="1"/>
        <v>5.1658881637791865E-2</v>
      </c>
      <c r="O7932" s="2">
        <f ca="1"/>
        <v>-1.364780356809945</v>
      </c>
      <c r="X7932" s="2">
        <f ca="1"/>
        <v>31.653754766622768</v>
      </c>
      <c r="AG7932" s="2">
        <f ca="1"/>
        <v>0.45396536963969569</v>
      </c>
      <c r="AH7932" s="2" t="str">
        <f ca="1"/>
        <v>Bad</v>
      </c>
    </row>
    <row r="7933" spans="2:34" x14ac:dyDescent="0.2">
      <c r="B7933" s="2">
        <f ca="1"/>
        <v>0.17927374915598304</v>
      </c>
      <c r="O7933" s="2">
        <f ca="1"/>
        <v>4.5922269128019187E-2</v>
      </c>
      <c r="X7933" s="2">
        <f ca="1"/>
        <v>31.344496045875687</v>
      </c>
      <c r="AG7933" s="2">
        <f ca="1"/>
        <v>0.8005920272226803</v>
      </c>
      <c r="AH7933" s="2" t="str">
        <f ca="1"/>
        <v>Bad</v>
      </c>
    </row>
    <row r="7934" spans="2:34" x14ac:dyDescent="0.2">
      <c r="B7934" s="2">
        <f ca="1"/>
        <v>0.17107903088867515</v>
      </c>
      <c r="O7934" s="2">
        <f ca="1"/>
        <v>-0.54718404302222723</v>
      </c>
      <c r="X7934" s="2">
        <f ca="1"/>
        <v>58.062068745963849</v>
      </c>
      <c r="AG7934" s="2">
        <f ca="1"/>
        <v>0.78792085010660062</v>
      </c>
      <c r="AH7934" s="2" t="str">
        <f ca="1"/>
        <v>Bad</v>
      </c>
    </row>
    <row r="7935" spans="2:34" x14ac:dyDescent="0.2">
      <c r="B7935" s="2">
        <f ca="1"/>
        <v>0.46991525170954107</v>
      </c>
      <c r="O7935" s="2">
        <f ca="1"/>
        <v>-8.529279286677463E-2</v>
      </c>
      <c r="X7935" s="2">
        <f ca="1"/>
        <v>37.635998261946433</v>
      </c>
      <c r="AG7935" s="2">
        <f ca="1"/>
        <v>0.63775881331753359</v>
      </c>
      <c r="AH7935" s="2" t="str">
        <f ca="1"/>
        <v>Bad</v>
      </c>
    </row>
    <row r="7936" spans="2:34" x14ac:dyDescent="0.2">
      <c r="B7936" s="2">
        <f ca="1"/>
        <v>0.54860691706965992</v>
      </c>
      <c r="O7936" s="2">
        <f ca="1"/>
        <v>1.5011397783345448</v>
      </c>
      <c r="X7936" s="2">
        <f ca="1"/>
        <v>63.61165910096085</v>
      </c>
      <c r="AG7936" s="2">
        <f ca="1"/>
        <v>0.84178075159037591</v>
      </c>
      <c r="AH7936" s="2" t="str">
        <f ca="1"/>
        <v>Bad</v>
      </c>
    </row>
    <row r="7937" spans="2:34" x14ac:dyDescent="0.2">
      <c r="B7937" s="2">
        <f ca="1"/>
        <v>0.86306758815179641</v>
      </c>
      <c r="O7937" s="2">
        <f ca="1"/>
        <v>-0.90943390676071623</v>
      </c>
      <c r="X7937" s="2">
        <f ca="1"/>
        <v>58.936793874892885</v>
      </c>
      <c r="AG7937" s="2">
        <f ca="1"/>
        <v>0.67553946414905486</v>
      </c>
      <c r="AH7937" s="2" t="str">
        <f ca="1"/>
        <v>Bad</v>
      </c>
    </row>
    <row r="7938" spans="2:34" x14ac:dyDescent="0.2">
      <c r="B7938" s="2">
        <f ca="1"/>
        <v>0.89132880174869444</v>
      </c>
      <c r="O7938" s="2">
        <f ca="1"/>
        <v>1.4899919621012254</v>
      </c>
      <c r="X7938" s="2">
        <f ca="1"/>
        <v>50.332715835420117</v>
      </c>
      <c r="AG7938" s="2">
        <f ca="1"/>
        <v>0.97416715571450774</v>
      </c>
      <c r="AH7938" s="2" t="str">
        <f ca="1"/>
        <v>Bad</v>
      </c>
    </row>
    <row r="7939" spans="2:34" x14ac:dyDescent="0.2">
      <c r="B7939" s="2">
        <f ca="1"/>
        <v>0.39241375602798367</v>
      </c>
      <c r="O7939" s="2">
        <f ca="1"/>
        <v>0.15557433169480461</v>
      </c>
      <c r="X7939" s="2">
        <f ca="1"/>
        <v>56.610130172559508</v>
      </c>
      <c r="AG7939" s="2">
        <f ca="1"/>
        <v>0.90555150989147104</v>
      </c>
      <c r="AH7939" s="2" t="str">
        <f ca="1"/>
        <v>Bad</v>
      </c>
    </row>
    <row r="7940" spans="2:34" x14ac:dyDescent="0.2">
      <c r="B7940" s="2">
        <f ca="1"/>
        <v>0.63376999463033346</v>
      </c>
      <c r="O7940" s="2">
        <f ca="1"/>
        <v>0.59495035656517004</v>
      </c>
      <c r="X7940" s="2">
        <f ca="1"/>
        <v>93.293364951607117</v>
      </c>
      <c r="AG7940" s="2">
        <f ca="1"/>
        <v>0.66121329639300663</v>
      </c>
      <c r="AH7940" s="2" t="str">
        <f ca="1"/>
        <v>Bad</v>
      </c>
    </row>
    <row r="7941" spans="2:34" x14ac:dyDescent="0.2">
      <c r="B7941" s="2">
        <f ca="1"/>
        <v>0.59975970655798516</v>
      </c>
      <c r="O7941" s="2">
        <f ca="1"/>
        <v>-3.1632989819598362E-2</v>
      </c>
      <c r="X7941" s="2">
        <f ca="1"/>
        <v>51.770608189618763</v>
      </c>
      <c r="AG7941" s="2">
        <f ca="1"/>
        <v>0.70132031307974407</v>
      </c>
      <c r="AH7941" s="2" t="str">
        <f ca="1"/>
        <v>Bad</v>
      </c>
    </row>
    <row r="7942" spans="2:34" x14ac:dyDescent="0.2">
      <c r="B7942" s="2">
        <f ca="1"/>
        <v>0.9908181050944278</v>
      </c>
      <c r="O7942" s="2">
        <f ca="1"/>
        <v>-1.4616462976162061</v>
      </c>
      <c r="X7942" s="2">
        <f ca="1"/>
        <v>40.693423966766524</v>
      </c>
      <c r="AG7942" s="2">
        <f ca="1"/>
        <v>0.18734832132773382</v>
      </c>
      <c r="AH7942" s="2" t="str">
        <f ca="1"/>
        <v>OK</v>
      </c>
    </row>
    <row r="7943" spans="2:34" x14ac:dyDescent="0.2">
      <c r="B7943" s="2">
        <f ca="1"/>
        <v>0.86079152666117564</v>
      </c>
      <c r="O7943" s="2">
        <f ca="1"/>
        <v>0.20890308983394448</v>
      </c>
      <c r="X7943" s="2">
        <f ca="1"/>
        <v>65.494515590089037</v>
      </c>
      <c r="AG7943" s="2">
        <f ca="1"/>
        <v>0.74944590912699449</v>
      </c>
      <c r="AH7943" s="2" t="str">
        <f ca="1"/>
        <v>Bad</v>
      </c>
    </row>
    <row r="7944" spans="2:34" x14ac:dyDescent="0.2">
      <c r="B7944" s="2">
        <f ca="1"/>
        <v>0.73784834493569651</v>
      </c>
      <c r="O7944" s="2">
        <f ca="1"/>
        <v>0.38112600393201645</v>
      </c>
      <c r="X7944" s="2">
        <f ca="1"/>
        <v>69.11297230034836</v>
      </c>
      <c r="AG7944" s="2">
        <f ca="1"/>
        <v>0.51995630121343273</v>
      </c>
      <c r="AH7944" s="2" t="str">
        <f ca="1"/>
        <v>Bad</v>
      </c>
    </row>
    <row r="7945" spans="2:34" x14ac:dyDescent="0.2">
      <c r="B7945" s="2">
        <f ca="1"/>
        <v>0.20303803987544122</v>
      </c>
      <c r="O7945" s="2">
        <f ca="1"/>
        <v>-1.8164510959262461</v>
      </c>
      <c r="X7945" s="2">
        <f ca="1"/>
        <v>42.2828150373455</v>
      </c>
      <c r="AG7945" s="2">
        <f ca="1"/>
        <v>0.56312394905054952</v>
      </c>
      <c r="AH7945" s="2" t="str">
        <f ca="1"/>
        <v>Bad</v>
      </c>
    </row>
    <row r="7946" spans="2:34" x14ac:dyDescent="0.2">
      <c r="B7946" s="2">
        <f ca="1"/>
        <v>0.73945318858208098</v>
      </c>
      <c r="O7946" s="2">
        <f ca="1"/>
        <v>0.49687453923158348</v>
      </c>
      <c r="X7946" s="2">
        <f ca="1"/>
        <v>30.885796507734575</v>
      </c>
      <c r="AG7946" s="2">
        <f ca="1"/>
        <v>0.10738859130215594</v>
      </c>
      <c r="AH7946" s="2" t="str">
        <f ca="1"/>
        <v>OK</v>
      </c>
    </row>
    <row r="7947" spans="2:34" x14ac:dyDescent="0.2">
      <c r="B7947" s="2">
        <f ca="1"/>
        <v>0.77222376427050765</v>
      </c>
      <c r="O7947" s="2">
        <f ca="1"/>
        <v>-2.0016159796972031</v>
      </c>
      <c r="X7947" s="2">
        <f ca="1"/>
        <v>61.131080542800149</v>
      </c>
      <c r="AG7947" s="2">
        <f ca="1"/>
        <v>5.7410978294622828E-2</v>
      </c>
      <c r="AH7947" s="2" t="str">
        <f ca="1"/>
        <v>OK</v>
      </c>
    </row>
    <row r="7948" spans="2:34" x14ac:dyDescent="0.2">
      <c r="B7948" s="2">
        <f ca="1"/>
        <v>0.86357692336644742</v>
      </c>
      <c r="O7948" s="2">
        <f ca="1"/>
        <v>0.24781866361801247</v>
      </c>
      <c r="X7948" s="2">
        <f ca="1"/>
        <v>48.259213436123254</v>
      </c>
      <c r="AG7948" s="2">
        <f ca="1"/>
        <v>0.97609674382972766</v>
      </c>
      <c r="AH7948" s="2" t="str">
        <f ca="1"/>
        <v>Bad</v>
      </c>
    </row>
    <row r="7949" spans="2:34" x14ac:dyDescent="0.2">
      <c r="B7949" s="2">
        <f ca="1"/>
        <v>0.70012869251369247</v>
      </c>
      <c r="O7949" s="2">
        <f ca="1"/>
        <v>0.84012758795895925</v>
      </c>
      <c r="X7949" s="2">
        <f ca="1"/>
        <v>36.147027209791993</v>
      </c>
      <c r="AG7949" s="2">
        <f ca="1"/>
        <v>0.70993717091747288</v>
      </c>
      <c r="AH7949" s="2" t="str">
        <f ca="1"/>
        <v>Bad</v>
      </c>
    </row>
    <row r="7950" spans="2:34" x14ac:dyDescent="0.2">
      <c r="B7950" s="2">
        <f ca="1"/>
        <v>0.93081294759287148</v>
      </c>
      <c r="O7950" s="2">
        <f ca="1"/>
        <v>-1.0324155889549065</v>
      </c>
      <c r="X7950" s="2">
        <f ca="1"/>
        <v>36.663672319036287</v>
      </c>
      <c r="AG7950" s="2">
        <f ca="1"/>
        <v>0.78831944692541023</v>
      </c>
      <c r="AH7950" s="2" t="str">
        <f ca="1"/>
        <v>Bad</v>
      </c>
    </row>
    <row r="7951" spans="2:34" x14ac:dyDescent="0.2">
      <c r="B7951" s="2">
        <f ca="1"/>
        <v>0.82600566585125978</v>
      </c>
      <c r="O7951" s="2">
        <f ca="1"/>
        <v>-1.4807142013674319</v>
      </c>
      <c r="X7951" s="2">
        <f ca="1"/>
        <v>71.978106222149975</v>
      </c>
      <c r="AG7951" s="2">
        <f ca="1"/>
        <v>0.69640856288610475</v>
      </c>
      <c r="AH7951" s="2" t="str">
        <f ca="1"/>
        <v>Bad</v>
      </c>
    </row>
    <row r="7952" spans="2:34" x14ac:dyDescent="0.2">
      <c r="B7952" s="2">
        <f ca="1"/>
        <v>0.26812829597635068</v>
      </c>
      <c r="O7952" s="2">
        <f ca="1"/>
        <v>-2.154398205799531E-2</v>
      </c>
      <c r="X7952" s="2">
        <f ca="1"/>
        <v>48.312886735098132</v>
      </c>
      <c r="AG7952" s="2">
        <f ca="1"/>
        <v>0.27883923337837335</v>
      </c>
      <c r="AH7952" s="2" t="str">
        <f ca="1"/>
        <v>OK</v>
      </c>
    </row>
    <row r="7953" spans="2:34" x14ac:dyDescent="0.2">
      <c r="B7953" s="2">
        <f ca="1"/>
        <v>0.14963618046833038</v>
      </c>
      <c r="O7953" s="2">
        <f ca="1"/>
        <v>-0.28504805162355479</v>
      </c>
      <c r="X7953" s="2">
        <f ca="1"/>
        <v>50.486182449603859</v>
      </c>
      <c r="AG7953" s="2">
        <f ca="1"/>
        <v>0.27053519456667718</v>
      </c>
      <c r="AH7953" s="2" t="str">
        <f ca="1"/>
        <v>OK</v>
      </c>
    </row>
    <row r="7954" spans="2:34" x14ac:dyDescent="0.2">
      <c r="B7954" s="2">
        <f ca="1"/>
        <v>0.83853900433888517</v>
      </c>
      <c r="O7954" s="2">
        <f ca="1"/>
        <v>-0.30061269988799577</v>
      </c>
      <c r="X7954" s="2">
        <f ca="1"/>
        <v>38.769219616812933</v>
      </c>
      <c r="AG7954" s="2">
        <f ca="1"/>
        <v>0.99005147007914651</v>
      </c>
      <c r="AH7954" s="2" t="str">
        <f ca="1"/>
        <v>Bad</v>
      </c>
    </row>
    <row r="7955" spans="2:34" x14ac:dyDescent="0.2">
      <c r="B7955" s="2">
        <f ca="1"/>
        <v>0.7286961445590403</v>
      </c>
      <c r="O7955" s="2">
        <f ca="1"/>
        <v>-0.53189993286557813</v>
      </c>
      <c r="X7955" s="2">
        <f ca="1"/>
        <v>46.662747284139897</v>
      </c>
      <c r="AG7955" s="2">
        <f ca="1"/>
        <v>0.44989749919861022</v>
      </c>
      <c r="AH7955" s="2" t="str">
        <f ca="1"/>
        <v>Bad</v>
      </c>
    </row>
    <row r="7956" spans="2:34" x14ac:dyDescent="0.2">
      <c r="B7956" s="2">
        <f ca="1"/>
        <v>0.3600262171099553</v>
      </c>
      <c r="O7956" s="2">
        <f ca="1"/>
        <v>-1.2495525066656248</v>
      </c>
      <c r="X7956" s="2">
        <f ca="1"/>
        <v>45.815714444622941</v>
      </c>
      <c r="AG7956" s="2">
        <f ca="1"/>
        <v>0.20224675620369714</v>
      </c>
      <c r="AH7956" s="2" t="str">
        <f ca="1"/>
        <v>OK</v>
      </c>
    </row>
    <row r="7957" spans="2:34" x14ac:dyDescent="0.2">
      <c r="B7957" s="2">
        <f ca="1"/>
        <v>0.11162940793498533</v>
      </c>
      <c r="O7957" s="2">
        <f ca="1"/>
        <v>-0.40485462309094755</v>
      </c>
      <c r="X7957" s="2">
        <f ca="1"/>
        <v>77.104110306605506</v>
      </c>
      <c r="AG7957" s="2">
        <f ca="1"/>
        <v>0.82192009904232077</v>
      </c>
      <c r="AH7957" s="2" t="str">
        <f ca="1"/>
        <v>Bad</v>
      </c>
    </row>
    <row r="7958" spans="2:34" x14ac:dyDescent="0.2">
      <c r="B7958" s="2">
        <f ca="1"/>
        <v>0.54449685747348386</v>
      </c>
      <c r="O7958" s="2">
        <f ca="1"/>
        <v>1.3349948528594171</v>
      </c>
      <c r="X7958" s="2">
        <f ca="1"/>
        <v>77.658463986653871</v>
      </c>
      <c r="AG7958" s="2">
        <f ca="1"/>
        <v>0.59559362564077767</v>
      </c>
      <c r="AH7958" s="2" t="str">
        <f ca="1"/>
        <v>Bad</v>
      </c>
    </row>
    <row r="7959" spans="2:34" x14ac:dyDescent="0.2">
      <c r="B7959" s="2">
        <f ca="1"/>
        <v>0.62206684272702173</v>
      </c>
      <c r="O7959" s="2">
        <f ca="1"/>
        <v>0.41545355285846686</v>
      </c>
      <c r="X7959" s="2">
        <f ca="1"/>
        <v>26.565415862960965</v>
      </c>
      <c r="AG7959" s="2">
        <f ca="1"/>
        <v>3.2720353103700583E-2</v>
      </c>
      <c r="AH7959" s="2" t="str">
        <f ca="1"/>
        <v>Good</v>
      </c>
    </row>
    <row r="7960" spans="2:34" x14ac:dyDescent="0.2">
      <c r="B7960" s="2">
        <f ca="1"/>
        <v>0.17466529776539885</v>
      </c>
      <c r="O7960" s="2">
        <f ca="1"/>
        <v>1.7782138338783708</v>
      </c>
      <c r="X7960" s="2">
        <f ca="1"/>
        <v>35.021251338062612</v>
      </c>
      <c r="AG7960" s="2">
        <f ca="1"/>
        <v>0.4261115029063427</v>
      </c>
      <c r="AH7960" s="2" t="str">
        <f ca="1"/>
        <v>Bad</v>
      </c>
    </row>
    <row r="7961" spans="2:34" x14ac:dyDescent="0.2">
      <c r="B7961" s="2">
        <f ca="1"/>
        <v>0.58427505859228934</v>
      </c>
      <c r="O7961" s="2">
        <f ca="1"/>
        <v>0.95390027752896678</v>
      </c>
      <c r="X7961" s="2">
        <f ca="1"/>
        <v>55.113069228792611</v>
      </c>
      <c r="AG7961" s="2">
        <f ca="1"/>
        <v>0.23496908970351416</v>
      </c>
      <c r="AH7961" s="2" t="str">
        <f ca="1"/>
        <v>OK</v>
      </c>
    </row>
    <row r="7962" spans="2:34" x14ac:dyDescent="0.2">
      <c r="B7962" s="2">
        <f ca="1"/>
        <v>5.2529448002838208E-3</v>
      </c>
      <c r="O7962" s="2">
        <f ca="1"/>
        <v>-1.8265514959206708</v>
      </c>
      <c r="X7962" s="2">
        <f ca="1"/>
        <v>58.880633514446139</v>
      </c>
      <c r="AG7962" s="2">
        <f ca="1"/>
        <v>0.76865513172317312</v>
      </c>
      <c r="AH7962" s="2" t="str">
        <f ca="1"/>
        <v>Bad</v>
      </c>
    </row>
    <row r="7963" spans="2:34" x14ac:dyDescent="0.2">
      <c r="B7963" s="2">
        <f ca="1"/>
        <v>0.55685228489381555</v>
      </c>
      <c r="O7963" s="2">
        <f ca="1"/>
        <v>0.66595988401528594</v>
      </c>
      <c r="X7963" s="2">
        <f ca="1"/>
        <v>44.949693956174919</v>
      </c>
      <c r="AG7963" s="2">
        <f ca="1"/>
        <v>6.3583021570514653E-2</v>
      </c>
      <c r="AH7963" s="2" t="str">
        <f ca="1"/>
        <v>OK</v>
      </c>
    </row>
    <row r="7964" spans="2:34" x14ac:dyDescent="0.2">
      <c r="B7964" s="2">
        <f ca="1"/>
        <v>0.91009884727459878</v>
      </c>
      <c r="O7964" s="2">
        <f ca="1"/>
        <v>-0.14096592562820098</v>
      </c>
      <c r="X7964" s="2">
        <f ca="1"/>
        <v>40.259601925546562</v>
      </c>
      <c r="AG7964" s="2">
        <f ca="1"/>
        <v>0.10147348486643892</v>
      </c>
      <c r="AH7964" s="2" t="str">
        <f ca="1"/>
        <v>OK</v>
      </c>
    </row>
    <row r="7965" spans="2:34" x14ac:dyDescent="0.2">
      <c r="B7965" s="2">
        <f ca="1"/>
        <v>0.35536364678833343</v>
      </c>
      <c r="O7965" s="2">
        <f ca="1"/>
        <v>1.1899564458479674</v>
      </c>
      <c r="X7965" s="2">
        <f ca="1"/>
        <v>84.455900914641674</v>
      </c>
      <c r="AG7965" s="2">
        <f ca="1"/>
        <v>0.46954581791648575</v>
      </c>
      <c r="AH7965" s="2" t="str">
        <f ca="1"/>
        <v>Bad</v>
      </c>
    </row>
    <row r="7966" spans="2:34" x14ac:dyDescent="0.2">
      <c r="B7966" s="2">
        <f ca="1"/>
        <v>0.71364976155586768</v>
      </c>
      <c r="O7966" s="2">
        <f ca="1"/>
        <v>-0.76621974907494528</v>
      </c>
      <c r="X7966" s="2">
        <f ca="1"/>
        <v>81.336898269463688</v>
      </c>
      <c r="AG7966" s="2">
        <f ca="1"/>
        <v>0.55549437800440216</v>
      </c>
      <c r="AH7966" s="2" t="str">
        <f ca="1"/>
        <v>Bad</v>
      </c>
    </row>
    <row r="7967" spans="2:34" x14ac:dyDescent="0.2">
      <c r="B7967" s="2">
        <f ca="1"/>
        <v>0.20284991912993289</v>
      </c>
      <c r="O7967" s="2">
        <f ca="1"/>
        <v>-0.49890081218966076</v>
      </c>
      <c r="X7967" s="2">
        <f ca="1"/>
        <v>27.562571942204954</v>
      </c>
      <c r="AG7967" s="2">
        <f ca="1"/>
        <v>0.16443521632825409</v>
      </c>
      <c r="AH7967" s="2" t="str">
        <f ca="1"/>
        <v>OK</v>
      </c>
    </row>
    <row r="7968" spans="2:34" x14ac:dyDescent="0.2">
      <c r="B7968" s="2">
        <f ca="1"/>
        <v>0.58463194532049534</v>
      </c>
      <c r="O7968" s="2">
        <f ca="1"/>
        <v>-2.4652137643244716</v>
      </c>
      <c r="X7968" s="2">
        <f ca="1"/>
        <v>44.456477002103412</v>
      </c>
      <c r="AG7968" s="2">
        <f ca="1"/>
        <v>0.38725086275258591</v>
      </c>
      <c r="AH7968" s="2" t="str">
        <f ca="1"/>
        <v>OK</v>
      </c>
    </row>
    <row r="7969" spans="2:34" x14ac:dyDescent="0.2">
      <c r="B7969" s="2">
        <f ca="1"/>
        <v>0.43187134319629661</v>
      </c>
      <c r="O7969" s="2">
        <f ca="1"/>
        <v>-0.24445127609828418</v>
      </c>
      <c r="X7969" s="2">
        <f ca="1"/>
        <v>61.988300643260445</v>
      </c>
      <c r="AG7969" s="2">
        <f ca="1"/>
        <v>0.41693056633997561</v>
      </c>
      <c r="AH7969" s="2" t="str">
        <f ca="1"/>
        <v>Bad</v>
      </c>
    </row>
    <row r="7970" spans="2:34" x14ac:dyDescent="0.2">
      <c r="B7970" s="2">
        <f ca="1"/>
        <v>8.2971336221618452E-2</v>
      </c>
      <c r="O7970" s="2">
        <f ca="1"/>
        <v>0.63235979065151571</v>
      </c>
      <c r="X7970" s="2">
        <f ca="1"/>
        <v>23.425174185095919</v>
      </c>
      <c r="AG7970" s="2">
        <f ca="1"/>
        <v>0.7912574010584954</v>
      </c>
      <c r="AH7970" s="2" t="str">
        <f ca="1"/>
        <v>Bad</v>
      </c>
    </row>
    <row r="7971" spans="2:34" x14ac:dyDescent="0.2">
      <c r="B7971" s="2">
        <f ca="1"/>
        <v>0.93153862932129372</v>
      </c>
      <c r="O7971" s="2">
        <f ca="1"/>
        <v>-1.0014948306871911</v>
      </c>
      <c r="X7971" s="2">
        <f ca="1"/>
        <v>50.659523466833996</v>
      </c>
      <c r="AG7971" s="2">
        <f ca="1"/>
        <v>0.38777256419380612</v>
      </c>
      <c r="AH7971" s="2" t="str">
        <f ca="1"/>
        <v>OK</v>
      </c>
    </row>
    <row r="7972" spans="2:34" x14ac:dyDescent="0.2">
      <c r="B7972" s="2">
        <f ca="1"/>
        <v>0.31775125216806743</v>
      </c>
      <c r="O7972" s="2">
        <f ca="1"/>
        <v>-1.2995978356742395</v>
      </c>
      <c r="X7972" s="2">
        <f ca="1"/>
        <v>56.309252265035383</v>
      </c>
      <c r="AG7972" s="2">
        <f ca="1"/>
        <v>0.53065852936429736</v>
      </c>
      <c r="AH7972" s="2" t="str">
        <f ca="1"/>
        <v>Bad</v>
      </c>
    </row>
    <row r="7973" spans="2:34" x14ac:dyDescent="0.2">
      <c r="B7973" s="2">
        <f ca="1"/>
        <v>7.1238717168850885E-2</v>
      </c>
      <c r="O7973" s="2">
        <f ca="1"/>
        <v>-0.84803035340146538</v>
      </c>
      <c r="X7973" s="2">
        <f ca="1"/>
        <v>62.665386048632151</v>
      </c>
      <c r="AG7973" s="2">
        <f ca="1"/>
        <v>0.3365729002167408</v>
      </c>
      <c r="AH7973" s="2" t="str">
        <f ca="1"/>
        <v>OK</v>
      </c>
    </row>
    <row r="7974" spans="2:34" x14ac:dyDescent="0.2">
      <c r="B7974" s="2">
        <f ca="1"/>
        <v>0.97529070255437311</v>
      </c>
      <c r="O7974" s="2">
        <f ca="1"/>
        <v>0.63350854220587993</v>
      </c>
      <c r="X7974" s="2">
        <f ca="1"/>
        <v>64.768445546517043</v>
      </c>
      <c r="AG7974" s="2">
        <f ca="1"/>
        <v>0.10463702684543397</v>
      </c>
      <c r="AH7974" s="2" t="str">
        <f ca="1"/>
        <v>OK</v>
      </c>
    </row>
    <row r="7975" spans="2:34" x14ac:dyDescent="0.2">
      <c r="B7975" s="2">
        <f ca="1"/>
        <v>0.2980367687502985</v>
      </c>
      <c r="O7975" s="2">
        <f ca="1"/>
        <v>9.1499012708686309E-2</v>
      </c>
      <c r="X7975" s="2">
        <f ca="1"/>
        <v>38.229737941115516</v>
      </c>
      <c r="AG7975" s="2">
        <f ca="1"/>
        <v>0.47718436736870085</v>
      </c>
      <c r="AH7975" s="2" t="str">
        <f ca="1"/>
        <v>Bad</v>
      </c>
    </row>
    <row r="7976" spans="2:34" x14ac:dyDescent="0.2">
      <c r="B7976" s="2">
        <f ca="1"/>
        <v>0.92604121541189532</v>
      </c>
      <c r="O7976" s="2">
        <f ca="1"/>
        <v>-0.79840586519613577</v>
      </c>
      <c r="X7976" s="2">
        <f ca="1"/>
        <v>41.737979300792688</v>
      </c>
      <c r="AG7976" s="2">
        <f ca="1"/>
        <v>0.34297221464301852</v>
      </c>
      <c r="AH7976" s="2" t="str">
        <f ca="1"/>
        <v>OK</v>
      </c>
    </row>
    <row r="7977" spans="2:34" x14ac:dyDescent="0.2">
      <c r="B7977" s="2">
        <f ca="1"/>
        <v>0.8286492322249408</v>
      </c>
      <c r="O7977" s="2">
        <f ca="1"/>
        <v>0.24849421486043721</v>
      </c>
      <c r="X7977" s="2">
        <f ca="1"/>
        <v>64.338493780249081</v>
      </c>
      <c r="AG7977" s="2">
        <f ca="1"/>
        <v>0.506383735834538</v>
      </c>
      <c r="AH7977" s="2" t="str">
        <f ca="1"/>
        <v>Bad</v>
      </c>
    </row>
    <row r="7978" spans="2:34" x14ac:dyDescent="0.2">
      <c r="B7978" s="2">
        <f ca="1"/>
        <v>0.3254108880901061</v>
      </c>
      <c r="O7978" s="2">
        <f ca="1"/>
        <v>-1.0901060349562124</v>
      </c>
      <c r="X7978" s="2">
        <f ca="1"/>
        <v>41.599509927745679</v>
      </c>
      <c r="AG7978" s="2">
        <f ca="1"/>
        <v>0.97003707889983692</v>
      </c>
      <c r="AH7978" s="2" t="str">
        <f ca="1"/>
        <v>Bad</v>
      </c>
    </row>
    <row r="7979" spans="2:34" x14ac:dyDescent="0.2">
      <c r="B7979" s="2">
        <f ca="1"/>
        <v>0.62982678006954718</v>
      </c>
      <c r="O7979" s="2">
        <f ca="1"/>
        <v>-0.49143983807869451</v>
      </c>
      <c r="X7979" s="2">
        <f ca="1"/>
        <v>62.437718691629705</v>
      </c>
      <c r="AG7979" s="2">
        <f ca="1"/>
        <v>3.195945440023884E-2</v>
      </c>
      <c r="AH7979" s="2" t="str">
        <f ca="1"/>
        <v>Good</v>
      </c>
    </row>
    <row r="7980" spans="2:34" x14ac:dyDescent="0.2">
      <c r="B7980" s="2">
        <f ca="1"/>
        <v>0.92102467100400776</v>
      </c>
      <c r="O7980" s="2">
        <f ca="1"/>
        <v>-4.2511713752705294E-2</v>
      </c>
      <c r="X7980" s="2">
        <f ca="1"/>
        <v>44.848626333253051</v>
      </c>
      <c r="AG7980" s="2">
        <f ca="1"/>
        <v>0.37808969637462808</v>
      </c>
      <c r="AH7980" s="2" t="str">
        <f ca="1"/>
        <v>OK</v>
      </c>
    </row>
    <row r="7981" spans="2:34" x14ac:dyDescent="0.2">
      <c r="B7981" s="2">
        <f ca="1"/>
        <v>0.96380977116859246</v>
      </c>
      <c r="O7981" s="2">
        <f ca="1"/>
        <v>0.39568179208902304</v>
      </c>
      <c r="X7981" s="2">
        <f ca="1"/>
        <v>35.869872810515886</v>
      </c>
      <c r="AG7981" s="2">
        <f ca="1"/>
        <v>0.99032209416180628</v>
      </c>
      <c r="AH7981" s="2" t="str">
        <f ca="1"/>
        <v>Bad</v>
      </c>
    </row>
    <row r="7982" spans="2:34" x14ac:dyDescent="0.2">
      <c r="B7982" s="2">
        <f ca="1"/>
        <v>0.3867576403221924</v>
      </c>
      <c r="O7982" s="2">
        <f ca="1"/>
        <v>-0.27201170662125368</v>
      </c>
      <c r="X7982" s="2">
        <f ca="1"/>
        <v>52.974089740024041</v>
      </c>
      <c r="AG7982" s="2">
        <f ca="1"/>
        <v>0.49968896600497614</v>
      </c>
      <c r="AH7982" s="2" t="str">
        <f ca="1"/>
        <v>Bad</v>
      </c>
    </row>
    <row r="7983" spans="2:34" x14ac:dyDescent="0.2">
      <c r="B7983" s="2">
        <f ca="1"/>
        <v>9.4256535669008379E-2</v>
      </c>
      <c r="O7983" s="2">
        <f ca="1"/>
        <v>-1.0074580033376905</v>
      </c>
      <c r="X7983" s="2">
        <f ca="1"/>
        <v>42.430442091015351</v>
      </c>
      <c r="AG7983" s="2">
        <f ca="1"/>
        <v>0.61139023875441501</v>
      </c>
      <c r="AH7983" s="2" t="str">
        <f ca="1"/>
        <v>Bad</v>
      </c>
    </row>
    <row r="7984" spans="2:34" x14ac:dyDescent="0.2">
      <c r="B7984" s="2">
        <f ca="1"/>
        <v>0.15826992971010667</v>
      </c>
      <c r="O7984" s="2">
        <f ca="1"/>
        <v>0.1205405850277752</v>
      </c>
      <c r="X7984" s="2">
        <f ca="1"/>
        <v>43.577902563609442</v>
      </c>
      <c r="AG7984" s="2">
        <f ca="1"/>
        <v>0.53388602518952233</v>
      </c>
      <c r="AH7984" s="2" t="str">
        <f ca="1"/>
        <v>Bad</v>
      </c>
    </row>
    <row r="7985" spans="2:34" x14ac:dyDescent="0.2">
      <c r="B7985" s="2">
        <f ca="1"/>
        <v>0.46740349008879933</v>
      </c>
      <c r="O7985" s="2">
        <f ca="1"/>
        <v>-6.7561877582338781E-2</v>
      </c>
      <c r="X7985" s="2">
        <f ca="1"/>
        <v>64.447721748158884</v>
      </c>
      <c r="AG7985" s="2">
        <f ca="1"/>
        <v>0.35178172757222614</v>
      </c>
      <c r="AH7985" s="2" t="str">
        <f ca="1"/>
        <v>OK</v>
      </c>
    </row>
    <row r="7986" spans="2:34" x14ac:dyDescent="0.2">
      <c r="B7986" s="2">
        <f ca="1"/>
        <v>0.69796765115322223</v>
      </c>
      <c r="O7986" s="2">
        <f ca="1"/>
        <v>0.58125463637726882</v>
      </c>
      <c r="X7986" s="2">
        <f ca="1"/>
        <v>46.454846122340847</v>
      </c>
      <c r="AG7986" s="2">
        <f ca="1"/>
        <v>0.92751563332170117</v>
      </c>
      <c r="AH7986" s="2" t="str">
        <f ca="1"/>
        <v>Bad</v>
      </c>
    </row>
    <row r="7987" spans="2:34" x14ac:dyDescent="0.2">
      <c r="B7987" s="2">
        <f ca="1"/>
        <v>7.9256951894246308E-2</v>
      </c>
      <c r="O7987" s="2">
        <f ca="1"/>
        <v>0.24692692289378645</v>
      </c>
      <c r="X7987" s="2">
        <f ca="1"/>
        <v>47.323396804771164</v>
      </c>
      <c r="AG7987" s="2">
        <f ca="1"/>
        <v>5.6865977667530432E-2</v>
      </c>
      <c r="AH7987" s="2" t="str">
        <f ca="1"/>
        <v>OK</v>
      </c>
    </row>
    <row r="7988" spans="2:34" x14ac:dyDescent="0.2">
      <c r="B7988" s="2">
        <f ca="1"/>
        <v>0.96798218221027721</v>
      </c>
      <c r="O7988" s="2">
        <f ca="1"/>
        <v>0.57768849782764842</v>
      </c>
      <c r="X7988" s="2">
        <f ca="1"/>
        <v>28.142143263888244</v>
      </c>
      <c r="AG7988" s="2">
        <f ca="1"/>
        <v>0.68675399117140867</v>
      </c>
      <c r="AH7988" s="2" t="str">
        <f ca="1"/>
        <v>Bad</v>
      </c>
    </row>
    <row r="7989" spans="2:34" x14ac:dyDescent="0.2">
      <c r="B7989" s="2">
        <f ca="1"/>
        <v>0.1830561421543071</v>
      </c>
      <c r="O7989" s="2">
        <f ca="1"/>
        <v>0.72630707262840666</v>
      </c>
      <c r="X7989" s="2">
        <f ca="1"/>
        <v>74.422960683111981</v>
      </c>
      <c r="AG7989" s="2">
        <f ca="1"/>
        <v>0.43096325895909127</v>
      </c>
      <c r="AH7989" s="2" t="str">
        <f ca="1"/>
        <v>Bad</v>
      </c>
    </row>
    <row r="7990" spans="2:34" x14ac:dyDescent="0.2">
      <c r="B7990" s="2">
        <f ca="1"/>
        <v>0.26267531934292365</v>
      </c>
      <c r="O7990" s="2">
        <f ca="1"/>
        <v>-0.95783610124226459</v>
      </c>
      <c r="X7990" s="2">
        <f ca="1"/>
        <v>23.005598550386015</v>
      </c>
      <c r="AG7990" s="2">
        <f ca="1"/>
        <v>0.55730439369004037</v>
      </c>
      <c r="AH7990" s="2" t="str">
        <f ca="1"/>
        <v>Bad</v>
      </c>
    </row>
    <row r="7991" spans="2:34" x14ac:dyDescent="0.2">
      <c r="B7991" s="2">
        <f ca="1"/>
        <v>0.86162969024777669</v>
      </c>
      <c r="O7991" s="2">
        <f ca="1"/>
        <v>0.99920098264123347</v>
      </c>
      <c r="X7991" s="2">
        <f ca="1"/>
        <v>138.51489636861598</v>
      </c>
      <c r="AG7991" s="2">
        <f ca="1"/>
        <v>0.64499265392379135</v>
      </c>
      <c r="AH7991" s="2" t="str">
        <f ca="1"/>
        <v>Bad</v>
      </c>
    </row>
    <row r="7992" spans="2:34" x14ac:dyDescent="0.2">
      <c r="B7992" s="2">
        <f ca="1"/>
        <v>1.1638337421496781E-2</v>
      </c>
      <c r="O7992" s="2">
        <f ca="1"/>
        <v>1.0365784513535798</v>
      </c>
      <c r="X7992" s="2">
        <f ca="1"/>
        <v>40.691566299426434</v>
      </c>
      <c r="AG7992" s="2">
        <f ca="1"/>
        <v>0.46262723160443109</v>
      </c>
      <c r="AH7992" s="2" t="str">
        <f ca="1"/>
        <v>Bad</v>
      </c>
    </row>
    <row r="7993" spans="2:34" x14ac:dyDescent="0.2">
      <c r="B7993" s="2">
        <f ca="1"/>
        <v>0.10086368748917929</v>
      </c>
      <c r="O7993" s="2">
        <f ca="1"/>
        <v>-0.24810557082645404</v>
      </c>
      <c r="X7993" s="2">
        <f ca="1"/>
        <v>37.665512105673905</v>
      </c>
      <c r="AG7993" s="2">
        <f ca="1"/>
        <v>1.113551407185609E-2</v>
      </c>
      <c r="AH7993" s="2" t="str">
        <f ca="1"/>
        <v>Good</v>
      </c>
    </row>
    <row r="7994" spans="2:34" x14ac:dyDescent="0.2">
      <c r="B7994" s="2">
        <f ca="1"/>
        <v>0.6798209360112466</v>
      </c>
      <c r="O7994" s="2">
        <f ca="1"/>
        <v>0.83850125881160753</v>
      </c>
      <c r="X7994" s="2">
        <f ca="1"/>
        <v>32.615328754667601</v>
      </c>
      <c r="AG7994" s="2">
        <f ca="1"/>
        <v>0.86415413314990142</v>
      </c>
      <c r="AH7994" s="2" t="str">
        <f ca="1"/>
        <v>Bad</v>
      </c>
    </row>
    <row r="7995" spans="2:34" x14ac:dyDescent="0.2">
      <c r="B7995" s="2">
        <f ca="1"/>
        <v>0.12506426628812695</v>
      </c>
      <c r="O7995" s="2">
        <f ca="1"/>
        <v>0.57375629279748941</v>
      </c>
      <c r="X7995" s="2">
        <f ca="1"/>
        <v>40.163110250667373</v>
      </c>
      <c r="AG7995" s="2">
        <f ca="1"/>
        <v>0.69694749726146199</v>
      </c>
      <c r="AH7995" s="2" t="str">
        <f ca="1"/>
        <v>Bad</v>
      </c>
    </row>
    <row r="7996" spans="2:34" x14ac:dyDescent="0.2">
      <c r="B7996" s="2">
        <f ca="1"/>
        <v>0.71438689476775807</v>
      </c>
      <c r="O7996" s="2">
        <f ca="1"/>
        <v>2.5417303477105477</v>
      </c>
      <c r="X7996" s="2">
        <f ca="1"/>
        <v>26.687445123121925</v>
      </c>
      <c r="AG7996" s="2">
        <f ca="1"/>
        <v>0.28630342395340547</v>
      </c>
      <c r="AH7996" s="2" t="str">
        <f ca="1"/>
        <v>OK</v>
      </c>
    </row>
    <row r="7997" spans="2:34" x14ac:dyDescent="0.2">
      <c r="B7997" s="2">
        <f ca="1"/>
        <v>0.8022856970024741</v>
      </c>
      <c r="O7997" s="2">
        <f ca="1"/>
        <v>-0.71176399514506006</v>
      </c>
      <c r="X7997" s="2">
        <f ca="1"/>
        <v>63.593265920761738</v>
      </c>
      <c r="AG7997" s="2">
        <f ca="1"/>
        <v>0.33750173231739811</v>
      </c>
      <c r="AH7997" s="2" t="str">
        <f ca="1"/>
        <v>OK</v>
      </c>
    </row>
    <row r="7998" spans="2:34" x14ac:dyDescent="0.2">
      <c r="B7998" s="2">
        <f ca="1"/>
        <v>0.11843458029759324</v>
      </c>
      <c r="O7998" s="2">
        <f ca="1"/>
        <v>2.1827292798957498</v>
      </c>
      <c r="X7998" s="2">
        <f ca="1"/>
        <v>52.983038510374342</v>
      </c>
      <c r="AG7998" s="2">
        <f ca="1"/>
        <v>0.40155900419978496</v>
      </c>
      <c r="AH7998" s="2" t="str">
        <f ca="1"/>
        <v>Bad</v>
      </c>
    </row>
    <row r="7999" spans="2:34" x14ac:dyDescent="0.2">
      <c r="B7999" s="2">
        <f ca="1"/>
        <v>0.53787518818073998</v>
      </c>
      <c r="O7999" s="2">
        <f ca="1"/>
        <v>-0.73531058893459078</v>
      </c>
      <c r="X7999" s="2">
        <f ca="1"/>
        <v>46.36540553856549</v>
      </c>
      <c r="AG7999" s="2">
        <f ca="1"/>
        <v>0.74555555974114007</v>
      </c>
      <c r="AH7999" s="2" t="str">
        <f ca="1"/>
        <v>Bad</v>
      </c>
    </row>
    <row r="8000" spans="2:34" x14ac:dyDescent="0.2">
      <c r="B8000" s="2">
        <f ca="1"/>
        <v>0.650978939387441</v>
      </c>
      <c r="O8000" s="2">
        <f ca="1"/>
        <v>0.57640845206854663</v>
      </c>
      <c r="X8000" s="2">
        <f ca="1"/>
        <v>49.036351581162343</v>
      </c>
      <c r="AG8000" s="2">
        <f ca="1"/>
        <v>0.12146105304335109</v>
      </c>
      <c r="AH8000" s="2" t="str">
        <f ca="1"/>
        <v>OK</v>
      </c>
    </row>
    <row r="8001" spans="2:34" x14ac:dyDescent="0.2">
      <c r="B8001" s="2">
        <f ca="1"/>
        <v>0.31017812013536039</v>
      </c>
      <c r="O8001" s="2">
        <f ca="1"/>
        <v>-6.7264518564197115E-2</v>
      </c>
      <c r="X8001" s="2">
        <f ca="1"/>
        <v>59.095184819140904</v>
      </c>
      <c r="AG8001" s="2">
        <f ca="1"/>
        <v>1.5063493024441543E-2</v>
      </c>
      <c r="AH8001" s="2" t="str">
        <f ca="1"/>
        <v>Good</v>
      </c>
    </row>
    <row r="8002" spans="2:34" x14ac:dyDescent="0.2">
      <c r="B8002" s="2">
        <f ca="1"/>
        <v>0.79923913707763261</v>
      </c>
      <c r="O8002" s="2">
        <f ca="1"/>
        <v>-1.7388143446625863</v>
      </c>
      <c r="X8002" s="2">
        <f ca="1"/>
        <v>72.491512983968718</v>
      </c>
      <c r="AG8002" s="2">
        <f ca="1"/>
        <v>0.44337306598155402</v>
      </c>
      <c r="AH8002" s="2" t="str">
        <f ca="1"/>
        <v>Bad</v>
      </c>
    </row>
    <row r="8003" spans="2:34" x14ac:dyDescent="0.2">
      <c r="B8003" s="2">
        <f ca="1"/>
        <v>0.55601464923243626</v>
      </c>
      <c r="O8003" s="2">
        <f ca="1"/>
        <v>0.30189050028933334</v>
      </c>
      <c r="X8003" s="2">
        <f ca="1"/>
        <v>60.003332965764258</v>
      </c>
      <c r="AG8003" s="2">
        <f ca="1"/>
        <v>0.6903296656028195</v>
      </c>
      <c r="AH8003" s="2" t="str">
        <f ca="1"/>
        <v>Bad</v>
      </c>
    </row>
    <row r="8004" spans="2:34" x14ac:dyDescent="0.2">
      <c r="B8004" s="2">
        <f ca="1"/>
        <v>0.84993006885110223</v>
      </c>
      <c r="O8004" s="2">
        <f ca="1"/>
        <v>-0.5626159575487818</v>
      </c>
      <c r="X8004" s="2">
        <f ca="1"/>
        <v>30.969077617859945</v>
      </c>
      <c r="AG8004" s="2">
        <f ca="1"/>
        <v>0.73183574095853743</v>
      </c>
      <c r="AH8004" s="2" t="str">
        <f ca="1"/>
        <v>Bad</v>
      </c>
    </row>
    <row r="8005" spans="2:34" x14ac:dyDescent="0.2">
      <c r="B8005" s="2">
        <f ca="1"/>
        <v>0.47603696461661626</v>
      </c>
      <c r="O8005" s="2">
        <f ca="1"/>
        <v>1.5974673205084826E-2</v>
      </c>
      <c r="X8005" s="2">
        <f ca="1"/>
        <v>43.038689046627169</v>
      </c>
      <c r="AG8005" s="2">
        <f ca="1"/>
        <v>0.51600504894086963</v>
      </c>
      <c r="AH8005" s="2" t="str">
        <f ca="1"/>
        <v>Bad</v>
      </c>
    </row>
    <row r="8006" spans="2:34" x14ac:dyDescent="0.2">
      <c r="B8006" s="2">
        <f ca="1"/>
        <v>0.57529444416481978</v>
      </c>
      <c r="O8006" s="2">
        <f ca="1"/>
        <v>0.55099392075525189</v>
      </c>
      <c r="X8006" s="2">
        <f ca="1"/>
        <v>57.019714365729115</v>
      </c>
      <c r="AG8006" s="2">
        <f ca="1"/>
        <v>0.30655167672932571</v>
      </c>
      <c r="AH8006" s="2" t="str">
        <f ca="1"/>
        <v>OK</v>
      </c>
    </row>
    <row r="8007" spans="2:34" x14ac:dyDescent="0.2">
      <c r="B8007" s="2">
        <f ca="1"/>
        <v>0.19202249988093101</v>
      </c>
      <c r="O8007" s="2">
        <f ca="1"/>
        <v>-0.54963876625893249</v>
      </c>
      <c r="X8007" s="2">
        <f ca="1"/>
        <v>46.5292522340063</v>
      </c>
      <c r="AG8007" s="2">
        <f ca="1"/>
        <v>0.32569413712108597</v>
      </c>
      <c r="AH8007" s="2" t="str">
        <f ca="1"/>
        <v>OK</v>
      </c>
    </row>
    <row r="8008" spans="2:34" x14ac:dyDescent="0.2">
      <c r="B8008" s="2">
        <f ca="1"/>
        <v>0.89257752741427399</v>
      </c>
      <c r="O8008" s="2">
        <f ca="1"/>
        <v>0.32327521396162062</v>
      </c>
      <c r="X8008" s="2">
        <f ca="1"/>
        <v>43.472579380269416</v>
      </c>
      <c r="AG8008" s="2">
        <f ca="1"/>
        <v>0.59518903051957972</v>
      </c>
      <c r="AH8008" s="2" t="str">
        <f ca="1"/>
        <v>Bad</v>
      </c>
    </row>
    <row r="8009" spans="2:34" x14ac:dyDescent="0.2">
      <c r="B8009" s="2">
        <f ca="1"/>
        <v>0.95075075719706126</v>
      </c>
      <c r="O8009" s="2">
        <f ca="1"/>
        <v>0.72074388330223615</v>
      </c>
      <c r="X8009" s="2">
        <f ca="1"/>
        <v>28.883294014109314</v>
      </c>
      <c r="AG8009" s="2">
        <f ca="1"/>
        <v>0.88645654380456795</v>
      </c>
      <c r="AH8009" s="2" t="str">
        <f ca="1"/>
        <v>Bad</v>
      </c>
    </row>
    <row r="8010" spans="2:34" x14ac:dyDescent="0.2">
      <c r="B8010" s="2">
        <f ca="1"/>
        <v>0.5878681477881551</v>
      </c>
      <c r="O8010" s="2">
        <f ca="1"/>
        <v>1.3835015417083851</v>
      </c>
      <c r="X8010" s="2">
        <f ca="1"/>
        <v>26.63794827660254</v>
      </c>
      <c r="AG8010" s="2">
        <f ca="1"/>
        <v>0.61189622446775704</v>
      </c>
      <c r="AH8010" s="2" t="str">
        <f ca="1"/>
        <v>Bad</v>
      </c>
    </row>
    <row r="8011" spans="2:34" x14ac:dyDescent="0.2">
      <c r="B8011" s="2">
        <f ca="1"/>
        <v>0.75936668532488949</v>
      </c>
      <c r="O8011" s="2">
        <f ca="1"/>
        <v>1.6517153370208795</v>
      </c>
      <c r="X8011" s="2">
        <f ca="1"/>
        <v>72.970889889194353</v>
      </c>
      <c r="AG8011" s="2">
        <f ca="1"/>
        <v>0.47302086397715826</v>
      </c>
      <c r="AH8011" s="2" t="str">
        <f ca="1"/>
        <v>Bad</v>
      </c>
    </row>
    <row r="8012" spans="2:34" x14ac:dyDescent="0.2">
      <c r="B8012" s="2">
        <f ca="1"/>
        <v>0.65171420019015414</v>
      </c>
      <c r="O8012" s="2">
        <f ca="1"/>
        <v>-0.35332014548800605</v>
      </c>
      <c r="X8012" s="2">
        <f ca="1"/>
        <v>53.47281234548521</v>
      </c>
      <c r="AG8012" s="2">
        <f ca="1"/>
        <v>0.11010881409138285</v>
      </c>
      <c r="AH8012" s="2" t="str">
        <f ca="1"/>
        <v>OK</v>
      </c>
    </row>
    <row r="8013" spans="2:34" x14ac:dyDescent="0.2">
      <c r="B8013" s="2">
        <f ca="1"/>
        <v>0.2764684482654971</v>
      </c>
      <c r="O8013" s="2">
        <f ca="1"/>
        <v>-2.6359640248779933E-4</v>
      </c>
      <c r="X8013" s="2">
        <f ca="1"/>
        <v>80.289020602677951</v>
      </c>
      <c r="AG8013" s="2">
        <f ca="1"/>
        <v>0.94182750882030142</v>
      </c>
      <c r="AH8013" s="2" t="str">
        <f ca="1"/>
        <v>Bad</v>
      </c>
    </row>
    <row r="8014" spans="2:34" x14ac:dyDescent="0.2">
      <c r="B8014" s="2">
        <f ca="1"/>
        <v>0.49926311139132129</v>
      </c>
      <c r="O8014" s="2">
        <f ca="1"/>
        <v>-1.1424256037078078</v>
      </c>
      <c r="X8014" s="2">
        <f ca="1"/>
        <v>71.283612544120047</v>
      </c>
      <c r="AG8014" s="2">
        <f ca="1"/>
        <v>0.47991565132460767</v>
      </c>
      <c r="AH8014" s="2" t="str">
        <f ca="1"/>
        <v>Bad</v>
      </c>
    </row>
    <row r="8015" spans="2:34" x14ac:dyDescent="0.2">
      <c r="B8015" s="2">
        <f ca="1"/>
        <v>0.9327010611086195</v>
      </c>
      <c r="O8015" s="2">
        <f ca="1"/>
        <v>-0.1486757926671807</v>
      </c>
      <c r="X8015" s="2">
        <f ca="1"/>
        <v>72.325838007589041</v>
      </c>
      <c r="AG8015" s="2">
        <f ca="1"/>
        <v>0.30236083352821774</v>
      </c>
      <c r="AH8015" s="2" t="str">
        <f ca="1"/>
        <v>OK</v>
      </c>
    </row>
    <row r="8016" spans="2:34" x14ac:dyDescent="0.2">
      <c r="B8016" s="2">
        <f ca="1"/>
        <v>0.51731912390723456</v>
      </c>
      <c r="O8016" s="2">
        <f ca="1"/>
        <v>1.4067021351209921</v>
      </c>
      <c r="X8016" s="2">
        <f ca="1"/>
        <v>53.516805039663502</v>
      </c>
      <c r="AG8016" s="2">
        <f ca="1"/>
        <v>9.3646765647736441E-2</v>
      </c>
      <c r="AH8016" s="2" t="str">
        <f ca="1"/>
        <v>OK</v>
      </c>
    </row>
    <row r="8017" spans="2:34" x14ac:dyDescent="0.2">
      <c r="B8017" s="2">
        <f ca="1"/>
        <v>0.29568628952342113</v>
      </c>
      <c r="O8017" s="2">
        <f ca="1"/>
        <v>0.28705714844081454</v>
      </c>
      <c r="X8017" s="2">
        <f ca="1"/>
        <v>61.741281178653594</v>
      </c>
      <c r="AG8017" s="2">
        <f ca="1"/>
        <v>0.94064608196566302</v>
      </c>
      <c r="AH8017" s="2" t="str">
        <f ca="1"/>
        <v>Bad</v>
      </c>
    </row>
    <row r="8018" spans="2:34" x14ac:dyDescent="0.2">
      <c r="B8018" s="2">
        <f ca="1"/>
        <v>0.43973201233318515</v>
      </c>
      <c r="O8018" s="2">
        <f ca="1"/>
        <v>-0.27747902336805375</v>
      </c>
      <c r="X8018" s="2">
        <f ca="1"/>
        <v>52.748493391566093</v>
      </c>
      <c r="AG8018" s="2">
        <f ca="1"/>
        <v>0.48030942564677326</v>
      </c>
      <c r="AH8018" s="2" t="str">
        <f ca="1"/>
        <v>Bad</v>
      </c>
    </row>
    <row r="8019" spans="2:34" x14ac:dyDescent="0.2">
      <c r="B8019" s="2">
        <f ca="1"/>
        <v>0.66901739542923511</v>
      </c>
      <c r="O8019" s="2">
        <f ca="1"/>
        <v>-0.41168553034123545</v>
      </c>
      <c r="X8019" s="2">
        <f ca="1"/>
        <v>33.427517643789258</v>
      </c>
      <c r="AG8019" s="2">
        <f ca="1"/>
        <v>0.15310378773674871</v>
      </c>
      <c r="AH8019" s="2" t="str">
        <f ca="1"/>
        <v>OK</v>
      </c>
    </row>
    <row r="8020" spans="2:34" x14ac:dyDescent="0.2">
      <c r="B8020" s="2">
        <f ca="1"/>
        <v>0.64475042074583389</v>
      </c>
      <c r="O8020" s="2">
        <f ca="1"/>
        <v>1.0974574809789057</v>
      </c>
      <c r="X8020" s="2">
        <f ca="1"/>
        <v>53.012963554413439</v>
      </c>
      <c r="AG8020" s="2">
        <f ca="1"/>
        <v>6.5361125559581845E-2</v>
      </c>
      <c r="AH8020" s="2" t="str">
        <f ca="1"/>
        <v>OK</v>
      </c>
    </row>
    <row r="8021" spans="2:34" x14ac:dyDescent="0.2">
      <c r="B8021" s="2">
        <f ca="1"/>
        <v>0.44432942898488648</v>
      </c>
      <c r="O8021" s="2">
        <f ca="1"/>
        <v>-0.42449330813328057</v>
      </c>
      <c r="X8021" s="2">
        <f ca="1"/>
        <v>101.01023454113225</v>
      </c>
      <c r="AG8021" s="2">
        <f ca="1"/>
        <v>0.73558966289566641</v>
      </c>
      <c r="AH8021" s="2" t="str">
        <f ca="1"/>
        <v>Bad</v>
      </c>
    </row>
    <row r="8022" spans="2:34" x14ac:dyDescent="0.2">
      <c r="B8022" s="2">
        <f ca="1"/>
        <v>0.96667829037531394</v>
      </c>
      <c r="O8022" s="2">
        <f ca="1"/>
        <v>-0.9350137801643188</v>
      </c>
      <c r="X8022" s="2">
        <f ca="1"/>
        <v>66.178472062471243</v>
      </c>
      <c r="AG8022" s="2">
        <f ca="1"/>
        <v>0.41917530252959967</v>
      </c>
      <c r="AH8022" s="2" t="str">
        <f ca="1"/>
        <v>Bad</v>
      </c>
    </row>
    <row r="8023" spans="2:34" x14ac:dyDescent="0.2">
      <c r="B8023" s="2">
        <f ca="1"/>
        <v>6.2550404254667402E-2</v>
      </c>
      <c r="O8023" s="2">
        <f ca="1"/>
        <v>0.99510318695174904</v>
      </c>
      <c r="X8023" s="2">
        <f ca="1"/>
        <v>69.88186070203912</v>
      </c>
      <c r="AG8023" s="2">
        <f ca="1"/>
        <v>0.51565333334269026</v>
      </c>
      <c r="AH8023" s="2" t="str">
        <f ca="1"/>
        <v>Bad</v>
      </c>
    </row>
    <row r="8024" spans="2:34" x14ac:dyDescent="0.2">
      <c r="B8024" s="2">
        <f ca="1"/>
        <v>0.33248989370332516</v>
      </c>
      <c r="O8024" s="2">
        <f ca="1"/>
        <v>-3.619665488986458E-2</v>
      </c>
      <c r="X8024" s="2">
        <f ca="1"/>
        <v>50.523097929907749</v>
      </c>
      <c r="AG8024" s="2">
        <f ca="1"/>
        <v>0.78867186707619696</v>
      </c>
      <c r="AH8024" s="2" t="str">
        <f ca="1"/>
        <v>Bad</v>
      </c>
    </row>
    <row r="8025" spans="2:34" x14ac:dyDescent="0.2">
      <c r="B8025" s="2">
        <f ca="1"/>
        <v>0.27786904830934245</v>
      </c>
      <c r="O8025" s="2">
        <f ca="1"/>
        <v>1.3599927928561326</v>
      </c>
      <c r="X8025" s="2">
        <f ca="1"/>
        <v>42.056977032654366</v>
      </c>
      <c r="AG8025" s="2">
        <f ca="1"/>
        <v>0.32958172429203736</v>
      </c>
      <c r="AH8025" s="2" t="str">
        <f ca="1"/>
        <v>OK</v>
      </c>
    </row>
    <row r="8026" spans="2:34" x14ac:dyDescent="0.2">
      <c r="B8026" s="2">
        <f ca="1"/>
        <v>0.96173014112302413</v>
      </c>
      <c r="O8026" s="2">
        <f ca="1"/>
        <v>-0.12773804523936602</v>
      </c>
      <c r="X8026" s="2">
        <f ca="1"/>
        <v>67.814844081905591</v>
      </c>
      <c r="AG8026" s="2">
        <f ca="1"/>
        <v>0.89943130310274366</v>
      </c>
      <c r="AH8026" s="2" t="str">
        <f ca="1"/>
        <v>Bad</v>
      </c>
    </row>
    <row r="8027" spans="2:34" x14ac:dyDescent="0.2">
      <c r="B8027" s="2">
        <f ca="1"/>
        <v>0.84757501857895567</v>
      </c>
      <c r="O8027" s="2">
        <f ca="1"/>
        <v>1.4460296019353598</v>
      </c>
      <c r="X8027" s="2">
        <f ca="1"/>
        <v>40.283431555041538</v>
      </c>
      <c r="AG8027" s="2">
        <f ca="1"/>
        <v>0.89640638046349941</v>
      </c>
      <c r="AH8027" s="2" t="str">
        <f ca="1"/>
        <v>Bad</v>
      </c>
    </row>
    <row r="8028" spans="2:34" x14ac:dyDescent="0.2">
      <c r="B8028" s="2">
        <f ca="1"/>
        <v>0.29676449258613391</v>
      </c>
      <c r="O8028" s="2">
        <f ca="1"/>
        <v>-0.58242261932994421</v>
      </c>
      <c r="X8028" s="2">
        <f ca="1"/>
        <v>33.052553887179116</v>
      </c>
      <c r="AG8028" s="2">
        <f ca="1"/>
        <v>0.35142342748871536</v>
      </c>
      <c r="AH8028" s="2" t="str">
        <f ca="1"/>
        <v>OK</v>
      </c>
    </row>
    <row r="8029" spans="2:34" x14ac:dyDescent="0.2">
      <c r="B8029" s="2">
        <f ca="1"/>
        <v>0.54399659397532973</v>
      </c>
      <c r="O8029" s="2">
        <f ca="1"/>
        <v>0.11466407170815075</v>
      </c>
      <c r="X8029" s="2">
        <f ca="1"/>
        <v>32.228598066022542</v>
      </c>
      <c r="AG8029" s="2">
        <f ca="1"/>
        <v>0.21424371989876168</v>
      </c>
      <c r="AH8029" s="2" t="str">
        <f ca="1"/>
        <v>OK</v>
      </c>
    </row>
    <row r="8030" spans="2:34" x14ac:dyDescent="0.2">
      <c r="B8030" s="2">
        <f ca="1"/>
        <v>0.13541210320746977</v>
      </c>
      <c r="O8030" s="2">
        <f ca="1"/>
        <v>-0.69551439822306238</v>
      </c>
      <c r="X8030" s="2">
        <f ca="1"/>
        <v>40.229416662567033</v>
      </c>
      <c r="AG8030" s="2">
        <f ca="1"/>
        <v>0.63005931427203632</v>
      </c>
      <c r="AH8030" s="2" t="str">
        <f ca="1"/>
        <v>Bad</v>
      </c>
    </row>
    <row r="8031" spans="2:34" x14ac:dyDescent="0.2">
      <c r="B8031" s="2">
        <f ca="1"/>
        <v>0.77791514558366548</v>
      </c>
      <c r="O8031" s="2">
        <f ca="1"/>
        <v>0.12418951823271678</v>
      </c>
      <c r="X8031" s="2">
        <f ca="1"/>
        <v>85.090990751120032</v>
      </c>
      <c r="AG8031" s="2">
        <f ca="1"/>
        <v>0.43628399810141882</v>
      </c>
      <c r="AH8031" s="2" t="str">
        <f ca="1"/>
        <v>Bad</v>
      </c>
    </row>
    <row r="8032" spans="2:34" x14ac:dyDescent="0.2">
      <c r="B8032" s="2">
        <f ca="1"/>
        <v>0.66298243402462065</v>
      </c>
      <c r="O8032" s="2">
        <f ca="1"/>
        <v>-0.56356346099069077</v>
      </c>
      <c r="X8032" s="2">
        <f ca="1"/>
        <v>43.549322393129735</v>
      </c>
      <c r="AG8032" s="2">
        <f ca="1"/>
        <v>0.38095820881793085</v>
      </c>
      <c r="AH8032" s="2" t="str">
        <f ca="1"/>
        <v>OK</v>
      </c>
    </row>
    <row r="8033" spans="2:34" x14ac:dyDescent="0.2">
      <c r="B8033" s="2">
        <f ca="1"/>
        <v>8.1314170430030641E-2</v>
      </c>
      <c r="O8033" s="2">
        <f ca="1"/>
        <v>0.32405120599673881</v>
      </c>
      <c r="X8033" s="2">
        <f ca="1"/>
        <v>66.207229049763242</v>
      </c>
      <c r="AG8033" s="2">
        <f ca="1"/>
        <v>0.99291209728320173</v>
      </c>
      <c r="AH8033" s="2" t="str">
        <f ca="1"/>
        <v>Bad</v>
      </c>
    </row>
    <row r="8034" spans="2:34" x14ac:dyDescent="0.2">
      <c r="B8034" s="2">
        <f ca="1"/>
        <v>0.17260877157311283</v>
      </c>
      <c r="O8034" s="2">
        <f ca="1"/>
        <v>-1.8847698113166322</v>
      </c>
      <c r="X8034" s="2">
        <f ca="1"/>
        <v>86.464898462879788</v>
      </c>
      <c r="AG8034" s="2">
        <f ca="1"/>
        <v>0.34280054662029591</v>
      </c>
      <c r="AH8034" s="2" t="str">
        <f ca="1"/>
        <v>OK</v>
      </c>
    </row>
    <row r="8035" spans="2:34" x14ac:dyDescent="0.2">
      <c r="B8035" s="2">
        <f ca="1"/>
        <v>3.4789429614664913E-2</v>
      </c>
      <c r="O8035" s="2">
        <f ca="1"/>
        <v>1.5659708626975977</v>
      </c>
      <c r="X8035" s="2">
        <f ca="1"/>
        <v>35.025878319952497</v>
      </c>
      <c r="AG8035" s="2">
        <f ca="1"/>
        <v>0.4334399817305461</v>
      </c>
      <c r="AH8035" s="2" t="str">
        <f ca="1"/>
        <v>Bad</v>
      </c>
    </row>
    <row r="8036" spans="2:34" x14ac:dyDescent="0.2">
      <c r="B8036" s="2">
        <f ca="1"/>
        <v>0.20559796658494811</v>
      </c>
      <c r="O8036" s="2">
        <f ca="1"/>
        <v>-1.1854035575704136</v>
      </c>
      <c r="X8036" s="2">
        <f ca="1"/>
        <v>45.615602000916297</v>
      </c>
      <c r="AG8036" s="2">
        <f ca="1"/>
        <v>0.41525731568881419</v>
      </c>
      <c r="AH8036" s="2" t="str">
        <f ca="1"/>
        <v>Bad</v>
      </c>
    </row>
    <row r="8037" spans="2:34" x14ac:dyDescent="0.2">
      <c r="B8037" s="2">
        <f ca="1"/>
        <v>0.76427328952168394</v>
      </c>
      <c r="O8037" s="2">
        <f ca="1"/>
        <v>-0.86294751797537339</v>
      </c>
      <c r="X8037" s="2">
        <f ca="1"/>
        <v>59.917180394743667</v>
      </c>
      <c r="AG8037" s="2">
        <f ca="1"/>
        <v>0.85599754897971514</v>
      </c>
      <c r="AH8037" s="2" t="str">
        <f ca="1"/>
        <v>Bad</v>
      </c>
    </row>
    <row r="8038" spans="2:34" x14ac:dyDescent="0.2">
      <c r="B8038" s="2">
        <f ca="1"/>
        <v>0.54994626422977966</v>
      </c>
      <c r="O8038" s="2">
        <f ca="1"/>
        <v>0.44458840856501802</v>
      </c>
      <c r="X8038" s="2">
        <f ca="1"/>
        <v>60.56211949170337</v>
      </c>
      <c r="AG8038" s="2">
        <f ca="1"/>
        <v>0.72395175277609214</v>
      </c>
      <c r="AH8038" s="2" t="str">
        <f ca="1"/>
        <v>Bad</v>
      </c>
    </row>
    <row r="8039" spans="2:34" x14ac:dyDescent="0.2">
      <c r="B8039" s="2">
        <f ca="1"/>
        <v>5.171058540298934E-2</v>
      </c>
      <c r="O8039" s="2">
        <f ca="1"/>
        <v>-0.19083125183687064</v>
      </c>
      <c r="X8039" s="2">
        <f ca="1"/>
        <v>88.203060827858366</v>
      </c>
      <c r="AG8039" s="2">
        <f ca="1"/>
        <v>0.22973734370760424</v>
      </c>
      <c r="AH8039" s="2" t="str">
        <f ca="1"/>
        <v>OK</v>
      </c>
    </row>
    <row r="8040" spans="2:34" x14ac:dyDescent="0.2">
      <c r="B8040" s="2">
        <f ca="1"/>
        <v>0.73011073471740295</v>
      </c>
      <c r="O8040" s="2">
        <f ca="1"/>
        <v>-9.9370743352580629E-2</v>
      </c>
      <c r="X8040" s="2">
        <f ca="1"/>
        <v>39.248804215270006</v>
      </c>
      <c r="AG8040" s="2">
        <f ca="1"/>
        <v>0.48637374511652753</v>
      </c>
      <c r="AH8040" s="2" t="str">
        <f ca="1"/>
        <v>Bad</v>
      </c>
    </row>
    <row r="8041" spans="2:34" x14ac:dyDescent="0.2">
      <c r="B8041" s="2">
        <f ca="1"/>
        <v>0.34076370826240598</v>
      </c>
      <c r="O8041" s="2">
        <f ca="1"/>
        <v>1.6097776953340261</v>
      </c>
      <c r="X8041" s="2">
        <f ca="1"/>
        <v>30.173805187463579</v>
      </c>
      <c r="AG8041" s="2">
        <f ca="1"/>
        <v>0.22995446450815904</v>
      </c>
      <c r="AH8041" s="2" t="str">
        <f ca="1"/>
        <v>OK</v>
      </c>
    </row>
    <row r="8042" spans="2:34" x14ac:dyDescent="0.2">
      <c r="B8042" s="2">
        <f ca="1"/>
        <v>0.50682762627234301</v>
      </c>
      <c r="O8042" s="2">
        <f ca="1"/>
        <v>-1.1433280105569845</v>
      </c>
      <c r="X8042" s="2">
        <f ca="1"/>
        <v>42.495165476682942</v>
      </c>
      <c r="AG8042" s="2">
        <f ca="1"/>
        <v>0.27784611243453905</v>
      </c>
      <c r="AH8042" s="2" t="str">
        <f ca="1"/>
        <v>OK</v>
      </c>
    </row>
    <row r="8043" spans="2:34" x14ac:dyDescent="0.2">
      <c r="B8043" s="2">
        <f ca="1"/>
        <v>0.19057679396965921</v>
      </c>
      <c r="O8043" s="2">
        <f ca="1"/>
        <v>-3.1311432769089018</v>
      </c>
      <c r="X8043" s="2">
        <f ca="1"/>
        <v>63.190016639702876</v>
      </c>
      <c r="AG8043" s="2">
        <f ca="1"/>
        <v>0.61589126974878394</v>
      </c>
      <c r="AH8043" s="2" t="str">
        <f ca="1"/>
        <v>Bad</v>
      </c>
    </row>
    <row r="8044" spans="2:34" x14ac:dyDescent="0.2">
      <c r="B8044" s="2">
        <f ca="1"/>
        <v>0.7819327744407627</v>
      </c>
      <c r="O8044" s="2">
        <f ca="1"/>
        <v>-0.81952224620278336</v>
      </c>
      <c r="X8044" s="2">
        <f ca="1"/>
        <v>67.395082004765669</v>
      </c>
      <c r="AG8044" s="2">
        <f ca="1"/>
        <v>2.9187103694163108E-2</v>
      </c>
      <c r="AH8044" s="2" t="str">
        <f ca="1"/>
        <v>Good</v>
      </c>
    </row>
    <row r="8045" spans="2:34" x14ac:dyDescent="0.2">
      <c r="B8045" s="2">
        <f ca="1"/>
        <v>0.86296335726437334</v>
      </c>
      <c r="O8045" s="2">
        <f ca="1"/>
        <v>0.33421328270594663</v>
      </c>
      <c r="X8045" s="2">
        <f ca="1"/>
        <v>48.425800541009366</v>
      </c>
      <c r="AG8045" s="2">
        <f ca="1"/>
        <v>0.91823851103165133</v>
      </c>
      <c r="AH8045" s="2" t="str">
        <f ca="1"/>
        <v>Bad</v>
      </c>
    </row>
    <row r="8046" spans="2:34" x14ac:dyDescent="0.2">
      <c r="B8046" s="2">
        <f ca="1"/>
        <v>0.40045616464558065</v>
      </c>
      <c r="O8046" s="2">
        <f ca="1"/>
        <v>0.43967644998434813</v>
      </c>
      <c r="X8046" s="2">
        <f ca="1"/>
        <v>40.478323748656528</v>
      </c>
      <c r="AG8046" s="2">
        <f ca="1"/>
        <v>0.75950471595695057</v>
      </c>
      <c r="AH8046" s="2" t="str">
        <f ca="1"/>
        <v>Bad</v>
      </c>
    </row>
    <row r="8047" spans="2:34" x14ac:dyDescent="0.2">
      <c r="B8047" s="2">
        <f ca="1"/>
        <v>0.46632860636089601</v>
      </c>
      <c r="O8047" s="2">
        <f ca="1"/>
        <v>0.88820515913591369</v>
      </c>
      <c r="X8047" s="2">
        <f ca="1"/>
        <v>46.261099165638328</v>
      </c>
      <c r="AG8047" s="2">
        <f ca="1"/>
        <v>0.79615370964134247</v>
      </c>
      <c r="AH8047" s="2" t="str">
        <f ca="1"/>
        <v>Bad</v>
      </c>
    </row>
    <row r="8048" spans="2:34" x14ac:dyDescent="0.2">
      <c r="B8048" s="2">
        <f ca="1"/>
        <v>0.97003630851456557</v>
      </c>
      <c r="O8048" s="2">
        <f ca="1"/>
        <v>0.47799161990825567</v>
      </c>
      <c r="X8048" s="2">
        <f ca="1"/>
        <v>54.305133522500419</v>
      </c>
      <c r="AG8048" s="2">
        <f ca="1"/>
        <v>0.32995351680053298</v>
      </c>
      <c r="AH8048" s="2" t="str">
        <f ca="1"/>
        <v>OK</v>
      </c>
    </row>
    <row r="8049" spans="2:34" x14ac:dyDescent="0.2">
      <c r="B8049" s="2">
        <f ca="1"/>
        <v>0.58913080094166159</v>
      </c>
      <c r="O8049" s="2">
        <f ca="1"/>
        <v>1.5538426734707182</v>
      </c>
      <c r="X8049" s="2">
        <f ca="1"/>
        <v>48.699555561922267</v>
      </c>
      <c r="AG8049" s="2">
        <f ca="1"/>
        <v>0.26698340484556771</v>
      </c>
      <c r="AH8049" s="2" t="str">
        <f ca="1"/>
        <v>OK</v>
      </c>
    </row>
    <row r="8050" spans="2:34" x14ac:dyDescent="0.2">
      <c r="B8050" s="2">
        <f ca="1"/>
        <v>0.89900409127440062</v>
      </c>
      <c r="O8050" s="2">
        <f ca="1"/>
        <v>0.59320332033128798</v>
      </c>
      <c r="X8050" s="2">
        <f ca="1"/>
        <v>49.740202613920445</v>
      </c>
      <c r="AG8050" s="2">
        <f ca="1"/>
        <v>0.99339378311493221</v>
      </c>
      <c r="AH8050" s="2" t="str">
        <f ca="1"/>
        <v>Bad</v>
      </c>
    </row>
    <row r="8051" spans="2:34" x14ac:dyDescent="0.2">
      <c r="B8051" s="2">
        <f ca="1"/>
        <v>7.653180313552177E-2</v>
      </c>
      <c r="O8051" s="2">
        <f ca="1"/>
        <v>-1.3923520953974953</v>
      </c>
      <c r="X8051" s="2">
        <f ca="1"/>
        <v>41.109598514682553</v>
      </c>
      <c r="AG8051" s="2">
        <f ca="1"/>
        <v>0.57180844882647941</v>
      </c>
      <c r="AH8051" s="2" t="str">
        <f ca="1"/>
        <v>Bad</v>
      </c>
    </row>
    <row r="8052" spans="2:34" x14ac:dyDescent="0.2">
      <c r="B8052" s="2">
        <f ca="1"/>
        <v>0.78883736517854319</v>
      </c>
      <c r="O8052" s="2">
        <f ca="1"/>
        <v>-0.31033393194612752</v>
      </c>
      <c r="X8052" s="2">
        <f ca="1"/>
        <v>86.032103280293896</v>
      </c>
      <c r="AG8052" s="2">
        <f ca="1"/>
        <v>0.56622956540919445</v>
      </c>
      <c r="AH8052" s="2" t="str">
        <f ca="1"/>
        <v>Bad</v>
      </c>
    </row>
    <row r="8053" spans="2:34" x14ac:dyDescent="0.2">
      <c r="B8053" s="2">
        <f ca="1"/>
        <v>6.6200342808607981E-2</v>
      </c>
      <c r="O8053" s="2">
        <f ca="1"/>
        <v>1.5838822000945187</v>
      </c>
      <c r="X8053" s="2">
        <f ca="1"/>
        <v>55.804030819418962</v>
      </c>
      <c r="AG8053" s="2">
        <f ca="1"/>
        <v>0.97053906844899118</v>
      </c>
      <c r="AH8053" s="2" t="str">
        <f ca="1"/>
        <v>Bad</v>
      </c>
    </row>
    <row r="8054" spans="2:34" x14ac:dyDescent="0.2">
      <c r="B8054" s="2">
        <f ca="1"/>
        <v>0.37406836631309326</v>
      </c>
      <c r="O8054" s="2">
        <f ca="1"/>
        <v>0.37133535799982598</v>
      </c>
      <c r="X8054" s="2">
        <f ca="1"/>
        <v>38.02536014940685</v>
      </c>
      <c r="AG8054" s="2">
        <f ca="1"/>
        <v>0.7409113247762984</v>
      </c>
      <c r="AH8054" s="2" t="str">
        <f ca="1"/>
        <v>Bad</v>
      </c>
    </row>
    <row r="8055" spans="2:34" x14ac:dyDescent="0.2">
      <c r="B8055" s="2">
        <f ca="1"/>
        <v>0.60586612354663005</v>
      </c>
      <c r="O8055" s="2">
        <f ca="1"/>
        <v>-0.51862997315639192</v>
      </c>
      <c r="X8055" s="2">
        <f ca="1"/>
        <v>31.226866109556614</v>
      </c>
      <c r="AG8055" s="2">
        <f ca="1"/>
        <v>0.86000296559377443</v>
      </c>
      <c r="AH8055" s="2" t="str">
        <f ca="1"/>
        <v>Bad</v>
      </c>
    </row>
    <row r="8056" spans="2:34" x14ac:dyDescent="0.2">
      <c r="B8056" s="2">
        <f ca="1"/>
        <v>0.52129274504405698</v>
      </c>
      <c r="O8056" s="2">
        <f ca="1"/>
        <v>-1.5005252589207216</v>
      </c>
      <c r="X8056" s="2">
        <f ca="1"/>
        <v>34.143657350004602</v>
      </c>
      <c r="AG8056" s="2">
        <f ca="1"/>
        <v>0.48914076701954512</v>
      </c>
      <c r="AH8056" s="2" t="str">
        <f ca="1"/>
        <v>Bad</v>
      </c>
    </row>
    <row r="8057" spans="2:34" x14ac:dyDescent="0.2">
      <c r="B8057" s="2">
        <f ca="1"/>
        <v>0.10125743780534635</v>
      </c>
      <c r="O8057" s="2">
        <f ca="1"/>
        <v>0.78691561936215604</v>
      </c>
      <c r="X8057" s="2">
        <f ca="1"/>
        <v>35.127540625227688</v>
      </c>
      <c r="AG8057" s="2">
        <f ca="1"/>
        <v>0.69103474335055504</v>
      </c>
      <c r="AH8057" s="2" t="str">
        <f ca="1"/>
        <v>Bad</v>
      </c>
    </row>
    <row r="8058" spans="2:34" x14ac:dyDescent="0.2">
      <c r="B8058" s="2">
        <f ca="1"/>
        <v>0.39300349922781352</v>
      </c>
      <c r="O8058" s="2">
        <f ca="1"/>
        <v>2.2267256810366471</v>
      </c>
      <c r="X8058" s="2">
        <f ca="1"/>
        <v>64.688162890329806</v>
      </c>
      <c r="AG8058" s="2">
        <f ca="1"/>
        <v>0.29720401920119977</v>
      </c>
      <c r="AH8058" s="2" t="str">
        <f ca="1"/>
        <v>OK</v>
      </c>
    </row>
    <row r="8059" spans="2:34" x14ac:dyDescent="0.2">
      <c r="B8059" s="2">
        <f ca="1"/>
        <v>0.62971974161014432</v>
      </c>
      <c r="O8059" s="2">
        <f ca="1"/>
        <v>-0.41698147403533725</v>
      </c>
      <c r="X8059" s="2">
        <f ca="1"/>
        <v>19.722167726108882</v>
      </c>
      <c r="AG8059" s="2">
        <f ca="1"/>
        <v>0.79327220356935468</v>
      </c>
      <c r="AH8059" s="2" t="str">
        <f ca="1"/>
        <v>Bad</v>
      </c>
    </row>
    <row r="8060" spans="2:34" x14ac:dyDescent="0.2">
      <c r="B8060" s="2">
        <f ca="1"/>
        <v>0.68985161209142198</v>
      </c>
      <c r="O8060" s="2">
        <f ca="1"/>
        <v>-0.17359904424932834</v>
      </c>
      <c r="X8060" s="2">
        <f ca="1"/>
        <v>45.40436593220668</v>
      </c>
      <c r="AG8060" s="2">
        <f ca="1"/>
        <v>0.80761840107824723</v>
      </c>
      <c r="AH8060" s="2" t="str">
        <f ca="1"/>
        <v>Bad</v>
      </c>
    </row>
    <row r="8061" spans="2:34" x14ac:dyDescent="0.2">
      <c r="B8061" s="2">
        <f ca="1"/>
        <v>0.99611258601225505</v>
      </c>
      <c r="O8061" s="2">
        <f ca="1"/>
        <v>0.24057319809574415</v>
      </c>
      <c r="X8061" s="2">
        <f ca="1"/>
        <v>53.112628957987056</v>
      </c>
      <c r="AG8061" s="2">
        <f ca="1"/>
        <v>0.38887231038276893</v>
      </c>
      <c r="AH8061" s="2" t="str">
        <f ca="1"/>
        <v>OK</v>
      </c>
    </row>
    <row r="8062" spans="2:34" x14ac:dyDescent="0.2">
      <c r="B8062" s="2">
        <f ca="1"/>
        <v>0.36755161038720474</v>
      </c>
      <c r="O8062" s="2">
        <f ca="1"/>
        <v>-0.24551076127987218</v>
      </c>
      <c r="X8062" s="2">
        <f ca="1"/>
        <v>66.31132919780238</v>
      </c>
      <c r="AG8062" s="2">
        <f ca="1"/>
        <v>0.61428110646775025</v>
      </c>
      <c r="AH8062" s="2" t="str">
        <f ca="1"/>
        <v>Bad</v>
      </c>
    </row>
    <row r="8063" spans="2:34" x14ac:dyDescent="0.2">
      <c r="B8063" s="2">
        <f ca="1"/>
        <v>0.76850029671319464</v>
      </c>
      <c r="O8063" s="2">
        <f ca="1"/>
        <v>1.2352698971562421</v>
      </c>
      <c r="X8063" s="2">
        <f ca="1"/>
        <v>59.078266091240806</v>
      </c>
      <c r="AG8063" s="2">
        <f ca="1"/>
        <v>0.18282289919943362</v>
      </c>
      <c r="AH8063" s="2" t="str">
        <f ca="1"/>
        <v>OK</v>
      </c>
    </row>
    <row r="8064" spans="2:34" x14ac:dyDescent="0.2">
      <c r="B8064" s="2">
        <f ca="1"/>
        <v>0.28586842145855029</v>
      </c>
      <c r="O8064" s="2">
        <f ca="1"/>
        <v>-0.61384013599705245</v>
      </c>
      <c r="X8064" s="2">
        <f ca="1"/>
        <v>54.966021529777514</v>
      </c>
      <c r="AG8064" s="2">
        <f ca="1"/>
        <v>0.77545874933205261</v>
      </c>
      <c r="AH8064" s="2" t="str">
        <f ca="1"/>
        <v>Bad</v>
      </c>
    </row>
    <row r="8065" spans="2:34" x14ac:dyDescent="0.2">
      <c r="B8065" s="2">
        <f ca="1"/>
        <v>0.22066890576542053</v>
      </c>
      <c r="O8065" s="2">
        <f ca="1"/>
        <v>0.44623741759560154</v>
      </c>
      <c r="X8065" s="2">
        <f ca="1"/>
        <v>27.064951820571075</v>
      </c>
      <c r="AG8065" s="2">
        <f ca="1"/>
        <v>0.52384020776769957</v>
      </c>
      <c r="AH8065" s="2" t="str">
        <f ca="1"/>
        <v>Bad</v>
      </c>
    </row>
    <row r="8066" spans="2:34" x14ac:dyDescent="0.2">
      <c r="B8066" s="2">
        <f ca="1"/>
        <v>0.54859489851012011</v>
      </c>
      <c r="O8066" s="2">
        <f ca="1"/>
        <v>0.94836716473130289</v>
      </c>
      <c r="X8066" s="2">
        <f ca="1"/>
        <v>48.821800648634138</v>
      </c>
      <c r="AG8066" s="2">
        <f ca="1"/>
        <v>0.71015903325943652</v>
      </c>
      <c r="AH8066" s="2" t="str">
        <f ca="1"/>
        <v>Bad</v>
      </c>
    </row>
    <row r="8067" spans="2:34" x14ac:dyDescent="0.2">
      <c r="B8067" s="2">
        <f ca="1"/>
        <v>0.61887909538706198</v>
      </c>
      <c r="O8067" s="2">
        <f ca="1"/>
        <v>-0.96960214256252675</v>
      </c>
      <c r="X8067" s="2">
        <f ca="1"/>
        <v>48.458385914256311</v>
      </c>
      <c r="AG8067" s="2">
        <f ca="1"/>
        <v>0.24833195390408025</v>
      </c>
      <c r="AH8067" s="2" t="str">
        <f ca="1"/>
        <v>OK</v>
      </c>
    </row>
    <row r="8068" spans="2:34" x14ac:dyDescent="0.2">
      <c r="B8068" s="2">
        <f ca="1"/>
        <v>0.65177730185597937</v>
      </c>
      <c r="O8068" s="2">
        <f ca="1"/>
        <v>-9.6115450289222124E-2</v>
      </c>
      <c r="X8068" s="2">
        <f ca="1"/>
        <v>55.153086576521339</v>
      </c>
      <c r="AG8068" s="2">
        <f ca="1"/>
        <v>0.61625700948447348</v>
      </c>
      <c r="AH8068" s="2" t="str">
        <f ca="1"/>
        <v>Bad</v>
      </c>
    </row>
    <row r="8069" spans="2:34" x14ac:dyDescent="0.2">
      <c r="B8069" s="2">
        <f ca="1"/>
        <v>0.36071390549492643</v>
      </c>
      <c r="O8069" s="2">
        <f ca="1"/>
        <v>0.37325933241874298</v>
      </c>
      <c r="X8069" s="2">
        <f ca="1"/>
        <v>81.299462275362828</v>
      </c>
      <c r="AG8069" s="2">
        <f ca="1"/>
        <v>0.64135848395667372</v>
      </c>
      <c r="AH8069" s="2" t="str">
        <f ca="1"/>
        <v>Bad</v>
      </c>
    </row>
    <row r="8070" spans="2:34" x14ac:dyDescent="0.2">
      <c r="B8070" s="2">
        <f ca="1"/>
        <v>0.90351277673740404</v>
      </c>
      <c r="O8070" s="2">
        <f ca="1"/>
        <v>5.9002647082822254E-2</v>
      </c>
      <c r="X8070" s="2">
        <f ca="1"/>
        <v>40.067577936158116</v>
      </c>
      <c r="AG8070" s="2">
        <f ca="1"/>
        <v>0.83998652323854173</v>
      </c>
      <c r="AH8070" s="2" t="str">
        <f ca="1"/>
        <v>Bad</v>
      </c>
    </row>
    <row r="8071" spans="2:34" x14ac:dyDescent="0.2">
      <c r="B8071" s="2">
        <f ca="1"/>
        <v>0.74517223261546861</v>
      </c>
      <c r="O8071" s="2">
        <f ca="1"/>
        <v>6.2115223770975357E-2</v>
      </c>
      <c r="X8071" s="2">
        <f ca="1"/>
        <v>68.185591306716006</v>
      </c>
      <c r="AG8071" s="2">
        <f ca="1"/>
        <v>0.44082633766461665</v>
      </c>
      <c r="AH8071" s="2" t="str">
        <f ca="1"/>
        <v>Bad</v>
      </c>
    </row>
    <row r="8072" spans="2:34" x14ac:dyDescent="0.2">
      <c r="B8072" s="2">
        <f ca="1"/>
        <v>0.56342982052157908</v>
      </c>
      <c r="O8072" s="2">
        <f ca="1"/>
        <v>1.8871561923654951</v>
      </c>
      <c r="X8072" s="2">
        <f ca="1"/>
        <v>44.280488781829384</v>
      </c>
      <c r="AG8072" s="2">
        <f ca="1"/>
        <v>0.6161891454586621</v>
      </c>
      <c r="AH8072" s="2" t="str">
        <f ca="1"/>
        <v>Bad</v>
      </c>
    </row>
    <row r="8073" spans="2:34" x14ac:dyDescent="0.2">
      <c r="B8073" s="2">
        <f ca="1"/>
        <v>0.14020463064830224</v>
      </c>
      <c r="O8073" s="2">
        <f ca="1"/>
        <v>-0.5902842970326696</v>
      </c>
      <c r="X8073" s="2">
        <f ca="1"/>
        <v>65.911574318633171</v>
      </c>
      <c r="AG8073" s="2">
        <f ca="1"/>
        <v>6.4003375968281873E-2</v>
      </c>
      <c r="AH8073" s="2" t="str">
        <f ca="1"/>
        <v>OK</v>
      </c>
    </row>
    <row r="8074" spans="2:34" x14ac:dyDescent="0.2">
      <c r="B8074" s="2">
        <f ca="1"/>
        <v>0.18395543189942476</v>
      </c>
      <c r="O8074" s="2">
        <f ca="1"/>
        <v>0.27660449897283934</v>
      </c>
      <c r="X8074" s="2">
        <f ca="1"/>
        <v>66.601294148265239</v>
      </c>
      <c r="AG8074" s="2">
        <f ca="1"/>
        <v>0.82874995159418141</v>
      </c>
      <c r="AH8074" s="2" t="str">
        <f ca="1"/>
        <v>Bad</v>
      </c>
    </row>
    <row r="8075" spans="2:34" x14ac:dyDescent="0.2">
      <c r="B8075" s="2">
        <f ca="1"/>
        <v>0.74153628926358284</v>
      </c>
      <c r="O8075" s="2">
        <f ca="1"/>
        <v>0.14772895914790446</v>
      </c>
      <c r="X8075" s="2">
        <f ca="1"/>
        <v>52.408868952299329</v>
      </c>
      <c r="AG8075" s="2">
        <f ca="1"/>
        <v>5.4261490015550695E-2</v>
      </c>
      <c r="AH8075" s="2" t="str">
        <f ca="1"/>
        <v>OK</v>
      </c>
    </row>
    <row r="8076" spans="2:34" x14ac:dyDescent="0.2">
      <c r="B8076" s="2">
        <f ca="1"/>
        <v>3.475145440437255E-2</v>
      </c>
      <c r="O8076" s="2">
        <f ca="1"/>
        <v>-1.2036764681877374</v>
      </c>
      <c r="X8076" s="2">
        <f ca="1"/>
        <v>39.67579759032774</v>
      </c>
      <c r="AG8076" s="2">
        <f ca="1"/>
        <v>0.73091047203733495</v>
      </c>
      <c r="AH8076" s="2" t="str">
        <f ca="1"/>
        <v>Bad</v>
      </c>
    </row>
    <row r="8077" spans="2:34" x14ac:dyDescent="0.2">
      <c r="B8077" s="2">
        <f ca="1"/>
        <v>0.49118352221661987</v>
      </c>
      <c r="O8077" s="2">
        <f ca="1"/>
        <v>0.26523142681070211</v>
      </c>
      <c r="X8077" s="2">
        <f ca="1"/>
        <v>49.853030435927067</v>
      </c>
      <c r="AG8077" s="2">
        <f ca="1"/>
        <v>0.69865980860662869</v>
      </c>
      <c r="AH8077" s="2" t="str">
        <f ca="1"/>
        <v>Bad</v>
      </c>
    </row>
    <row r="8078" spans="2:34" x14ac:dyDescent="0.2">
      <c r="B8078" s="2">
        <f ca="1"/>
        <v>0.66547581634886144</v>
      </c>
      <c r="O8078" s="2">
        <f ca="1"/>
        <v>0.87545804620052037</v>
      </c>
      <c r="X8078" s="2">
        <f ca="1"/>
        <v>52.715202104750546</v>
      </c>
      <c r="AG8078" s="2">
        <f ca="1"/>
        <v>0.65846315796322274</v>
      </c>
      <c r="AH8078" s="2" t="str">
        <f ca="1"/>
        <v>Bad</v>
      </c>
    </row>
    <row r="8079" spans="2:34" x14ac:dyDescent="0.2">
      <c r="B8079" s="2">
        <f ca="1"/>
        <v>0.16768719416419375</v>
      </c>
      <c r="O8079" s="2">
        <f ca="1"/>
        <v>-0.61400637972737548</v>
      </c>
      <c r="X8079" s="2">
        <f ca="1"/>
        <v>45.155248283374632</v>
      </c>
      <c r="AG8079" s="2">
        <f ca="1"/>
        <v>0.24656405174583895</v>
      </c>
      <c r="AH8079" s="2" t="str">
        <f ca="1"/>
        <v>OK</v>
      </c>
    </row>
    <row r="8080" spans="2:34" x14ac:dyDescent="0.2">
      <c r="B8080" s="2">
        <f ca="1"/>
        <v>0.41112238771410614</v>
      </c>
      <c r="O8080" s="2">
        <f ca="1"/>
        <v>-0.25259079427355929</v>
      </c>
      <c r="X8080" s="2">
        <f ca="1"/>
        <v>42.863559743086043</v>
      </c>
      <c r="AG8080" s="2">
        <f ca="1"/>
        <v>0.27480369099796098</v>
      </c>
      <c r="AH8080" s="2" t="str">
        <f ca="1"/>
        <v>OK</v>
      </c>
    </row>
    <row r="8081" spans="2:34" x14ac:dyDescent="0.2">
      <c r="B8081" s="2">
        <f ca="1"/>
        <v>0.35010409161801403</v>
      </c>
      <c r="O8081" s="2">
        <f ca="1"/>
        <v>-1.1799918823580304</v>
      </c>
      <c r="X8081" s="2">
        <f ca="1"/>
        <v>57.082475200549467</v>
      </c>
      <c r="AG8081" s="2">
        <f ca="1"/>
        <v>0.63703000627424999</v>
      </c>
      <c r="AH8081" s="2" t="str">
        <f ca="1"/>
        <v>Bad</v>
      </c>
    </row>
    <row r="8082" spans="2:34" x14ac:dyDescent="0.2">
      <c r="B8082" s="2">
        <f ca="1"/>
        <v>0.74514079007974621</v>
      </c>
      <c r="O8082" s="2">
        <f ca="1"/>
        <v>2.0263577189182418</v>
      </c>
      <c r="X8082" s="2">
        <f ca="1"/>
        <v>82.937577355206599</v>
      </c>
      <c r="AG8082" s="2">
        <f ca="1"/>
        <v>2.0608947394275878E-2</v>
      </c>
      <c r="AH8082" s="2" t="str">
        <f ca="1"/>
        <v>Good</v>
      </c>
    </row>
    <row r="8083" spans="2:34" x14ac:dyDescent="0.2">
      <c r="B8083" s="2">
        <f ca="1"/>
        <v>0.54430944736152642</v>
      </c>
      <c r="O8083" s="2">
        <f ca="1"/>
        <v>1.32458154732254</v>
      </c>
      <c r="X8083" s="2">
        <f ca="1"/>
        <v>40.042776205891244</v>
      </c>
      <c r="AG8083" s="2">
        <f ca="1"/>
        <v>0.8515319149654379</v>
      </c>
      <c r="AH8083" s="2" t="str">
        <f ca="1"/>
        <v>Bad</v>
      </c>
    </row>
    <row r="8084" spans="2:34" x14ac:dyDescent="0.2">
      <c r="B8084" s="2">
        <f ca="1"/>
        <v>0.99506989934198353</v>
      </c>
      <c r="O8084" s="2">
        <f ca="1"/>
        <v>0.28395862047076859</v>
      </c>
      <c r="X8084" s="2">
        <f ca="1"/>
        <v>64.759512780048738</v>
      </c>
      <c r="AG8084" s="2">
        <f ca="1"/>
        <v>0.87173994822495038</v>
      </c>
      <c r="AH8084" s="2" t="str">
        <f ca="1"/>
        <v>Bad</v>
      </c>
    </row>
    <row r="8085" spans="2:34" x14ac:dyDescent="0.2">
      <c r="B8085" s="2">
        <f ca="1"/>
        <v>0.66174250839976767</v>
      </c>
      <c r="O8085" s="2">
        <f ca="1"/>
        <v>-0.23633648515298997</v>
      </c>
      <c r="X8085" s="2">
        <f ca="1"/>
        <v>52.09877900639799</v>
      </c>
      <c r="AG8085" s="2">
        <f ca="1"/>
        <v>0.2184578064122924</v>
      </c>
      <c r="AH8085" s="2" t="str">
        <f ca="1"/>
        <v>OK</v>
      </c>
    </row>
    <row r="8086" spans="2:34" x14ac:dyDescent="0.2">
      <c r="B8086" s="2">
        <f ca="1"/>
        <v>0.96510124364581484</v>
      </c>
      <c r="O8086" s="2">
        <f ca="1"/>
        <v>-1.1543230961489122</v>
      </c>
      <c r="X8086" s="2">
        <f ca="1"/>
        <v>35.313682726395498</v>
      </c>
      <c r="AG8086" s="2">
        <f ca="1"/>
        <v>0.30771651567717484</v>
      </c>
      <c r="AH8086" s="2" t="str">
        <f ca="1"/>
        <v>OK</v>
      </c>
    </row>
    <row r="8087" spans="2:34" x14ac:dyDescent="0.2">
      <c r="B8087" s="2">
        <f ca="1"/>
        <v>0.14762745448113623</v>
      </c>
      <c r="O8087" s="2">
        <f ca="1"/>
        <v>-1.2358331842572701</v>
      </c>
      <c r="X8087" s="2">
        <f ca="1"/>
        <v>57.333090772498252</v>
      </c>
      <c r="AG8087" s="2">
        <f ca="1"/>
        <v>0.1299416759637626</v>
      </c>
      <c r="AH8087" s="2" t="str">
        <f ca="1"/>
        <v>OK</v>
      </c>
    </row>
    <row r="8088" spans="2:34" x14ac:dyDescent="0.2">
      <c r="B8088" s="2">
        <f ca="1"/>
        <v>0.92012581971555396</v>
      </c>
      <c r="O8088" s="2">
        <f ca="1"/>
        <v>-0.35826457052273181</v>
      </c>
      <c r="X8088" s="2">
        <f ca="1"/>
        <v>32.480091205212979</v>
      </c>
      <c r="AG8088" s="2">
        <f ca="1"/>
        <v>0.96127787029932943</v>
      </c>
      <c r="AH8088" s="2" t="str">
        <f ca="1"/>
        <v>Bad</v>
      </c>
    </row>
    <row r="8089" spans="2:34" x14ac:dyDescent="0.2">
      <c r="B8089" s="2">
        <f ca="1"/>
        <v>4.5468970782979845E-2</v>
      </c>
      <c r="O8089" s="2">
        <f ca="1"/>
        <v>-0.47999123262104215</v>
      </c>
      <c r="X8089" s="2">
        <f ca="1"/>
        <v>55.747588097604115</v>
      </c>
      <c r="AG8089" s="2">
        <f ca="1"/>
        <v>0.65915175191588626</v>
      </c>
      <c r="AH8089" s="2" t="str">
        <f ca="1"/>
        <v>Bad</v>
      </c>
    </row>
    <row r="8090" spans="2:34" x14ac:dyDescent="0.2">
      <c r="B8090" s="2">
        <f ca="1"/>
        <v>0.2152123486373072</v>
      </c>
      <c r="O8090" s="2">
        <f ca="1"/>
        <v>0.61769933768693464</v>
      </c>
      <c r="X8090" s="2">
        <f ca="1"/>
        <v>62.082487178809004</v>
      </c>
      <c r="AG8090" s="2">
        <f ca="1"/>
        <v>0.67437198557701894</v>
      </c>
      <c r="AH8090" s="2" t="str">
        <f ca="1"/>
        <v>Bad</v>
      </c>
    </row>
    <row r="8091" spans="2:34" x14ac:dyDescent="0.2">
      <c r="B8091" s="2">
        <f ca="1"/>
        <v>0.89424060322589072</v>
      </c>
      <c r="O8091" s="2">
        <f ca="1"/>
        <v>0.57551704841622142</v>
      </c>
      <c r="X8091" s="2">
        <f ca="1"/>
        <v>44.228340901378033</v>
      </c>
      <c r="AG8091" s="2">
        <f ca="1"/>
        <v>0.92690130143224581</v>
      </c>
      <c r="AH8091" s="2" t="str">
        <f ca="1"/>
        <v>Bad</v>
      </c>
    </row>
    <row r="8092" spans="2:34" x14ac:dyDescent="0.2">
      <c r="B8092" s="2">
        <f ca="1"/>
        <v>0.29460711038727649</v>
      </c>
      <c r="O8092" s="2">
        <f ca="1"/>
        <v>-1.9759426775939437</v>
      </c>
      <c r="X8092" s="2">
        <f ca="1"/>
        <v>74.760383408582427</v>
      </c>
      <c r="AG8092" s="2">
        <f ca="1"/>
        <v>3.3486133291835252E-2</v>
      </c>
      <c r="AH8092" s="2" t="str">
        <f ca="1"/>
        <v>Good</v>
      </c>
    </row>
    <row r="8093" spans="2:34" x14ac:dyDescent="0.2">
      <c r="B8093" s="2">
        <f ca="1"/>
        <v>0.51813549662722602</v>
      </c>
      <c r="O8093" s="2">
        <f ca="1"/>
        <v>-1.2833723355768425</v>
      </c>
      <c r="X8093" s="2">
        <f ca="1"/>
        <v>49.550577086071186</v>
      </c>
      <c r="AG8093" s="2">
        <f ca="1"/>
        <v>0.17804329008552067</v>
      </c>
      <c r="AH8093" s="2" t="str">
        <f ca="1"/>
        <v>OK</v>
      </c>
    </row>
    <row r="8094" spans="2:34" x14ac:dyDescent="0.2">
      <c r="B8094" s="2">
        <f ca="1"/>
        <v>0.84262437644011601</v>
      </c>
      <c r="O8094" s="2">
        <f ca="1"/>
        <v>0.79089100655655153</v>
      </c>
      <c r="X8094" s="2">
        <f ca="1"/>
        <v>51.378660173250445</v>
      </c>
      <c r="AG8094" s="2">
        <f ca="1"/>
        <v>3.0038769311741431E-2</v>
      </c>
      <c r="AH8094" s="2" t="str">
        <f ca="1"/>
        <v>Good</v>
      </c>
    </row>
    <row r="8095" spans="2:34" x14ac:dyDescent="0.2">
      <c r="B8095" s="2">
        <f ca="1"/>
        <v>0.44781569025013179</v>
      </c>
      <c r="O8095" s="2">
        <f ca="1"/>
        <v>-1.018467015366022</v>
      </c>
      <c r="X8095" s="2">
        <f ca="1"/>
        <v>25.568262844252033</v>
      </c>
      <c r="AG8095" s="2">
        <f ca="1"/>
        <v>0.68923082968018745</v>
      </c>
      <c r="AH8095" s="2" t="str">
        <f ca="1"/>
        <v>Bad</v>
      </c>
    </row>
    <row r="8096" spans="2:34" x14ac:dyDescent="0.2">
      <c r="B8096" s="2">
        <f ca="1"/>
        <v>0.43555388930223637</v>
      </c>
      <c r="O8096" s="2">
        <f ca="1"/>
        <v>-0.23002645189746493</v>
      </c>
      <c r="X8096" s="2">
        <f ca="1"/>
        <v>44.542333932044642</v>
      </c>
      <c r="AG8096" s="2">
        <f ca="1"/>
        <v>0.77227247756919803</v>
      </c>
      <c r="AH8096" s="2" t="str">
        <f ca="1"/>
        <v>Bad</v>
      </c>
    </row>
    <row r="8097" spans="2:34" x14ac:dyDescent="0.2">
      <c r="B8097" s="2">
        <f ca="1"/>
        <v>0.21132375817886806</v>
      </c>
      <c r="O8097" s="2">
        <f ca="1"/>
        <v>-2.1162862675516325</v>
      </c>
      <c r="X8097" s="2">
        <f ca="1"/>
        <v>45.129824907377994</v>
      </c>
      <c r="AG8097" s="2">
        <f ca="1"/>
        <v>0.86724192116605936</v>
      </c>
      <c r="AH8097" s="2" t="str">
        <f ca="1"/>
        <v>Bad</v>
      </c>
    </row>
    <row r="8098" spans="2:34" x14ac:dyDescent="0.2">
      <c r="B8098" s="2">
        <f ca="1"/>
        <v>0.26032857637158702</v>
      </c>
      <c r="O8098" s="2">
        <f ca="1"/>
        <v>2.1814634375969102</v>
      </c>
      <c r="X8098" s="2">
        <f ca="1"/>
        <v>48.215578167793879</v>
      </c>
      <c r="AG8098" s="2">
        <f ca="1"/>
        <v>0.84683325100341378</v>
      </c>
      <c r="AH8098" s="2" t="str">
        <f ca="1"/>
        <v>Bad</v>
      </c>
    </row>
    <row r="8099" spans="2:34" x14ac:dyDescent="0.2">
      <c r="B8099" s="2">
        <f ca="1"/>
        <v>0.31345422251016686</v>
      </c>
      <c r="O8099" s="2">
        <f ca="1"/>
        <v>-0.26216771680743695</v>
      </c>
      <c r="X8099" s="2">
        <f ca="1"/>
        <v>80.33926865273537</v>
      </c>
      <c r="AG8099" s="2">
        <f ca="1"/>
        <v>0.63089374453941405</v>
      </c>
      <c r="AH8099" s="2" t="str">
        <f ca="1"/>
        <v>Bad</v>
      </c>
    </row>
    <row r="8100" spans="2:34" x14ac:dyDescent="0.2">
      <c r="B8100" s="2">
        <f ca="1"/>
        <v>0.22676538950858927</v>
      </c>
      <c r="O8100" s="2">
        <f ca="1"/>
        <v>-0.36310812250112073</v>
      </c>
      <c r="X8100" s="2">
        <f ca="1"/>
        <v>45.5828760844838</v>
      </c>
      <c r="AG8100" s="2">
        <f ca="1"/>
        <v>0.53577587498888857</v>
      </c>
      <c r="AH8100" s="2" t="str">
        <f ca="1"/>
        <v>Bad</v>
      </c>
    </row>
    <row r="8101" spans="2:34" x14ac:dyDescent="0.2">
      <c r="B8101" s="2">
        <f ca="1"/>
        <v>0.91420448377923313</v>
      </c>
      <c r="O8101" s="2">
        <f ca="1"/>
        <v>6.4717628405435634E-3</v>
      </c>
      <c r="X8101" s="2">
        <f ca="1"/>
        <v>48.807853545718203</v>
      </c>
      <c r="AG8101" s="2">
        <f ca="1"/>
        <v>0.66726820404463894</v>
      </c>
      <c r="AH8101" s="2" t="str">
        <f ca="1"/>
        <v>Bad</v>
      </c>
    </row>
    <row r="8102" spans="2:34" x14ac:dyDescent="0.2">
      <c r="B8102" s="2">
        <f ca="1"/>
        <v>0.86916178430679514</v>
      </c>
      <c r="O8102" s="2">
        <f ca="1"/>
        <v>-2.2040084242429487</v>
      </c>
      <c r="X8102" s="2">
        <f ca="1"/>
        <v>42.312940860349457</v>
      </c>
      <c r="AG8102" s="2">
        <f ca="1"/>
        <v>0.52724703089362279</v>
      </c>
      <c r="AH8102" s="2" t="str">
        <f ca="1"/>
        <v>Bad</v>
      </c>
    </row>
    <row r="8103" spans="2:34" x14ac:dyDescent="0.2">
      <c r="B8103" s="2">
        <f ca="1"/>
        <v>6.2530423582135786E-2</v>
      </c>
      <c r="O8103" s="2">
        <f ca="1"/>
        <v>1.0933344293718221</v>
      </c>
      <c r="X8103" s="2">
        <f ca="1"/>
        <v>46.965219520952601</v>
      </c>
      <c r="AG8103" s="2">
        <f ca="1"/>
        <v>0.46233336229221811</v>
      </c>
      <c r="AH8103" s="2" t="str">
        <f ca="1"/>
        <v>Bad</v>
      </c>
    </row>
    <row r="8104" spans="2:34" x14ac:dyDescent="0.2">
      <c r="B8104" s="2">
        <f ca="1"/>
        <v>0.35216951705690058</v>
      </c>
      <c r="O8104" s="2">
        <f ca="1"/>
        <v>0.75951209008093945</v>
      </c>
      <c r="X8104" s="2">
        <f ca="1"/>
        <v>56.768905418138971</v>
      </c>
      <c r="AG8104" s="2">
        <f ca="1"/>
        <v>0.44815388371590825</v>
      </c>
      <c r="AH8104" s="2" t="str">
        <f ca="1"/>
        <v>Bad</v>
      </c>
    </row>
    <row r="8105" spans="2:34" x14ac:dyDescent="0.2">
      <c r="B8105" s="2">
        <f ca="1"/>
        <v>0.34419207916902628</v>
      </c>
      <c r="O8105" s="2">
        <f ca="1"/>
        <v>-0.16704617380118494</v>
      </c>
      <c r="X8105" s="2">
        <f ca="1"/>
        <v>73.164451104219353</v>
      </c>
      <c r="AG8105" s="2">
        <f ca="1"/>
        <v>0.29471488276494329</v>
      </c>
      <c r="AH8105" s="2" t="str">
        <f ca="1"/>
        <v>OK</v>
      </c>
    </row>
    <row r="8106" spans="2:34" x14ac:dyDescent="0.2">
      <c r="B8106" s="2">
        <f ca="1"/>
        <v>0.90048025285219713</v>
      </c>
      <c r="O8106" s="2">
        <f ca="1"/>
        <v>0.60971455424901266</v>
      </c>
      <c r="X8106" s="2">
        <f ca="1"/>
        <v>72.952569844654377</v>
      </c>
      <c r="AG8106" s="2">
        <f ca="1"/>
        <v>0.98286413450895505</v>
      </c>
      <c r="AH8106" s="2" t="str">
        <f ca="1"/>
        <v>Bad</v>
      </c>
    </row>
    <row r="8107" spans="2:34" x14ac:dyDescent="0.2">
      <c r="B8107" s="2">
        <f ca="1"/>
        <v>0.95192620198473255</v>
      </c>
      <c r="O8107" s="2">
        <f ca="1"/>
        <v>0.44409378910402275</v>
      </c>
      <c r="X8107" s="2">
        <f ca="1"/>
        <v>45.822193139908464</v>
      </c>
      <c r="AG8107" s="2">
        <f ca="1"/>
        <v>0.18946556817468618</v>
      </c>
      <c r="AH8107" s="2" t="str">
        <f ca="1"/>
        <v>OK</v>
      </c>
    </row>
    <row r="8108" spans="2:34" x14ac:dyDescent="0.2">
      <c r="B8108" s="2">
        <f ca="1"/>
        <v>0.88148454002288457</v>
      </c>
      <c r="O8108" s="2">
        <f ca="1"/>
        <v>0.35144131270508305</v>
      </c>
      <c r="X8108" s="2">
        <f ca="1"/>
        <v>30.878738883200963</v>
      </c>
      <c r="AG8108" s="2">
        <f ca="1"/>
        <v>0.3065188783262629</v>
      </c>
      <c r="AH8108" s="2" t="str">
        <f ca="1"/>
        <v>OK</v>
      </c>
    </row>
    <row r="8109" spans="2:34" x14ac:dyDescent="0.2">
      <c r="B8109" s="2">
        <f ca="1"/>
        <v>0.24004022484903897</v>
      </c>
      <c r="O8109" s="2">
        <f ca="1"/>
        <v>-1.4384809630127833</v>
      </c>
      <c r="X8109" s="2">
        <f ca="1"/>
        <v>60.118313787406876</v>
      </c>
      <c r="AG8109" s="2">
        <f ca="1"/>
        <v>0.41863934030381844</v>
      </c>
      <c r="AH8109" s="2" t="str">
        <f ca="1"/>
        <v>Bad</v>
      </c>
    </row>
    <row r="8110" spans="2:34" x14ac:dyDescent="0.2">
      <c r="B8110" s="2">
        <f ca="1"/>
        <v>0.79663958790703626</v>
      </c>
      <c r="O8110" s="2">
        <f ca="1"/>
        <v>-1.7984458908216778</v>
      </c>
      <c r="X8110" s="2">
        <f ca="1"/>
        <v>36.938386734391159</v>
      </c>
      <c r="AG8110" s="2">
        <f ca="1"/>
        <v>3.7161939248607556E-2</v>
      </c>
      <c r="AH8110" s="2" t="str">
        <f ca="1"/>
        <v>Good</v>
      </c>
    </row>
    <row r="8111" spans="2:34" x14ac:dyDescent="0.2">
      <c r="B8111" s="2">
        <f ca="1"/>
        <v>0.85081451566693755</v>
      </c>
      <c r="O8111" s="2">
        <f ca="1"/>
        <v>-0.94302361593400663</v>
      </c>
      <c r="X8111" s="2">
        <f ca="1"/>
        <v>31.695637253759781</v>
      </c>
      <c r="AG8111" s="2">
        <f ca="1"/>
        <v>0.93164448911345943</v>
      </c>
      <c r="AH8111" s="2" t="str">
        <f ca="1"/>
        <v>Bad</v>
      </c>
    </row>
    <row r="8112" spans="2:34" x14ac:dyDescent="0.2">
      <c r="B8112" s="2">
        <f ca="1"/>
        <v>1.4951436528266138E-2</v>
      </c>
      <c r="O8112" s="2">
        <f ca="1"/>
        <v>-1.1434757962849849</v>
      </c>
      <c r="X8112" s="2">
        <f ca="1"/>
        <v>56.18820224455088</v>
      </c>
      <c r="AG8112" s="2">
        <f ca="1"/>
        <v>0.73207171244412872</v>
      </c>
      <c r="AH8112" s="2" t="str">
        <f ca="1"/>
        <v>Bad</v>
      </c>
    </row>
    <row r="8113" spans="2:34" x14ac:dyDescent="0.2">
      <c r="B8113" s="2">
        <f ca="1"/>
        <v>0.22434581328694425</v>
      </c>
      <c r="O8113" s="2">
        <f ca="1"/>
        <v>1.7374323358053214</v>
      </c>
      <c r="X8113" s="2">
        <f ca="1"/>
        <v>37.227086844127093</v>
      </c>
      <c r="AG8113" s="2">
        <f ca="1"/>
        <v>6.8674682111009799E-2</v>
      </c>
      <c r="AH8113" s="2" t="str">
        <f ca="1"/>
        <v>OK</v>
      </c>
    </row>
    <row r="8114" spans="2:34" x14ac:dyDescent="0.2">
      <c r="B8114" s="2">
        <f ca="1"/>
        <v>5.829083173942573E-2</v>
      </c>
      <c r="O8114" s="2">
        <f ca="1"/>
        <v>-0.39631678979107704</v>
      </c>
      <c r="X8114" s="2">
        <f ca="1"/>
        <v>61.044832631042894</v>
      </c>
      <c r="AG8114" s="2">
        <f ca="1"/>
        <v>0.2111959902611491</v>
      </c>
      <c r="AH8114" s="2" t="str">
        <f ca="1"/>
        <v>OK</v>
      </c>
    </row>
    <row r="8115" spans="2:34" x14ac:dyDescent="0.2">
      <c r="B8115" s="2">
        <f ca="1"/>
        <v>0.8000168456149328</v>
      </c>
      <c r="O8115" s="2">
        <f ca="1"/>
        <v>-0.53137114738035685</v>
      </c>
      <c r="X8115" s="2">
        <f ca="1"/>
        <v>59.185174280955721</v>
      </c>
      <c r="AG8115" s="2">
        <f ca="1"/>
        <v>0.96729077427429977</v>
      </c>
      <c r="AH8115" s="2" t="str">
        <f ca="1"/>
        <v>Bad</v>
      </c>
    </row>
    <row r="8116" spans="2:34" x14ac:dyDescent="0.2">
      <c r="B8116" s="2">
        <f ca="1"/>
        <v>0.42153378145289544</v>
      </c>
      <c r="O8116" s="2">
        <f ca="1"/>
        <v>-0.83406948645834911</v>
      </c>
      <c r="X8116" s="2">
        <f ca="1"/>
        <v>41.034151858808613</v>
      </c>
      <c r="AG8116" s="2">
        <f ca="1"/>
        <v>0.5699610755492821</v>
      </c>
      <c r="AH8116" s="2" t="str">
        <f ca="1"/>
        <v>Bad</v>
      </c>
    </row>
    <row r="8117" spans="2:34" x14ac:dyDescent="0.2">
      <c r="B8117" s="2">
        <f ca="1"/>
        <v>0.78274292938680823</v>
      </c>
      <c r="O8117" s="2">
        <f ca="1"/>
        <v>0.49204291954413054</v>
      </c>
      <c r="X8117" s="2">
        <f ca="1"/>
        <v>57.237916757305896</v>
      </c>
      <c r="AG8117" s="2">
        <f ca="1"/>
        <v>0.80193492201980954</v>
      </c>
      <c r="AH8117" s="2" t="str">
        <f ca="1"/>
        <v>Bad</v>
      </c>
    </row>
    <row r="8118" spans="2:34" x14ac:dyDescent="0.2">
      <c r="B8118" s="2">
        <f ca="1"/>
        <v>0.31117757556743197</v>
      </c>
      <c r="O8118" s="2">
        <f ca="1"/>
        <v>-6.4611204408351872E-2</v>
      </c>
      <c r="X8118" s="2">
        <f ca="1"/>
        <v>44.635892160087742</v>
      </c>
      <c r="AG8118" s="2">
        <f ca="1"/>
        <v>0.25438272669450446</v>
      </c>
      <c r="AH8118" s="2" t="str">
        <f ca="1"/>
        <v>OK</v>
      </c>
    </row>
    <row r="8119" spans="2:34" x14ac:dyDescent="0.2">
      <c r="B8119" s="2">
        <f ca="1"/>
        <v>0.60787432276179421</v>
      </c>
      <c r="O8119" s="2">
        <f ca="1"/>
        <v>1.0596401910431772</v>
      </c>
      <c r="X8119" s="2">
        <f ca="1"/>
        <v>39.741240220148143</v>
      </c>
      <c r="AG8119" s="2">
        <f ca="1"/>
        <v>0.15769115572215142</v>
      </c>
      <c r="AH8119" s="2" t="str">
        <f ca="1"/>
        <v>OK</v>
      </c>
    </row>
    <row r="8120" spans="2:34" x14ac:dyDescent="0.2">
      <c r="B8120" s="2">
        <f ca="1"/>
        <v>0.33960796155868311</v>
      </c>
      <c r="O8120" s="2">
        <f ca="1"/>
        <v>0.71024490019235742</v>
      </c>
      <c r="X8120" s="2">
        <f ca="1"/>
        <v>39.602200106998488</v>
      </c>
      <c r="AG8120" s="2">
        <f ca="1"/>
        <v>0.12455737922230758</v>
      </c>
      <c r="AH8120" s="2" t="str">
        <f ca="1"/>
        <v>OK</v>
      </c>
    </row>
    <row r="8121" spans="2:34" x14ac:dyDescent="0.2">
      <c r="B8121" s="2">
        <f ca="1"/>
        <v>0.76573785449416132</v>
      </c>
      <c r="O8121" s="2">
        <f ca="1"/>
        <v>2.1299482897905597</v>
      </c>
      <c r="X8121" s="2">
        <f ca="1"/>
        <v>58.434301539583096</v>
      </c>
      <c r="AG8121" s="2">
        <f ca="1"/>
        <v>0.81858084759801852</v>
      </c>
      <c r="AH8121" s="2" t="str">
        <f ca="1"/>
        <v>Bad</v>
      </c>
    </row>
    <row r="8122" spans="2:34" x14ac:dyDescent="0.2">
      <c r="B8122" s="2">
        <f ca="1"/>
        <v>0.17576938020986344</v>
      </c>
      <c r="O8122" s="2">
        <f ca="1"/>
        <v>0.42560361549262743</v>
      </c>
      <c r="X8122" s="2">
        <f ca="1"/>
        <v>55.645989504325726</v>
      </c>
      <c r="AG8122" s="2">
        <f ca="1"/>
        <v>0.86736705180226692</v>
      </c>
      <c r="AH8122" s="2" t="str">
        <f ca="1"/>
        <v>Bad</v>
      </c>
    </row>
    <row r="8123" spans="2:34" x14ac:dyDescent="0.2">
      <c r="B8123" s="2">
        <f ca="1"/>
        <v>0.53747275797702354</v>
      </c>
      <c r="O8123" s="2">
        <f ca="1"/>
        <v>-0.35716320380104849</v>
      </c>
      <c r="X8123" s="2">
        <f ca="1"/>
        <v>59.065095850297872</v>
      </c>
      <c r="AG8123" s="2">
        <f ca="1"/>
        <v>0.65448797868141462</v>
      </c>
      <c r="AH8123" s="2" t="str">
        <f ca="1"/>
        <v>Bad</v>
      </c>
    </row>
    <row r="8124" spans="2:34" x14ac:dyDescent="0.2">
      <c r="B8124" s="2">
        <f ca="1"/>
        <v>0.72842258287265271</v>
      </c>
      <c r="O8124" s="2">
        <f ca="1"/>
        <v>2.1063876524344565</v>
      </c>
      <c r="X8124" s="2">
        <f ca="1"/>
        <v>81.180740059854699</v>
      </c>
      <c r="AG8124" s="2">
        <f ca="1"/>
        <v>0.68878046809564597</v>
      </c>
      <c r="AH8124" s="2" t="str">
        <f ca="1"/>
        <v>Bad</v>
      </c>
    </row>
    <row r="8125" spans="2:34" x14ac:dyDescent="0.2">
      <c r="B8125" s="2">
        <f ca="1"/>
        <v>0.6620970777670252</v>
      </c>
      <c r="O8125" s="2">
        <f ca="1"/>
        <v>0.95407828987051047</v>
      </c>
      <c r="X8125" s="2">
        <f ca="1"/>
        <v>29.647028359172918</v>
      </c>
      <c r="AG8125" s="2">
        <f ca="1"/>
        <v>8.0113744233242468E-2</v>
      </c>
      <c r="AH8125" s="2" t="str">
        <f ca="1"/>
        <v>OK</v>
      </c>
    </row>
    <row r="8126" spans="2:34" x14ac:dyDescent="0.2">
      <c r="B8126" s="2">
        <f ca="1"/>
        <v>0.40065642540238633</v>
      </c>
      <c r="O8126" s="2">
        <f ca="1"/>
        <v>-1.1256185167670156</v>
      </c>
      <c r="X8126" s="2">
        <f ca="1"/>
        <v>38.283354663198338</v>
      </c>
      <c r="AG8126" s="2">
        <f ca="1"/>
        <v>0.49519070062259951</v>
      </c>
      <c r="AH8126" s="2" t="str">
        <f ca="1"/>
        <v>Bad</v>
      </c>
    </row>
    <row r="8127" spans="2:34" x14ac:dyDescent="0.2">
      <c r="B8127" s="2">
        <f ca="1"/>
        <v>0.18078477018397643</v>
      </c>
      <c r="O8127" s="2">
        <f ca="1"/>
        <v>0.10462540296066539</v>
      </c>
      <c r="X8127" s="2">
        <f ca="1"/>
        <v>40.643344250566102</v>
      </c>
      <c r="AG8127" s="2">
        <f ca="1"/>
        <v>0.72184312655971605</v>
      </c>
      <c r="AH8127" s="2" t="str">
        <f ca="1"/>
        <v>Bad</v>
      </c>
    </row>
    <row r="8128" spans="2:34" x14ac:dyDescent="0.2">
      <c r="B8128" s="2">
        <f ca="1"/>
        <v>8.5988526269301202E-2</v>
      </c>
      <c r="O8128" s="2">
        <f ca="1"/>
        <v>1.750752199105593</v>
      </c>
      <c r="X8128" s="2">
        <f ca="1"/>
        <v>61.020872320448234</v>
      </c>
      <c r="AG8128" s="2">
        <f ca="1"/>
        <v>0.40652487271085569</v>
      </c>
      <c r="AH8128" s="2" t="str">
        <f ca="1"/>
        <v>Bad</v>
      </c>
    </row>
    <row r="8129" spans="2:34" x14ac:dyDescent="0.2">
      <c r="B8129" s="2">
        <f ca="1"/>
        <v>0.7363237927702253</v>
      </c>
      <c r="O8129" s="2">
        <f ca="1"/>
        <v>1.7406998537196905</v>
      </c>
      <c r="X8129" s="2">
        <f ca="1"/>
        <v>41.724642951326686</v>
      </c>
      <c r="AG8129" s="2">
        <f ca="1"/>
        <v>0.8375249087781973</v>
      </c>
      <c r="AH8129" s="2" t="str">
        <f ca="1"/>
        <v>Bad</v>
      </c>
    </row>
    <row r="8130" spans="2:34" x14ac:dyDescent="0.2">
      <c r="B8130" s="2">
        <f ca="1"/>
        <v>0.12160575841105392</v>
      </c>
      <c r="O8130" s="2">
        <f ca="1"/>
        <v>0.4787720186839603</v>
      </c>
      <c r="X8130" s="2">
        <f ca="1"/>
        <v>32.519028855390808</v>
      </c>
      <c r="AG8130" s="2">
        <f ca="1"/>
        <v>0.29635660734666613</v>
      </c>
      <c r="AH8130" s="2" t="str">
        <f ca="1"/>
        <v>OK</v>
      </c>
    </row>
    <row r="8131" spans="2:34" x14ac:dyDescent="0.2">
      <c r="B8131" s="2">
        <f ca="1"/>
        <v>0.32272602130466832</v>
      </c>
      <c r="O8131" s="2">
        <f ca="1"/>
        <v>2.018968570483143</v>
      </c>
      <c r="X8131" s="2">
        <f ca="1"/>
        <v>28.896888017588349</v>
      </c>
      <c r="AG8131" s="2">
        <f ca="1"/>
        <v>0.58717458345240536</v>
      </c>
      <c r="AH8131" s="2" t="str">
        <f ca="1"/>
        <v>Bad</v>
      </c>
    </row>
    <row r="8132" spans="2:34" x14ac:dyDescent="0.2">
      <c r="B8132" s="2">
        <f ca="1"/>
        <v>0.71300202457893236</v>
      </c>
      <c r="O8132" s="2">
        <f ca="1"/>
        <v>-0.56049995766139893</v>
      </c>
      <c r="X8132" s="2">
        <f ca="1"/>
        <v>50.827348271582835</v>
      </c>
      <c r="AG8132" s="2">
        <f ca="1"/>
        <v>0.95120082911656345</v>
      </c>
      <c r="AH8132" s="2" t="str">
        <f ca="1"/>
        <v>Bad</v>
      </c>
    </row>
    <row r="8133" spans="2:34" x14ac:dyDescent="0.2">
      <c r="B8133" s="2">
        <f ca="1"/>
        <v>0.81464456798982932</v>
      </c>
      <c r="O8133" s="2">
        <f ca="1"/>
        <v>-1.1170176419830826</v>
      </c>
      <c r="X8133" s="2">
        <f ca="1"/>
        <v>73.484055171380817</v>
      </c>
      <c r="AG8133" s="2">
        <f ca="1"/>
        <v>0.41564041146795727</v>
      </c>
      <c r="AH8133" s="2" t="str">
        <f ca="1"/>
        <v>Bad</v>
      </c>
    </row>
    <row r="8134" spans="2:34" x14ac:dyDescent="0.2">
      <c r="B8134" s="2">
        <f ca="1"/>
        <v>4.8732165105225267E-3</v>
      </c>
      <c r="O8134" s="2">
        <f ca="1"/>
        <v>5.1515044244970616E-2</v>
      </c>
      <c r="X8134" s="2">
        <f ca="1"/>
        <v>35.695557273421429</v>
      </c>
      <c r="AG8134" s="2">
        <f ca="1"/>
        <v>7.6770130934698422E-2</v>
      </c>
      <c r="AH8134" s="2" t="str">
        <f ca="1"/>
        <v>OK</v>
      </c>
    </row>
    <row r="8135" spans="2:34" x14ac:dyDescent="0.2">
      <c r="B8135" s="2">
        <f ca="1"/>
        <v>9.2959420556411931E-2</v>
      </c>
      <c r="O8135" s="2">
        <f ca="1"/>
        <v>-1.1308737534633899</v>
      </c>
      <c r="X8135" s="2">
        <f ca="1"/>
        <v>42.011543337968014</v>
      </c>
      <c r="AG8135" s="2">
        <f ca="1"/>
        <v>0.35496256136814708</v>
      </c>
      <c r="AH8135" s="2" t="str">
        <f ca="1"/>
        <v>OK</v>
      </c>
    </row>
    <row r="8136" spans="2:34" x14ac:dyDescent="0.2">
      <c r="B8136" s="2">
        <f ca="1"/>
        <v>0.45080531410223701</v>
      </c>
      <c r="O8136" s="2">
        <f ca="1"/>
        <v>0.35100397570097353</v>
      </c>
      <c r="X8136" s="2">
        <f ca="1"/>
        <v>61.926155468882669</v>
      </c>
      <c r="AG8136" s="2">
        <f ca="1"/>
        <v>0.8505996787705008</v>
      </c>
      <c r="AH8136" s="2" t="str">
        <f ca="1"/>
        <v>Bad</v>
      </c>
    </row>
    <row r="8137" spans="2:34" x14ac:dyDescent="0.2">
      <c r="B8137" s="2">
        <f ca="1"/>
        <v>0.90298501063581971</v>
      </c>
      <c r="O8137" s="2">
        <f ca="1"/>
        <v>-1.571845003604722</v>
      </c>
      <c r="X8137" s="2">
        <f ca="1"/>
        <v>59.300778759276717</v>
      </c>
      <c r="AG8137" s="2">
        <f ca="1"/>
        <v>0.74081430454956942</v>
      </c>
      <c r="AH8137" s="2" t="str">
        <f ca="1"/>
        <v>Bad</v>
      </c>
    </row>
    <row r="8138" spans="2:34" x14ac:dyDescent="0.2">
      <c r="B8138" s="2">
        <f ca="1"/>
        <v>0.82940723112860204</v>
      </c>
      <c r="O8138" s="2">
        <f ca="1"/>
        <v>1.1208129640302478</v>
      </c>
      <c r="X8138" s="2">
        <f ca="1"/>
        <v>53.545523340701415</v>
      </c>
      <c r="AG8138" s="2">
        <f ca="1"/>
        <v>1.6934121480578712E-2</v>
      </c>
      <c r="AH8138" s="2" t="str">
        <f ca="1"/>
        <v>Good</v>
      </c>
    </row>
    <row r="8139" spans="2:34" x14ac:dyDescent="0.2">
      <c r="B8139" s="2">
        <f ca="1"/>
        <v>0.32357524416432759</v>
      </c>
      <c r="O8139" s="2">
        <f ca="1"/>
        <v>5.4927047087545922E-2</v>
      </c>
      <c r="X8139" s="2">
        <f ca="1"/>
        <v>49.062627458286066</v>
      </c>
      <c r="AG8139" s="2">
        <f ca="1"/>
        <v>0.17084157232412567</v>
      </c>
      <c r="AH8139" s="2" t="str">
        <f ca="1"/>
        <v>OK</v>
      </c>
    </row>
    <row r="8140" spans="2:34" x14ac:dyDescent="0.2">
      <c r="B8140" s="2">
        <f ca="1"/>
        <v>0.6312431684891151</v>
      </c>
      <c r="O8140" s="2">
        <f ca="1"/>
        <v>-1.592847034137056</v>
      </c>
      <c r="X8140" s="2">
        <f ca="1"/>
        <v>38.205907607598178</v>
      </c>
      <c r="AG8140" s="2">
        <f ca="1"/>
        <v>0.7906544059956766</v>
      </c>
      <c r="AH8140" s="2" t="str">
        <f ca="1"/>
        <v>Bad</v>
      </c>
    </row>
    <row r="8141" spans="2:34" x14ac:dyDescent="0.2">
      <c r="B8141" s="2">
        <f ca="1"/>
        <v>0.71828988099850344</v>
      </c>
      <c r="O8141" s="2">
        <f ca="1"/>
        <v>0.78836270621865867</v>
      </c>
      <c r="X8141" s="2">
        <f ca="1"/>
        <v>37.053378145982734</v>
      </c>
      <c r="AG8141" s="2">
        <f ca="1"/>
        <v>0.61534906258106292</v>
      </c>
      <c r="AH8141" s="2" t="str">
        <f ca="1"/>
        <v>Bad</v>
      </c>
    </row>
    <row r="8142" spans="2:34" x14ac:dyDescent="0.2">
      <c r="B8142" s="2">
        <f ca="1"/>
        <v>0.32843483342822544</v>
      </c>
      <c r="O8142" s="2">
        <f ca="1"/>
        <v>-0.76575367068021227</v>
      </c>
      <c r="X8142" s="2">
        <f ca="1"/>
        <v>57.865194099209781</v>
      </c>
      <c r="AG8142" s="2">
        <f ca="1"/>
        <v>0.31227771829571327</v>
      </c>
      <c r="AH8142" s="2" t="str">
        <f ca="1"/>
        <v>OK</v>
      </c>
    </row>
    <row r="8143" spans="2:34" x14ac:dyDescent="0.2">
      <c r="B8143" s="2">
        <f ca="1"/>
        <v>0.24596324887665566</v>
      </c>
      <c r="O8143" s="2">
        <f ca="1"/>
        <v>1.6574295606754288</v>
      </c>
      <c r="X8143" s="2">
        <f ca="1"/>
        <v>44.247058972916918</v>
      </c>
      <c r="AG8143" s="2">
        <f ca="1"/>
        <v>0.99697456661125483</v>
      </c>
      <c r="AH8143" s="2" t="str">
        <f ca="1"/>
        <v>Bad</v>
      </c>
    </row>
    <row r="8144" spans="2:34" x14ac:dyDescent="0.2">
      <c r="B8144" s="2">
        <f ca="1"/>
        <v>0.50501659714039571</v>
      </c>
      <c r="O8144" s="2">
        <f ca="1"/>
        <v>1.8437583789597993</v>
      </c>
      <c r="X8144" s="2">
        <f ca="1"/>
        <v>33.53368810959698</v>
      </c>
      <c r="AG8144" s="2">
        <f ca="1"/>
        <v>0.29200387135275307</v>
      </c>
      <c r="AH8144" s="2" t="str">
        <f ca="1"/>
        <v>OK</v>
      </c>
    </row>
    <row r="8145" spans="2:34" x14ac:dyDescent="0.2">
      <c r="B8145" s="2">
        <f ca="1"/>
        <v>0.50297939189873109</v>
      </c>
      <c r="O8145" s="2">
        <f ca="1"/>
        <v>0.62859593510600709</v>
      </c>
      <c r="X8145" s="2">
        <f ca="1"/>
        <v>42.773025119003961</v>
      </c>
      <c r="AG8145" s="2">
        <f ca="1"/>
        <v>0.53446966194456391</v>
      </c>
      <c r="AH8145" s="2" t="str">
        <f ca="1"/>
        <v>Bad</v>
      </c>
    </row>
    <row r="8146" spans="2:34" x14ac:dyDescent="0.2">
      <c r="B8146" s="2">
        <f ca="1"/>
        <v>0.27672233837691484</v>
      </c>
      <c r="O8146" s="2">
        <f ca="1"/>
        <v>-0.23931839355810128</v>
      </c>
      <c r="X8146" s="2">
        <f ca="1"/>
        <v>58.902693268655703</v>
      </c>
      <c r="AG8146" s="2">
        <f ca="1"/>
        <v>0.66590071570369025</v>
      </c>
      <c r="AH8146" s="2" t="str">
        <f ca="1"/>
        <v>Bad</v>
      </c>
    </row>
    <row r="8147" spans="2:34" x14ac:dyDescent="0.2">
      <c r="B8147" s="2">
        <f ca="1"/>
        <v>0.4517755154394858</v>
      </c>
      <c r="O8147" s="2">
        <f ca="1"/>
        <v>-0.64000955408418714</v>
      </c>
      <c r="X8147" s="2">
        <f ca="1"/>
        <v>28.553460670297099</v>
      </c>
      <c r="AG8147" s="2">
        <f ca="1"/>
        <v>0.63750556633015343</v>
      </c>
      <c r="AH8147" s="2" t="str">
        <f ca="1"/>
        <v>Bad</v>
      </c>
    </row>
    <row r="8148" spans="2:34" x14ac:dyDescent="0.2">
      <c r="B8148" s="2">
        <f ca="1"/>
        <v>0.67990507387147425</v>
      </c>
      <c r="O8148" s="2">
        <f ca="1"/>
        <v>-1.5574646683480502E-2</v>
      </c>
      <c r="X8148" s="2">
        <f ca="1"/>
        <v>69.776916227442911</v>
      </c>
      <c r="AG8148" s="2">
        <f ca="1"/>
        <v>0.15454491736933962</v>
      </c>
      <c r="AH8148" s="2" t="str">
        <f ca="1"/>
        <v>OK</v>
      </c>
    </row>
    <row r="8149" spans="2:34" x14ac:dyDescent="0.2">
      <c r="B8149" s="2">
        <f ca="1"/>
        <v>0.41388079969655567</v>
      </c>
      <c r="O8149" s="2">
        <f ca="1"/>
        <v>0.7943805369327952</v>
      </c>
      <c r="X8149" s="2">
        <f ca="1"/>
        <v>42.379255454329382</v>
      </c>
      <c r="AG8149" s="2">
        <f ca="1"/>
        <v>0.10561460982970949</v>
      </c>
      <c r="AH8149" s="2" t="str">
        <f ca="1"/>
        <v>OK</v>
      </c>
    </row>
    <row r="8150" spans="2:34" x14ac:dyDescent="0.2">
      <c r="B8150" s="2">
        <f ca="1"/>
        <v>0.89759788372142713</v>
      </c>
      <c r="O8150" s="2">
        <f ca="1"/>
        <v>-0.39395011145299591</v>
      </c>
      <c r="X8150" s="2">
        <f ca="1"/>
        <v>74.37674789116582</v>
      </c>
      <c r="AG8150" s="2">
        <f ca="1"/>
        <v>0.42063071547248532</v>
      </c>
      <c r="AH8150" s="2" t="str">
        <f ca="1"/>
        <v>Bad</v>
      </c>
    </row>
    <row r="8151" spans="2:34" x14ac:dyDescent="0.2">
      <c r="B8151" s="2">
        <f ca="1"/>
        <v>0.67352505685451658</v>
      </c>
      <c r="O8151" s="2">
        <f ca="1"/>
        <v>1.698758431383607</v>
      </c>
      <c r="X8151" s="2">
        <f ca="1"/>
        <v>47.529534780973954</v>
      </c>
      <c r="AG8151" s="2">
        <f ca="1"/>
        <v>1.3717457663814159E-2</v>
      </c>
      <c r="AH8151" s="2" t="str">
        <f ca="1"/>
        <v>Good</v>
      </c>
    </row>
    <row r="8152" spans="2:34" x14ac:dyDescent="0.2">
      <c r="B8152" s="2">
        <f ca="1"/>
        <v>0.45852194308351635</v>
      </c>
      <c r="O8152" s="2">
        <f ca="1"/>
        <v>-0.78020328769421921</v>
      </c>
      <c r="X8152" s="2">
        <f ca="1"/>
        <v>41.200339914031723</v>
      </c>
      <c r="AG8152" s="2">
        <f ca="1"/>
        <v>1.6186446206772009E-2</v>
      </c>
      <c r="AH8152" s="2" t="str">
        <f ca="1"/>
        <v>Good</v>
      </c>
    </row>
    <row r="8153" spans="2:34" x14ac:dyDescent="0.2">
      <c r="B8153" s="2">
        <f ca="1"/>
        <v>0.52843729617592738</v>
      </c>
      <c r="O8153" s="2">
        <f ca="1"/>
        <v>0.80203702924903419</v>
      </c>
      <c r="X8153" s="2">
        <f ca="1"/>
        <v>53.739506069245934</v>
      </c>
      <c r="AG8153" s="2">
        <f ca="1"/>
        <v>0.20012232122864559</v>
      </c>
      <c r="AH8153" s="2" t="str">
        <f ca="1"/>
        <v>OK</v>
      </c>
    </row>
    <row r="8154" spans="2:34" x14ac:dyDescent="0.2">
      <c r="B8154" s="2">
        <f ca="1"/>
        <v>0.17671752064150414</v>
      </c>
      <c r="O8154" s="2">
        <f ca="1"/>
        <v>-1.8532242649351309</v>
      </c>
      <c r="X8154" s="2">
        <f ca="1"/>
        <v>67.332724416572376</v>
      </c>
      <c r="AG8154" s="2">
        <f ca="1"/>
        <v>0.84887963855595072</v>
      </c>
      <c r="AH8154" s="2" t="str">
        <f ca="1"/>
        <v>Bad</v>
      </c>
    </row>
    <row r="8155" spans="2:34" x14ac:dyDescent="0.2">
      <c r="B8155" s="2">
        <f ca="1"/>
        <v>0.42164660604215465</v>
      </c>
      <c r="O8155" s="2">
        <f ca="1"/>
        <v>-1.2379054840387465</v>
      </c>
      <c r="X8155" s="2">
        <f ca="1"/>
        <v>67.654558778731243</v>
      </c>
      <c r="AG8155" s="2">
        <f ca="1"/>
        <v>0.47238123100468532</v>
      </c>
      <c r="AH8155" s="2" t="str">
        <f ca="1"/>
        <v>Bad</v>
      </c>
    </row>
    <row r="8156" spans="2:34" x14ac:dyDescent="0.2">
      <c r="B8156" s="2">
        <f ca="1"/>
        <v>1.4359075330631299E-2</v>
      </c>
      <c r="O8156" s="2">
        <f ca="1"/>
        <v>-2.1234150848207567</v>
      </c>
      <c r="X8156" s="2">
        <f ca="1"/>
        <v>78.78951445734404</v>
      </c>
      <c r="AG8156" s="2">
        <f ca="1"/>
        <v>0.34774016396384866</v>
      </c>
      <c r="AH8156" s="2" t="str">
        <f ca="1"/>
        <v>OK</v>
      </c>
    </row>
    <row r="8157" spans="2:34" x14ac:dyDescent="0.2">
      <c r="B8157" s="2">
        <f ca="1"/>
        <v>0.65274785406017521</v>
      </c>
      <c r="O8157" s="2">
        <f ca="1"/>
        <v>-0.93855141024256661</v>
      </c>
      <c r="X8157" s="2">
        <f ca="1"/>
        <v>57.906179653380448</v>
      </c>
      <c r="AG8157" s="2">
        <f ca="1"/>
        <v>2.218222288215288E-2</v>
      </c>
      <c r="AH8157" s="2" t="str">
        <f ca="1"/>
        <v>Good</v>
      </c>
    </row>
    <row r="8158" spans="2:34" x14ac:dyDescent="0.2">
      <c r="B8158" s="2">
        <f ca="1"/>
        <v>8.9141924322872379E-2</v>
      </c>
      <c r="O8158" s="2">
        <f ca="1"/>
        <v>-1.8778507888724021E-2</v>
      </c>
      <c r="X8158" s="2">
        <f ca="1"/>
        <v>51.878868987983182</v>
      </c>
      <c r="AG8158" s="2">
        <f ca="1"/>
        <v>0.71510622515431255</v>
      </c>
      <c r="AH8158" s="2" t="str">
        <f ca="1"/>
        <v>Bad</v>
      </c>
    </row>
    <row r="8159" spans="2:34" x14ac:dyDescent="0.2">
      <c r="B8159" s="2">
        <f ca="1"/>
        <v>0.40088729776797849</v>
      </c>
      <c r="O8159" s="2">
        <f ca="1"/>
        <v>-0.18770891805836148</v>
      </c>
      <c r="X8159" s="2">
        <f ca="1"/>
        <v>33.284570270497163</v>
      </c>
      <c r="AG8159" s="2">
        <f ca="1"/>
        <v>0.16391238228208627</v>
      </c>
      <c r="AH8159" s="2" t="str">
        <f ca="1"/>
        <v>OK</v>
      </c>
    </row>
    <row r="8160" spans="2:34" x14ac:dyDescent="0.2">
      <c r="B8160" s="2">
        <f ca="1"/>
        <v>0.38877793913355485</v>
      </c>
      <c r="O8160" s="2">
        <f ca="1"/>
        <v>-0.61370047554615148</v>
      </c>
      <c r="X8160" s="2">
        <f ca="1"/>
        <v>45.190939144237994</v>
      </c>
      <c r="AG8160" s="2">
        <f ca="1"/>
        <v>0.75069636135088125</v>
      </c>
      <c r="AH8160" s="2" t="str">
        <f ca="1"/>
        <v>Bad</v>
      </c>
    </row>
    <row r="8161" spans="2:34" x14ac:dyDescent="0.2">
      <c r="B8161" s="2">
        <f ca="1"/>
        <v>0.9940962692434403</v>
      </c>
      <c r="O8161" s="2">
        <f ca="1"/>
        <v>-0.51193020181658366</v>
      </c>
      <c r="X8161" s="2">
        <f ca="1"/>
        <v>66.700138058014659</v>
      </c>
      <c r="AG8161" s="2">
        <f ca="1"/>
        <v>0.44047839642799813</v>
      </c>
      <c r="AH8161" s="2" t="str">
        <f ca="1"/>
        <v>Bad</v>
      </c>
    </row>
    <row r="8162" spans="2:34" x14ac:dyDescent="0.2">
      <c r="B8162" s="2">
        <f ca="1"/>
        <v>0.16436941533284632</v>
      </c>
      <c r="O8162" s="2">
        <f ca="1"/>
        <v>-0.3764630794116311</v>
      </c>
      <c r="X8162" s="2">
        <f ca="1"/>
        <v>38.118626275666195</v>
      </c>
      <c r="AG8162" s="2">
        <f ca="1"/>
        <v>0.38905510184789605</v>
      </c>
      <c r="AH8162" s="2" t="str">
        <f ca="1"/>
        <v>OK</v>
      </c>
    </row>
    <row r="8163" spans="2:34" x14ac:dyDescent="0.2">
      <c r="B8163" s="2">
        <f ca="1"/>
        <v>0.44221722442117062</v>
      </c>
      <c r="O8163" s="2">
        <f ca="1"/>
        <v>-0.20055250701195729</v>
      </c>
      <c r="X8163" s="2">
        <f ca="1"/>
        <v>46.783686776094314</v>
      </c>
      <c r="AG8163" s="2">
        <f ca="1"/>
        <v>0.12941753555069413</v>
      </c>
      <c r="AH8163" s="2" t="str">
        <f ca="1"/>
        <v>OK</v>
      </c>
    </row>
    <row r="8164" spans="2:34" x14ac:dyDescent="0.2">
      <c r="B8164" s="2">
        <f ca="1"/>
        <v>0.4882377591773861</v>
      </c>
      <c r="O8164" s="2">
        <f ca="1"/>
        <v>1.695242049505546</v>
      </c>
      <c r="X8164" s="2">
        <f ca="1"/>
        <v>75.964989237022664</v>
      </c>
      <c r="AG8164" s="2">
        <f ca="1"/>
        <v>8.6394937674837635E-2</v>
      </c>
      <c r="AH8164" s="2" t="str">
        <f ca="1"/>
        <v>OK</v>
      </c>
    </row>
    <row r="8165" spans="2:34" x14ac:dyDescent="0.2">
      <c r="B8165" s="2">
        <f ca="1"/>
        <v>2.8286381362174762E-3</v>
      </c>
      <c r="O8165" s="2">
        <f ca="1"/>
        <v>-0.6482527660796199</v>
      </c>
      <c r="X8165" s="2">
        <f ca="1"/>
        <v>29.121680907506672</v>
      </c>
      <c r="AG8165" s="2">
        <f ca="1"/>
        <v>0.61475753836400404</v>
      </c>
      <c r="AH8165" s="2" t="str">
        <f ca="1"/>
        <v>Bad</v>
      </c>
    </row>
    <row r="8166" spans="2:34" x14ac:dyDescent="0.2">
      <c r="B8166" s="2">
        <f ca="1"/>
        <v>0.61415281898069973</v>
      </c>
      <c r="O8166" s="2">
        <f ca="1"/>
        <v>0.93649792798089571</v>
      </c>
      <c r="X8166" s="2">
        <f ca="1"/>
        <v>45.748357834170498</v>
      </c>
      <c r="AG8166" s="2">
        <f ca="1"/>
        <v>8.2971854756450192E-2</v>
      </c>
      <c r="AH8166" s="2" t="str">
        <f ca="1"/>
        <v>OK</v>
      </c>
    </row>
    <row r="8167" spans="2:34" x14ac:dyDescent="0.2">
      <c r="B8167" s="2">
        <f ca="1"/>
        <v>2.7199295746899166E-2</v>
      </c>
      <c r="O8167" s="2">
        <f ca="1"/>
        <v>1.9489018419140936E-4</v>
      </c>
      <c r="X8167" s="2">
        <f ca="1"/>
        <v>59.675025878842831</v>
      </c>
      <c r="AG8167" s="2">
        <f ca="1"/>
        <v>0.31744929283520884</v>
      </c>
      <c r="AH8167" s="2" t="str">
        <f ca="1"/>
        <v>OK</v>
      </c>
    </row>
    <row r="8168" spans="2:34" x14ac:dyDescent="0.2">
      <c r="B8168" s="2">
        <f ca="1"/>
        <v>0.11312616463290404</v>
      </c>
      <c r="O8168" s="2">
        <f ca="1"/>
        <v>-2.5233929936631871</v>
      </c>
      <c r="X8168" s="2">
        <f ca="1"/>
        <v>44.1222130300267</v>
      </c>
      <c r="AG8168" s="2">
        <f ca="1"/>
        <v>0.41913372727586196</v>
      </c>
      <c r="AH8168" s="2" t="str">
        <f ca="1"/>
        <v>Bad</v>
      </c>
    </row>
    <row r="8169" spans="2:34" x14ac:dyDescent="0.2">
      <c r="B8169" s="2">
        <f ca="1"/>
        <v>0.55571572789011126</v>
      </c>
      <c r="O8169" s="2">
        <f ca="1"/>
        <v>1.4770664755717757</v>
      </c>
      <c r="X8169" s="2">
        <f ca="1"/>
        <v>56.68703778031697</v>
      </c>
      <c r="AG8169" s="2">
        <f ca="1"/>
        <v>0.20567674110114642</v>
      </c>
      <c r="AH8169" s="2" t="str">
        <f ca="1"/>
        <v>OK</v>
      </c>
    </row>
    <row r="8170" spans="2:34" x14ac:dyDescent="0.2">
      <c r="B8170" s="2">
        <f ca="1"/>
        <v>0.16424780480574341</v>
      </c>
      <c r="O8170" s="2">
        <f ca="1"/>
        <v>1.3726797964698363</v>
      </c>
      <c r="X8170" s="2">
        <f ca="1"/>
        <v>28.841474959900253</v>
      </c>
      <c r="AG8170" s="2">
        <f ca="1"/>
        <v>9.6266179810932551E-2</v>
      </c>
      <c r="AH8170" s="2" t="str">
        <f ca="1"/>
        <v>OK</v>
      </c>
    </row>
    <row r="8171" spans="2:34" x14ac:dyDescent="0.2">
      <c r="B8171" s="2">
        <f ca="1"/>
        <v>0.96660053429649673</v>
      </c>
      <c r="O8171" s="2">
        <f ca="1"/>
        <v>-0.19887520828431776</v>
      </c>
      <c r="X8171" s="2">
        <f ca="1"/>
        <v>41.073719511071303</v>
      </c>
      <c r="AG8171" s="2">
        <f ca="1"/>
        <v>0.11234565378513972</v>
      </c>
      <c r="AH8171" s="2" t="str">
        <f ca="1"/>
        <v>OK</v>
      </c>
    </row>
    <row r="8172" spans="2:34" x14ac:dyDescent="0.2">
      <c r="B8172" s="2">
        <f ca="1"/>
        <v>0.38535481908609448</v>
      </c>
      <c r="O8172" s="2">
        <f ca="1"/>
        <v>1.2998431721184334</v>
      </c>
      <c r="X8172" s="2">
        <f ca="1"/>
        <v>85.892331894351912</v>
      </c>
      <c r="AG8172" s="2">
        <f ca="1"/>
        <v>0.1428986649025159</v>
      </c>
      <c r="AH8172" s="2" t="str">
        <f ca="1"/>
        <v>OK</v>
      </c>
    </row>
    <row r="8173" spans="2:34" x14ac:dyDescent="0.2">
      <c r="B8173" s="2">
        <f ca="1"/>
        <v>0.77714890637523859</v>
      </c>
      <c r="O8173" s="2">
        <f ca="1"/>
        <v>0.21359291183656792</v>
      </c>
      <c r="X8173" s="2">
        <f ca="1"/>
        <v>59.932275714848132</v>
      </c>
      <c r="AG8173" s="2">
        <f ca="1"/>
        <v>0.56525789125575798</v>
      </c>
      <c r="AH8173" s="2" t="str">
        <f ca="1"/>
        <v>Bad</v>
      </c>
    </row>
    <row r="8174" spans="2:34" x14ac:dyDescent="0.2">
      <c r="B8174" s="2">
        <f ca="1"/>
        <v>0.46060808137191134</v>
      </c>
      <c r="O8174" s="2">
        <f ca="1"/>
        <v>-0.89776785149243687</v>
      </c>
      <c r="X8174" s="2">
        <f ca="1"/>
        <v>49.386923362196029</v>
      </c>
      <c r="AG8174" s="2">
        <f ca="1"/>
        <v>0.95380360335490777</v>
      </c>
      <c r="AH8174" s="2" t="str">
        <f ca="1"/>
        <v>Bad</v>
      </c>
    </row>
    <row r="8175" spans="2:34" x14ac:dyDescent="0.2">
      <c r="B8175" s="2">
        <f ca="1"/>
        <v>0.24407368771235238</v>
      </c>
      <c r="O8175" s="2">
        <f ca="1"/>
        <v>-0.71536494598017453</v>
      </c>
      <c r="X8175" s="2">
        <f ca="1"/>
        <v>53.343230685583258</v>
      </c>
      <c r="AG8175" s="2">
        <f ca="1"/>
        <v>0.8197439617635387</v>
      </c>
      <c r="AH8175" s="2" t="str">
        <f ca="1"/>
        <v>Bad</v>
      </c>
    </row>
    <row r="8176" spans="2:34" x14ac:dyDescent="0.2">
      <c r="B8176" s="2">
        <f ca="1"/>
        <v>0.21527677365498521</v>
      </c>
      <c r="O8176" s="2">
        <f ca="1"/>
        <v>0.35192286605488132</v>
      </c>
      <c r="X8176" s="2">
        <f ca="1"/>
        <v>45.541670353004307</v>
      </c>
      <c r="AG8176" s="2">
        <f ca="1"/>
        <v>0.20890757589514397</v>
      </c>
      <c r="AH8176" s="2" t="str">
        <f ca="1"/>
        <v>OK</v>
      </c>
    </row>
    <row r="8177" spans="2:34" x14ac:dyDescent="0.2">
      <c r="B8177" s="2">
        <f ca="1"/>
        <v>0.12111658368822775</v>
      </c>
      <c r="O8177" s="2">
        <f ca="1"/>
        <v>1.142582795683261</v>
      </c>
      <c r="X8177" s="2">
        <f ca="1"/>
        <v>29.654741095126084</v>
      </c>
      <c r="AG8177" s="2">
        <f ca="1"/>
        <v>0.87521726760674645</v>
      </c>
      <c r="AH8177" s="2" t="str">
        <f ca="1"/>
        <v>Bad</v>
      </c>
    </row>
    <row r="8178" spans="2:34" x14ac:dyDescent="0.2">
      <c r="B8178" s="2">
        <f ca="1"/>
        <v>0.96722352243739818</v>
      </c>
      <c r="O8178" s="2">
        <f ca="1"/>
        <v>-0.4085473551862524</v>
      </c>
      <c r="X8178" s="2">
        <f ca="1"/>
        <v>47.721110371487043</v>
      </c>
      <c r="AG8178" s="2">
        <f ca="1"/>
        <v>0.95868072105437219</v>
      </c>
      <c r="AH8178" s="2" t="str">
        <f ca="1"/>
        <v>Bad</v>
      </c>
    </row>
    <row r="8179" spans="2:34" x14ac:dyDescent="0.2">
      <c r="B8179" s="2">
        <f ca="1"/>
        <v>0.77700576627272477</v>
      </c>
      <c r="O8179" s="2">
        <f ca="1"/>
        <v>-0.67335656447177827</v>
      </c>
      <c r="X8179" s="2">
        <f ca="1"/>
        <v>48.722736218236193</v>
      </c>
      <c r="AG8179" s="2">
        <f ca="1"/>
        <v>0.12483428152529474</v>
      </c>
      <c r="AH8179" s="2" t="str">
        <f ca="1"/>
        <v>OK</v>
      </c>
    </row>
    <row r="8180" spans="2:34" x14ac:dyDescent="0.2">
      <c r="B8180" s="2">
        <f ca="1"/>
        <v>0.16502524795952689</v>
      </c>
      <c r="O8180" s="2">
        <f ca="1"/>
        <v>1.3549280896581675</v>
      </c>
      <c r="X8180" s="2">
        <f ca="1"/>
        <v>44.785580962020276</v>
      </c>
      <c r="AG8180" s="2">
        <f ca="1"/>
        <v>0.40085248225860215</v>
      </c>
      <c r="AH8180" s="2" t="str">
        <f ca="1"/>
        <v>Bad</v>
      </c>
    </row>
    <row r="8181" spans="2:34" x14ac:dyDescent="0.2">
      <c r="B8181" s="2">
        <f ca="1"/>
        <v>0.68203667429224768</v>
      </c>
      <c r="O8181" s="2">
        <f ca="1"/>
        <v>1.1945809424577472</v>
      </c>
      <c r="X8181" s="2">
        <f ca="1"/>
        <v>74.12688859503308</v>
      </c>
      <c r="AG8181" s="2">
        <f ca="1"/>
        <v>0.84664357582183269</v>
      </c>
      <c r="AH8181" s="2" t="str">
        <f ca="1"/>
        <v>Bad</v>
      </c>
    </row>
    <row r="8182" spans="2:34" x14ac:dyDescent="0.2">
      <c r="B8182" s="2">
        <f ca="1"/>
        <v>0.60506523717997673</v>
      </c>
      <c r="O8182" s="2">
        <f ca="1"/>
        <v>-3.9544851076163982E-3</v>
      </c>
      <c r="X8182" s="2">
        <f ca="1"/>
        <v>67.445978479702291</v>
      </c>
      <c r="AG8182" s="2">
        <f ca="1"/>
        <v>9.5353467318552765E-2</v>
      </c>
      <c r="AH8182" s="2" t="str">
        <f ca="1"/>
        <v>OK</v>
      </c>
    </row>
    <row r="8183" spans="2:34" x14ac:dyDescent="0.2">
      <c r="B8183" s="2">
        <f ca="1"/>
        <v>0.24107676879628048</v>
      </c>
      <c r="O8183" s="2">
        <f ca="1"/>
        <v>-0.89845398659369979</v>
      </c>
      <c r="X8183" s="2">
        <f ca="1"/>
        <v>53.392222084080515</v>
      </c>
      <c r="AG8183" s="2">
        <f ca="1"/>
        <v>0.45396525459917081</v>
      </c>
      <c r="AH8183" s="2" t="str">
        <f ca="1"/>
        <v>Bad</v>
      </c>
    </row>
    <row r="8184" spans="2:34" x14ac:dyDescent="0.2">
      <c r="B8184" s="2">
        <f ca="1"/>
        <v>0.61329588006060853</v>
      </c>
      <c r="O8184" s="2">
        <f ca="1"/>
        <v>-0.55269775097693952</v>
      </c>
      <c r="X8184" s="2">
        <f ca="1"/>
        <v>50.002233909357578</v>
      </c>
      <c r="AG8184" s="2">
        <f ca="1"/>
        <v>0.32098773279387305</v>
      </c>
      <c r="AH8184" s="2" t="str">
        <f ca="1"/>
        <v>OK</v>
      </c>
    </row>
    <row r="8185" spans="2:34" x14ac:dyDescent="0.2">
      <c r="B8185" s="2">
        <f ca="1"/>
        <v>0.25935013353011338</v>
      </c>
      <c r="O8185" s="2">
        <f ca="1"/>
        <v>-0.77268389021797268</v>
      </c>
      <c r="X8185" s="2">
        <f ca="1"/>
        <v>51.26026515329913</v>
      </c>
      <c r="AG8185" s="2">
        <f ca="1"/>
        <v>0.97181496861356709</v>
      </c>
      <c r="AH8185" s="2" t="str">
        <f ca="1"/>
        <v>Bad</v>
      </c>
    </row>
    <row r="8186" spans="2:34" x14ac:dyDescent="0.2">
      <c r="B8186" s="2">
        <f ca="1"/>
        <v>0.62533195281306275</v>
      </c>
      <c r="O8186" s="2">
        <f ca="1"/>
        <v>-1.4552671604171623</v>
      </c>
      <c r="X8186" s="2">
        <f ca="1"/>
        <v>56.27473587119848</v>
      </c>
      <c r="AG8186" s="2">
        <f ca="1"/>
        <v>0.57184484332914431</v>
      </c>
      <c r="AH8186" s="2" t="str">
        <f ca="1"/>
        <v>Bad</v>
      </c>
    </row>
    <row r="8187" spans="2:34" x14ac:dyDescent="0.2">
      <c r="B8187" s="2">
        <f ca="1"/>
        <v>0.89804586862604063</v>
      </c>
      <c r="O8187" s="2">
        <f ca="1"/>
        <v>0.52540438032613834</v>
      </c>
      <c r="X8187" s="2">
        <f ca="1"/>
        <v>33.390476023206929</v>
      </c>
      <c r="AG8187" s="2">
        <f ca="1"/>
        <v>0.75161982584745024</v>
      </c>
      <c r="AH8187" s="2" t="str">
        <f ca="1"/>
        <v>Bad</v>
      </c>
    </row>
    <row r="8188" spans="2:34" x14ac:dyDescent="0.2">
      <c r="B8188" s="2">
        <f ca="1"/>
        <v>0.15757047998784013</v>
      </c>
      <c r="O8188" s="2">
        <f ca="1"/>
        <v>-1.1148808419397909</v>
      </c>
      <c r="X8188" s="2">
        <f ca="1"/>
        <v>54.503984909035353</v>
      </c>
      <c r="AG8188" s="2">
        <f ca="1"/>
        <v>0.8783236938102208</v>
      </c>
      <c r="AH8188" s="2" t="str">
        <f ca="1"/>
        <v>Bad</v>
      </c>
    </row>
    <row r="8189" spans="2:34" x14ac:dyDescent="0.2">
      <c r="B8189" s="2">
        <f ca="1"/>
        <v>0.14298006075865799</v>
      </c>
      <c r="O8189" s="2">
        <f ca="1"/>
        <v>-0.79715441647151275</v>
      </c>
      <c r="X8189" s="2">
        <f ca="1"/>
        <v>33.483577288248348</v>
      </c>
      <c r="AG8189" s="2">
        <f ca="1"/>
        <v>0.58671661783062712</v>
      </c>
      <c r="AH8189" s="2" t="str">
        <f ca="1"/>
        <v>Bad</v>
      </c>
    </row>
    <row r="8190" spans="2:34" x14ac:dyDescent="0.2">
      <c r="B8190" s="2">
        <f ca="1"/>
        <v>0.11879973843561098</v>
      </c>
      <c r="O8190" s="2">
        <f ca="1"/>
        <v>0.56424208769484696</v>
      </c>
      <c r="X8190" s="2">
        <f ca="1"/>
        <v>58.345804750455954</v>
      </c>
      <c r="AG8190" s="2">
        <f ca="1"/>
        <v>0.69718976440362646</v>
      </c>
      <c r="AH8190" s="2" t="str">
        <f ca="1"/>
        <v>Bad</v>
      </c>
    </row>
    <row r="8191" spans="2:34" x14ac:dyDescent="0.2">
      <c r="B8191" s="2">
        <f ca="1"/>
        <v>1.2595077706539337E-2</v>
      </c>
      <c r="O8191" s="2">
        <f ca="1"/>
        <v>0.35512410331839089</v>
      </c>
      <c r="X8191" s="2">
        <f ca="1"/>
        <v>77.760982233053156</v>
      </c>
      <c r="AG8191" s="2">
        <f ca="1"/>
        <v>0.30728373718132707</v>
      </c>
      <c r="AH8191" s="2" t="str">
        <f ca="1"/>
        <v>OK</v>
      </c>
    </row>
    <row r="8192" spans="2:34" x14ac:dyDescent="0.2">
      <c r="B8192" s="2">
        <f ca="1"/>
        <v>0.63762798689691436</v>
      </c>
      <c r="O8192" s="2">
        <f ca="1"/>
        <v>-1.204284561625967</v>
      </c>
      <c r="X8192" s="2">
        <f ca="1"/>
        <v>91.685591492416478</v>
      </c>
      <c r="AG8192" s="2">
        <f ca="1"/>
        <v>0.61954534944278339</v>
      </c>
      <c r="AH8192" s="2" t="str">
        <f ca="1"/>
        <v>Bad</v>
      </c>
    </row>
    <row r="8193" spans="2:34" x14ac:dyDescent="0.2">
      <c r="B8193" s="2">
        <f ca="1"/>
        <v>0.10813679917479568</v>
      </c>
      <c r="O8193" s="2">
        <f ca="1"/>
        <v>-1.5591183112012372</v>
      </c>
      <c r="X8193" s="2">
        <f ca="1"/>
        <v>51.796462041418678</v>
      </c>
      <c r="AG8193" s="2">
        <f ca="1"/>
        <v>0.57075615065727514</v>
      </c>
      <c r="AH8193" s="2" t="str">
        <f ca="1"/>
        <v>Bad</v>
      </c>
    </row>
    <row r="8194" spans="2:34" x14ac:dyDescent="0.2">
      <c r="B8194" s="2">
        <f ca="1"/>
        <v>0.81407622745376673</v>
      </c>
      <c r="O8194" s="2">
        <f ca="1"/>
        <v>5.9770089816853278E-2</v>
      </c>
      <c r="X8194" s="2">
        <f ca="1"/>
        <v>62.154177627288298</v>
      </c>
      <c r="AG8194" s="2">
        <f ca="1"/>
        <v>0.62780674590886565</v>
      </c>
      <c r="AH8194" s="2" t="str">
        <f ca="1"/>
        <v>Bad</v>
      </c>
    </row>
    <row r="8195" spans="2:34" x14ac:dyDescent="0.2">
      <c r="B8195" s="2">
        <f ca="1"/>
        <v>0.68575154682834305</v>
      </c>
      <c r="O8195" s="2">
        <f ca="1"/>
        <v>0.58872582623454428</v>
      </c>
      <c r="X8195" s="2">
        <f ca="1"/>
        <v>51.418120230025828</v>
      </c>
      <c r="AG8195" s="2">
        <f ca="1"/>
        <v>0.66018498591492514</v>
      </c>
      <c r="AH8195" s="2" t="str">
        <f ca="1"/>
        <v>Bad</v>
      </c>
    </row>
    <row r="8196" spans="2:34" x14ac:dyDescent="0.2">
      <c r="B8196" s="2">
        <f ca="1"/>
        <v>0.11202565185808822</v>
      </c>
      <c r="O8196" s="2">
        <f ca="1"/>
        <v>-1.1277827692477214</v>
      </c>
      <c r="X8196" s="2">
        <f ca="1"/>
        <v>60.956744796760788</v>
      </c>
      <c r="AG8196" s="2">
        <f ca="1"/>
        <v>0.95989791804982505</v>
      </c>
      <c r="AH8196" s="2" t="str">
        <f ca="1"/>
        <v>Bad</v>
      </c>
    </row>
    <row r="8197" spans="2:34" x14ac:dyDescent="0.2">
      <c r="B8197" s="2">
        <f ca="1"/>
        <v>0.65934365612208179</v>
      </c>
      <c r="O8197" s="2">
        <f ca="1"/>
        <v>2.180812915375955</v>
      </c>
      <c r="X8197" s="2">
        <f ca="1"/>
        <v>33.46891911856892</v>
      </c>
      <c r="AG8197" s="2">
        <f ca="1"/>
        <v>6.4068551525263695E-2</v>
      </c>
      <c r="AH8197" s="2" t="str">
        <f ca="1"/>
        <v>OK</v>
      </c>
    </row>
    <row r="8198" spans="2:34" x14ac:dyDescent="0.2">
      <c r="B8198" s="2">
        <f ca="1"/>
        <v>0.26350783233961628</v>
      </c>
      <c r="O8198" s="2">
        <f ca="1"/>
        <v>0.69890404214582291</v>
      </c>
      <c r="X8198" s="2">
        <f ca="1"/>
        <v>26.901116748443087</v>
      </c>
      <c r="AG8198" s="2">
        <f ca="1"/>
        <v>0.91995229276230317</v>
      </c>
      <c r="AH8198" s="2" t="str">
        <f ca="1"/>
        <v>Bad</v>
      </c>
    </row>
    <row r="8199" spans="2:34" x14ac:dyDescent="0.2">
      <c r="B8199" s="2">
        <f ca="1"/>
        <v>0.4887376137204642</v>
      </c>
      <c r="O8199" s="2">
        <f ca="1"/>
        <v>2.2988574144928129</v>
      </c>
      <c r="X8199" s="2">
        <f ca="1"/>
        <v>57.44713546726571</v>
      </c>
      <c r="AG8199" s="2">
        <f ca="1"/>
        <v>0.5092509816443751</v>
      </c>
      <c r="AH8199" s="2" t="str">
        <f ca="1"/>
        <v>Bad</v>
      </c>
    </row>
    <row r="8200" spans="2:34" x14ac:dyDescent="0.2">
      <c r="B8200" s="2">
        <f ca="1"/>
        <v>7.5212627003092614E-2</v>
      </c>
      <c r="O8200" s="2">
        <f ca="1"/>
        <v>4.8154934958245778E-2</v>
      </c>
      <c r="X8200" s="2">
        <f ca="1"/>
        <v>55.426009319360709</v>
      </c>
      <c r="AG8200" s="2">
        <f ca="1"/>
        <v>3.2531378544979228E-2</v>
      </c>
      <c r="AH8200" s="2" t="str">
        <f ca="1"/>
        <v>Good</v>
      </c>
    </row>
    <row r="8201" spans="2:34" x14ac:dyDescent="0.2">
      <c r="B8201" s="2">
        <f ca="1"/>
        <v>0.52822382588941141</v>
      </c>
      <c r="O8201" s="2">
        <f ca="1"/>
        <v>-2.3979893158480889</v>
      </c>
      <c r="X8201" s="2">
        <f ca="1"/>
        <v>74.22892327890014</v>
      </c>
      <c r="AG8201" s="2">
        <f ca="1"/>
        <v>0.53049870909056018</v>
      </c>
      <c r="AH8201" s="2" t="str">
        <f ca="1"/>
        <v>Bad</v>
      </c>
    </row>
    <row r="8202" spans="2:34" x14ac:dyDescent="0.2">
      <c r="B8202" s="2">
        <f ca="1"/>
        <v>0.35954428444997255</v>
      </c>
      <c r="O8202" s="2">
        <f ca="1"/>
        <v>9.6984695867160173E-2</v>
      </c>
      <c r="X8202" s="2">
        <f ca="1"/>
        <v>36.265683360149843</v>
      </c>
      <c r="AG8202" s="2">
        <f ca="1"/>
        <v>0.63460142335930381</v>
      </c>
      <c r="AH8202" s="2" t="str">
        <f ca="1"/>
        <v>Bad</v>
      </c>
    </row>
    <row r="8203" spans="2:34" x14ac:dyDescent="0.2">
      <c r="B8203" s="2">
        <f ca="1"/>
        <v>0.23842660790273684</v>
      </c>
      <c r="O8203" s="2">
        <f ca="1"/>
        <v>1.2317150478213121</v>
      </c>
      <c r="X8203" s="2">
        <f ca="1"/>
        <v>47.847157236700568</v>
      </c>
      <c r="AG8203" s="2">
        <f ca="1"/>
        <v>0.11937346486379674</v>
      </c>
      <c r="AH8203" s="2" t="str">
        <f ca="1"/>
        <v>OK</v>
      </c>
    </row>
    <row r="8204" spans="2:34" x14ac:dyDescent="0.2">
      <c r="B8204" s="2">
        <f ca="1"/>
        <v>0.45384843345699566</v>
      </c>
      <c r="O8204" s="2">
        <f ca="1"/>
        <v>-0.29329866507148078</v>
      </c>
      <c r="X8204" s="2">
        <f ca="1"/>
        <v>27.790816814224378</v>
      </c>
      <c r="AG8204" s="2">
        <f ca="1"/>
        <v>0.23972786213428487</v>
      </c>
      <c r="AH8204" s="2" t="str">
        <f ca="1"/>
        <v>OK</v>
      </c>
    </row>
    <row r="8205" spans="2:34" x14ac:dyDescent="0.2">
      <c r="B8205" s="2">
        <f ca="1"/>
        <v>0.72637099438160702</v>
      </c>
      <c r="O8205" s="2">
        <f ca="1"/>
        <v>-0.61453032780403705</v>
      </c>
      <c r="X8205" s="2">
        <f ca="1"/>
        <v>63.122470305027875</v>
      </c>
      <c r="AG8205" s="2">
        <f ca="1"/>
        <v>0.51572304652877188</v>
      </c>
      <c r="AH8205" s="2" t="str">
        <f ca="1"/>
        <v>Bad</v>
      </c>
    </row>
    <row r="8206" spans="2:34" x14ac:dyDescent="0.2">
      <c r="B8206" s="2">
        <f ca="1"/>
        <v>0.16211914973994812</v>
      </c>
      <c r="O8206" s="2">
        <f ca="1"/>
        <v>0.74279794158814461</v>
      </c>
      <c r="X8206" s="2">
        <f ca="1"/>
        <v>42.415218276211064</v>
      </c>
      <c r="AG8206" s="2">
        <f ca="1"/>
        <v>0.120361155902593</v>
      </c>
      <c r="AH8206" s="2" t="str">
        <f ca="1"/>
        <v>OK</v>
      </c>
    </row>
    <row r="8207" spans="2:34" x14ac:dyDescent="0.2">
      <c r="B8207" s="2">
        <f ca="1"/>
        <v>0.17781902604871425</v>
      </c>
      <c r="O8207" s="2">
        <f ca="1"/>
        <v>1.1125591046877998</v>
      </c>
      <c r="X8207" s="2">
        <f ca="1"/>
        <v>48.65960954179728</v>
      </c>
      <c r="AG8207" s="2">
        <f ca="1"/>
        <v>0.85952681226875605</v>
      </c>
      <c r="AH8207" s="2" t="str">
        <f ca="1"/>
        <v>Bad</v>
      </c>
    </row>
    <row r="8208" spans="2:34" x14ac:dyDescent="0.2">
      <c r="B8208" s="2">
        <f ca="1"/>
        <v>0.28830978938519114</v>
      </c>
      <c r="O8208" s="2">
        <f ca="1"/>
        <v>1.6727515547985219</v>
      </c>
      <c r="X8208" s="2">
        <f ca="1"/>
        <v>31.150209885985976</v>
      </c>
      <c r="AG8208" s="2">
        <f ca="1"/>
        <v>0.10784531364165884</v>
      </c>
      <c r="AH8208" s="2" t="str">
        <f ca="1"/>
        <v>OK</v>
      </c>
    </row>
    <row r="8209" spans="2:34" x14ac:dyDescent="0.2">
      <c r="B8209" s="2">
        <f ca="1"/>
        <v>0.82670192157969402</v>
      </c>
      <c r="O8209" s="2">
        <f ca="1"/>
        <v>-2.0912393229037725</v>
      </c>
      <c r="X8209" s="2">
        <f ca="1"/>
        <v>51.670150411315127</v>
      </c>
      <c r="AG8209" s="2">
        <f ca="1"/>
        <v>0.25058014605242329</v>
      </c>
      <c r="AH8209" s="2" t="str">
        <f ca="1"/>
        <v>OK</v>
      </c>
    </row>
    <row r="8210" spans="2:34" x14ac:dyDescent="0.2">
      <c r="B8210" s="2">
        <f ca="1"/>
        <v>0.20773793107331229</v>
      </c>
      <c r="O8210" s="2">
        <f ca="1"/>
        <v>-0.53000353739097261</v>
      </c>
      <c r="X8210" s="2">
        <f ca="1"/>
        <v>57.430395315388125</v>
      </c>
      <c r="AG8210" s="2">
        <f ca="1"/>
        <v>1.8711831628264397E-2</v>
      </c>
      <c r="AH8210" s="2" t="str">
        <f ca="1"/>
        <v>Good</v>
      </c>
    </row>
    <row r="8211" spans="2:34" x14ac:dyDescent="0.2">
      <c r="B8211" s="2">
        <f ca="1"/>
        <v>0.33851791969940925</v>
      </c>
      <c r="O8211" s="2">
        <f ca="1"/>
        <v>0.47458144057007545</v>
      </c>
      <c r="X8211" s="2">
        <f ca="1"/>
        <v>42.070855499682587</v>
      </c>
      <c r="AG8211" s="2">
        <f ca="1"/>
        <v>0.24199811484436018</v>
      </c>
      <c r="AH8211" s="2" t="str">
        <f ca="1"/>
        <v>OK</v>
      </c>
    </row>
    <row r="8212" spans="2:34" x14ac:dyDescent="0.2">
      <c r="B8212" s="2">
        <f ca="1"/>
        <v>0.34565605621654205</v>
      </c>
      <c r="O8212" s="2">
        <f ca="1"/>
        <v>-2.1965805237816993</v>
      </c>
      <c r="X8212" s="2">
        <f ca="1"/>
        <v>74.173606520724974</v>
      </c>
      <c r="AG8212" s="2">
        <f ca="1"/>
        <v>0.76795367224923128</v>
      </c>
      <c r="AH8212" s="2" t="str">
        <f ca="1"/>
        <v>Bad</v>
      </c>
    </row>
    <row r="8213" spans="2:34" x14ac:dyDescent="0.2">
      <c r="B8213" s="2">
        <f ca="1"/>
        <v>0.89926839614762644</v>
      </c>
      <c r="O8213" s="2">
        <f ca="1"/>
        <v>1.2951358276866809</v>
      </c>
      <c r="X8213" s="2">
        <f ca="1"/>
        <v>68.627607280301831</v>
      </c>
      <c r="AG8213" s="2">
        <f ca="1"/>
        <v>0.73867774315339751</v>
      </c>
      <c r="AH8213" s="2" t="str">
        <f ca="1"/>
        <v>Bad</v>
      </c>
    </row>
    <row r="8214" spans="2:34" x14ac:dyDescent="0.2">
      <c r="B8214" s="2">
        <f ca="1"/>
        <v>0.58428922536295747</v>
      </c>
      <c r="O8214" s="2">
        <f ca="1"/>
        <v>-0.81667330266411098</v>
      </c>
      <c r="X8214" s="2">
        <f ca="1"/>
        <v>71.918330676239734</v>
      </c>
      <c r="AG8214" s="2">
        <f ca="1"/>
        <v>0.70003993591212454</v>
      </c>
      <c r="AH8214" s="2" t="str">
        <f ca="1"/>
        <v>Bad</v>
      </c>
    </row>
    <row r="8215" spans="2:34" x14ac:dyDescent="0.2">
      <c r="B8215" s="2">
        <f ca="1"/>
        <v>0.51671861155423082</v>
      </c>
      <c r="O8215" s="2">
        <f ca="1"/>
        <v>-2.0846676403141715</v>
      </c>
      <c r="X8215" s="2">
        <f ca="1"/>
        <v>40.883909097290925</v>
      </c>
      <c r="AG8215" s="2">
        <f ca="1"/>
        <v>0.39240828664966187</v>
      </c>
      <c r="AH8215" s="2" t="str">
        <f ca="1"/>
        <v>OK</v>
      </c>
    </row>
    <row r="8216" spans="2:34" x14ac:dyDescent="0.2">
      <c r="B8216" s="2">
        <f ca="1"/>
        <v>0.38375140432801524</v>
      </c>
      <c r="O8216" s="2">
        <f ca="1"/>
        <v>1.297647164832709</v>
      </c>
      <c r="X8216" s="2">
        <f ca="1"/>
        <v>47.278056568484878</v>
      </c>
      <c r="AG8216" s="2">
        <f ca="1"/>
        <v>0.34921748078467085</v>
      </c>
      <c r="AH8216" s="2" t="str">
        <f ca="1"/>
        <v>OK</v>
      </c>
    </row>
    <row r="8217" spans="2:34" x14ac:dyDescent="0.2">
      <c r="B8217" s="2">
        <f ca="1"/>
        <v>0.19840906196692942</v>
      </c>
      <c r="O8217" s="2">
        <f ca="1"/>
        <v>0.47611628784956228</v>
      </c>
      <c r="X8217" s="2">
        <f ca="1"/>
        <v>66.643034975581187</v>
      </c>
      <c r="AG8217" s="2">
        <f ca="1"/>
        <v>0.60865935809845895</v>
      </c>
      <c r="AH8217" s="2" t="str">
        <f ca="1"/>
        <v>Bad</v>
      </c>
    </row>
    <row r="8218" spans="2:34" x14ac:dyDescent="0.2">
      <c r="B8218" s="2">
        <f ca="1"/>
        <v>0.93601956323071822</v>
      </c>
      <c r="O8218" s="2">
        <f ca="1"/>
        <v>-0.31063403673849982</v>
      </c>
      <c r="X8218" s="2">
        <f ca="1"/>
        <v>72.045073985807505</v>
      </c>
      <c r="AG8218" s="2">
        <f ca="1"/>
        <v>0.3245322319308146</v>
      </c>
      <c r="AH8218" s="2" t="str">
        <f ca="1"/>
        <v>OK</v>
      </c>
    </row>
    <row r="8219" spans="2:34" x14ac:dyDescent="0.2">
      <c r="B8219" s="2">
        <f ca="1"/>
        <v>0.56429132720893227</v>
      </c>
      <c r="O8219" s="2">
        <f ca="1"/>
        <v>0.10081369929619975</v>
      </c>
      <c r="X8219" s="2">
        <f ca="1"/>
        <v>43.92445912343085</v>
      </c>
      <c r="AG8219" s="2">
        <f ca="1"/>
        <v>3.0485786697804773E-3</v>
      </c>
      <c r="AH8219" s="2" t="str">
        <f ca="1"/>
        <v>Good</v>
      </c>
    </row>
    <row r="8220" spans="2:34" x14ac:dyDescent="0.2">
      <c r="B8220" s="2">
        <f ca="1"/>
        <v>0.35770231580851397</v>
      </c>
      <c r="O8220" s="2">
        <f ca="1"/>
        <v>0.2789531079000952</v>
      </c>
      <c r="X8220" s="2">
        <f ca="1"/>
        <v>50.638646372997286</v>
      </c>
      <c r="AG8220" s="2">
        <f ca="1"/>
        <v>0.6650470244263551</v>
      </c>
      <c r="AH8220" s="2" t="str">
        <f ca="1"/>
        <v>Bad</v>
      </c>
    </row>
    <row r="8221" spans="2:34" x14ac:dyDescent="0.2">
      <c r="B8221" s="2">
        <f ca="1"/>
        <v>0.55921576985637733</v>
      </c>
      <c r="O8221" s="2">
        <f ca="1"/>
        <v>1.2265399238389891</v>
      </c>
      <c r="X8221" s="2">
        <f ca="1"/>
        <v>51.944505490305659</v>
      </c>
      <c r="AG8221" s="2">
        <f ca="1"/>
        <v>0.61834635247656866</v>
      </c>
      <c r="AH8221" s="2" t="str">
        <f ca="1"/>
        <v>Bad</v>
      </c>
    </row>
    <row r="8222" spans="2:34" x14ac:dyDescent="0.2">
      <c r="B8222" s="2">
        <f ca="1"/>
        <v>2.4542505014058191E-2</v>
      </c>
      <c r="O8222" s="2">
        <f ca="1"/>
        <v>1.2079338656556278</v>
      </c>
      <c r="X8222" s="2">
        <f ca="1"/>
        <v>44.016963388798054</v>
      </c>
      <c r="AG8222" s="2">
        <f ca="1"/>
        <v>0.49235054240765863</v>
      </c>
      <c r="AH8222" s="2" t="str">
        <f ca="1"/>
        <v>Bad</v>
      </c>
    </row>
    <row r="8223" spans="2:34" x14ac:dyDescent="0.2">
      <c r="B8223" s="2">
        <f ca="1"/>
        <v>0.53569874239406001</v>
      </c>
      <c r="O8223" s="2">
        <f ca="1"/>
        <v>0.96073586912661235</v>
      </c>
      <c r="X8223" s="2">
        <f ca="1"/>
        <v>40.369894642214504</v>
      </c>
      <c r="AG8223" s="2">
        <f ca="1"/>
        <v>0.32638572177969283</v>
      </c>
      <c r="AH8223" s="2" t="str">
        <f ca="1"/>
        <v>OK</v>
      </c>
    </row>
    <row r="8224" spans="2:34" x14ac:dyDescent="0.2">
      <c r="B8224" s="2">
        <f ca="1"/>
        <v>0.63513362826069453</v>
      </c>
      <c r="O8224" s="2">
        <f ca="1"/>
        <v>-0.37020542202211038</v>
      </c>
      <c r="X8224" s="2">
        <f ca="1"/>
        <v>70.716232830844575</v>
      </c>
      <c r="AG8224" s="2">
        <f ca="1"/>
        <v>7.1582046206796424E-2</v>
      </c>
      <c r="AH8224" s="2" t="str">
        <f ca="1"/>
        <v>OK</v>
      </c>
    </row>
    <row r="8225" spans="2:34" x14ac:dyDescent="0.2">
      <c r="B8225" s="2">
        <f ca="1"/>
        <v>0.65170671696895677</v>
      </c>
      <c r="O8225" s="2">
        <f ca="1"/>
        <v>-0.16975179138254232</v>
      </c>
      <c r="X8225" s="2">
        <f ca="1"/>
        <v>37.109014277644071</v>
      </c>
      <c r="AG8225" s="2">
        <f ca="1"/>
        <v>0.92357569780749493</v>
      </c>
      <c r="AH8225" s="2" t="str">
        <f ca="1"/>
        <v>Bad</v>
      </c>
    </row>
    <row r="8226" spans="2:34" x14ac:dyDescent="0.2">
      <c r="B8226" s="2">
        <f ca="1"/>
        <v>0.38368191410694386</v>
      </c>
      <c r="O8226" s="2">
        <f ca="1"/>
        <v>-0.43874073514288908</v>
      </c>
      <c r="X8226" s="2">
        <f ca="1"/>
        <v>51.006238638890125</v>
      </c>
      <c r="AG8226" s="2">
        <f ca="1"/>
        <v>7.6295212110765842E-2</v>
      </c>
      <c r="AH8226" s="2" t="str">
        <f ca="1"/>
        <v>OK</v>
      </c>
    </row>
    <row r="8227" spans="2:34" x14ac:dyDescent="0.2">
      <c r="B8227" s="2">
        <f ca="1"/>
        <v>0.69964631929941046</v>
      </c>
      <c r="O8227" s="2">
        <f ca="1"/>
        <v>-0.71363772015142513</v>
      </c>
      <c r="X8227" s="2">
        <f ca="1"/>
        <v>44.677934166281752</v>
      </c>
      <c r="AG8227" s="2">
        <f ca="1"/>
        <v>0.67751171003792021</v>
      </c>
      <c r="AH8227" s="2" t="str">
        <f ca="1"/>
        <v>Bad</v>
      </c>
    </row>
    <row r="8228" spans="2:34" x14ac:dyDescent="0.2">
      <c r="B8228" s="2">
        <f ca="1"/>
        <v>0.96882774848249276</v>
      </c>
      <c r="O8228" s="2">
        <f ca="1"/>
        <v>0.34019107070303783</v>
      </c>
      <c r="X8228" s="2">
        <f ca="1"/>
        <v>54.385895381165682</v>
      </c>
      <c r="AG8228" s="2">
        <f ca="1"/>
        <v>0.15063767857573729</v>
      </c>
      <c r="AH8228" s="2" t="str">
        <f ca="1"/>
        <v>OK</v>
      </c>
    </row>
    <row r="8229" spans="2:34" x14ac:dyDescent="0.2">
      <c r="B8229" s="2">
        <f ca="1"/>
        <v>0.45884245770684107</v>
      </c>
      <c r="O8229" s="2">
        <f ca="1"/>
        <v>0.40623154068952227</v>
      </c>
      <c r="X8229" s="2">
        <f ca="1"/>
        <v>76.833305187317094</v>
      </c>
      <c r="AG8229" s="2">
        <f ca="1"/>
        <v>0.90819403545837774</v>
      </c>
      <c r="AH8229" s="2" t="str">
        <f ca="1"/>
        <v>Bad</v>
      </c>
    </row>
    <row r="8230" spans="2:34" x14ac:dyDescent="0.2">
      <c r="B8230" s="2">
        <f ca="1"/>
        <v>0.35471664210839182</v>
      </c>
      <c r="O8230" s="2">
        <f ca="1"/>
        <v>0.36557734625871646</v>
      </c>
      <c r="X8230" s="2">
        <f ca="1"/>
        <v>47.078347726816872</v>
      </c>
      <c r="AG8230" s="2">
        <f ca="1"/>
        <v>0.57010007081050862</v>
      </c>
      <c r="AH8230" s="2" t="str">
        <f ca="1"/>
        <v>Bad</v>
      </c>
    </row>
    <row r="8231" spans="2:34" x14ac:dyDescent="0.2">
      <c r="B8231" s="2">
        <f ca="1"/>
        <v>5.571865817762589E-2</v>
      </c>
      <c r="O8231" s="2">
        <f ca="1"/>
        <v>0.38379342462431676</v>
      </c>
      <c r="X8231" s="2">
        <f ca="1"/>
        <v>28.862377757597027</v>
      </c>
      <c r="AG8231" s="2">
        <f ca="1"/>
        <v>0.44088267899615041</v>
      </c>
      <c r="AH8231" s="2" t="str">
        <f ca="1"/>
        <v>Bad</v>
      </c>
    </row>
    <row r="8232" spans="2:34" x14ac:dyDescent="0.2">
      <c r="B8232" s="2">
        <f ca="1"/>
        <v>0.51308789043265679</v>
      </c>
      <c r="O8232" s="2">
        <f ca="1"/>
        <v>1.2267193483665972</v>
      </c>
      <c r="X8232" s="2">
        <f ca="1"/>
        <v>35.940980972533055</v>
      </c>
      <c r="AG8232" s="2">
        <f ca="1"/>
        <v>0.29357460053681383</v>
      </c>
      <c r="AH8232" s="2" t="str">
        <f ca="1"/>
        <v>OK</v>
      </c>
    </row>
    <row r="8233" spans="2:34" x14ac:dyDescent="0.2">
      <c r="B8233" s="2">
        <f ca="1"/>
        <v>0.80964634248947709</v>
      </c>
      <c r="O8233" s="2">
        <f ca="1"/>
        <v>-0.4387010247240184</v>
      </c>
      <c r="X8233" s="2">
        <f ca="1"/>
        <v>39.921924825588079</v>
      </c>
      <c r="AG8233" s="2">
        <f ca="1"/>
        <v>0.76500658832384305</v>
      </c>
      <c r="AH8233" s="2" t="str">
        <f ca="1"/>
        <v>Bad</v>
      </c>
    </row>
    <row r="8234" spans="2:34" x14ac:dyDescent="0.2">
      <c r="B8234" s="2">
        <f ca="1"/>
        <v>0.6306183528663627</v>
      </c>
      <c r="O8234" s="2">
        <f ca="1"/>
        <v>0.94244415173517437</v>
      </c>
      <c r="X8234" s="2">
        <f ca="1"/>
        <v>25.447972093608492</v>
      </c>
      <c r="AG8234" s="2">
        <f ca="1"/>
        <v>0.81683562052329073</v>
      </c>
      <c r="AH8234" s="2" t="str">
        <f ca="1"/>
        <v>Bad</v>
      </c>
    </row>
    <row r="8235" spans="2:34" x14ac:dyDescent="0.2">
      <c r="B8235" s="2">
        <f ca="1"/>
        <v>0.92676166804182025</v>
      </c>
      <c r="O8235" s="2">
        <f ca="1"/>
        <v>-0.85542581003914908</v>
      </c>
      <c r="X8235" s="2">
        <f ca="1"/>
        <v>61.06741705099423</v>
      </c>
      <c r="AG8235" s="2">
        <f ca="1"/>
        <v>0.4421571320964377</v>
      </c>
      <c r="AH8235" s="2" t="str">
        <f ca="1"/>
        <v>Bad</v>
      </c>
    </row>
    <row r="8236" spans="2:34" x14ac:dyDescent="0.2">
      <c r="B8236" s="2">
        <f ca="1"/>
        <v>0.36752819438924456</v>
      </c>
      <c r="O8236" s="2">
        <f ca="1"/>
        <v>-0.16326686604700674</v>
      </c>
      <c r="X8236" s="2">
        <f ca="1"/>
        <v>35.404243515060891</v>
      </c>
      <c r="AG8236" s="2">
        <f ca="1"/>
        <v>0.26697246873906622</v>
      </c>
      <c r="AH8236" s="2" t="str">
        <f ca="1"/>
        <v>OK</v>
      </c>
    </row>
    <row r="8237" spans="2:34" x14ac:dyDescent="0.2">
      <c r="B8237" s="2">
        <f ca="1"/>
        <v>0.7206281392323024</v>
      </c>
      <c r="O8237" s="2">
        <f ca="1"/>
        <v>2.3018045257411051</v>
      </c>
      <c r="X8237" s="2">
        <f ca="1"/>
        <v>55.352381517823048</v>
      </c>
      <c r="AG8237" s="2">
        <f ca="1"/>
        <v>0.98031179069222429</v>
      </c>
      <c r="AH8237" s="2" t="str">
        <f ca="1"/>
        <v>Bad</v>
      </c>
    </row>
    <row r="8238" spans="2:34" x14ac:dyDescent="0.2">
      <c r="B8238" s="2">
        <f ca="1"/>
        <v>5.1493292926257928E-2</v>
      </c>
      <c r="O8238" s="2">
        <f ca="1"/>
        <v>-0.73173243046384717</v>
      </c>
      <c r="X8238" s="2">
        <f ca="1"/>
        <v>46.153121728491101</v>
      </c>
      <c r="AG8238" s="2">
        <f ca="1"/>
        <v>0.90057518588431384</v>
      </c>
      <c r="AH8238" s="2" t="str">
        <f ca="1"/>
        <v>Bad</v>
      </c>
    </row>
    <row r="8239" spans="2:34" x14ac:dyDescent="0.2">
      <c r="B8239" s="2">
        <f ca="1"/>
        <v>7.3921091434341335E-3</v>
      </c>
      <c r="O8239" s="2">
        <f ca="1"/>
        <v>-0.56961477966909579</v>
      </c>
      <c r="X8239" s="2">
        <f ca="1"/>
        <v>38.074054633879655</v>
      </c>
      <c r="AG8239" s="2">
        <f ca="1"/>
        <v>0.1027481153176435</v>
      </c>
      <c r="AH8239" s="2" t="str">
        <f ca="1"/>
        <v>OK</v>
      </c>
    </row>
    <row r="8240" spans="2:34" x14ac:dyDescent="0.2">
      <c r="B8240" s="2">
        <f ca="1"/>
        <v>0.10160426925876709</v>
      </c>
      <c r="O8240" s="2">
        <f ca="1"/>
        <v>-9.6479069395078249E-2</v>
      </c>
      <c r="X8240" s="2">
        <f ca="1"/>
        <v>37.217146436323723</v>
      </c>
      <c r="AG8240" s="2">
        <f ca="1"/>
        <v>0.12066138020812867</v>
      </c>
      <c r="AH8240" s="2" t="str">
        <f ca="1"/>
        <v>OK</v>
      </c>
    </row>
    <row r="8241" spans="2:34" x14ac:dyDescent="0.2">
      <c r="B8241" s="2">
        <f ca="1"/>
        <v>0.71156245278477659</v>
      </c>
      <c r="O8241" s="2">
        <f ca="1"/>
        <v>-1.0335368549684514</v>
      </c>
      <c r="X8241" s="2">
        <f ca="1"/>
        <v>68.970858837935111</v>
      </c>
      <c r="AG8241" s="2">
        <f ca="1"/>
        <v>0.10372748674164156</v>
      </c>
      <c r="AH8241" s="2" t="str">
        <f ca="1"/>
        <v>OK</v>
      </c>
    </row>
    <row r="8242" spans="2:34" x14ac:dyDescent="0.2">
      <c r="B8242" s="2">
        <f ca="1"/>
        <v>0.44159365213435753</v>
      </c>
      <c r="O8242" s="2">
        <f ca="1"/>
        <v>-1.3050789368486131</v>
      </c>
      <c r="X8242" s="2">
        <f ca="1"/>
        <v>37.414119673402666</v>
      </c>
      <c r="AG8242" s="2">
        <f ca="1"/>
        <v>0.32853211739316346</v>
      </c>
      <c r="AH8242" s="2" t="str">
        <f ca="1"/>
        <v>OK</v>
      </c>
    </row>
    <row r="8243" spans="2:34" x14ac:dyDescent="0.2">
      <c r="B8243" s="2">
        <f ca="1"/>
        <v>2.1483173259187138E-2</v>
      </c>
      <c r="O8243" s="2">
        <f ca="1"/>
        <v>-0.92030807752799182</v>
      </c>
      <c r="X8243" s="2">
        <f ca="1"/>
        <v>42.895029493562646</v>
      </c>
      <c r="AG8243" s="2">
        <f ca="1"/>
        <v>0.58057659065399214</v>
      </c>
      <c r="AH8243" s="2" t="str">
        <f ca="1"/>
        <v>Bad</v>
      </c>
    </row>
    <row r="8244" spans="2:34" x14ac:dyDescent="0.2">
      <c r="B8244" s="2">
        <f ca="1"/>
        <v>0.11224358527291156</v>
      </c>
      <c r="O8244" s="2">
        <f ca="1"/>
        <v>1.5243209043771304</v>
      </c>
      <c r="X8244" s="2">
        <f ca="1"/>
        <v>29.621783628957786</v>
      </c>
      <c r="AG8244" s="2">
        <f ca="1"/>
        <v>2.3355559126599035E-2</v>
      </c>
      <c r="AH8244" s="2" t="str">
        <f ca="1"/>
        <v>Good</v>
      </c>
    </row>
    <row r="8245" spans="2:34" x14ac:dyDescent="0.2">
      <c r="B8245" s="2">
        <f ca="1"/>
        <v>0.84964686949616741</v>
      </c>
      <c r="O8245" s="2">
        <f ca="1"/>
        <v>0.59517803825948146</v>
      </c>
      <c r="X8245" s="2">
        <f ca="1"/>
        <v>38.329205190458346</v>
      </c>
      <c r="AG8245" s="2">
        <f ca="1"/>
        <v>0.94078470110146029</v>
      </c>
      <c r="AH8245" s="2" t="str">
        <f ca="1"/>
        <v>Bad</v>
      </c>
    </row>
    <row r="8246" spans="2:34" x14ac:dyDescent="0.2">
      <c r="B8246" s="2">
        <f ca="1"/>
        <v>0.82765483988209509</v>
      </c>
      <c r="O8246" s="2">
        <f ca="1"/>
        <v>0.23933011591987044</v>
      </c>
      <c r="X8246" s="2">
        <f ca="1"/>
        <v>72.47694697963135</v>
      </c>
      <c r="AG8246" s="2">
        <f ca="1"/>
        <v>0.57929078619196051</v>
      </c>
      <c r="AH8246" s="2" t="str">
        <f ca="1"/>
        <v>Bad</v>
      </c>
    </row>
    <row r="8247" spans="2:34" x14ac:dyDescent="0.2">
      <c r="B8247" s="2">
        <f ca="1"/>
        <v>0.12415311197325773</v>
      </c>
      <c r="O8247" s="2">
        <f ca="1"/>
        <v>0.53452101750651615</v>
      </c>
      <c r="X8247" s="2">
        <f ca="1"/>
        <v>45.587607520927946</v>
      </c>
      <c r="AG8247" s="2">
        <f ca="1"/>
        <v>0.79081803535881678</v>
      </c>
      <c r="AH8247" s="2" t="str">
        <f ca="1"/>
        <v>Bad</v>
      </c>
    </row>
    <row r="8248" spans="2:34" x14ac:dyDescent="0.2">
      <c r="B8248" s="2">
        <f ca="1"/>
        <v>0.66508641412221636</v>
      </c>
      <c r="O8248" s="2">
        <f ca="1"/>
        <v>-0.13507318854872899</v>
      </c>
      <c r="X8248" s="2">
        <f ca="1"/>
        <v>69.577856867555084</v>
      </c>
      <c r="AG8248" s="2">
        <f ca="1"/>
        <v>0.93599167949075768</v>
      </c>
      <c r="AH8248" s="2" t="str">
        <f ca="1"/>
        <v>Bad</v>
      </c>
    </row>
    <row r="8249" spans="2:34" x14ac:dyDescent="0.2">
      <c r="B8249" s="2">
        <f ca="1"/>
        <v>0.13067122911148821</v>
      </c>
      <c r="O8249" s="2">
        <f ca="1"/>
        <v>-0.81572972298869217</v>
      </c>
      <c r="X8249" s="2">
        <f ca="1"/>
        <v>43.130958513390603</v>
      </c>
      <c r="AG8249" s="2">
        <f ca="1"/>
        <v>0.49299521854672701</v>
      </c>
      <c r="AH8249" s="2" t="str">
        <f ca="1"/>
        <v>Bad</v>
      </c>
    </row>
    <row r="8250" spans="2:34" x14ac:dyDescent="0.2">
      <c r="B8250" s="2">
        <f ca="1"/>
        <v>0.67205103300983526</v>
      </c>
      <c r="O8250" s="2">
        <f ca="1"/>
        <v>0.83612953284317459</v>
      </c>
      <c r="X8250" s="2">
        <f ca="1"/>
        <v>28.876183366966632</v>
      </c>
      <c r="AG8250" s="2">
        <f ca="1"/>
        <v>0.81964795937527657</v>
      </c>
      <c r="AH8250" s="2" t="str">
        <f ca="1"/>
        <v>Bad</v>
      </c>
    </row>
    <row r="8251" spans="2:34" x14ac:dyDescent="0.2">
      <c r="B8251" s="2">
        <f ca="1"/>
        <v>0.66619401710866222</v>
      </c>
      <c r="O8251" s="2">
        <f ca="1"/>
        <v>-0.31357382048427118</v>
      </c>
      <c r="X8251" s="2">
        <f ca="1"/>
        <v>41.713421740852169</v>
      </c>
      <c r="AG8251" s="2">
        <f ca="1"/>
        <v>0.14165269606743069</v>
      </c>
      <c r="AH8251" s="2" t="str">
        <f ca="1"/>
        <v>OK</v>
      </c>
    </row>
    <row r="8252" spans="2:34" x14ac:dyDescent="0.2">
      <c r="B8252" s="2">
        <f ca="1"/>
        <v>0.96212090455200361</v>
      </c>
      <c r="O8252" s="2">
        <f ca="1"/>
        <v>-1.7990672630695774</v>
      </c>
      <c r="X8252" s="2">
        <f ca="1"/>
        <v>62.615808239635811</v>
      </c>
      <c r="AG8252" s="2">
        <f ca="1"/>
        <v>0.37162768074366004</v>
      </c>
      <c r="AH8252" s="2" t="str">
        <f ca="1"/>
        <v>OK</v>
      </c>
    </row>
    <row r="8253" spans="2:34" x14ac:dyDescent="0.2">
      <c r="B8253" s="2">
        <f ca="1"/>
        <v>0.41490452488502494</v>
      </c>
      <c r="O8253" s="2">
        <f ca="1"/>
        <v>0.29166732872634576</v>
      </c>
      <c r="X8253" s="2">
        <f ca="1"/>
        <v>78.657682371629861</v>
      </c>
      <c r="AG8253" s="2">
        <f ca="1"/>
        <v>0.11479948120696881</v>
      </c>
      <c r="AH8253" s="2" t="str">
        <f ca="1"/>
        <v>OK</v>
      </c>
    </row>
    <row r="8254" spans="2:34" x14ac:dyDescent="0.2">
      <c r="B8254" s="2">
        <f ca="1"/>
        <v>0.49745244753036277</v>
      </c>
      <c r="O8254" s="2">
        <f ca="1"/>
        <v>-0.81213635032795495</v>
      </c>
      <c r="X8254" s="2">
        <f ca="1"/>
        <v>22.519609155701161</v>
      </c>
      <c r="AG8254" s="2">
        <f ca="1"/>
        <v>0.70709430423244712</v>
      </c>
      <c r="AH8254" s="2" t="str">
        <f ca="1"/>
        <v>Bad</v>
      </c>
    </row>
    <row r="8255" spans="2:34" x14ac:dyDescent="0.2">
      <c r="B8255" s="2">
        <f ca="1"/>
        <v>6.9817560252682265E-2</v>
      </c>
      <c r="O8255" s="2">
        <f ca="1"/>
        <v>0.70860603058494798</v>
      </c>
      <c r="X8255" s="2">
        <f ca="1"/>
        <v>64.940020854510948</v>
      </c>
      <c r="AG8255" s="2">
        <f ca="1"/>
        <v>0.64173682654129127</v>
      </c>
      <c r="AH8255" s="2" t="str">
        <f ca="1"/>
        <v>Bad</v>
      </c>
    </row>
    <row r="8256" spans="2:34" x14ac:dyDescent="0.2">
      <c r="B8256" s="2">
        <f ca="1"/>
        <v>0.20223223530192569</v>
      </c>
      <c r="O8256" s="2">
        <f ca="1"/>
        <v>0.76037526281778423</v>
      </c>
      <c r="X8256" s="2">
        <f ca="1"/>
        <v>64.465454012418121</v>
      </c>
      <c r="AG8256" s="2">
        <f ca="1"/>
        <v>0.43265123242925596</v>
      </c>
      <c r="AH8256" s="2" t="str">
        <f ca="1"/>
        <v>Bad</v>
      </c>
    </row>
    <row r="8257" spans="2:34" x14ac:dyDescent="0.2">
      <c r="B8257" s="2">
        <f ca="1"/>
        <v>0.26410935079389608</v>
      </c>
      <c r="O8257" s="2">
        <f ca="1"/>
        <v>-1.0883910760036715</v>
      </c>
      <c r="X8257" s="2">
        <f ca="1"/>
        <v>34.566762524088276</v>
      </c>
      <c r="AG8257" s="2">
        <f ca="1"/>
        <v>0.6423440758884873</v>
      </c>
      <c r="AH8257" s="2" t="str">
        <f ca="1"/>
        <v>Bad</v>
      </c>
    </row>
    <row r="8258" spans="2:34" x14ac:dyDescent="0.2">
      <c r="B8258" s="2">
        <f ca="1"/>
        <v>0.80066651643601605</v>
      </c>
      <c r="O8258" s="2">
        <f ca="1"/>
        <v>-1.0690127439826438</v>
      </c>
      <c r="X8258" s="2">
        <f ca="1"/>
        <v>62.291263151407179</v>
      </c>
      <c r="AG8258" s="2">
        <f ca="1"/>
        <v>0.92434902381444606</v>
      </c>
      <c r="AH8258" s="2" t="str">
        <f ca="1"/>
        <v>Bad</v>
      </c>
    </row>
    <row r="8259" spans="2:34" x14ac:dyDescent="0.2">
      <c r="B8259" s="2">
        <f ca="1"/>
        <v>0.86776058365210385</v>
      </c>
      <c r="O8259" s="2">
        <f ca="1"/>
        <v>1.4572590213903625</v>
      </c>
      <c r="X8259" s="2">
        <f ca="1"/>
        <v>42.97490357212817</v>
      </c>
      <c r="AG8259" s="2">
        <f ca="1"/>
        <v>0.72312537617731198</v>
      </c>
      <c r="AH8259" s="2" t="str">
        <f ca="1"/>
        <v>Bad</v>
      </c>
    </row>
    <row r="8260" spans="2:34" x14ac:dyDescent="0.2">
      <c r="B8260" s="2">
        <f ca="1"/>
        <v>0.42359836876940626</v>
      </c>
      <c r="O8260" s="2">
        <f ca="1"/>
        <v>-0.26113804778758642</v>
      </c>
      <c r="X8260" s="2">
        <f ca="1"/>
        <v>47.85117245678137</v>
      </c>
      <c r="AG8260" s="2">
        <f ca="1"/>
        <v>0.15982421029604588</v>
      </c>
      <c r="AH8260" s="2" t="str">
        <f ca="1"/>
        <v>OK</v>
      </c>
    </row>
    <row r="8261" spans="2:34" x14ac:dyDescent="0.2">
      <c r="B8261" s="2">
        <f ca="1"/>
        <v>0.2234757309237756</v>
      </c>
      <c r="O8261" s="2">
        <f ca="1"/>
        <v>-0.84896091382619721</v>
      </c>
      <c r="X8261" s="2">
        <f ca="1"/>
        <v>42.122290103386973</v>
      </c>
      <c r="AG8261" s="2">
        <f ca="1"/>
        <v>0.63174543125279747</v>
      </c>
      <c r="AH8261" s="2" t="str">
        <f ca="1"/>
        <v>Bad</v>
      </c>
    </row>
    <row r="8262" spans="2:34" x14ac:dyDescent="0.2">
      <c r="B8262" s="2">
        <f ca="1"/>
        <v>0.32192422245126906</v>
      </c>
      <c r="O8262" s="2">
        <f ca="1"/>
        <v>2.2444140908276951</v>
      </c>
      <c r="X8262" s="2">
        <f ca="1"/>
        <v>48.074101047566629</v>
      </c>
      <c r="AG8262" s="2">
        <f ca="1"/>
        <v>0.73135121467898334</v>
      </c>
      <c r="AH8262" s="2" t="str">
        <f ca="1"/>
        <v>Bad</v>
      </c>
    </row>
    <row r="8263" spans="2:34" x14ac:dyDescent="0.2">
      <c r="B8263" s="2">
        <f ca="1"/>
        <v>0.87438987005723479</v>
      </c>
      <c r="O8263" s="2">
        <f ca="1"/>
        <v>0.61878946887406638</v>
      </c>
      <c r="X8263" s="2">
        <f ca="1"/>
        <v>36.27712022248447</v>
      </c>
      <c r="AG8263" s="2">
        <f ca="1"/>
        <v>7.6987290440034384E-2</v>
      </c>
      <c r="AH8263" s="2" t="str">
        <f ca="1"/>
        <v>OK</v>
      </c>
    </row>
    <row r="8264" spans="2:34" x14ac:dyDescent="0.2">
      <c r="B8264" s="2">
        <f ca="1"/>
        <v>0.30284543378583395</v>
      </c>
      <c r="O8264" s="2">
        <f ca="1"/>
        <v>-1.7165693716344597</v>
      </c>
      <c r="X8264" s="2">
        <f ca="1"/>
        <v>41.109532444299781</v>
      </c>
      <c r="AG8264" s="2">
        <f ca="1"/>
        <v>0.77199128439740039</v>
      </c>
      <c r="AH8264" s="2" t="str">
        <f ca="1"/>
        <v>Bad</v>
      </c>
    </row>
    <row r="8265" spans="2:34" x14ac:dyDescent="0.2">
      <c r="B8265" s="2">
        <f ca="1"/>
        <v>0.77939755829275681</v>
      </c>
      <c r="O8265" s="2">
        <f ca="1"/>
        <v>0.32062108590288302</v>
      </c>
      <c r="X8265" s="2">
        <f ca="1"/>
        <v>66.798626589653352</v>
      </c>
      <c r="AG8265" s="2">
        <f ca="1"/>
        <v>0.6058789607427002</v>
      </c>
      <c r="AH8265" s="2" t="str">
        <f ca="1"/>
        <v>Bad</v>
      </c>
    </row>
    <row r="8266" spans="2:34" x14ac:dyDescent="0.2">
      <c r="B8266" s="2">
        <f ca="1"/>
        <v>8.9044171879311573E-2</v>
      </c>
      <c r="O8266" s="2">
        <f ca="1"/>
        <v>0.56094204569560735</v>
      </c>
      <c r="X8266" s="2">
        <f ca="1"/>
        <v>34.732347591905132</v>
      </c>
      <c r="AG8266" s="2">
        <f ca="1"/>
        <v>0.40549737041428657</v>
      </c>
      <c r="AH8266" s="2" t="str">
        <f ca="1"/>
        <v>Bad</v>
      </c>
    </row>
    <row r="8267" spans="2:34" x14ac:dyDescent="0.2">
      <c r="B8267" s="2">
        <f ca="1"/>
        <v>0.85622396658102451</v>
      </c>
      <c r="O8267" s="2">
        <f ca="1"/>
        <v>1.2292514820134148</v>
      </c>
      <c r="X8267" s="2">
        <f ca="1"/>
        <v>26.740559483544708</v>
      </c>
      <c r="AG8267" s="2">
        <f ca="1"/>
        <v>9.0477846978842535E-3</v>
      </c>
      <c r="AH8267" s="2" t="str">
        <f ca="1"/>
        <v>Good</v>
      </c>
    </row>
    <row r="8268" spans="2:34" x14ac:dyDescent="0.2">
      <c r="B8268" s="2">
        <f ca="1"/>
        <v>0.9640026813178415</v>
      </c>
      <c r="O8268" s="2">
        <f ca="1"/>
        <v>-0.85822664887130351</v>
      </c>
      <c r="X8268" s="2">
        <f ca="1"/>
        <v>62.567753968432569</v>
      </c>
      <c r="AG8268" s="2">
        <f ca="1"/>
        <v>4.3159520139043561E-2</v>
      </c>
      <c r="AH8268" s="2" t="str">
        <f ca="1"/>
        <v>Good</v>
      </c>
    </row>
    <row r="8269" spans="2:34" x14ac:dyDescent="0.2">
      <c r="B8269" s="2">
        <f ca="1"/>
        <v>0.61898833050125046</v>
      </c>
      <c r="O8269" s="2">
        <f ca="1"/>
        <v>0.11669461974980655</v>
      </c>
      <c r="X8269" s="2">
        <f ca="1"/>
        <v>22.746743667153723</v>
      </c>
      <c r="AG8269" s="2">
        <f ca="1"/>
        <v>0.40588072703398947</v>
      </c>
      <c r="AH8269" s="2" t="str">
        <f ca="1"/>
        <v>Bad</v>
      </c>
    </row>
    <row r="8270" spans="2:34" x14ac:dyDescent="0.2">
      <c r="B8270" s="2">
        <f ca="1"/>
        <v>0.22936948763112985</v>
      </c>
      <c r="O8270" s="2">
        <f ca="1"/>
        <v>0.15899447376018352</v>
      </c>
      <c r="X8270" s="2">
        <f ca="1"/>
        <v>47.135351561911023</v>
      </c>
      <c r="AG8270" s="2">
        <f ca="1"/>
        <v>0.16914220678643299</v>
      </c>
      <c r="AH8270" s="2" t="str">
        <f ca="1"/>
        <v>OK</v>
      </c>
    </row>
    <row r="8271" spans="2:34" x14ac:dyDescent="0.2">
      <c r="B8271" s="2">
        <f ca="1"/>
        <v>0.50064090022906726</v>
      </c>
      <c r="O8271" s="2">
        <f ca="1"/>
        <v>-1.8029238920518493</v>
      </c>
      <c r="X8271" s="2">
        <f ca="1"/>
        <v>36.256258556291499</v>
      </c>
      <c r="AG8271" s="2">
        <f ca="1"/>
        <v>0.37757573648796794</v>
      </c>
      <c r="AH8271" s="2" t="str">
        <f ca="1"/>
        <v>OK</v>
      </c>
    </row>
    <row r="8272" spans="2:34" x14ac:dyDescent="0.2">
      <c r="B8272" s="2">
        <f ca="1"/>
        <v>0.23276860272077404</v>
      </c>
      <c r="O8272" s="2">
        <f ca="1"/>
        <v>0.83065151756312017</v>
      </c>
      <c r="X8272" s="2">
        <f ca="1"/>
        <v>62.809686557731652</v>
      </c>
      <c r="AG8272" s="2">
        <f ca="1"/>
        <v>0.28916357040375962</v>
      </c>
      <c r="AH8272" s="2" t="str">
        <f ca="1"/>
        <v>OK</v>
      </c>
    </row>
    <row r="8273" spans="2:34" x14ac:dyDescent="0.2">
      <c r="B8273" s="2">
        <f ca="1"/>
        <v>0.76548876031898216</v>
      </c>
      <c r="O8273" s="2">
        <f ca="1"/>
        <v>-0.84331052297578091</v>
      </c>
      <c r="X8273" s="2">
        <f ca="1"/>
        <v>46.331860510732028</v>
      </c>
      <c r="AG8273" s="2">
        <f ca="1"/>
        <v>0.74008232070041879</v>
      </c>
      <c r="AH8273" s="2" t="str">
        <f ca="1"/>
        <v>Bad</v>
      </c>
    </row>
    <row r="8274" spans="2:34" x14ac:dyDescent="0.2">
      <c r="B8274" s="2">
        <f ca="1"/>
        <v>0.61634260575137811</v>
      </c>
      <c r="O8274" s="2">
        <f ca="1"/>
        <v>0.24308573146645446</v>
      </c>
      <c r="X8274" s="2">
        <f ca="1"/>
        <v>50.614827451043389</v>
      </c>
      <c r="AG8274" s="2">
        <f ca="1"/>
        <v>0.80217575890284643</v>
      </c>
      <c r="AH8274" s="2" t="str">
        <f ca="1"/>
        <v>Bad</v>
      </c>
    </row>
    <row r="8275" spans="2:34" x14ac:dyDescent="0.2">
      <c r="B8275" s="2">
        <f ca="1"/>
        <v>3.9668717602809211E-2</v>
      </c>
      <c r="O8275" s="2">
        <f ca="1"/>
        <v>-2.0253621705480813</v>
      </c>
      <c r="X8275" s="2">
        <f ca="1"/>
        <v>45.475255487053552</v>
      </c>
      <c r="AG8275" s="2">
        <f ca="1"/>
        <v>0.21014904712646088</v>
      </c>
      <c r="AH8275" s="2" t="str">
        <f ca="1"/>
        <v>OK</v>
      </c>
    </row>
    <row r="8276" spans="2:34" x14ac:dyDescent="0.2">
      <c r="B8276" s="2">
        <f ca="1"/>
        <v>6.3553970878212018E-2</v>
      </c>
      <c r="O8276" s="2">
        <f ca="1"/>
        <v>0.52323905984761354</v>
      </c>
      <c r="X8276" s="2">
        <f ca="1"/>
        <v>45.206906900718771</v>
      </c>
      <c r="AG8276" s="2">
        <f ca="1"/>
        <v>0.68782327765597873</v>
      </c>
      <c r="AH8276" s="2" t="str">
        <f ca="1"/>
        <v>Bad</v>
      </c>
    </row>
    <row r="8277" spans="2:34" x14ac:dyDescent="0.2">
      <c r="B8277" s="2">
        <f ca="1"/>
        <v>0.22374683089178382</v>
      </c>
      <c r="O8277" s="2">
        <f ca="1"/>
        <v>0.2653616340339004</v>
      </c>
      <c r="X8277" s="2">
        <f ca="1"/>
        <v>62.591445743405842</v>
      </c>
      <c r="AG8277" s="2">
        <f ca="1"/>
        <v>0.64196628375481302</v>
      </c>
      <c r="AH8277" s="2" t="str">
        <f ca="1"/>
        <v>Bad</v>
      </c>
    </row>
    <row r="8278" spans="2:34" x14ac:dyDescent="0.2">
      <c r="B8278" s="2">
        <f ca="1"/>
        <v>0.17122459358231756</v>
      </c>
      <c r="O8278" s="2">
        <f ca="1"/>
        <v>-1.5087421297404096</v>
      </c>
      <c r="X8278" s="2">
        <f ca="1"/>
        <v>44.227545512197395</v>
      </c>
      <c r="AG8278" s="2">
        <f ca="1"/>
        <v>0.65175527657961974</v>
      </c>
      <c r="AH8278" s="2" t="str">
        <f ca="1"/>
        <v>Bad</v>
      </c>
    </row>
    <row r="8279" spans="2:34" x14ac:dyDescent="0.2">
      <c r="B8279" s="2">
        <f ca="1"/>
        <v>6.8247237547339523E-2</v>
      </c>
      <c r="O8279" s="2">
        <f ca="1"/>
        <v>-1.8924501921090071</v>
      </c>
      <c r="X8279" s="2">
        <f ca="1"/>
        <v>44.568857881952596</v>
      </c>
      <c r="AG8279" s="2">
        <f ca="1"/>
        <v>0.74658254651877121</v>
      </c>
      <c r="AH8279" s="2" t="str">
        <f ca="1"/>
        <v>Bad</v>
      </c>
    </row>
    <row r="8280" spans="2:34" x14ac:dyDescent="0.2">
      <c r="B8280" s="2">
        <f ca="1"/>
        <v>0.72669950043121934</v>
      </c>
      <c r="O8280" s="2">
        <f ca="1"/>
        <v>1.1555353170992468</v>
      </c>
      <c r="X8280" s="2">
        <f ca="1"/>
        <v>53.764976781995131</v>
      </c>
      <c r="AG8280" s="2">
        <f ca="1"/>
        <v>0.82722381072675044</v>
      </c>
      <c r="AH8280" s="2" t="str">
        <f ca="1"/>
        <v>Bad</v>
      </c>
    </row>
    <row r="8281" spans="2:34" x14ac:dyDescent="0.2">
      <c r="B8281" s="2">
        <f ca="1"/>
        <v>0.82490701391829147</v>
      </c>
      <c r="O8281" s="2">
        <f ca="1"/>
        <v>-0.44367583196375576</v>
      </c>
      <c r="X8281" s="2">
        <f ca="1"/>
        <v>39.696294804256354</v>
      </c>
      <c r="AG8281" s="2">
        <f ca="1"/>
        <v>3.1368199523622797E-2</v>
      </c>
      <c r="AH8281" s="2" t="str">
        <f ca="1"/>
        <v>Good</v>
      </c>
    </row>
    <row r="8282" spans="2:34" x14ac:dyDescent="0.2">
      <c r="B8282" s="2">
        <f ca="1"/>
        <v>0.55167840321111306</v>
      </c>
      <c r="O8282" s="2">
        <f ca="1"/>
        <v>-4.6793896970674036E-2</v>
      </c>
      <c r="X8282" s="2">
        <f ca="1"/>
        <v>73.684193287205801</v>
      </c>
      <c r="AG8282" s="2">
        <f ca="1"/>
        <v>3.1412949921036937E-2</v>
      </c>
      <c r="AH8282" s="2" t="str">
        <f ca="1"/>
        <v>Good</v>
      </c>
    </row>
    <row r="8283" spans="2:34" x14ac:dyDescent="0.2">
      <c r="B8283" s="2">
        <f ca="1"/>
        <v>2.4316040451391796E-2</v>
      </c>
      <c r="O8283" s="2">
        <f ca="1"/>
        <v>-1.0697448135514793</v>
      </c>
      <c r="X8283" s="2">
        <f ca="1"/>
        <v>79.29221543764271</v>
      </c>
      <c r="AG8283" s="2">
        <f ca="1"/>
        <v>0.62261967726679646</v>
      </c>
      <c r="AH8283" s="2" t="str">
        <f ca="1"/>
        <v>Bad</v>
      </c>
    </row>
    <row r="8284" spans="2:34" x14ac:dyDescent="0.2">
      <c r="B8284" s="2">
        <f ca="1"/>
        <v>0.54909537332359348</v>
      </c>
      <c r="O8284" s="2">
        <f ca="1"/>
        <v>0.32344848736295984</v>
      </c>
      <c r="X8284" s="2">
        <f ca="1"/>
        <v>73.173392275963053</v>
      </c>
      <c r="AG8284" s="2">
        <f ca="1"/>
        <v>8.5439040381649622E-3</v>
      </c>
      <c r="AH8284" s="2" t="str">
        <f ca="1"/>
        <v>Good</v>
      </c>
    </row>
    <row r="8285" spans="2:34" x14ac:dyDescent="0.2">
      <c r="B8285" s="2">
        <f ca="1"/>
        <v>0.31926596928698103</v>
      </c>
      <c r="O8285" s="2">
        <f ca="1"/>
        <v>-0.463653482043132</v>
      </c>
      <c r="X8285" s="2">
        <f ca="1"/>
        <v>47.532992943199858</v>
      </c>
      <c r="AG8285" s="2">
        <f ca="1"/>
        <v>6.0457415816477234E-2</v>
      </c>
      <c r="AH8285" s="2" t="str">
        <f ca="1"/>
        <v>OK</v>
      </c>
    </row>
    <row r="8286" spans="2:34" x14ac:dyDescent="0.2">
      <c r="B8286" s="2">
        <f ca="1"/>
        <v>0.55009126437409672</v>
      </c>
      <c r="O8286" s="2">
        <f ca="1"/>
        <v>-0.28887254846235066</v>
      </c>
      <c r="X8286" s="2">
        <f ca="1"/>
        <v>56.835009193609665</v>
      </c>
      <c r="AG8286" s="2">
        <f ca="1"/>
        <v>0.34731511815443583</v>
      </c>
      <c r="AH8286" s="2" t="str">
        <f ca="1"/>
        <v>OK</v>
      </c>
    </row>
    <row r="8287" spans="2:34" x14ac:dyDescent="0.2">
      <c r="B8287" s="2">
        <f ca="1"/>
        <v>0.93304481322058419</v>
      </c>
      <c r="O8287" s="2">
        <f ca="1"/>
        <v>-0.1541344925672235</v>
      </c>
      <c r="X8287" s="2">
        <f ca="1"/>
        <v>59.995262973438209</v>
      </c>
      <c r="AG8287" s="2">
        <f ca="1"/>
        <v>0.24494120757619697</v>
      </c>
      <c r="AH8287" s="2" t="str">
        <f ca="1"/>
        <v>OK</v>
      </c>
    </row>
    <row r="8288" spans="2:34" x14ac:dyDescent="0.2">
      <c r="B8288" s="2">
        <f ca="1"/>
        <v>0.68393414430096811</v>
      </c>
      <c r="O8288" s="2">
        <f ca="1"/>
        <v>-0.42901322584976131</v>
      </c>
      <c r="X8288" s="2">
        <f ca="1"/>
        <v>42.056354745356963</v>
      </c>
      <c r="AG8288" s="2">
        <f ca="1"/>
        <v>6.6060065893836617E-2</v>
      </c>
      <c r="AH8288" s="2" t="str">
        <f ca="1"/>
        <v>OK</v>
      </c>
    </row>
    <row r="8289" spans="2:34" x14ac:dyDescent="0.2">
      <c r="B8289" s="2">
        <f ca="1"/>
        <v>0.25928013576551145</v>
      </c>
      <c r="O8289" s="2">
        <f ca="1"/>
        <v>1.403701871796935</v>
      </c>
      <c r="X8289" s="2">
        <f ca="1"/>
        <v>71.807361506272287</v>
      </c>
      <c r="AG8289" s="2">
        <f ca="1"/>
        <v>0.22014390219154745</v>
      </c>
      <c r="AH8289" s="2" t="str">
        <f ca="1"/>
        <v>OK</v>
      </c>
    </row>
    <row r="8290" spans="2:34" x14ac:dyDescent="0.2">
      <c r="B8290" s="2">
        <f ca="1"/>
        <v>1.1599446892741172E-2</v>
      </c>
      <c r="O8290" s="2">
        <f ca="1"/>
        <v>-1.3716997347356277E-2</v>
      </c>
      <c r="X8290" s="2">
        <f ca="1"/>
        <v>61.094635750411463</v>
      </c>
      <c r="AG8290" s="2">
        <f ca="1"/>
        <v>0.68806430782705963</v>
      </c>
      <c r="AH8290" s="2" t="str">
        <f ca="1"/>
        <v>Bad</v>
      </c>
    </row>
    <row r="8291" spans="2:34" x14ac:dyDescent="0.2">
      <c r="B8291" s="2">
        <f ca="1"/>
        <v>0.8311047660569062</v>
      </c>
      <c r="O8291" s="2">
        <f ca="1"/>
        <v>-0.16624325197943762</v>
      </c>
      <c r="X8291" s="2">
        <f ca="1"/>
        <v>55.623063548951805</v>
      </c>
      <c r="AG8291" s="2">
        <f ca="1"/>
        <v>0.11978142803952352</v>
      </c>
      <c r="AH8291" s="2" t="str">
        <f ca="1"/>
        <v>OK</v>
      </c>
    </row>
    <row r="8292" spans="2:34" x14ac:dyDescent="0.2">
      <c r="B8292" s="2">
        <f ca="1"/>
        <v>0.34448548303734872</v>
      </c>
      <c r="O8292" s="2">
        <f ca="1"/>
        <v>1.6704070682893002</v>
      </c>
      <c r="X8292" s="2">
        <f ca="1"/>
        <v>36.728048108231462</v>
      </c>
      <c r="AG8292" s="2">
        <f ca="1"/>
        <v>0.51626224266790932</v>
      </c>
      <c r="AH8292" s="2" t="str">
        <f ca="1"/>
        <v>Bad</v>
      </c>
    </row>
    <row r="8293" spans="2:34" x14ac:dyDescent="0.2">
      <c r="B8293" s="2">
        <f ca="1"/>
        <v>0.97119308909021207</v>
      </c>
      <c r="O8293" s="2">
        <f ca="1"/>
        <v>-1.2981609274994035</v>
      </c>
      <c r="X8293" s="2">
        <f ca="1"/>
        <v>31.918780525551128</v>
      </c>
      <c r="AG8293" s="2">
        <f ca="1"/>
        <v>0.13550720984148157</v>
      </c>
      <c r="AH8293" s="2" t="str">
        <f ca="1"/>
        <v>OK</v>
      </c>
    </row>
    <row r="8294" spans="2:34" x14ac:dyDescent="0.2">
      <c r="B8294" s="2">
        <f ca="1"/>
        <v>0.51347394057936668</v>
      </c>
      <c r="O8294" s="2">
        <f ca="1"/>
        <v>0.30038265647927931</v>
      </c>
      <c r="X8294" s="2">
        <f ca="1"/>
        <v>60.063572887818395</v>
      </c>
      <c r="AG8294" s="2">
        <f ca="1"/>
        <v>0.70892412146227191</v>
      </c>
      <c r="AH8294" s="2" t="str">
        <f ca="1"/>
        <v>Bad</v>
      </c>
    </row>
    <row r="8295" spans="2:34" x14ac:dyDescent="0.2">
      <c r="B8295" s="2">
        <f ca="1"/>
        <v>0.56912556917865342</v>
      </c>
      <c r="O8295" s="2">
        <f ca="1"/>
        <v>0.15207561311322698</v>
      </c>
      <c r="X8295" s="2">
        <f ca="1"/>
        <v>70.612939303229581</v>
      </c>
      <c r="AG8295" s="2">
        <f ca="1"/>
        <v>0.72163104034901959</v>
      </c>
      <c r="AH8295" s="2" t="str">
        <f ca="1"/>
        <v>Bad</v>
      </c>
    </row>
    <row r="8296" spans="2:34" x14ac:dyDescent="0.2">
      <c r="B8296" s="2">
        <f ca="1"/>
        <v>0.7747135766219797</v>
      </c>
      <c r="O8296" s="2">
        <f ca="1"/>
        <v>2.2983852314873801</v>
      </c>
      <c r="X8296" s="2">
        <f ca="1"/>
        <v>53.078305953300543</v>
      </c>
      <c r="AG8296" s="2">
        <f ca="1"/>
        <v>0.45929004625616487</v>
      </c>
      <c r="AH8296" s="2" t="str">
        <f ca="1"/>
        <v>Bad</v>
      </c>
    </row>
    <row r="8297" spans="2:34" x14ac:dyDescent="0.2">
      <c r="B8297" s="2">
        <f ca="1"/>
        <v>0.76757787537762123</v>
      </c>
      <c r="O8297" s="2">
        <f ca="1"/>
        <v>-0.3139678056584872</v>
      </c>
      <c r="X8297" s="2">
        <f ca="1"/>
        <v>51.358045570426967</v>
      </c>
      <c r="AG8297" s="2">
        <f ca="1"/>
        <v>0.63712699072869694</v>
      </c>
      <c r="AH8297" s="2" t="str">
        <f ca="1"/>
        <v>Bad</v>
      </c>
    </row>
    <row r="8298" spans="2:34" x14ac:dyDescent="0.2">
      <c r="B8298" s="2">
        <f ca="1"/>
        <v>0.41527721892269009</v>
      </c>
      <c r="O8298" s="2">
        <f ca="1"/>
        <v>0.59319769315543602</v>
      </c>
      <c r="X8298" s="2">
        <f ca="1"/>
        <v>45.83516347353865</v>
      </c>
      <c r="AG8298" s="2">
        <f ca="1"/>
        <v>0.71482204442236963</v>
      </c>
      <c r="AH8298" s="2" t="str">
        <f ca="1"/>
        <v>Bad</v>
      </c>
    </row>
    <row r="8299" spans="2:34" x14ac:dyDescent="0.2">
      <c r="B8299" s="2">
        <f ca="1"/>
        <v>0.51277603099141311</v>
      </c>
      <c r="O8299" s="2">
        <f ca="1"/>
        <v>-0.95493746856629025</v>
      </c>
      <c r="X8299" s="2">
        <f ca="1"/>
        <v>31.866387888364759</v>
      </c>
      <c r="AG8299" s="2">
        <f ca="1"/>
        <v>0.30313221386798062</v>
      </c>
      <c r="AH8299" s="2" t="str">
        <f ca="1"/>
        <v>OK</v>
      </c>
    </row>
    <row r="8300" spans="2:34" x14ac:dyDescent="0.2">
      <c r="B8300" s="2">
        <f ca="1"/>
        <v>0.67805349907192092</v>
      </c>
      <c r="O8300" s="2">
        <f ca="1"/>
        <v>1.1623153911957824</v>
      </c>
      <c r="X8300" s="2">
        <f ca="1"/>
        <v>60.525391122888664</v>
      </c>
      <c r="AG8300" s="2">
        <f ca="1"/>
        <v>0.8504472388228248</v>
      </c>
      <c r="AH8300" s="2" t="str">
        <f ca="1"/>
        <v>Bad</v>
      </c>
    </row>
    <row r="8301" spans="2:34" x14ac:dyDescent="0.2">
      <c r="B8301" s="2">
        <f ca="1"/>
        <v>0.88334286632408077</v>
      </c>
      <c r="O8301" s="2">
        <f ca="1"/>
        <v>0.48813472708491529</v>
      </c>
      <c r="X8301" s="2">
        <f ca="1"/>
        <v>50.833839620199761</v>
      </c>
      <c r="AG8301" s="2">
        <f ca="1"/>
        <v>0.92126594608870671</v>
      </c>
      <c r="AH8301" s="2" t="str">
        <f ca="1"/>
        <v>Bad</v>
      </c>
    </row>
    <row r="8302" spans="2:34" x14ac:dyDescent="0.2">
      <c r="B8302" s="2">
        <f ca="1"/>
        <v>0.61597035428003344</v>
      </c>
      <c r="O8302" s="2">
        <f ca="1"/>
        <v>1.7308878380953499</v>
      </c>
      <c r="X8302" s="2">
        <f ca="1"/>
        <v>48.716696153501424</v>
      </c>
      <c r="AG8302" s="2">
        <f ca="1"/>
        <v>0.66024067972244094</v>
      </c>
      <c r="AH8302" s="2" t="str">
        <f ca="1"/>
        <v>Bad</v>
      </c>
    </row>
    <row r="8303" spans="2:34" x14ac:dyDescent="0.2">
      <c r="B8303" s="2">
        <f ca="1"/>
        <v>0.81547729472616104</v>
      </c>
      <c r="O8303" s="2">
        <f ca="1"/>
        <v>1.3663971641666288</v>
      </c>
      <c r="X8303" s="2">
        <f ca="1"/>
        <v>81.911874613682272</v>
      </c>
      <c r="AG8303" s="2">
        <f ca="1"/>
        <v>0.68768084782523475</v>
      </c>
      <c r="AH8303" s="2" t="str">
        <f ca="1"/>
        <v>Bad</v>
      </c>
    </row>
    <row r="8304" spans="2:34" x14ac:dyDescent="0.2">
      <c r="B8304" s="2">
        <f ca="1"/>
        <v>0.71426285784488464</v>
      </c>
      <c r="O8304" s="2">
        <f ca="1"/>
        <v>-1.1516564807982923</v>
      </c>
      <c r="X8304" s="2">
        <f ca="1"/>
        <v>51.534266049712585</v>
      </c>
      <c r="AG8304" s="2">
        <f ca="1"/>
        <v>0.37401793763224522</v>
      </c>
      <c r="AH8304" s="2" t="str">
        <f ca="1"/>
        <v>OK</v>
      </c>
    </row>
    <row r="8305" spans="2:34" x14ac:dyDescent="0.2">
      <c r="B8305" s="2">
        <f ca="1"/>
        <v>0.78962404950442422</v>
      </c>
      <c r="O8305" s="2">
        <f ca="1"/>
        <v>-0.84491541556060956</v>
      </c>
      <c r="X8305" s="2">
        <f ca="1"/>
        <v>47.042147867703257</v>
      </c>
      <c r="AG8305" s="2">
        <f ca="1"/>
        <v>0.5401729588838462</v>
      </c>
      <c r="AH8305" s="2" t="str">
        <f ca="1"/>
        <v>Bad</v>
      </c>
    </row>
    <row r="8306" spans="2:34" x14ac:dyDescent="0.2">
      <c r="B8306" s="2">
        <f ca="1"/>
        <v>0.59434919773063388</v>
      </c>
      <c r="O8306" s="2">
        <f ca="1"/>
        <v>6.4532866487450019E-2</v>
      </c>
      <c r="X8306" s="2">
        <f ca="1"/>
        <v>40.79882823938518</v>
      </c>
      <c r="AG8306" s="2">
        <f ca="1"/>
        <v>0.78001775421896302</v>
      </c>
      <c r="AH8306" s="2" t="str">
        <f ca="1"/>
        <v>Bad</v>
      </c>
    </row>
    <row r="8307" spans="2:34" x14ac:dyDescent="0.2">
      <c r="B8307" s="2">
        <f ca="1"/>
        <v>0.17985234277676021</v>
      </c>
      <c r="O8307" s="2">
        <f ca="1"/>
        <v>0.24673569449060576</v>
      </c>
      <c r="X8307" s="2">
        <f ca="1"/>
        <v>55.419106408075429</v>
      </c>
      <c r="AG8307" s="2">
        <f ca="1"/>
        <v>0.49351109575671082</v>
      </c>
      <c r="AH8307" s="2" t="str">
        <f ca="1"/>
        <v>Bad</v>
      </c>
    </row>
    <row r="8308" spans="2:34" x14ac:dyDescent="0.2">
      <c r="B8308" s="2">
        <f ca="1"/>
        <v>0.16498882734980835</v>
      </c>
      <c r="O8308" s="2">
        <f ca="1"/>
        <v>1.0883061155732887</v>
      </c>
      <c r="X8308" s="2">
        <f ca="1"/>
        <v>53.991716703443693</v>
      </c>
      <c r="AG8308" s="2">
        <f ca="1"/>
        <v>0.48099728780047535</v>
      </c>
      <c r="AH8308" s="2" t="str">
        <f ca="1"/>
        <v>Bad</v>
      </c>
    </row>
    <row r="8309" spans="2:34" x14ac:dyDescent="0.2">
      <c r="B8309" s="2">
        <f ca="1"/>
        <v>0.23127274750467919</v>
      </c>
      <c r="O8309" s="2">
        <f ca="1"/>
        <v>0.15385857669245898</v>
      </c>
      <c r="X8309" s="2">
        <f ca="1"/>
        <v>63.738784298090124</v>
      </c>
      <c r="AG8309" s="2">
        <f ca="1"/>
        <v>0.47567852225333329</v>
      </c>
      <c r="AH8309" s="2" t="str">
        <f ca="1"/>
        <v>Bad</v>
      </c>
    </row>
    <row r="8310" spans="2:34" x14ac:dyDescent="0.2">
      <c r="B8310" s="2">
        <f ca="1"/>
        <v>0.21756173056365968</v>
      </c>
      <c r="O8310" s="2">
        <f ca="1"/>
        <v>2.367986288353384</v>
      </c>
      <c r="X8310" s="2">
        <f ca="1"/>
        <v>33.598400574227213</v>
      </c>
      <c r="AG8310" s="2">
        <f ca="1"/>
        <v>0.34441635931515813</v>
      </c>
      <c r="AH8310" s="2" t="str">
        <f ca="1"/>
        <v>OK</v>
      </c>
    </row>
    <row r="8311" spans="2:34" x14ac:dyDescent="0.2">
      <c r="B8311" s="2">
        <f ca="1"/>
        <v>0.30934301461647928</v>
      </c>
      <c r="O8311" s="2">
        <f ca="1"/>
        <v>0.20887574591559463</v>
      </c>
      <c r="X8311" s="2">
        <f ca="1"/>
        <v>41.945767248794148</v>
      </c>
      <c r="AG8311" s="2">
        <f ca="1"/>
        <v>7.1326886689870417E-2</v>
      </c>
      <c r="AH8311" s="2" t="str">
        <f ca="1"/>
        <v>OK</v>
      </c>
    </row>
    <row r="8312" spans="2:34" x14ac:dyDescent="0.2">
      <c r="B8312" s="2">
        <f ca="1"/>
        <v>0.75030990641492346</v>
      </c>
      <c r="O8312" s="2">
        <f ca="1"/>
        <v>-1.3928605202565161</v>
      </c>
      <c r="X8312" s="2">
        <f ca="1"/>
        <v>47.971545850417627</v>
      </c>
      <c r="AG8312" s="2">
        <f ca="1"/>
        <v>0.46791534332952867</v>
      </c>
      <c r="AH8312" s="2" t="str">
        <f ca="1"/>
        <v>Bad</v>
      </c>
    </row>
    <row r="8313" spans="2:34" x14ac:dyDescent="0.2">
      <c r="B8313" s="2">
        <f ca="1"/>
        <v>0.19272669097687656</v>
      </c>
      <c r="O8313" s="2">
        <f ca="1"/>
        <v>-7.3174187416580716E-2</v>
      </c>
      <c r="X8313" s="2">
        <f ca="1"/>
        <v>43.358068409296628</v>
      </c>
      <c r="AG8313" s="2">
        <f ca="1"/>
        <v>0.85846895030611248</v>
      </c>
      <c r="AH8313" s="2" t="str">
        <f ca="1"/>
        <v>Bad</v>
      </c>
    </row>
    <row r="8314" spans="2:34" x14ac:dyDescent="0.2">
      <c r="B8314" s="2">
        <f ca="1"/>
        <v>0.80699292438854808</v>
      </c>
      <c r="O8314" s="2">
        <f ca="1"/>
        <v>2.7150913250002002</v>
      </c>
      <c r="X8314" s="2">
        <f ca="1"/>
        <v>71.822059624752526</v>
      </c>
      <c r="AG8314" s="2">
        <f ca="1"/>
        <v>8.1221177188951499E-2</v>
      </c>
      <c r="AH8314" s="2" t="str">
        <f ca="1"/>
        <v>OK</v>
      </c>
    </row>
    <row r="8315" spans="2:34" x14ac:dyDescent="0.2">
      <c r="B8315" s="2">
        <f ca="1"/>
        <v>0.61689976311529993</v>
      </c>
      <c r="O8315" s="2">
        <f ca="1"/>
        <v>-1.3712173093074949</v>
      </c>
      <c r="X8315" s="2">
        <f ca="1"/>
        <v>44.615228625026795</v>
      </c>
      <c r="AG8315" s="2">
        <f ca="1"/>
        <v>0.77160873372665195</v>
      </c>
      <c r="AH8315" s="2" t="str">
        <f ca="1"/>
        <v>Bad</v>
      </c>
    </row>
    <row r="8316" spans="2:34" x14ac:dyDescent="0.2">
      <c r="B8316" s="2">
        <f ca="1"/>
        <v>0.37312639228020794</v>
      </c>
      <c r="O8316" s="2">
        <f ca="1"/>
        <v>-0.73652297000649969</v>
      </c>
      <c r="X8316" s="2">
        <f ca="1"/>
        <v>44.945624629799283</v>
      </c>
      <c r="AG8316" s="2">
        <f ca="1"/>
        <v>0.69359161933244007</v>
      </c>
      <c r="AH8316" s="2" t="str">
        <f ca="1"/>
        <v>Bad</v>
      </c>
    </row>
    <row r="8317" spans="2:34" x14ac:dyDescent="0.2">
      <c r="B8317" s="2">
        <f ca="1"/>
        <v>0.70574480758823022</v>
      </c>
      <c r="O8317" s="2">
        <f ca="1"/>
        <v>0.25844607835561578</v>
      </c>
      <c r="X8317" s="2">
        <f ca="1"/>
        <v>35.402984598832646</v>
      </c>
      <c r="AG8317" s="2">
        <f ca="1"/>
        <v>0.3677107426593107</v>
      </c>
      <c r="AH8317" s="2" t="str">
        <f ca="1"/>
        <v>OK</v>
      </c>
    </row>
    <row r="8318" spans="2:34" x14ac:dyDescent="0.2">
      <c r="B8318" s="2">
        <f ca="1"/>
        <v>0.72613173921871588</v>
      </c>
      <c r="O8318" s="2">
        <f ca="1"/>
        <v>1.1186875108323877</v>
      </c>
      <c r="X8318" s="2">
        <f ca="1"/>
        <v>80.405115295556087</v>
      </c>
      <c r="AG8318" s="2">
        <f ca="1"/>
        <v>0.91276098731030175</v>
      </c>
      <c r="AH8318" s="2" t="str">
        <f ca="1"/>
        <v>Bad</v>
      </c>
    </row>
    <row r="8319" spans="2:34" x14ac:dyDescent="0.2">
      <c r="B8319" s="2">
        <f ca="1"/>
        <v>4.1128543727219524E-2</v>
      </c>
      <c r="O8319" s="2">
        <f ca="1"/>
        <v>0.43029056660969756</v>
      </c>
      <c r="X8319" s="2">
        <f ca="1"/>
        <v>79.971942367186813</v>
      </c>
      <c r="AG8319" s="2">
        <f ca="1"/>
        <v>0.76710588370419597</v>
      </c>
      <c r="AH8319" s="2" t="str">
        <f ca="1"/>
        <v>Bad</v>
      </c>
    </row>
    <row r="8320" spans="2:34" x14ac:dyDescent="0.2">
      <c r="B8320" s="2">
        <f ca="1"/>
        <v>0.43104996831504327</v>
      </c>
      <c r="O8320" s="2">
        <f ca="1"/>
        <v>-0.269047494853211</v>
      </c>
      <c r="X8320" s="2">
        <f ca="1"/>
        <v>59.872511884886023</v>
      </c>
      <c r="AG8320" s="2">
        <f ca="1"/>
        <v>0.93566758094847402</v>
      </c>
      <c r="AH8320" s="2" t="str">
        <f ca="1"/>
        <v>Bad</v>
      </c>
    </row>
    <row r="8321" spans="2:34" x14ac:dyDescent="0.2">
      <c r="B8321" s="2">
        <f ca="1"/>
        <v>0.66540545078737923</v>
      </c>
      <c r="O8321" s="2">
        <f ca="1"/>
        <v>0.17443558593171357</v>
      </c>
      <c r="X8321" s="2">
        <f ca="1"/>
        <v>40.436502752550368</v>
      </c>
      <c r="AG8321" s="2">
        <f ca="1"/>
        <v>0.8686578346907412</v>
      </c>
      <c r="AH8321" s="2" t="str">
        <f ca="1"/>
        <v>Bad</v>
      </c>
    </row>
    <row r="8322" spans="2:34" x14ac:dyDescent="0.2">
      <c r="B8322" s="2">
        <f ca="1"/>
        <v>0.94198176197579175</v>
      </c>
      <c r="O8322" s="2">
        <f ca="1"/>
        <v>-1.1953777607242859</v>
      </c>
      <c r="X8322" s="2">
        <f ca="1"/>
        <v>37.259563422980804</v>
      </c>
      <c r="AG8322" s="2">
        <f ca="1"/>
        <v>0.92948399338906218</v>
      </c>
      <c r="AH8322" s="2" t="str">
        <f ca="1"/>
        <v>Bad</v>
      </c>
    </row>
    <row r="8323" spans="2:34" x14ac:dyDescent="0.2">
      <c r="B8323" s="2">
        <f ca="1"/>
        <v>0.49378707788509391</v>
      </c>
      <c r="O8323" s="2">
        <f ca="1"/>
        <v>0.17336941160660085</v>
      </c>
      <c r="X8323" s="2">
        <f ca="1"/>
        <v>58.430758727773416</v>
      </c>
      <c r="AG8323" s="2">
        <f ca="1"/>
        <v>0.73122740183531487</v>
      </c>
      <c r="AH8323" s="2" t="str">
        <f ca="1"/>
        <v>Bad</v>
      </c>
    </row>
    <row r="8324" spans="2:34" x14ac:dyDescent="0.2">
      <c r="B8324" s="2">
        <f ca="1"/>
        <v>0.38296512421955908</v>
      </c>
      <c r="O8324" s="2">
        <f ca="1"/>
        <v>-2.0796059568053159E-2</v>
      </c>
      <c r="X8324" s="2">
        <f ca="1"/>
        <v>43.306311678604423</v>
      </c>
      <c r="AG8324" s="2">
        <f ca="1"/>
        <v>0.22514520336258248</v>
      </c>
      <c r="AH8324" s="2" t="str">
        <f ca="1"/>
        <v>OK</v>
      </c>
    </row>
    <row r="8325" spans="2:34" x14ac:dyDescent="0.2">
      <c r="B8325" s="2">
        <f ca="1"/>
        <v>0.36641896295394205</v>
      </c>
      <c r="O8325" s="2">
        <f ca="1"/>
        <v>0.13223596126973008</v>
      </c>
      <c r="X8325" s="2">
        <f ca="1"/>
        <v>65.491095438403221</v>
      </c>
      <c r="AG8325" s="2">
        <f ca="1"/>
        <v>0.25682782387817427</v>
      </c>
      <c r="AH8325" s="2" t="str">
        <f ca="1"/>
        <v>OK</v>
      </c>
    </row>
    <row r="8326" spans="2:34" x14ac:dyDescent="0.2">
      <c r="B8326" s="2">
        <f ca="1"/>
        <v>0.11917362603285708</v>
      </c>
      <c r="O8326" s="2">
        <f ca="1"/>
        <v>0.74464841496871315</v>
      </c>
      <c r="X8326" s="2">
        <f ca="1"/>
        <v>64.192676483843783</v>
      </c>
      <c r="AG8326" s="2">
        <f ca="1"/>
        <v>0.73264721871860239</v>
      </c>
      <c r="AH8326" s="2" t="str">
        <f ca="1"/>
        <v>Bad</v>
      </c>
    </row>
    <row r="8327" spans="2:34" x14ac:dyDescent="0.2">
      <c r="B8327" s="2">
        <f ca="1"/>
        <v>0.14225501086249936</v>
      </c>
      <c r="O8327" s="2">
        <f ca="1"/>
        <v>-0.39143223988172754</v>
      </c>
      <c r="X8327" s="2">
        <f ca="1"/>
        <v>63.830351714556741</v>
      </c>
      <c r="AG8327" s="2">
        <f ca="1"/>
        <v>0.79438778316148451</v>
      </c>
      <c r="AH8327" s="2" t="str">
        <f ca="1"/>
        <v>Bad</v>
      </c>
    </row>
    <row r="8328" spans="2:34" x14ac:dyDescent="0.2">
      <c r="B8328" s="2">
        <f ca="1"/>
        <v>0.29039844782532476</v>
      </c>
      <c r="O8328" s="2">
        <f ca="1"/>
        <v>0.15156807811975101</v>
      </c>
      <c r="X8328" s="2">
        <f ca="1"/>
        <v>68.429684855407544</v>
      </c>
      <c r="AG8328" s="2">
        <f ca="1"/>
        <v>0.3594622739455966</v>
      </c>
      <c r="AH8328" s="2" t="str">
        <f ca="1"/>
        <v>OK</v>
      </c>
    </row>
    <row r="8329" spans="2:34" x14ac:dyDescent="0.2">
      <c r="B8329" s="2">
        <f ca="1"/>
        <v>0.28151779780557029</v>
      </c>
      <c r="O8329" s="2">
        <f ca="1"/>
        <v>-0.64758391781531954</v>
      </c>
      <c r="X8329" s="2">
        <f ca="1"/>
        <v>38.706165853380654</v>
      </c>
      <c r="AG8329" s="2">
        <f ca="1"/>
        <v>6.7178528155485528E-2</v>
      </c>
      <c r="AH8329" s="2" t="str">
        <f ca="1"/>
        <v>OK</v>
      </c>
    </row>
    <row r="8330" spans="2:34" x14ac:dyDescent="0.2">
      <c r="B8330" s="2">
        <f ca="1"/>
        <v>0.47481848830211248</v>
      </c>
      <c r="O8330" s="2">
        <f ca="1"/>
        <v>-0.24431715191755621</v>
      </c>
      <c r="X8330" s="2">
        <f ca="1"/>
        <v>31.536920033955806</v>
      </c>
      <c r="AG8330" s="2">
        <f ca="1"/>
        <v>0.74247905899780342</v>
      </c>
      <c r="AH8330" s="2" t="str">
        <f ca="1"/>
        <v>Bad</v>
      </c>
    </row>
    <row r="8331" spans="2:34" x14ac:dyDescent="0.2">
      <c r="B8331" s="2">
        <f ca="1"/>
        <v>0.95754060160683929</v>
      </c>
      <c r="O8331" s="2">
        <f ca="1"/>
        <v>-0.66599230734597381</v>
      </c>
      <c r="X8331" s="2">
        <f ca="1"/>
        <v>57.853271170380332</v>
      </c>
      <c r="AG8331" s="2">
        <f ca="1"/>
        <v>0.76059466549806687</v>
      </c>
      <c r="AH8331" s="2" t="str">
        <f ca="1"/>
        <v>Bad</v>
      </c>
    </row>
    <row r="8332" spans="2:34" x14ac:dyDescent="0.2">
      <c r="B8332" s="2">
        <f ca="1"/>
        <v>0.91219645064198196</v>
      </c>
      <c r="O8332" s="2">
        <f ca="1"/>
        <v>-0.50884150046196241</v>
      </c>
      <c r="X8332" s="2">
        <f ca="1"/>
        <v>38.69876200810355</v>
      </c>
      <c r="AG8332" s="2">
        <f ca="1"/>
        <v>0.69420904244028359</v>
      </c>
      <c r="AH8332" s="2" t="str">
        <f ca="1"/>
        <v>Bad</v>
      </c>
    </row>
    <row r="8333" spans="2:34" x14ac:dyDescent="0.2">
      <c r="B8333" s="2">
        <f ca="1"/>
        <v>0.35478009347124928</v>
      </c>
      <c r="O8333" s="2">
        <f ca="1"/>
        <v>1.0519593341819995</v>
      </c>
      <c r="X8333" s="2">
        <f ca="1"/>
        <v>45.749214588141115</v>
      </c>
      <c r="AG8333" s="2">
        <f ca="1"/>
        <v>0.12235125524099089</v>
      </c>
      <c r="AH8333" s="2" t="str">
        <f ca="1"/>
        <v>OK</v>
      </c>
    </row>
    <row r="8334" spans="2:34" x14ac:dyDescent="0.2">
      <c r="B8334" s="2">
        <f ca="1"/>
        <v>0.60095050620403656</v>
      </c>
      <c r="O8334" s="2">
        <f ca="1"/>
        <v>-1.7477231023381898</v>
      </c>
      <c r="X8334" s="2">
        <f ca="1"/>
        <v>44.603901024544548</v>
      </c>
      <c r="AG8334" s="2">
        <f ca="1"/>
        <v>0.3076690555686441</v>
      </c>
      <c r="AH8334" s="2" t="str">
        <f ca="1"/>
        <v>OK</v>
      </c>
    </row>
    <row r="8335" spans="2:34" x14ac:dyDescent="0.2">
      <c r="B8335" s="2">
        <f ca="1"/>
        <v>0.9827285330396387</v>
      </c>
      <c r="O8335" s="2">
        <f ca="1"/>
        <v>-0.23216890462402118</v>
      </c>
      <c r="X8335" s="2">
        <f ca="1"/>
        <v>54.393871786016945</v>
      </c>
      <c r="AG8335" s="2">
        <f ca="1"/>
        <v>0.49015774597527506</v>
      </c>
      <c r="AH8335" s="2" t="str">
        <f ca="1"/>
        <v>Bad</v>
      </c>
    </row>
    <row r="8336" spans="2:34" x14ac:dyDescent="0.2">
      <c r="B8336" s="2">
        <f ca="1"/>
        <v>0.57058208989345482</v>
      </c>
      <c r="O8336" s="2">
        <f ca="1"/>
        <v>2.3327297759889039</v>
      </c>
      <c r="X8336" s="2">
        <f ca="1"/>
        <v>59.388101412737413</v>
      </c>
      <c r="AG8336" s="2">
        <f ca="1"/>
        <v>0.1116709760732113</v>
      </c>
      <c r="AH8336" s="2" t="str">
        <f ca="1"/>
        <v>OK</v>
      </c>
    </row>
    <row r="8337" spans="2:34" x14ac:dyDescent="0.2">
      <c r="B8337" s="2">
        <f ca="1"/>
        <v>0.42005754762809611</v>
      </c>
      <c r="O8337" s="2">
        <f ca="1"/>
        <v>-1.2130328418362486</v>
      </c>
      <c r="X8337" s="2">
        <f ca="1"/>
        <v>83.586148230741756</v>
      </c>
      <c r="AG8337" s="2">
        <f ca="1"/>
        <v>0.6042714103834832</v>
      </c>
      <c r="AH8337" s="2" t="str">
        <f ca="1"/>
        <v>Bad</v>
      </c>
    </row>
    <row r="8338" spans="2:34" x14ac:dyDescent="0.2">
      <c r="B8338" s="2">
        <f ca="1"/>
        <v>7.217152937060467E-2</v>
      </c>
      <c r="O8338" s="2">
        <f ca="1"/>
        <v>0.69364428120126753</v>
      </c>
      <c r="X8338" s="2">
        <f ca="1"/>
        <v>58.216339980015796</v>
      </c>
      <c r="AG8338" s="2">
        <f ca="1"/>
        <v>0.71906846050470641</v>
      </c>
      <c r="AH8338" s="2" t="str">
        <f ca="1"/>
        <v>Bad</v>
      </c>
    </row>
    <row r="8339" spans="2:34" x14ac:dyDescent="0.2">
      <c r="B8339" s="2">
        <f ca="1"/>
        <v>0.47258985875894788</v>
      </c>
      <c r="O8339" s="2">
        <f ca="1"/>
        <v>0.80194440422478797</v>
      </c>
      <c r="X8339" s="2">
        <f ca="1"/>
        <v>52.323969071342383</v>
      </c>
      <c r="AG8339" s="2">
        <f ca="1"/>
        <v>0.57957025365740189</v>
      </c>
      <c r="AH8339" s="2" t="str">
        <f ca="1"/>
        <v>Bad</v>
      </c>
    </row>
    <row r="8340" spans="2:34" x14ac:dyDescent="0.2">
      <c r="B8340" s="2">
        <f ca="1"/>
        <v>0.69146200502636779</v>
      </c>
      <c r="O8340" s="2">
        <f ca="1"/>
        <v>-0.87001646948823019</v>
      </c>
      <c r="X8340" s="2">
        <f ca="1"/>
        <v>64.099692690094685</v>
      </c>
      <c r="AG8340" s="2">
        <f ca="1"/>
        <v>0.37375559695687044</v>
      </c>
      <c r="AH8340" s="2" t="str">
        <f ca="1"/>
        <v>OK</v>
      </c>
    </row>
    <row r="8341" spans="2:34" x14ac:dyDescent="0.2">
      <c r="B8341" s="2">
        <f ca="1"/>
        <v>0.71197933422637871</v>
      </c>
      <c r="O8341" s="2">
        <f ca="1"/>
        <v>-0.2915796830717699</v>
      </c>
      <c r="X8341" s="2">
        <f ca="1"/>
        <v>48.724319079868607</v>
      </c>
      <c r="AG8341" s="2">
        <f ca="1"/>
        <v>0.5520341571554126</v>
      </c>
      <c r="AH8341" s="2" t="str">
        <f ca="1"/>
        <v>Bad</v>
      </c>
    </row>
    <row r="8342" spans="2:34" x14ac:dyDescent="0.2">
      <c r="B8342" s="2">
        <f ca="1"/>
        <v>8.178319840482362E-2</v>
      </c>
      <c r="O8342" s="2">
        <f ca="1"/>
        <v>-0.35769743634947293</v>
      </c>
      <c r="X8342" s="2">
        <f ca="1"/>
        <v>41.065821687928057</v>
      </c>
      <c r="AG8342" s="2">
        <f ca="1"/>
        <v>0.39377043227762853</v>
      </c>
      <c r="AH8342" s="2" t="str">
        <f ca="1"/>
        <v>OK</v>
      </c>
    </row>
    <row r="8343" spans="2:34" x14ac:dyDescent="0.2">
      <c r="B8343" s="2">
        <f ca="1"/>
        <v>0.75803296567080158</v>
      </c>
      <c r="O8343" s="2">
        <f ca="1"/>
        <v>1.6503431506858053</v>
      </c>
      <c r="X8343" s="2">
        <f ca="1"/>
        <v>71.019473795240472</v>
      </c>
      <c r="AG8343" s="2">
        <f ca="1"/>
        <v>0.64427815465815641</v>
      </c>
      <c r="AH8343" s="2" t="str">
        <f ca="1"/>
        <v>Bad</v>
      </c>
    </row>
    <row r="8344" spans="2:34" x14ac:dyDescent="0.2">
      <c r="B8344" s="2">
        <f ca="1"/>
        <v>0.35579613071204674</v>
      </c>
      <c r="O8344" s="2">
        <f ca="1"/>
        <v>0.94558376157117796</v>
      </c>
      <c r="X8344" s="2">
        <f ca="1"/>
        <v>70.365596764597612</v>
      </c>
      <c r="AG8344" s="2">
        <f ca="1"/>
        <v>0.74383984015206606</v>
      </c>
      <c r="AH8344" s="2" t="str">
        <f ca="1"/>
        <v>Bad</v>
      </c>
    </row>
    <row r="8345" spans="2:34" x14ac:dyDescent="0.2">
      <c r="B8345" s="2">
        <f ca="1"/>
        <v>0.23219430453435108</v>
      </c>
      <c r="O8345" s="2">
        <f ca="1"/>
        <v>-0.66686245833839397</v>
      </c>
      <c r="X8345" s="2">
        <f ca="1"/>
        <v>32.093390961633574</v>
      </c>
      <c r="AG8345" s="2">
        <f ca="1"/>
        <v>0.95911580452951073</v>
      </c>
      <c r="AH8345" s="2" t="str">
        <f ca="1"/>
        <v>Bad</v>
      </c>
    </row>
    <row r="8346" spans="2:34" x14ac:dyDescent="0.2">
      <c r="B8346" s="2">
        <f ca="1"/>
        <v>0.75390614394300548</v>
      </c>
      <c r="O8346" s="2">
        <f ca="1"/>
        <v>0.76780872607774797</v>
      </c>
      <c r="X8346" s="2">
        <f ca="1"/>
        <v>41.211114582559276</v>
      </c>
      <c r="AG8346" s="2">
        <f ca="1"/>
        <v>0.41485560568894631</v>
      </c>
      <c r="AH8346" s="2" t="str">
        <f ca="1"/>
        <v>Bad</v>
      </c>
    </row>
    <row r="8347" spans="2:34" x14ac:dyDescent="0.2">
      <c r="B8347" s="2">
        <f ca="1"/>
        <v>0.84928352530723905</v>
      </c>
      <c r="O8347" s="2">
        <f ca="1"/>
        <v>-0.89225755843736776</v>
      </c>
      <c r="X8347" s="2">
        <f ca="1"/>
        <v>83.210870626446379</v>
      </c>
      <c r="AG8347" s="2">
        <f ca="1"/>
        <v>0.11982062941384775</v>
      </c>
      <c r="AH8347" s="2" t="str">
        <f ca="1"/>
        <v>OK</v>
      </c>
    </row>
    <row r="8348" spans="2:34" x14ac:dyDescent="0.2">
      <c r="B8348" s="2">
        <f ca="1"/>
        <v>0.4410448989085054</v>
      </c>
      <c r="O8348" s="2">
        <f ca="1"/>
        <v>-0.31714147567959505</v>
      </c>
      <c r="X8348" s="2">
        <f ca="1"/>
        <v>38.047328615405306</v>
      </c>
      <c r="AG8348" s="2">
        <f ca="1"/>
        <v>0.28597207922357537</v>
      </c>
      <c r="AH8348" s="2" t="str">
        <f ca="1"/>
        <v>OK</v>
      </c>
    </row>
    <row r="8349" spans="2:34" x14ac:dyDescent="0.2">
      <c r="B8349" s="2">
        <f ca="1"/>
        <v>0.14969878908072776</v>
      </c>
      <c r="O8349" s="2">
        <f ca="1"/>
        <v>0.78818740503556695</v>
      </c>
      <c r="X8349" s="2">
        <f ca="1"/>
        <v>55.020084663381141</v>
      </c>
      <c r="AG8349" s="2">
        <f ca="1"/>
        <v>0.46283442518640983</v>
      </c>
      <c r="AH8349" s="2" t="str">
        <f ca="1"/>
        <v>Bad</v>
      </c>
    </row>
    <row r="8350" spans="2:34" x14ac:dyDescent="0.2">
      <c r="B8350" s="2">
        <f ca="1"/>
        <v>0.52706893690778567</v>
      </c>
      <c r="O8350" s="2">
        <f ca="1"/>
        <v>-0.85256429279344914</v>
      </c>
      <c r="X8350" s="2">
        <f ca="1"/>
        <v>44.642860043153689</v>
      </c>
      <c r="AG8350" s="2">
        <f ca="1"/>
        <v>0.48012848712523715</v>
      </c>
      <c r="AH8350" s="2" t="str">
        <f ca="1"/>
        <v>Bad</v>
      </c>
    </row>
    <row r="8351" spans="2:34" x14ac:dyDescent="0.2">
      <c r="B8351" s="2">
        <f ca="1"/>
        <v>0.32959378553176544</v>
      </c>
      <c r="O8351" s="2">
        <f ca="1"/>
        <v>0.11611424446738654</v>
      </c>
      <c r="X8351" s="2">
        <f ca="1"/>
        <v>45.754311022823089</v>
      </c>
      <c r="AG8351" s="2">
        <f ca="1"/>
        <v>0.12011083591476979</v>
      </c>
      <c r="AH8351" s="2" t="str">
        <f ca="1"/>
        <v>OK</v>
      </c>
    </row>
    <row r="8352" spans="2:34" x14ac:dyDescent="0.2">
      <c r="B8352" s="2">
        <f ca="1"/>
        <v>0.16835864415216917</v>
      </c>
      <c r="O8352" s="2">
        <f ca="1"/>
        <v>1.4762915874861144</v>
      </c>
      <c r="X8352" s="2">
        <f ca="1"/>
        <v>44.009071917275364</v>
      </c>
      <c r="AG8352" s="2">
        <f ca="1"/>
        <v>0.98397115210208019</v>
      </c>
      <c r="AH8352" s="2" t="str">
        <f ca="1"/>
        <v>Bad</v>
      </c>
    </row>
    <row r="8353" spans="2:34" x14ac:dyDescent="0.2">
      <c r="B8353" s="2">
        <f ca="1"/>
        <v>0.74361674056239568</v>
      </c>
      <c r="O8353" s="2">
        <f ca="1"/>
        <v>-1.5766689037371717</v>
      </c>
      <c r="X8353" s="2">
        <f ca="1"/>
        <v>22.096092570595552</v>
      </c>
      <c r="AG8353" s="2">
        <f ca="1"/>
        <v>0.755896451702053</v>
      </c>
      <c r="AH8353" s="2" t="str">
        <f ca="1"/>
        <v>Bad</v>
      </c>
    </row>
    <row r="8354" spans="2:34" x14ac:dyDescent="0.2">
      <c r="B8354" s="2">
        <f ca="1"/>
        <v>0.1085623000340854</v>
      </c>
      <c r="O8354" s="2">
        <f ca="1"/>
        <v>-0.93640313424409449</v>
      </c>
      <c r="X8354" s="2">
        <f ca="1"/>
        <v>27.735874914743768</v>
      </c>
      <c r="AG8354" s="2">
        <f ca="1"/>
        <v>0.36159869404310996</v>
      </c>
      <c r="AH8354" s="2" t="str">
        <f ca="1"/>
        <v>OK</v>
      </c>
    </row>
    <row r="8355" spans="2:34" x14ac:dyDescent="0.2">
      <c r="B8355" s="2">
        <f ca="1"/>
        <v>0.77649514166337896</v>
      </c>
      <c r="O8355" s="2">
        <f ca="1"/>
        <v>0.70298973188560376</v>
      </c>
      <c r="X8355" s="2">
        <f ca="1"/>
        <v>48.810304177410671</v>
      </c>
      <c r="AG8355" s="2">
        <f ca="1"/>
        <v>0.65447260889344738</v>
      </c>
      <c r="AH8355" s="2" t="str">
        <f ca="1"/>
        <v>Bad</v>
      </c>
    </row>
    <row r="8356" spans="2:34" x14ac:dyDescent="0.2">
      <c r="B8356" s="2">
        <f ca="1"/>
        <v>0.93803962998512147</v>
      </c>
      <c r="O8356" s="2">
        <f ca="1"/>
        <v>-0.8068483916454019</v>
      </c>
      <c r="X8356" s="2">
        <f ca="1"/>
        <v>61.250325989092225</v>
      </c>
      <c r="AG8356" s="2">
        <f ca="1"/>
        <v>0.29907118081464512</v>
      </c>
      <c r="AH8356" s="2" t="str">
        <f ca="1"/>
        <v>OK</v>
      </c>
    </row>
    <row r="8357" spans="2:34" x14ac:dyDescent="0.2">
      <c r="B8357" s="2">
        <f ca="1"/>
        <v>0.30324742205506583</v>
      </c>
      <c r="O8357" s="2">
        <f ca="1"/>
        <v>-0.72627925335242294</v>
      </c>
      <c r="X8357" s="2">
        <f ca="1"/>
        <v>32.376226165890706</v>
      </c>
      <c r="AG8357" s="2">
        <f ca="1"/>
        <v>0.35384224223690897</v>
      </c>
      <c r="AH8357" s="2" t="str">
        <f ca="1"/>
        <v>OK</v>
      </c>
    </row>
    <row r="8358" spans="2:34" x14ac:dyDescent="0.2">
      <c r="B8358" s="2">
        <f ca="1"/>
        <v>0.47591629962646875</v>
      </c>
      <c r="O8358" s="2">
        <f ca="1"/>
        <v>-0.39825108819245786</v>
      </c>
      <c r="X8358" s="2">
        <f ca="1"/>
        <v>52.55369866710555</v>
      </c>
      <c r="AG8358" s="2">
        <f ca="1"/>
        <v>0.79108970853309168</v>
      </c>
      <c r="AH8358" s="2" t="str">
        <f ca="1"/>
        <v>Bad</v>
      </c>
    </row>
    <row r="8359" spans="2:34" x14ac:dyDescent="0.2">
      <c r="B8359" s="2">
        <f ca="1"/>
        <v>0.65238658240699721</v>
      </c>
      <c r="O8359" s="2">
        <f ca="1"/>
        <v>0.78622900392664774</v>
      </c>
      <c r="X8359" s="2">
        <f ca="1"/>
        <v>37.579599999813368</v>
      </c>
      <c r="AG8359" s="2">
        <f ca="1"/>
        <v>0.54065415680721274</v>
      </c>
      <c r="AH8359" s="2" t="str">
        <f ca="1"/>
        <v>Bad</v>
      </c>
    </row>
    <row r="8360" spans="2:34" x14ac:dyDescent="0.2">
      <c r="B8360" s="2">
        <f ca="1"/>
        <v>0.71870034538500538</v>
      </c>
      <c r="O8360" s="2">
        <f ca="1"/>
        <v>-2.3135748000966756</v>
      </c>
      <c r="X8360" s="2">
        <f ca="1"/>
        <v>38.406300152675442</v>
      </c>
      <c r="AG8360" s="2">
        <f ca="1"/>
        <v>0.40904903386232361</v>
      </c>
      <c r="AH8360" s="2" t="str">
        <f ca="1"/>
        <v>Bad</v>
      </c>
    </row>
    <row r="8361" spans="2:34" x14ac:dyDescent="0.2">
      <c r="B8361" s="2">
        <f ca="1"/>
        <v>0.24126847759851455</v>
      </c>
      <c r="O8361" s="2">
        <f ca="1"/>
        <v>-0.36807308527556115</v>
      </c>
      <c r="X8361" s="2">
        <f ca="1"/>
        <v>42.058340839314461</v>
      </c>
      <c r="AG8361" s="2">
        <f ca="1"/>
        <v>0.13785458427496744</v>
      </c>
      <c r="AH8361" s="2" t="str">
        <f ca="1"/>
        <v>OK</v>
      </c>
    </row>
    <row r="8362" spans="2:34" x14ac:dyDescent="0.2">
      <c r="B8362" s="2">
        <f ca="1"/>
        <v>0.5386057386717884</v>
      </c>
      <c r="O8362" s="2">
        <f ca="1"/>
        <v>0.85451086587932745</v>
      </c>
      <c r="X8362" s="2">
        <f ca="1"/>
        <v>25.892336042802675</v>
      </c>
      <c r="AG8362" s="2">
        <f ca="1"/>
        <v>0.69319382237712923</v>
      </c>
      <c r="AH8362" s="2" t="str">
        <f ca="1"/>
        <v>Bad</v>
      </c>
    </row>
    <row r="8363" spans="2:34" x14ac:dyDescent="0.2">
      <c r="B8363" s="2">
        <f ca="1"/>
        <v>0.19214304127890669</v>
      </c>
      <c r="O8363" s="2">
        <f ca="1"/>
        <v>0.8532675508338019</v>
      </c>
      <c r="X8363" s="2">
        <f ca="1"/>
        <v>58.228720349272848</v>
      </c>
      <c r="AG8363" s="2">
        <f ca="1"/>
        <v>0.25148943706485483</v>
      </c>
      <c r="AH8363" s="2" t="str">
        <f ca="1"/>
        <v>OK</v>
      </c>
    </row>
    <row r="8364" spans="2:34" x14ac:dyDescent="0.2">
      <c r="B8364" s="2">
        <f ca="1"/>
        <v>0.71072258565232582</v>
      </c>
      <c r="O8364" s="2">
        <f ca="1"/>
        <v>-4.5504098384064356E-2</v>
      </c>
      <c r="X8364" s="2">
        <f ca="1"/>
        <v>27.193440033706349</v>
      </c>
      <c r="AG8364" s="2">
        <f ca="1"/>
        <v>0.25264128172333633</v>
      </c>
      <c r="AH8364" s="2" t="str">
        <f ca="1"/>
        <v>OK</v>
      </c>
    </row>
    <row r="8365" spans="2:34" x14ac:dyDescent="0.2">
      <c r="B8365" s="2">
        <f ca="1"/>
        <v>0.6617183902551067</v>
      </c>
      <c r="O8365" s="2">
        <f ca="1"/>
        <v>1.2099539725423426E-2</v>
      </c>
      <c r="X8365" s="2">
        <f ca="1"/>
        <v>66.143546001233929</v>
      </c>
      <c r="AG8365" s="2">
        <f ca="1"/>
        <v>0.98253891807364258</v>
      </c>
      <c r="AH8365" s="2" t="str">
        <f ca="1"/>
        <v>Bad</v>
      </c>
    </row>
    <row r="8366" spans="2:34" x14ac:dyDescent="0.2">
      <c r="B8366" s="2">
        <f ca="1"/>
        <v>0.52634988443266106</v>
      </c>
      <c r="O8366" s="2">
        <f ca="1"/>
        <v>8.6665381112279762E-3</v>
      </c>
      <c r="X8366" s="2">
        <f ca="1"/>
        <v>32.923287809011491</v>
      </c>
      <c r="AG8366" s="2">
        <f ca="1"/>
        <v>0.88315357642103565</v>
      </c>
      <c r="AH8366" s="2" t="str">
        <f ca="1"/>
        <v>Bad</v>
      </c>
    </row>
    <row r="8367" spans="2:34" x14ac:dyDescent="0.2">
      <c r="B8367" s="2">
        <f ca="1"/>
        <v>3.039519390458012E-2</v>
      </c>
      <c r="O8367" s="2">
        <f ca="1"/>
        <v>0.81784362901321872</v>
      </c>
      <c r="X8367" s="2">
        <f ca="1"/>
        <v>72.149226927186078</v>
      </c>
      <c r="AG8367" s="2">
        <f ca="1"/>
        <v>0.6473286802420235</v>
      </c>
      <c r="AH8367" s="2" t="str">
        <f ca="1"/>
        <v>Bad</v>
      </c>
    </row>
    <row r="8368" spans="2:34" x14ac:dyDescent="0.2">
      <c r="B8368" s="2">
        <f ca="1"/>
        <v>0.88139964426603457</v>
      </c>
      <c r="O8368" s="2">
        <f ca="1"/>
        <v>0.858301125375591</v>
      </c>
      <c r="X8368" s="2">
        <f ca="1"/>
        <v>46.477952089684706</v>
      </c>
      <c r="AG8368" s="2">
        <f ca="1"/>
        <v>0.40214318556573403</v>
      </c>
      <c r="AH8368" s="2" t="str">
        <f ca="1"/>
        <v>Bad</v>
      </c>
    </row>
    <row r="8369" spans="2:34" x14ac:dyDescent="0.2">
      <c r="B8369" s="2">
        <f ca="1"/>
        <v>0.50939922869827781</v>
      </c>
      <c r="O8369" s="2">
        <f ca="1"/>
        <v>-0.29537701552269968</v>
      </c>
      <c r="X8369" s="2">
        <f ca="1"/>
        <v>64.963316004852047</v>
      </c>
      <c r="AG8369" s="2">
        <f ca="1"/>
        <v>0.98373394382267487</v>
      </c>
      <c r="AH8369" s="2" t="str">
        <f ca="1"/>
        <v>Bad</v>
      </c>
    </row>
    <row r="8370" spans="2:34" x14ac:dyDescent="0.2">
      <c r="B8370" s="2">
        <f ca="1"/>
        <v>0.24794897299657381</v>
      </c>
      <c r="O8370" s="2">
        <f ca="1"/>
        <v>-0.22816441006709628</v>
      </c>
      <c r="X8370" s="2">
        <f ca="1"/>
        <v>55.241924795324891</v>
      </c>
      <c r="AG8370" s="2">
        <f ca="1"/>
        <v>0.81484686254060867</v>
      </c>
      <c r="AH8370" s="2" t="str">
        <f ca="1"/>
        <v>Bad</v>
      </c>
    </row>
    <row r="8371" spans="2:34" x14ac:dyDescent="0.2">
      <c r="B8371" s="2">
        <f ca="1"/>
        <v>0.91152797694200949</v>
      </c>
      <c r="O8371" s="2">
        <f ca="1"/>
        <v>1.3424875848092284</v>
      </c>
      <c r="X8371" s="2">
        <f ca="1"/>
        <v>36.337451927951527</v>
      </c>
      <c r="AG8371" s="2">
        <f ca="1"/>
        <v>0.67089220342002975</v>
      </c>
      <c r="AH8371" s="2" t="str">
        <f ca="1"/>
        <v>Bad</v>
      </c>
    </row>
    <row r="8372" spans="2:34" x14ac:dyDescent="0.2">
      <c r="B8372" s="2">
        <f ca="1"/>
        <v>0.65461388635785345</v>
      </c>
      <c r="O8372" s="2">
        <f ca="1"/>
        <v>-0.41148588015406129</v>
      </c>
      <c r="X8372" s="2">
        <f ca="1"/>
        <v>80.997995953864972</v>
      </c>
      <c r="AG8372" s="2">
        <f ca="1"/>
        <v>0.40269373052428303</v>
      </c>
      <c r="AH8372" s="2" t="str">
        <f ca="1"/>
        <v>Bad</v>
      </c>
    </row>
    <row r="8373" spans="2:34" x14ac:dyDescent="0.2">
      <c r="B8373" s="2">
        <f ca="1"/>
        <v>0.74575441403378973</v>
      </c>
      <c r="O8373" s="2">
        <f ca="1"/>
        <v>-0.71255350930598926</v>
      </c>
      <c r="X8373" s="2">
        <f ca="1"/>
        <v>41.789860305163764</v>
      </c>
      <c r="AG8373" s="2">
        <f ca="1"/>
        <v>0.14798541598315551</v>
      </c>
      <c r="AH8373" s="2" t="str">
        <f ca="1"/>
        <v>OK</v>
      </c>
    </row>
    <row r="8374" spans="2:34" x14ac:dyDescent="0.2">
      <c r="B8374" s="2">
        <f ca="1"/>
        <v>0.35437813145280428</v>
      </c>
      <c r="O8374" s="2">
        <f ca="1"/>
        <v>-0.32045644233162801</v>
      </c>
      <c r="X8374" s="2">
        <f ca="1"/>
        <v>57.869795288699137</v>
      </c>
      <c r="AG8374" s="2">
        <f ca="1"/>
        <v>0.56895387535280362</v>
      </c>
      <c r="AH8374" s="2" t="str">
        <f ca="1"/>
        <v>Bad</v>
      </c>
    </row>
    <row r="8375" spans="2:34" x14ac:dyDescent="0.2">
      <c r="B8375" s="2">
        <f ca="1"/>
        <v>0.37316984716264123</v>
      </c>
      <c r="O8375" s="2">
        <f ca="1"/>
        <v>1.3847665564430653</v>
      </c>
      <c r="X8375" s="2">
        <f ca="1"/>
        <v>62.525904069867373</v>
      </c>
      <c r="AG8375" s="2">
        <f ca="1"/>
        <v>0.18591883239621554</v>
      </c>
      <c r="AH8375" s="2" t="str">
        <f ca="1"/>
        <v>OK</v>
      </c>
    </row>
    <row r="8376" spans="2:34" x14ac:dyDescent="0.2">
      <c r="B8376" s="2">
        <f ca="1"/>
        <v>0.82221683230139253</v>
      </c>
      <c r="O8376" s="2">
        <f ca="1"/>
        <v>1.1053040726161634</v>
      </c>
      <c r="X8376" s="2">
        <f ca="1"/>
        <v>68.459561985749474</v>
      </c>
      <c r="AG8376" s="2">
        <f ca="1"/>
        <v>0.40638175551732125</v>
      </c>
      <c r="AH8376" s="2" t="str">
        <f ca="1"/>
        <v>Bad</v>
      </c>
    </row>
    <row r="8377" spans="2:34" x14ac:dyDescent="0.2">
      <c r="B8377" s="2">
        <f ca="1"/>
        <v>0.428520734597301</v>
      </c>
      <c r="O8377" s="2">
        <f ca="1"/>
        <v>-1.0986312554740423</v>
      </c>
      <c r="X8377" s="2">
        <f ca="1"/>
        <v>46.325475940777395</v>
      </c>
      <c r="AG8377" s="2">
        <f ca="1"/>
        <v>0.22655962512133532</v>
      </c>
      <c r="AH8377" s="2" t="str">
        <f ca="1"/>
        <v>OK</v>
      </c>
    </row>
    <row r="8378" spans="2:34" x14ac:dyDescent="0.2">
      <c r="B8378" s="2">
        <f ca="1"/>
        <v>0.99981312316045479</v>
      </c>
      <c r="O8378" s="2">
        <f ca="1"/>
        <v>0.88137001954885663</v>
      </c>
      <c r="X8378" s="2">
        <f ca="1"/>
        <v>64.225533911238117</v>
      </c>
      <c r="AG8378" s="2">
        <f ca="1"/>
        <v>0.3038510897251756</v>
      </c>
      <c r="AH8378" s="2" t="str">
        <f ca="1"/>
        <v>OK</v>
      </c>
    </row>
    <row r="8379" spans="2:34" x14ac:dyDescent="0.2">
      <c r="B8379" s="2">
        <f ca="1"/>
        <v>0.65982319018096058</v>
      </c>
      <c r="O8379" s="2">
        <f ca="1"/>
        <v>-1.3859007247088568</v>
      </c>
      <c r="X8379" s="2">
        <f ca="1"/>
        <v>42.476706030094391</v>
      </c>
      <c r="AG8379" s="2">
        <f ca="1"/>
        <v>0.66293330141998408</v>
      </c>
      <c r="AH8379" s="2" t="str">
        <f ca="1"/>
        <v>Bad</v>
      </c>
    </row>
    <row r="8380" spans="2:34" x14ac:dyDescent="0.2">
      <c r="B8380" s="2">
        <f ca="1"/>
        <v>0.1211505718522774</v>
      </c>
      <c r="O8380" s="2">
        <f ca="1"/>
        <v>1.1219521971764057</v>
      </c>
      <c r="X8380" s="2">
        <f ca="1"/>
        <v>43.117795088483824</v>
      </c>
      <c r="AG8380" s="2">
        <f ca="1"/>
        <v>0.66912409271420659</v>
      </c>
      <c r="AH8380" s="2" t="str">
        <f ca="1"/>
        <v>Bad</v>
      </c>
    </row>
    <row r="8381" spans="2:34" x14ac:dyDescent="0.2">
      <c r="B8381" s="2">
        <f ca="1"/>
        <v>0.43725337961041677</v>
      </c>
      <c r="O8381" s="2">
        <f ca="1"/>
        <v>0.9315735647392821</v>
      </c>
      <c r="X8381" s="2">
        <f ca="1"/>
        <v>62.567110993294037</v>
      </c>
      <c r="AG8381" s="2">
        <f ca="1"/>
        <v>0.14567919784538197</v>
      </c>
      <c r="AH8381" s="2" t="str">
        <f ca="1"/>
        <v>OK</v>
      </c>
    </row>
    <row r="8382" spans="2:34" x14ac:dyDescent="0.2">
      <c r="B8382" s="2">
        <f ca="1"/>
        <v>0.90328593717725814</v>
      </c>
      <c r="O8382" s="2">
        <f ca="1"/>
        <v>1.1731362947745159</v>
      </c>
      <c r="X8382" s="2">
        <f ca="1"/>
        <v>39.128268840852733</v>
      </c>
      <c r="AG8382" s="2">
        <f ca="1"/>
        <v>0.68093599152255013</v>
      </c>
      <c r="AH8382" s="2" t="str">
        <f ca="1"/>
        <v>Bad</v>
      </c>
    </row>
    <row r="8383" spans="2:34" x14ac:dyDescent="0.2">
      <c r="B8383" s="2">
        <f ca="1"/>
        <v>0.68029904784858064</v>
      </c>
      <c r="O8383" s="2">
        <f ca="1"/>
        <v>-1.1039724454736319</v>
      </c>
      <c r="X8383" s="2">
        <f ca="1"/>
        <v>25.730633105861425</v>
      </c>
      <c r="AG8383" s="2">
        <f ca="1"/>
        <v>6.4473262248450958E-2</v>
      </c>
      <c r="AH8383" s="2" t="str">
        <f ca="1"/>
        <v>OK</v>
      </c>
    </row>
    <row r="8384" spans="2:34" x14ac:dyDescent="0.2">
      <c r="B8384" s="2">
        <f ca="1"/>
        <v>0.34763115306620151</v>
      </c>
      <c r="O8384" s="2">
        <f ca="1"/>
        <v>-1.5102281180132919</v>
      </c>
      <c r="X8384" s="2">
        <f ca="1"/>
        <v>41.118240466778119</v>
      </c>
      <c r="AG8384" s="2">
        <f ca="1"/>
        <v>0.57268662841316154</v>
      </c>
      <c r="AH8384" s="2" t="str">
        <f ca="1"/>
        <v>Bad</v>
      </c>
    </row>
    <row r="8385" spans="2:34" x14ac:dyDescent="0.2">
      <c r="B8385" s="2">
        <f ca="1"/>
        <v>0.82887136745430223</v>
      </c>
      <c r="O8385" s="2">
        <f ca="1"/>
        <v>-1.1628739443526768</v>
      </c>
      <c r="X8385" s="2">
        <f ca="1"/>
        <v>70.710344989278795</v>
      </c>
      <c r="AG8385" s="2">
        <f ca="1"/>
        <v>0.87399012799150211</v>
      </c>
      <c r="AH8385" s="2" t="str">
        <f ca="1"/>
        <v>Bad</v>
      </c>
    </row>
    <row r="8386" spans="2:34" x14ac:dyDescent="0.2">
      <c r="B8386" s="2">
        <f ca="1"/>
        <v>0.20376895515616722</v>
      </c>
      <c r="O8386" s="2">
        <f ca="1"/>
        <v>1.0366815495733943</v>
      </c>
      <c r="X8386" s="2">
        <f ca="1"/>
        <v>71.213350819585017</v>
      </c>
      <c r="AG8386" s="2">
        <f ca="1"/>
        <v>0.21107703512422127</v>
      </c>
      <c r="AH8386" s="2" t="str">
        <f ca="1"/>
        <v>OK</v>
      </c>
    </row>
    <row r="8387" spans="2:34" x14ac:dyDescent="0.2">
      <c r="B8387" s="2">
        <f ca="1"/>
        <v>0.38212612328787565</v>
      </c>
      <c r="O8387" s="2">
        <f ca="1"/>
        <v>0.70275580686274497</v>
      </c>
      <c r="X8387" s="2">
        <f ca="1"/>
        <v>50.143897707636206</v>
      </c>
      <c r="AG8387" s="2">
        <f ca="1"/>
        <v>0.36878776331673357</v>
      </c>
      <c r="AH8387" s="2" t="str">
        <f ca="1"/>
        <v>OK</v>
      </c>
    </row>
    <row r="8388" spans="2:34" x14ac:dyDescent="0.2">
      <c r="B8388" s="2">
        <f ca="1"/>
        <v>9.5950583005801837E-2</v>
      </c>
      <c r="O8388" s="2">
        <f ca="1"/>
        <v>-0.14579442018512703</v>
      </c>
      <c r="X8388" s="2">
        <f ca="1"/>
        <v>26.295667755161869</v>
      </c>
      <c r="AG8388" s="2">
        <f ca="1"/>
        <v>4.6601260326912808E-2</v>
      </c>
      <c r="AH8388" s="2" t="str">
        <f ca="1"/>
        <v>Good</v>
      </c>
    </row>
    <row r="8389" spans="2:34" x14ac:dyDescent="0.2">
      <c r="B8389" s="2">
        <f ca="1"/>
        <v>0.49771305586022851</v>
      </c>
      <c r="O8389" s="2">
        <f ca="1"/>
        <v>0.45125906799656723</v>
      </c>
      <c r="X8389" s="2">
        <f ca="1"/>
        <v>59.443334110402752</v>
      </c>
      <c r="AG8389" s="2">
        <f ca="1"/>
        <v>0.17631861229839774</v>
      </c>
      <c r="AH8389" s="2" t="str">
        <f ca="1"/>
        <v>OK</v>
      </c>
    </row>
    <row r="8390" spans="2:34" x14ac:dyDescent="0.2">
      <c r="B8390" s="2">
        <f ca="1"/>
        <v>0.41606742599015889</v>
      </c>
      <c r="O8390" s="2">
        <f ca="1"/>
        <v>-1.2402109490602764</v>
      </c>
      <c r="X8390" s="2">
        <f ca="1"/>
        <v>47.419151506506132</v>
      </c>
      <c r="AG8390" s="2">
        <f ca="1"/>
        <v>0.43920659622429858</v>
      </c>
      <c r="AH8390" s="2" t="str">
        <f ca="1"/>
        <v>Bad</v>
      </c>
    </row>
    <row r="8391" spans="2:34" x14ac:dyDescent="0.2">
      <c r="B8391" s="2">
        <f ca="1"/>
        <v>0.36839408027872556</v>
      </c>
      <c r="O8391" s="2">
        <f ca="1"/>
        <v>-2.1252700569541743</v>
      </c>
      <c r="X8391" s="2">
        <f ca="1"/>
        <v>54.481237851137642</v>
      </c>
      <c r="AG8391" s="2">
        <f ca="1"/>
        <v>4.5311140020380947E-2</v>
      </c>
      <c r="AH8391" s="2" t="str">
        <f ca="1"/>
        <v>Good</v>
      </c>
    </row>
    <row r="8392" spans="2:34" x14ac:dyDescent="0.2">
      <c r="B8392" s="2">
        <f ca="1"/>
        <v>7.9041643151584573E-2</v>
      </c>
      <c r="O8392" s="2">
        <f ca="1"/>
        <v>-1.3774376390349194</v>
      </c>
      <c r="X8392" s="2">
        <f ca="1"/>
        <v>66.557502002634763</v>
      </c>
      <c r="AG8392" s="2">
        <f ca="1"/>
        <v>0.4952750316572132</v>
      </c>
      <c r="AH8392" s="2" t="str">
        <f ca="1"/>
        <v>Bad</v>
      </c>
    </row>
    <row r="8393" spans="2:34" x14ac:dyDescent="0.2">
      <c r="B8393" s="2">
        <f ca="1"/>
        <v>0.32747593384617857</v>
      </c>
      <c r="O8393" s="2">
        <f ca="1"/>
        <v>-0.65044257810929207</v>
      </c>
      <c r="X8393" s="2">
        <f ca="1"/>
        <v>106.22205069797224</v>
      </c>
      <c r="AG8393" s="2">
        <f ca="1"/>
        <v>0.51130513373432773</v>
      </c>
      <c r="AH8393" s="2" t="str">
        <f ca="1"/>
        <v>Bad</v>
      </c>
    </row>
    <row r="8394" spans="2:34" x14ac:dyDescent="0.2">
      <c r="B8394" s="2">
        <f ca="1"/>
        <v>0.52040344084861778</v>
      </c>
      <c r="O8394" s="2">
        <f ca="1"/>
        <v>1.0916285947767383</v>
      </c>
      <c r="X8394" s="2">
        <f ca="1"/>
        <v>71.262822394669953</v>
      </c>
      <c r="AG8394" s="2">
        <f ca="1"/>
        <v>0.40022426087962559</v>
      </c>
      <c r="AH8394" s="2" t="str">
        <f ca="1"/>
        <v>Bad</v>
      </c>
    </row>
    <row r="8395" spans="2:34" x14ac:dyDescent="0.2">
      <c r="B8395" s="2">
        <f ca="1"/>
        <v>0.85804675985668788</v>
      </c>
      <c r="O8395" s="2">
        <f ca="1"/>
        <v>1.3589057587337527</v>
      </c>
      <c r="X8395" s="2">
        <f ca="1"/>
        <v>51.428556101788303</v>
      </c>
      <c r="AG8395" s="2">
        <f ca="1"/>
        <v>0.62109493073078359</v>
      </c>
      <c r="AH8395" s="2" t="str">
        <f ca="1"/>
        <v>Bad</v>
      </c>
    </row>
    <row r="8396" spans="2:34" x14ac:dyDescent="0.2">
      <c r="B8396" s="2">
        <f ca="1"/>
        <v>0.41140689187340773</v>
      </c>
      <c r="O8396" s="2">
        <f ca="1"/>
        <v>0.96135800509112057</v>
      </c>
      <c r="X8396" s="2">
        <f ca="1"/>
        <v>55.450737757593949</v>
      </c>
      <c r="AG8396" s="2">
        <f ca="1"/>
        <v>0.61309398152863626</v>
      </c>
      <c r="AH8396" s="2" t="str">
        <f ca="1"/>
        <v>Bad</v>
      </c>
    </row>
    <row r="8397" spans="2:34" x14ac:dyDescent="0.2">
      <c r="B8397" s="2">
        <f ca="1"/>
        <v>0.14651785661780625</v>
      </c>
      <c r="O8397" s="2">
        <f ca="1"/>
        <v>1.177729496824135</v>
      </c>
      <c r="X8397" s="2">
        <f ca="1"/>
        <v>53.72494975127529</v>
      </c>
      <c r="AG8397" s="2">
        <f ca="1"/>
        <v>0.1004473951721907</v>
      </c>
      <c r="AH8397" s="2" t="str">
        <f ca="1"/>
        <v>OK</v>
      </c>
    </row>
    <row r="8398" spans="2:34" x14ac:dyDescent="0.2">
      <c r="B8398" s="2">
        <f ca="1"/>
        <v>0.35272339601427349</v>
      </c>
      <c r="O8398" s="2">
        <f ca="1"/>
        <v>-1.482096316167822</v>
      </c>
      <c r="X8398" s="2">
        <f ca="1"/>
        <v>27.292475791608673</v>
      </c>
      <c r="AG8398" s="2">
        <f ca="1"/>
        <v>0.68198293806607779</v>
      </c>
      <c r="AH8398" s="2" t="str">
        <f ca="1"/>
        <v>Bad</v>
      </c>
    </row>
    <row r="8399" spans="2:34" x14ac:dyDescent="0.2">
      <c r="B8399" s="2">
        <f ca="1"/>
        <v>0.99456069811762138</v>
      </c>
      <c r="O8399" s="2">
        <f ca="1"/>
        <v>7.5001780474037355E-2</v>
      </c>
      <c r="X8399" s="2">
        <f ca="1"/>
        <v>42.584976059580548</v>
      </c>
      <c r="AG8399" s="2">
        <f ca="1"/>
        <v>0.51837576412999042</v>
      </c>
      <c r="AH8399" s="2" t="str">
        <f ca="1"/>
        <v>Bad</v>
      </c>
    </row>
    <row r="8400" spans="2:34" x14ac:dyDescent="0.2">
      <c r="B8400" s="2">
        <f ca="1"/>
        <v>0.42286117575087823</v>
      </c>
      <c r="O8400" s="2">
        <f ca="1"/>
        <v>-0.99758231530829411</v>
      </c>
      <c r="X8400" s="2">
        <f ca="1"/>
        <v>69.702888499282608</v>
      </c>
      <c r="AG8400" s="2">
        <f ca="1"/>
        <v>3.7550559962560293E-3</v>
      </c>
      <c r="AH8400" s="2" t="str">
        <f ca="1"/>
        <v>Good</v>
      </c>
    </row>
    <row r="8401" spans="2:34" x14ac:dyDescent="0.2">
      <c r="B8401" s="2">
        <f ca="1"/>
        <v>0.37374554804700888</v>
      </c>
      <c r="O8401" s="2">
        <f ca="1"/>
        <v>-2.9321845568517499</v>
      </c>
      <c r="X8401" s="2">
        <f ca="1"/>
        <v>53.276522990556963</v>
      </c>
      <c r="AG8401" s="2">
        <f ca="1"/>
        <v>0.10481468018188833</v>
      </c>
      <c r="AH8401" s="2" t="str">
        <f ca="1"/>
        <v>OK</v>
      </c>
    </row>
    <row r="8402" spans="2:34" x14ac:dyDescent="0.2">
      <c r="B8402" s="2">
        <f ca="1"/>
        <v>0.60186674389814887</v>
      </c>
      <c r="O8402" s="2">
        <f ca="1"/>
        <v>-0.70967814016064368</v>
      </c>
      <c r="X8402" s="2">
        <f ca="1"/>
        <v>44.455203333322387</v>
      </c>
      <c r="AG8402" s="2">
        <f ca="1"/>
        <v>0.32569606032663612</v>
      </c>
      <c r="AH8402" s="2" t="str">
        <f ca="1"/>
        <v>OK</v>
      </c>
    </row>
    <row r="8403" spans="2:34" x14ac:dyDescent="0.2">
      <c r="B8403" s="2">
        <f ca="1"/>
        <v>0.39780771421084249</v>
      </c>
      <c r="O8403" s="2">
        <f ca="1"/>
        <v>1.8742194384114277</v>
      </c>
      <c r="X8403" s="2">
        <f ca="1"/>
        <v>41.180957558991871</v>
      </c>
      <c r="AG8403" s="2">
        <f ca="1"/>
        <v>0.8454861649133516</v>
      </c>
      <c r="AH8403" s="2" t="str">
        <f ca="1"/>
        <v>Bad</v>
      </c>
    </row>
    <row r="8404" spans="2:34" x14ac:dyDescent="0.2">
      <c r="B8404" s="2">
        <f ca="1"/>
        <v>0.32953735695481301</v>
      </c>
      <c r="O8404" s="2">
        <f ca="1"/>
        <v>1.2344806260207746</v>
      </c>
      <c r="X8404" s="2">
        <f ca="1"/>
        <v>37.1188192431486</v>
      </c>
      <c r="AG8404" s="2">
        <f ca="1"/>
        <v>0.75866242713094012</v>
      </c>
      <c r="AH8404" s="2" t="str">
        <f ca="1"/>
        <v>Bad</v>
      </c>
    </row>
    <row r="8405" spans="2:34" x14ac:dyDescent="0.2">
      <c r="B8405" s="2">
        <f ca="1"/>
        <v>0.4175423727163845</v>
      </c>
      <c r="O8405" s="2">
        <f ca="1"/>
        <v>-0.18474042145508432</v>
      </c>
      <c r="X8405" s="2">
        <f ca="1"/>
        <v>64.7082313442951</v>
      </c>
      <c r="AG8405" s="2">
        <f ca="1"/>
        <v>0.98930861402694825</v>
      </c>
      <c r="AH8405" s="2" t="str">
        <f ca="1"/>
        <v>Bad</v>
      </c>
    </row>
    <row r="8406" spans="2:34" x14ac:dyDescent="0.2">
      <c r="B8406" s="2">
        <f ca="1"/>
        <v>0.23802913339883847</v>
      </c>
      <c r="O8406" s="2">
        <f ca="1"/>
        <v>1.4422391280297109</v>
      </c>
      <c r="X8406" s="2">
        <f ca="1"/>
        <v>65.141766638614541</v>
      </c>
      <c r="AG8406" s="2">
        <f ca="1"/>
        <v>0.99758854955292087</v>
      </c>
      <c r="AH8406" s="2" t="str">
        <f ca="1"/>
        <v>Bad</v>
      </c>
    </row>
    <row r="8407" spans="2:34" x14ac:dyDescent="0.2">
      <c r="B8407" s="2">
        <f ca="1"/>
        <v>0.37125044024805609</v>
      </c>
      <c r="O8407" s="2">
        <f ca="1"/>
        <v>0.1628792990547186</v>
      </c>
      <c r="X8407" s="2">
        <f ca="1"/>
        <v>65.965843452797969</v>
      </c>
      <c r="AG8407" s="2">
        <f ca="1"/>
        <v>0.37568086262843603</v>
      </c>
      <c r="AH8407" s="2" t="str">
        <f ca="1"/>
        <v>OK</v>
      </c>
    </row>
    <row r="8408" spans="2:34" x14ac:dyDescent="0.2">
      <c r="B8408" s="2">
        <f ca="1"/>
        <v>0.81081421903600459</v>
      </c>
      <c r="O8408" s="2">
        <f ca="1"/>
        <v>-1.5416744397277873</v>
      </c>
      <c r="X8408" s="2">
        <f ca="1"/>
        <v>77.579432083271527</v>
      </c>
      <c r="AG8408" s="2">
        <f ca="1"/>
        <v>0.54992005491307983</v>
      </c>
      <c r="AH8408" s="2" t="str">
        <f ca="1"/>
        <v>Bad</v>
      </c>
    </row>
    <row r="8409" spans="2:34" x14ac:dyDescent="0.2">
      <c r="B8409" s="2">
        <f ca="1"/>
        <v>0.30998947293091672</v>
      </c>
      <c r="O8409" s="2">
        <f ca="1"/>
        <v>1.6458624544374079</v>
      </c>
      <c r="X8409" s="2">
        <f ca="1"/>
        <v>39.902611728809532</v>
      </c>
      <c r="AG8409" s="2">
        <f ca="1"/>
        <v>0.30919080884618277</v>
      </c>
      <c r="AH8409" s="2" t="str">
        <f ca="1"/>
        <v>OK</v>
      </c>
    </row>
    <row r="8410" spans="2:34" x14ac:dyDescent="0.2">
      <c r="B8410" s="2">
        <f ca="1"/>
        <v>0.62829236025845825</v>
      </c>
      <c r="O8410" s="2">
        <f ca="1"/>
        <v>-4.3833390383108219E-2</v>
      </c>
      <c r="X8410" s="2">
        <f ca="1"/>
        <v>41.482288113670585</v>
      </c>
      <c r="AG8410" s="2">
        <f ca="1"/>
        <v>0.57981190323317278</v>
      </c>
      <c r="AH8410" s="2" t="str">
        <f ca="1"/>
        <v>Bad</v>
      </c>
    </row>
    <row r="8411" spans="2:34" x14ac:dyDescent="0.2">
      <c r="B8411" s="2">
        <f ca="1"/>
        <v>0.75008967150322103</v>
      </c>
      <c r="O8411" s="2">
        <f ca="1"/>
        <v>0.96200743952346024</v>
      </c>
      <c r="X8411" s="2">
        <f ca="1"/>
        <v>40.7871598611246</v>
      </c>
      <c r="AG8411" s="2">
        <f ca="1"/>
        <v>0.66858634931509964</v>
      </c>
      <c r="AH8411" s="2" t="str">
        <f ca="1"/>
        <v>Bad</v>
      </c>
    </row>
    <row r="8412" spans="2:34" x14ac:dyDescent="0.2">
      <c r="B8412" s="2">
        <f ca="1"/>
        <v>0.96930382611303867</v>
      </c>
      <c r="O8412" s="2">
        <f ca="1"/>
        <v>1.4975252977560725</v>
      </c>
      <c r="X8412" s="2">
        <f ca="1"/>
        <v>55.922282058054982</v>
      </c>
      <c r="AG8412" s="2">
        <f ca="1"/>
        <v>0.30343741919592682</v>
      </c>
      <c r="AH8412" s="2" t="str">
        <f ca="1"/>
        <v>OK</v>
      </c>
    </row>
    <row r="8413" spans="2:34" x14ac:dyDescent="0.2">
      <c r="B8413" s="2">
        <f ca="1"/>
        <v>0.86158522575960039</v>
      </c>
      <c r="O8413" s="2">
        <f ca="1"/>
        <v>-1.1208952132838141</v>
      </c>
      <c r="X8413" s="2">
        <f ca="1"/>
        <v>74.389905198881223</v>
      </c>
      <c r="AG8413" s="2">
        <f ca="1"/>
        <v>0.6165390740135599</v>
      </c>
      <c r="AH8413" s="2" t="str">
        <f ca="1"/>
        <v>Bad</v>
      </c>
    </row>
    <row r="8414" spans="2:34" x14ac:dyDescent="0.2">
      <c r="B8414" s="2">
        <f ca="1"/>
        <v>7.7418763982282091E-3</v>
      </c>
      <c r="O8414" s="2">
        <f ca="1"/>
        <v>-1.8673604059507638</v>
      </c>
      <c r="X8414" s="2">
        <f ca="1"/>
        <v>54.510197385762694</v>
      </c>
      <c r="AG8414" s="2">
        <f ca="1"/>
        <v>0.60726042175897521</v>
      </c>
      <c r="AH8414" s="2" t="str">
        <f ca="1"/>
        <v>Bad</v>
      </c>
    </row>
    <row r="8415" spans="2:34" x14ac:dyDescent="0.2">
      <c r="B8415" s="2">
        <f ca="1"/>
        <v>0.99242600867475961</v>
      </c>
      <c r="O8415" s="2">
        <f ca="1"/>
        <v>1.1368516560818216</v>
      </c>
      <c r="X8415" s="2">
        <f ca="1"/>
        <v>44.840542477864489</v>
      </c>
      <c r="AG8415" s="2">
        <f ca="1"/>
        <v>0.12624930961286229</v>
      </c>
      <c r="AH8415" s="2" t="str">
        <f ca="1"/>
        <v>OK</v>
      </c>
    </row>
    <row r="8416" spans="2:34" x14ac:dyDescent="0.2">
      <c r="B8416" s="2">
        <f ca="1"/>
        <v>0.67508471873434606</v>
      </c>
      <c r="O8416" s="2">
        <f ca="1"/>
        <v>-0.68946902437730107</v>
      </c>
      <c r="X8416" s="2">
        <f ca="1"/>
        <v>53.01622778751139</v>
      </c>
      <c r="AG8416" s="2">
        <f ca="1"/>
        <v>0.14160164428380728</v>
      </c>
      <c r="AH8416" s="2" t="str">
        <f ca="1"/>
        <v>OK</v>
      </c>
    </row>
    <row r="8417" spans="2:34" x14ac:dyDescent="0.2">
      <c r="B8417" s="2">
        <f ca="1"/>
        <v>0.97827222610548192</v>
      </c>
      <c r="O8417" s="2">
        <f ca="1"/>
        <v>1.2325085622125498</v>
      </c>
      <c r="X8417" s="2">
        <f ca="1"/>
        <v>33.37034531141159</v>
      </c>
      <c r="AG8417" s="2">
        <f ca="1"/>
        <v>0.42852550717772098</v>
      </c>
      <c r="AH8417" s="2" t="str">
        <f ca="1"/>
        <v>Bad</v>
      </c>
    </row>
    <row r="8418" spans="2:34" x14ac:dyDescent="0.2">
      <c r="B8418" s="2">
        <f ca="1"/>
        <v>0.85854224930800283</v>
      </c>
      <c r="O8418" s="2">
        <f ca="1"/>
        <v>0.41977460964560315</v>
      </c>
      <c r="X8418" s="2">
        <f ca="1"/>
        <v>52.686219941430885</v>
      </c>
      <c r="AG8418" s="2">
        <f ca="1"/>
        <v>0.75732789240126164</v>
      </c>
      <c r="AH8418" s="2" t="str">
        <f ca="1"/>
        <v>Bad</v>
      </c>
    </row>
    <row r="8419" spans="2:34" x14ac:dyDescent="0.2">
      <c r="B8419" s="2">
        <f ca="1"/>
        <v>0.60512693564561082</v>
      </c>
      <c r="O8419" s="2">
        <f ca="1"/>
        <v>-0.78724056854130653</v>
      </c>
      <c r="X8419" s="2">
        <f ca="1"/>
        <v>49.712411805289172</v>
      </c>
      <c r="AG8419" s="2">
        <f ca="1"/>
        <v>0.90423950650814389</v>
      </c>
      <c r="AH8419" s="2" t="str">
        <f ca="1"/>
        <v>Bad</v>
      </c>
    </row>
    <row r="8420" spans="2:34" x14ac:dyDescent="0.2">
      <c r="B8420" s="2">
        <f ca="1"/>
        <v>3.5874131783393937E-2</v>
      </c>
      <c r="O8420" s="2">
        <f ca="1"/>
        <v>-1.1119694425406386</v>
      </c>
      <c r="X8420" s="2">
        <f ca="1"/>
        <v>85.666767697492787</v>
      </c>
      <c r="AG8420" s="2">
        <f ca="1"/>
        <v>0.39626536402766077</v>
      </c>
      <c r="AH8420" s="2" t="str">
        <f ca="1"/>
        <v>OK</v>
      </c>
    </row>
    <row r="8421" spans="2:34" x14ac:dyDescent="0.2">
      <c r="B8421" s="2">
        <f ca="1"/>
        <v>0.32446861676638727</v>
      </c>
      <c r="O8421" s="2">
        <f ca="1"/>
        <v>-1.9369406028374456</v>
      </c>
      <c r="X8421" s="2">
        <f ca="1"/>
        <v>22.178066159775472</v>
      </c>
      <c r="AG8421" s="2">
        <f ca="1"/>
        <v>2.816150723957711E-2</v>
      </c>
      <c r="AH8421" s="2" t="str">
        <f ca="1"/>
        <v>Good</v>
      </c>
    </row>
    <row r="8422" spans="2:34" x14ac:dyDescent="0.2">
      <c r="B8422" s="2">
        <f ca="1"/>
        <v>0.27163190067387966</v>
      </c>
      <c r="O8422" s="2">
        <f ca="1"/>
        <v>-0.2866216571435794</v>
      </c>
      <c r="X8422" s="2">
        <f ca="1"/>
        <v>71.311049343501068</v>
      </c>
      <c r="AG8422" s="2">
        <f ca="1"/>
        <v>0.97533792550202114</v>
      </c>
      <c r="AH8422" s="2" t="str">
        <f ca="1"/>
        <v>Bad</v>
      </c>
    </row>
    <row r="8423" spans="2:34" x14ac:dyDescent="0.2">
      <c r="B8423" s="2">
        <f ca="1"/>
        <v>0.81854137563974416</v>
      </c>
      <c r="O8423" s="2">
        <f ca="1"/>
        <v>1.0077951271911108</v>
      </c>
      <c r="X8423" s="2">
        <f ca="1"/>
        <v>61.541173582162116</v>
      </c>
      <c r="AG8423" s="2">
        <f ca="1"/>
        <v>0.25012447423087125</v>
      </c>
      <c r="AH8423" s="2" t="str">
        <f ca="1"/>
        <v>OK</v>
      </c>
    </row>
    <row r="8424" spans="2:34" x14ac:dyDescent="0.2">
      <c r="B8424" s="2">
        <f ca="1"/>
        <v>0.72604495337017561</v>
      </c>
      <c r="O8424" s="2">
        <f ca="1"/>
        <v>-0.56492303013493883</v>
      </c>
      <c r="X8424" s="2">
        <f ca="1"/>
        <v>29.885253497728385</v>
      </c>
      <c r="AG8424" s="2">
        <f ca="1"/>
        <v>0.23898616840264131</v>
      </c>
      <c r="AH8424" s="2" t="str">
        <f ca="1"/>
        <v>OK</v>
      </c>
    </row>
    <row r="8425" spans="2:34" x14ac:dyDescent="0.2">
      <c r="B8425" s="2">
        <f ca="1"/>
        <v>0.98086802091672198</v>
      </c>
      <c r="O8425" s="2">
        <f ca="1"/>
        <v>-2.4638923120412901</v>
      </c>
      <c r="X8425" s="2">
        <f ca="1"/>
        <v>70.178107332006689</v>
      </c>
      <c r="AG8425" s="2">
        <f ca="1"/>
        <v>0.61542822943460962</v>
      </c>
      <c r="AH8425" s="2" t="str">
        <f ca="1"/>
        <v>Bad</v>
      </c>
    </row>
    <row r="8426" spans="2:34" x14ac:dyDescent="0.2">
      <c r="B8426" s="2">
        <f ca="1"/>
        <v>1.4447949926496229E-2</v>
      </c>
      <c r="O8426" s="2">
        <f ca="1"/>
        <v>-0.24218599519348599</v>
      </c>
      <c r="X8426" s="2">
        <f ca="1"/>
        <v>55.425094630424297</v>
      </c>
      <c r="AG8426" s="2">
        <f ca="1"/>
        <v>0.96201981527453095</v>
      </c>
      <c r="AH8426" s="2" t="str">
        <f ca="1"/>
        <v>Bad</v>
      </c>
    </row>
    <row r="8427" spans="2:34" x14ac:dyDescent="0.2">
      <c r="B8427" s="2">
        <f ca="1"/>
        <v>0.29599351859689005</v>
      </c>
      <c r="O8427" s="2">
        <f ca="1"/>
        <v>-0.35280164949656162</v>
      </c>
      <c r="X8427" s="2">
        <f ca="1"/>
        <v>36.440285962740234</v>
      </c>
      <c r="AG8427" s="2">
        <f ca="1"/>
        <v>8.5303011219341807E-2</v>
      </c>
      <c r="AH8427" s="2" t="str">
        <f ca="1"/>
        <v>OK</v>
      </c>
    </row>
    <row r="8428" spans="2:34" x14ac:dyDescent="0.2">
      <c r="B8428" s="2">
        <f ca="1"/>
        <v>0.16699271617123213</v>
      </c>
      <c r="O8428" s="2">
        <f ca="1"/>
        <v>0.25981925587503812</v>
      </c>
      <c r="X8428" s="2">
        <f ca="1"/>
        <v>47.048787793261049</v>
      </c>
      <c r="AG8428" s="2">
        <f ca="1"/>
        <v>0.81899063933763516</v>
      </c>
      <c r="AH8428" s="2" t="str">
        <f ca="1"/>
        <v>Bad</v>
      </c>
    </row>
    <row r="8429" spans="2:34" x14ac:dyDescent="0.2">
      <c r="B8429" s="2">
        <f ca="1"/>
        <v>0.55570853590405389</v>
      </c>
      <c r="O8429" s="2">
        <f ca="1"/>
        <v>-2.1340664372754188</v>
      </c>
      <c r="X8429" s="2">
        <f ca="1"/>
        <v>27.66240932384391</v>
      </c>
      <c r="AG8429" s="2">
        <f ca="1"/>
        <v>0.3956817241008852</v>
      </c>
      <c r="AH8429" s="2" t="str">
        <f ca="1"/>
        <v>OK</v>
      </c>
    </row>
    <row r="8430" spans="2:34" x14ac:dyDescent="0.2">
      <c r="B8430" s="2">
        <f ca="1"/>
        <v>0.71340935725795718</v>
      </c>
      <c r="O8430" s="2">
        <f ca="1"/>
        <v>-0.13270767127920227</v>
      </c>
      <c r="X8430" s="2">
        <f ca="1"/>
        <v>51.409087433947633</v>
      </c>
      <c r="AG8430" s="2">
        <f ca="1"/>
        <v>0.74467279063644787</v>
      </c>
      <c r="AH8430" s="2" t="str">
        <f ca="1"/>
        <v>Bad</v>
      </c>
    </row>
    <row r="8431" spans="2:34" x14ac:dyDescent="0.2">
      <c r="B8431" s="2">
        <f ca="1"/>
        <v>0.62131443678002229</v>
      </c>
      <c r="O8431" s="2">
        <f ca="1"/>
        <v>-1.2849328619826494</v>
      </c>
      <c r="X8431" s="2">
        <f ca="1"/>
        <v>42.399223299894977</v>
      </c>
      <c r="AG8431" s="2">
        <f ca="1"/>
        <v>0.3465998481687449</v>
      </c>
      <c r="AH8431" s="2" t="str">
        <f ca="1"/>
        <v>OK</v>
      </c>
    </row>
    <row r="8432" spans="2:34" x14ac:dyDescent="0.2">
      <c r="B8432" s="2">
        <f ca="1"/>
        <v>0.62367310451224811</v>
      </c>
      <c r="O8432" s="2">
        <f ca="1"/>
        <v>-5.4306887601424401E-2</v>
      </c>
      <c r="X8432" s="2">
        <f ca="1"/>
        <v>48.331711510924208</v>
      </c>
      <c r="AG8432" s="2">
        <f ca="1"/>
        <v>0.62269591145245551</v>
      </c>
      <c r="AH8432" s="2" t="str">
        <f ca="1"/>
        <v>Bad</v>
      </c>
    </row>
    <row r="8433" spans="2:34" x14ac:dyDescent="0.2">
      <c r="B8433" s="2">
        <f ca="1"/>
        <v>0.9206356046426436</v>
      </c>
      <c r="O8433" s="2">
        <f ca="1"/>
        <v>-1.336729038124008</v>
      </c>
      <c r="X8433" s="2">
        <f ca="1"/>
        <v>49.971373638480159</v>
      </c>
      <c r="AG8433" s="2">
        <f ca="1"/>
        <v>0.82102135679742316</v>
      </c>
      <c r="AH8433" s="2" t="str">
        <f ca="1"/>
        <v>Bad</v>
      </c>
    </row>
    <row r="8434" spans="2:34" x14ac:dyDescent="0.2">
      <c r="B8434" s="2">
        <f ca="1"/>
        <v>0.2559280338244152</v>
      </c>
      <c r="O8434" s="2">
        <f ca="1"/>
        <v>2.4853683639491799</v>
      </c>
      <c r="X8434" s="2">
        <f ca="1"/>
        <v>47.41981089348748</v>
      </c>
      <c r="AG8434" s="2">
        <f ca="1"/>
        <v>0.83646323523569555</v>
      </c>
      <c r="AH8434" s="2" t="str">
        <f ca="1"/>
        <v>Bad</v>
      </c>
    </row>
    <row r="8435" spans="2:34" x14ac:dyDescent="0.2">
      <c r="B8435" s="2">
        <f ca="1"/>
        <v>0.5363394931686285</v>
      </c>
      <c r="O8435" s="2">
        <f ca="1"/>
        <v>-0.91192736236936134</v>
      </c>
      <c r="X8435" s="2">
        <f ca="1"/>
        <v>50.219616955825913</v>
      </c>
      <c r="AG8435" s="2">
        <f ca="1"/>
        <v>0.18324861734030895</v>
      </c>
      <c r="AH8435" s="2" t="str">
        <f ca="1"/>
        <v>OK</v>
      </c>
    </row>
    <row r="8436" spans="2:34" x14ac:dyDescent="0.2">
      <c r="B8436" s="2">
        <f ca="1"/>
        <v>0.90880812911716813</v>
      </c>
      <c r="O8436" s="2">
        <f ca="1"/>
        <v>-0.65008705156699731</v>
      </c>
      <c r="X8436" s="2">
        <f ca="1"/>
        <v>46.511158953626932</v>
      </c>
      <c r="AG8436" s="2">
        <f ca="1"/>
        <v>6.8026952182803635E-2</v>
      </c>
      <c r="AH8436" s="2" t="str">
        <f ca="1"/>
        <v>OK</v>
      </c>
    </row>
    <row r="8437" spans="2:34" x14ac:dyDescent="0.2">
      <c r="B8437" s="2">
        <f ca="1"/>
        <v>0.26437141023107591</v>
      </c>
      <c r="O8437" s="2">
        <f ca="1"/>
        <v>-0.16231110394284959</v>
      </c>
      <c r="X8437" s="2">
        <f ca="1"/>
        <v>60.238588404883714</v>
      </c>
      <c r="AG8437" s="2">
        <f ca="1"/>
        <v>0.79731674469460034</v>
      </c>
      <c r="AH8437" s="2" t="str">
        <f ca="1"/>
        <v>Bad</v>
      </c>
    </row>
    <row r="8438" spans="2:34" x14ac:dyDescent="0.2">
      <c r="B8438" s="2">
        <f ca="1"/>
        <v>0.65663115125621929</v>
      </c>
      <c r="O8438" s="2">
        <f ca="1"/>
        <v>1.5121446376358738</v>
      </c>
      <c r="X8438" s="2">
        <f ca="1"/>
        <v>37.752632203816958</v>
      </c>
      <c r="AG8438" s="2">
        <f ca="1"/>
        <v>0.61461288363007194</v>
      </c>
      <c r="AH8438" s="2" t="str">
        <f ca="1"/>
        <v>Bad</v>
      </c>
    </row>
    <row r="8439" spans="2:34" x14ac:dyDescent="0.2">
      <c r="B8439" s="2">
        <f ca="1"/>
        <v>0.69272766285958043</v>
      </c>
      <c r="O8439" s="2">
        <f ca="1"/>
        <v>0.14066332509577117</v>
      </c>
      <c r="X8439" s="2">
        <f ca="1"/>
        <v>76.536852414526379</v>
      </c>
      <c r="AG8439" s="2">
        <f ca="1"/>
        <v>0.33048287125682019</v>
      </c>
      <c r="AH8439" s="2" t="str">
        <f ca="1"/>
        <v>OK</v>
      </c>
    </row>
    <row r="8440" spans="2:34" x14ac:dyDescent="0.2">
      <c r="B8440" s="2">
        <f ca="1"/>
        <v>7.6909436008284704E-2</v>
      </c>
      <c r="O8440" s="2">
        <f ca="1"/>
        <v>-1.6547207219550468</v>
      </c>
      <c r="X8440" s="2">
        <f ca="1"/>
        <v>78.424463408660969</v>
      </c>
      <c r="AG8440" s="2">
        <f ca="1"/>
        <v>0.8426528854733204</v>
      </c>
      <c r="AH8440" s="2" t="str">
        <f ca="1"/>
        <v>Bad</v>
      </c>
    </row>
    <row r="8441" spans="2:34" x14ac:dyDescent="0.2">
      <c r="B8441" s="2">
        <f ca="1"/>
        <v>0.48891534829959116</v>
      </c>
      <c r="O8441" s="2">
        <f ca="1"/>
        <v>1.4551244175171796</v>
      </c>
      <c r="X8441" s="2">
        <f ca="1"/>
        <v>49.542258026981614</v>
      </c>
      <c r="AG8441" s="2">
        <f ca="1"/>
        <v>0.15752422402009292</v>
      </c>
      <c r="AH8441" s="2" t="str">
        <f ca="1"/>
        <v>OK</v>
      </c>
    </row>
    <row r="8442" spans="2:34" x14ac:dyDescent="0.2">
      <c r="B8442" s="2">
        <f ca="1"/>
        <v>0.70017470895209644</v>
      </c>
      <c r="O8442" s="2">
        <f ca="1"/>
        <v>0.70258440943243305</v>
      </c>
      <c r="X8442" s="2">
        <f ca="1"/>
        <v>38.63677627826096</v>
      </c>
      <c r="AG8442" s="2">
        <f ca="1"/>
        <v>0.8552914884047822</v>
      </c>
      <c r="AH8442" s="2" t="str">
        <f ca="1"/>
        <v>Bad</v>
      </c>
    </row>
    <row r="8443" spans="2:34" x14ac:dyDescent="0.2">
      <c r="B8443" s="2">
        <f ca="1"/>
        <v>0.63323541825082397</v>
      </c>
      <c r="O8443" s="2">
        <f ca="1"/>
        <v>-0.14707114104268909</v>
      </c>
      <c r="X8443" s="2">
        <f ca="1"/>
        <v>72.769957039607874</v>
      </c>
      <c r="AG8443" s="2">
        <f ca="1"/>
        <v>0.92721707198057102</v>
      </c>
      <c r="AH8443" s="2" t="str">
        <f ca="1"/>
        <v>Bad</v>
      </c>
    </row>
    <row r="8444" spans="2:34" x14ac:dyDescent="0.2">
      <c r="B8444" s="2">
        <f ca="1"/>
        <v>0.74664524105231767</v>
      </c>
      <c r="O8444" s="2">
        <f ca="1"/>
        <v>1.49740775206135</v>
      </c>
      <c r="X8444" s="2">
        <f ca="1"/>
        <v>51.400896168587202</v>
      </c>
      <c r="AG8444" s="2">
        <f ca="1"/>
        <v>0.69550599260302226</v>
      </c>
      <c r="AH8444" s="2" t="str">
        <f ca="1"/>
        <v>Bad</v>
      </c>
    </row>
    <row r="8445" spans="2:34" x14ac:dyDescent="0.2">
      <c r="B8445" s="2">
        <f ca="1"/>
        <v>3.383461284465894E-2</v>
      </c>
      <c r="O8445" s="2">
        <f ca="1"/>
        <v>1.9213328599122317</v>
      </c>
      <c r="X8445" s="2">
        <f ca="1"/>
        <v>68.286747336539747</v>
      </c>
      <c r="AG8445" s="2">
        <f ca="1"/>
        <v>0.82799736528075174</v>
      </c>
      <c r="AH8445" s="2" t="str">
        <f ca="1"/>
        <v>Bad</v>
      </c>
    </row>
    <row r="8446" spans="2:34" x14ac:dyDescent="0.2">
      <c r="B8446" s="2">
        <f ca="1"/>
        <v>0.97894151365572157</v>
      </c>
      <c r="O8446" s="2">
        <f ca="1"/>
        <v>-0.78346205174717953</v>
      </c>
      <c r="X8446" s="2">
        <f ca="1"/>
        <v>40.346250220651001</v>
      </c>
      <c r="AG8446" s="2">
        <f ca="1"/>
        <v>0.55752889231481939</v>
      </c>
      <c r="AH8446" s="2" t="str">
        <f ca="1"/>
        <v>Bad</v>
      </c>
    </row>
    <row r="8447" spans="2:34" x14ac:dyDescent="0.2">
      <c r="B8447" s="2">
        <f ca="1"/>
        <v>0.40621636192292909</v>
      </c>
      <c r="O8447" s="2">
        <f ca="1"/>
        <v>-0.72630523920658085</v>
      </c>
      <c r="X8447" s="2">
        <f ca="1"/>
        <v>78.495199488810584</v>
      </c>
      <c r="AG8447" s="2">
        <f ca="1"/>
        <v>4.3660185768463755E-2</v>
      </c>
      <c r="AH8447" s="2" t="str">
        <f ca="1"/>
        <v>Good</v>
      </c>
    </row>
    <row r="8448" spans="2:34" x14ac:dyDescent="0.2">
      <c r="B8448" s="2">
        <f ca="1"/>
        <v>0.47176299476483474</v>
      </c>
      <c r="O8448" s="2">
        <f ca="1"/>
        <v>1.6941792668199098</v>
      </c>
      <c r="X8448" s="2">
        <f ca="1"/>
        <v>45.028303438901034</v>
      </c>
      <c r="AG8448" s="2">
        <f ca="1"/>
        <v>0.44770700129938845</v>
      </c>
      <c r="AH8448" s="2" t="str">
        <f ca="1"/>
        <v>Bad</v>
      </c>
    </row>
    <row r="8449" spans="2:34" x14ac:dyDescent="0.2">
      <c r="B8449" s="2">
        <f ca="1"/>
        <v>0.54762286233907576</v>
      </c>
      <c r="O8449" s="2">
        <f ca="1"/>
        <v>-0.67610649178797677</v>
      </c>
      <c r="X8449" s="2">
        <f ca="1"/>
        <v>88.983566166794787</v>
      </c>
      <c r="AG8449" s="2">
        <f ca="1"/>
        <v>0.73846599390499157</v>
      </c>
      <c r="AH8449" s="2" t="str">
        <f ca="1"/>
        <v>Bad</v>
      </c>
    </row>
    <row r="8450" spans="2:34" x14ac:dyDescent="0.2">
      <c r="B8450" s="2">
        <f ca="1"/>
        <v>0.40328321019950608</v>
      </c>
      <c r="O8450" s="2">
        <f ca="1"/>
        <v>-0.68215810068255855</v>
      </c>
      <c r="X8450" s="2">
        <f ca="1"/>
        <v>36.371997251064066</v>
      </c>
      <c r="AG8450" s="2">
        <f ca="1"/>
        <v>0.73746937245980604</v>
      </c>
      <c r="AH8450" s="2" t="str">
        <f ca="1"/>
        <v>Bad</v>
      </c>
    </row>
    <row r="8451" spans="2:34" x14ac:dyDescent="0.2">
      <c r="B8451" s="2">
        <f ca="1"/>
        <v>0.2941826382767303</v>
      </c>
      <c r="O8451" s="2">
        <f ca="1"/>
        <v>-2.9684902634703931E-2</v>
      </c>
      <c r="X8451" s="2">
        <f ca="1"/>
        <v>54.385231417986198</v>
      </c>
      <c r="AG8451" s="2">
        <f ca="1"/>
        <v>0.41882056074292229</v>
      </c>
      <c r="AH8451" s="2" t="str">
        <f ca="1"/>
        <v>Bad</v>
      </c>
    </row>
    <row r="8452" spans="2:34" x14ac:dyDescent="0.2">
      <c r="B8452" s="2">
        <f ca="1"/>
        <v>0.19109095353427619</v>
      </c>
      <c r="O8452" s="2">
        <f ca="1"/>
        <v>-0.84684220614852301</v>
      </c>
      <c r="X8452" s="2">
        <f ca="1"/>
        <v>38.166442839220494</v>
      </c>
      <c r="AG8452" s="2">
        <f ca="1"/>
        <v>0.20259157488501844</v>
      </c>
      <c r="AH8452" s="2" t="str">
        <f ca="1"/>
        <v>OK</v>
      </c>
    </row>
    <row r="8453" spans="2:34" x14ac:dyDescent="0.2">
      <c r="B8453" s="2">
        <f ca="1"/>
        <v>0.45626249776517458</v>
      </c>
      <c r="O8453" s="2">
        <f ca="1"/>
        <v>-0.67347024792357313</v>
      </c>
      <c r="X8453" s="2">
        <f ca="1"/>
        <v>38.445637928854936</v>
      </c>
      <c r="AG8453" s="2">
        <f ca="1"/>
        <v>0.27258898942894105</v>
      </c>
      <c r="AH8453" s="2" t="str">
        <f ca="1"/>
        <v>OK</v>
      </c>
    </row>
    <row r="8454" spans="2:34" x14ac:dyDescent="0.2">
      <c r="B8454" s="2">
        <f ca="1"/>
        <v>0.69886068444024674</v>
      </c>
      <c r="O8454" s="2">
        <f ca="1"/>
        <v>-0.98532274261152952</v>
      </c>
      <c r="X8454" s="2">
        <f ca="1"/>
        <v>25.094439256425439</v>
      </c>
      <c r="AG8454" s="2">
        <f ca="1"/>
        <v>0.91333258887575175</v>
      </c>
      <c r="AH8454" s="2" t="str">
        <f ca="1"/>
        <v>Bad</v>
      </c>
    </row>
    <row r="8455" spans="2:34" x14ac:dyDescent="0.2">
      <c r="B8455" s="2">
        <f ca="1"/>
        <v>0.71093731337922073</v>
      </c>
      <c r="O8455" s="2">
        <f ca="1"/>
        <v>-2.1358315452156296</v>
      </c>
      <c r="X8455" s="2">
        <f ca="1"/>
        <v>40.983711343289542</v>
      </c>
      <c r="AG8455" s="2">
        <f ca="1"/>
        <v>0.5920041299155121</v>
      </c>
      <c r="AH8455" s="2" t="str">
        <f ca="1"/>
        <v>Bad</v>
      </c>
    </row>
    <row r="8456" spans="2:34" x14ac:dyDescent="0.2">
      <c r="B8456" s="2">
        <f ca="1"/>
        <v>0.65702493936777562</v>
      </c>
      <c r="O8456" s="2">
        <f ca="1"/>
        <v>-0.36229173370912032</v>
      </c>
      <c r="X8456" s="2">
        <f ca="1"/>
        <v>45.834808485528669</v>
      </c>
      <c r="AG8456" s="2">
        <f ca="1"/>
        <v>0.36107044136920896</v>
      </c>
      <c r="AH8456" s="2" t="str">
        <f ca="1"/>
        <v>OK</v>
      </c>
    </row>
    <row r="8457" spans="2:34" x14ac:dyDescent="0.2">
      <c r="B8457" s="2">
        <f ca="1"/>
        <v>0.23271527778554746</v>
      </c>
      <c r="O8457" s="2">
        <f ca="1"/>
        <v>-0.94687308971098838</v>
      </c>
      <c r="X8457" s="2">
        <f ca="1"/>
        <v>66.902493931446173</v>
      </c>
      <c r="AG8457" s="2">
        <f ca="1"/>
        <v>0.9554682813886386</v>
      </c>
      <c r="AH8457" s="2" t="str">
        <f ca="1"/>
        <v>Bad</v>
      </c>
    </row>
    <row r="8458" spans="2:34" x14ac:dyDescent="0.2">
      <c r="B8458" s="2">
        <f ca="1"/>
        <v>6.9536471854700244E-2</v>
      </c>
      <c r="O8458" s="2">
        <f ca="1"/>
        <v>0.47320790755535991</v>
      </c>
      <c r="X8458" s="2">
        <f ca="1"/>
        <v>57.153867635737903</v>
      </c>
      <c r="AG8458" s="2">
        <f ca="1"/>
        <v>7.9926206691412816E-2</v>
      </c>
      <c r="AH8458" s="2" t="str">
        <f ca="1"/>
        <v>OK</v>
      </c>
    </row>
    <row r="8459" spans="2:34" x14ac:dyDescent="0.2">
      <c r="B8459" s="2">
        <f ca="1"/>
        <v>0.34112529091818677</v>
      </c>
      <c r="O8459" s="2">
        <f ca="1"/>
        <v>-0.37000092974661564</v>
      </c>
      <c r="X8459" s="2">
        <f ca="1"/>
        <v>39.477236167793997</v>
      </c>
      <c r="AG8459" s="2">
        <f ca="1"/>
        <v>0.48366334170496383</v>
      </c>
      <c r="AH8459" s="2" t="str">
        <f ca="1"/>
        <v>Bad</v>
      </c>
    </row>
    <row r="8460" spans="2:34" x14ac:dyDescent="0.2">
      <c r="B8460" s="2">
        <f ca="1"/>
        <v>1.1423031317282506E-2</v>
      </c>
      <c r="O8460" s="2">
        <f ca="1"/>
        <v>0.46931684468603635</v>
      </c>
      <c r="X8460" s="2">
        <f ca="1"/>
        <v>63.857595440241077</v>
      </c>
      <c r="AG8460" s="2">
        <f ca="1"/>
        <v>0.99196285367585668</v>
      </c>
      <c r="AH8460" s="2" t="str">
        <f ca="1"/>
        <v>Bad</v>
      </c>
    </row>
    <row r="8461" spans="2:34" x14ac:dyDescent="0.2">
      <c r="B8461" s="2">
        <f ca="1"/>
        <v>0.51299663655755268</v>
      </c>
      <c r="O8461" s="2">
        <f ca="1"/>
        <v>0.19224427810420355</v>
      </c>
      <c r="X8461" s="2">
        <f ca="1"/>
        <v>43.108246113743988</v>
      </c>
      <c r="AG8461" s="2">
        <f ca="1"/>
        <v>4.0824929001580967E-2</v>
      </c>
      <c r="AH8461" s="2" t="str">
        <f ca="1"/>
        <v>Good</v>
      </c>
    </row>
    <row r="8462" spans="2:34" x14ac:dyDescent="0.2">
      <c r="B8462" s="2">
        <f ca="1"/>
        <v>0.69325770938784492</v>
      </c>
      <c r="O8462" s="2">
        <f ca="1"/>
        <v>-1.2044187168267508</v>
      </c>
      <c r="X8462" s="2">
        <f ca="1"/>
        <v>46.733370858565863</v>
      </c>
      <c r="AG8462" s="2">
        <f ca="1"/>
        <v>0.73653076656321947</v>
      </c>
      <c r="AH8462" s="2" t="str">
        <f ca="1"/>
        <v>Bad</v>
      </c>
    </row>
    <row r="8463" spans="2:34" x14ac:dyDescent="0.2">
      <c r="B8463" s="2">
        <f ca="1"/>
        <v>0.60897003290909257</v>
      </c>
      <c r="O8463" s="2">
        <f ca="1"/>
        <v>-1.5356497480009821</v>
      </c>
      <c r="X8463" s="2">
        <f ca="1"/>
        <v>54.269928863078817</v>
      </c>
      <c r="AG8463" s="2">
        <f ca="1"/>
        <v>0.13711758243344851</v>
      </c>
      <c r="AH8463" s="2" t="str">
        <f ca="1"/>
        <v>OK</v>
      </c>
    </row>
    <row r="8464" spans="2:34" x14ac:dyDescent="0.2">
      <c r="B8464" s="2">
        <f ca="1"/>
        <v>9.267935271681349E-3</v>
      </c>
      <c r="O8464" s="2">
        <f ca="1"/>
        <v>0.80474812129240803</v>
      </c>
      <c r="X8464" s="2">
        <f ca="1"/>
        <v>30.931982820134838</v>
      </c>
      <c r="AG8464" s="2">
        <f ca="1"/>
        <v>0.37277436718883661</v>
      </c>
      <c r="AH8464" s="2" t="str">
        <f ca="1"/>
        <v>OK</v>
      </c>
    </row>
    <row r="8465" spans="2:34" x14ac:dyDescent="0.2">
      <c r="B8465" s="2">
        <f ca="1"/>
        <v>0.73548075436416083</v>
      </c>
      <c r="O8465" s="2">
        <f ca="1"/>
        <v>0.53123728636609691</v>
      </c>
      <c r="X8465" s="2">
        <f ca="1"/>
        <v>42.403189106220367</v>
      </c>
      <c r="AG8465" s="2">
        <f ca="1"/>
        <v>3.7997908653051748E-2</v>
      </c>
      <c r="AH8465" s="2" t="str">
        <f ca="1"/>
        <v>Good</v>
      </c>
    </row>
    <row r="8466" spans="2:34" x14ac:dyDescent="0.2">
      <c r="B8466" s="2">
        <f ca="1"/>
        <v>0.74878022294382673</v>
      </c>
      <c r="O8466" s="2">
        <f ca="1"/>
        <v>-1.5466083961656163</v>
      </c>
      <c r="X8466" s="2">
        <f ca="1"/>
        <v>40.84019808830449</v>
      </c>
      <c r="AG8466" s="2">
        <f ca="1"/>
        <v>0.27282350527088295</v>
      </c>
      <c r="AH8466" s="2" t="str">
        <f ca="1"/>
        <v>OK</v>
      </c>
    </row>
    <row r="8467" spans="2:34" x14ac:dyDescent="0.2">
      <c r="B8467" s="2">
        <f ca="1"/>
        <v>3.0031745486031935E-2</v>
      </c>
      <c r="O8467" s="2">
        <f ca="1"/>
        <v>0.14084026158734642</v>
      </c>
      <c r="X8467" s="2">
        <f ca="1"/>
        <v>53.041064748284931</v>
      </c>
      <c r="AG8467" s="2">
        <f ca="1"/>
        <v>0.7467856981728187</v>
      </c>
      <c r="AH8467" s="2" t="str">
        <f ca="1"/>
        <v>Bad</v>
      </c>
    </row>
    <row r="8468" spans="2:34" x14ac:dyDescent="0.2">
      <c r="B8468" s="2">
        <f ca="1"/>
        <v>2.3608573999624793E-2</v>
      </c>
      <c r="O8468" s="2">
        <f ca="1"/>
        <v>8.1010172482959206E-2</v>
      </c>
      <c r="X8468" s="2">
        <f ca="1"/>
        <v>76.464040067288096</v>
      </c>
      <c r="AG8468" s="2">
        <f ca="1"/>
        <v>0.65649990314843154</v>
      </c>
      <c r="AH8468" s="2" t="str">
        <f ca="1"/>
        <v>Bad</v>
      </c>
    </row>
    <row r="8469" spans="2:34" x14ac:dyDescent="0.2">
      <c r="B8469" s="2">
        <f ca="1"/>
        <v>0.35392070998450453</v>
      </c>
      <c r="O8469" s="2">
        <f ca="1"/>
        <v>0.62094480828222598</v>
      </c>
      <c r="X8469" s="2">
        <f ca="1"/>
        <v>34.40418577960299</v>
      </c>
      <c r="AG8469" s="2">
        <f ca="1"/>
        <v>0.67202182786386655</v>
      </c>
      <c r="AH8469" s="2" t="str">
        <f ca="1"/>
        <v>Bad</v>
      </c>
    </row>
    <row r="8470" spans="2:34" x14ac:dyDescent="0.2">
      <c r="B8470" s="2">
        <f ca="1"/>
        <v>0.48311799018289081</v>
      </c>
      <c r="O8470" s="2">
        <f ca="1"/>
        <v>0.77406645931284612</v>
      </c>
      <c r="X8470" s="2">
        <f ca="1"/>
        <v>28.449257254656906</v>
      </c>
      <c r="AG8470" s="2">
        <f ca="1"/>
        <v>0.36259175667980381</v>
      </c>
      <c r="AH8470" s="2" t="str">
        <f ca="1"/>
        <v>OK</v>
      </c>
    </row>
    <row r="8471" spans="2:34" x14ac:dyDescent="0.2">
      <c r="B8471" s="2">
        <f ca="1"/>
        <v>0.44128682766949789</v>
      </c>
      <c r="O8471" s="2">
        <f ca="1"/>
        <v>0.5932058872446524</v>
      </c>
      <c r="X8471" s="2">
        <f ca="1"/>
        <v>51.250328983355978</v>
      </c>
      <c r="AG8471" s="2">
        <f ca="1"/>
        <v>0.20756706280269244</v>
      </c>
      <c r="AH8471" s="2" t="str">
        <f ca="1"/>
        <v>OK</v>
      </c>
    </row>
    <row r="8472" spans="2:34" x14ac:dyDescent="0.2">
      <c r="B8472" s="2">
        <f ca="1"/>
        <v>0.93838991408972938</v>
      </c>
      <c r="O8472" s="2">
        <f ca="1"/>
        <v>-1.2444019277530878</v>
      </c>
      <c r="X8472" s="2">
        <f ca="1"/>
        <v>38.653105458888518</v>
      </c>
      <c r="AG8472" s="2">
        <f ca="1"/>
        <v>0.33014218599896816</v>
      </c>
      <c r="AH8472" s="2" t="str">
        <f ca="1"/>
        <v>OK</v>
      </c>
    </row>
    <row r="8473" spans="2:34" x14ac:dyDescent="0.2">
      <c r="B8473" s="2">
        <f ca="1"/>
        <v>0.19095929791695987</v>
      </c>
      <c r="O8473" s="2">
        <f ca="1"/>
        <v>-0.48218092482359298</v>
      </c>
      <c r="X8473" s="2">
        <f ca="1"/>
        <v>73.713140681437466</v>
      </c>
      <c r="AG8473" s="2">
        <f ca="1"/>
        <v>0.91095904009734663</v>
      </c>
      <c r="AH8473" s="2" t="str">
        <f ca="1"/>
        <v>Bad</v>
      </c>
    </row>
    <row r="8474" spans="2:34" x14ac:dyDescent="0.2">
      <c r="B8474" s="2">
        <f ca="1"/>
        <v>0.17539660691309833</v>
      </c>
      <c r="O8474" s="2">
        <f ca="1"/>
        <v>0.71678271947901862</v>
      </c>
      <c r="X8474" s="2">
        <f ca="1"/>
        <v>42.24423903598057</v>
      </c>
      <c r="AG8474" s="2">
        <f ca="1"/>
        <v>0.80917494631198084</v>
      </c>
      <c r="AH8474" s="2" t="str">
        <f ca="1"/>
        <v>Bad</v>
      </c>
    </row>
    <row r="8475" spans="2:34" x14ac:dyDescent="0.2">
      <c r="B8475" s="2">
        <f ca="1"/>
        <v>0.11673533158424521</v>
      </c>
      <c r="O8475" s="2">
        <f ca="1"/>
        <v>0.91005515041082796</v>
      </c>
      <c r="X8475" s="2">
        <f ca="1"/>
        <v>131.21166795431822</v>
      </c>
      <c r="AG8475" s="2">
        <f ca="1"/>
        <v>0.26510378865882123</v>
      </c>
      <c r="AH8475" s="2" t="str">
        <f ca="1"/>
        <v>OK</v>
      </c>
    </row>
    <row r="8476" spans="2:34" x14ac:dyDescent="0.2">
      <c r="B8476" s="2">
        <f ca="1"/>
        <v>0.70602453190970915</v>
      </c>
      <c r="O8476" s="2">
        <f ca="1"/>
        <v>1.7559808894474529</v>
      </c>
      <c r="X8476" s="2">
        <f ca="1"/>
        <v>46.407672741560177</v>
      </c>
      <c r="AG8476" s="2">
        <f ca="1"/>
        <v>0.53138404307147691</v>
      </c>
      <c r="AH8476" s="2" t="str">
        <f ca="1"/>
        <v>Bad</v>
      </c>
    </row>
    <row r="8477" spans="2:34" x14ac:dyDescent="0.2">
      <c r="B8477" s="2">
        <f ca="1"/>
        <v>0.25581138495401845</v>
      </c>
      <c r="O8477" s="2">
        <f ca="1"/>
        <v>-2.0272916469479854</v>
      </c>
      <c r="X8477" s="2">
        <f ca="1"/>
        <v>62.612383474017619</v>
      </c>
      <c r="AG8477" s="2">
        <f ca="1"/>
        <v>0.25437844274110755</v>
      </c>
      <c r="AH8477" s="2" t="str">
        <f ca="1"/>
        <v>OK</v>
      </c>
    </row>
    <row r="8478" spans="2:34" x14ac:dyDescent="0.2">
      <c r="B8478" s="2">
        <f ca="1"/>
        <v>0.75773172748898077</v>
      </c>
      <c r="O8478" s="2">
        <f ca="1"/>
        <v>-0.60431517776443455</v>
      </c>
      <c r="X8478" s="2">
        <f ca="1"/>
        <v>42.616098511378368</v>
      </c>
      <c r="AG8478" s="2">
        <f ca="1"/>
        <v>0.23791010314424699</v>
      </c>
      <c r="AH8478" s="2" t="str">
        <f ca="1"/>
        <v>OK</v>
      </c>
    </row>
    <row r="8479" spans="2:34" x14ac:dyDescent="0.2">
      <c r="B8479" s="2">
        <f ca="1"/>
        <v>0.22304610359873145</v>
      </c>
      <c r="O8479" s="2">
        <f ca="1"/>
        <v>-0.53861654805062231</v>
      </c>
      <c r="X8479" s="2">
        <f ca="1"/>
        <v>39.807282867704657</v>
      </c>
      <c r="AG8479" s="2">
        <f ca="1"/>
        <v>0.22496749664610682</v>
      </c>
      <c r="AH8479" s="2" t="str">
        <f ca="1"/>
        <v>OK</v>
      </c>
    </row>
    <row r="8480" spans="2:34" x14ac:dyDescent="0.2">
      <c r="B8480" s="2">
        <f ca="1"/>
        <v>0.20658314668507849</v>
      </c>
      <c r="O8480" s="2">
        <f ca="1"/>
        <v>1.1805262012080524</v>
      </c>
      <c r="X8480" s="2">
        <f ca="1"/>
        <v>41.475672628742501</v>
      </c>
      <c r="AG8480" s="2">
        <f ca="1"/>
        <v>0.51288325871456975</v>
      </c>
      <c r="AH8480" s="2" t="str">
        <f ca="1"/>
        <v>Bad</v>
      </c>
    </row>
    <row r="8481" spans="2:34" x14ac:dyDescent="0.2">
      <c r="B8481" s="2">
        <f ca="1"/>
        <v>0.48618258252484159</v>
      </c>
      <c r="O8481" s="2">
        <f ca="1"/>
        <v>1.4877025728670763</v>
      </c>
      <c r="X8481" s="2">
        <f ca="1"/>
        <v>32.950001373269579</v>
      </c>
      <c r="AG8481" s="2">
        <f ca="1"/>
        <v>0.49484577879659919</v>
      </c>
      <c r="AH8481" s="2" t="str">
        <f ca="1"/>
        <v>Bad</v>
      </c>
    </row>
    <row r="8482" spans="2:34" x14ac:dyDescent="0.2">
      <c r="B8482" s="2">
        <f ca="1"/>
        <v>0.24000427036421335</v>
      </c>
      <c r="O8482" s="2">
        <f ca="1"/>
        <v>0.19603944370134482</v>
      </c>
      <c r="X8482" s="2">
        <f ca="1"/>
        <v>58.416648287066806</v>
      </c>
      <c r="AG8482" s="2">
        <f ca="1"/>
        <v>0.23507760554140567</v>
      </c>
      <c r="AH8482" s="2" t="str">
        <f ca="1"/>
        <v>OK</v>
      </c>
    </row>
    <row r="8483" spans="2:34" x14ac:dyDescent="0.2">
      <c r="B8483" s="2">
        <f ca="1"/>
        <v>0.2418411990164786</v>
      </c>
      <c r="O8483" s="2">
        <f ca="1"/>
        <v>-0.12211177324276926</v>
      </c>
      <c r="X8483" s="2">
        <f ca="1"/>
        <v>52.629448562716576</v>
      </c>
      <c r="AG8483" s="2">
        <f ca="1"/>
        <v>0.29711721266413149</v>
      </c>
      <c r="AH8483" s="2" t="str">
        <f ca="1"/>
        <v>OK</v>
      </c>
    </row>
    <row r="8484" spans="2:34" x14ac:dyDescent="0.2">
      <c r="B8484" s="2">
        <f ca="1"/>
        <v>0.30050867995387476</v>
      </c>
      <c r="O8484" s="2">
        <f ca="1"/>
        <v>-0.76122262988393896</v>
      </c>
      <c r="X8484" s="2">
        <f ca="1"/>
        <v>57.966398332187339</v>
      </c>
      <c r="AG8484" s="2">
        <f ca="1"/>
        <v>0.68467469537143155</v>
      </c>
      <c r="AH8484" s="2" t="str">
        <f ca="1"/>
        <v>Bad</v>
      </c>
    </row>
    <row r="8485" spans="2:34" x14ac:dyDescent="0.2">
      <c r="B8485" s="2">
        <f ca="1"/>
        <v>0.63597210695071293</v>
      </c>
      <c r="O8485" s="2">
        <f ca="1"/>
        <v>-0.46970359826811364</v>
      </c>
      <c r="X8485" s="2">
        <f ca="1"/>
        <v>47.444275240605492</v>
      </c>
      <c r="AG8485" s="2">
        <f ca="1"/>
        <v>0.47761914786464899</v>
      </c>
      <c r="AH8485" s="2" t="str">
        <f ca="1"/>
        <v>Bad</v>
      </c>
    </row>
    <row r="8486" spans="2:34" x14ac:dyDescent="0.2">
      <c r="B8486" s="2">
        <f ca="1"/>
        <v>7.3562713449512263E-2</v>
      </c>
      <c r="O8486" s="2">
        <f ca="1"/>
        <v>3.8012993527335981E-3</v>
      </c>
      <c r="X8486" s="2">
        <f ca="1"/>
        <v>37.78347750187519</v>
      </c>
      <c r="AG8486" s="2">
        <f ca="1"/>
        <v>0.42242319429446917</v>
      </c>
      <c r="AH8486" s="2" t="str">
        <f ca="1"/>
        <v>Bad</v>
      </c>
    </row>
    <row r="8487" spans="2:34" x14ac:dyDescent="0.2">
      <c r="B8487" s="2">
        <f ca="1"/>
        <v>0.81508725684695249</v>
      </c>
      <c r="O8487" s="2">
        <f ca="1"/>
        <v>-0.82541971482774235</v>
      </c>
      <c r="X8487" s="2">
        <f ca="1"/>
        <v>50.419246394477298</v>
      </c>
      <c r="AG8487" s="2">
        <f ca="1"/>
        <v>0.46672644116591666</v>
      </c>
      <c r="AH8487" s="2" t="str">
        <f ca="1"/>
        <v>Bad</v>
      </c>
    </row>
    <row r="8488" spans="2:34" x14ac:dyDescent="0.2">
      <c r="B8488" s="2">
        <f ca="1"/>
        <v>0.77866798814870841</v>
      </c>
      <c r="O8488" s="2">
        <f ca="1"/>
        <v>1.3570042229572434</v>
      </c>
      <c r="X8488" s="2">
        <f ca="1"/>
        <v>66.592596699070484</v>
      </c>
      <c r="AG8488" s="2">
        <f ca="1"/>
        <v>0.38129134126975273</v>
      </c>
      <c r="AH8488" s="2" t="str">
        <f ca="1"/>
        <v>OK</v>
      </c>
    </row>
    <row r="8489" spans="2:34" x14ac:dyDescent="0.2">
      <c r="B8489" s="2">
        <f ca="1"/>
        <v>2.407986668037343E-2</v>
      </c>
      <c r="O8489" s="2">
        <f ca="1"/>
        <v>1.475080515041988E-2</v>
      </c>
      <c r="X8489" s="2">
        <f ca="1"/>
        <v>46.960161035919427</v>
      </c>
      <c r="AG8489" s="2">
        <f ca="1"/>
        <v>0.53540625687769761</v>
      </c>
      <c r="AH8489" s="2" t="str">
        <f ca="1"/>
        <v>Bad</v>
      </c>
    </row>
    <row r="8490" spans="2:34" x14ac:dyDescent="0.2">
      <c r="B8490" s="2">
        <f ca="1"/>
        <v>0.87668775679591548</v>
      </c>
      <c r="O8490" s="2">
        <f ca="1"/>
        <v>0.66114645926919513</v>
      </c>
      <c r="X8490" s="2">
        <f ca="1"/>
        <v>64.389811257563821</v>
      </c>
      <c r="AG8490" s="2">
        <f ca="1"/>
        <v>0.49473146406015878</v>
      </c>
      <c r="AH8490" s="2" t="str">
        <f ca="1"/>
        <v>Bad</v>
      </c>
    </row>
    <row r="8491" spans="2:34" x14ac:dyDescent="0.2">
      <c r="B8491" s="2">
        <f ca="1"/>
        <v>0.98810998380051318</v>
      </c>
      <c r="O8491" s="2">
        <f ca="1"/>
        <v>1.2782527801681691</v>
      </c>
      <c r="X8491" s="2">
        <f ca="1"/>
        <v>21.898801154727629</v>
      </c>
      <c r="AG8491" s="2">
        <f ca="1"/>
        <v>0.52917105769805928</v>
      </c>
      <c r="AH8491" s="2" t="str">
        <f ca="1"/>
        <v>Bad</v>
      </c>
    </row>
    <row r="8492" spans="2:34" x14ac:dyDescent="0.2">
      <c r="B8492" s="2">
        <f ca="1"/>
        <v>0.48571021334816433</v>
      </c>
      <c r="O8492" s="2">
        <f ca="1"/>
        <v>-3.0487212102194725E-2</v>
      </c>
      <c r="X8492" s="2">
        <f ca="1"/>
        <v>45.244173248247883</v>
      </c>
      <c r="AG8492" s="2">
        <f ca="1"/>
        <v>9.5612858093119257E-3</v>
      </c>
      <c r="AH8492" s="2" t="str">
        <f ca="1"/>
        <v>Good</v>
      </c>
    </row>
    <row r="8493" spans="2:34" x14ac:dyDescent="0.2">
      <c r="B8493" s="2">
        <f ca="1"/>
        <v>0.62328465291126833</v>
      </c>
      <c r="O8493" s="2">
        <f ca="1"/>
        <v>-1.1586773417635094</v>
      </c>
      <c r="X8493" s="2">
        <f ca="1"/>
        <v>68.421719908024585</v>
      </c>
      <c r="AG8493" s="2">
        <f ca="1"/>
        <v>0.3424753013811177</v>
      </c>
      <c r="AH8493" s="2" t="str">
        <f ca="1"/>
        <v>OK</v>
      </c>
    </row>
    <row r="8494" spans="2:34" x14ac:dyDescent="0.2">
      <c r="B8494" s="2">
        <f ca="1"/>
        <v>0.39820392823663564</v>
      </c>
      <c r="O8494" s="2">
        <f ca="1"/>
        <v>0.13604711790070453</v>
      </c>
      <c r="X8494" s="2">
        <f ca="1"/>
        <v>55.102309400537628</v>
      </c>
      <c r="AG8494" s="2">
        <f ca="1"/>
        <v>5.9309794677791183E-2</v>
      </c>
      <c r="AH8494" s="2" t="str">
        <f ca="1"/>
        <v>OK</v>
      </c>
    </row>
    <row r="8495" spans="2:34" x14ac:dyDescent="0.2">
      <c r="B8495" s="2">
        <f ca="1"/>
        <v>0.76608315288747919</v>
      </c>
      <c r="O8495" s="2">
        <f ca="1"/>
        <v>-3.2475472931474438E-2</v>
      </c>
      <c r="X8495" s="2">
        <f ca="1"/>
        <v>60.061076703462327</v>
      </c>
      <c r="AG8495" s="2">
        <f ca="1"/>
        <v>0.84428693895606322</v>
      </c>
      <c r="AH8495" s="2" t="str">
        <f ca="1"/>
        <v>Bad</v>
      </c>
    </row>
    <row r="8496" spans="2:34" x14ac:dyDescent="0.2">
      <c r="B8496" s="2">
        <f ca="1"/>
        <v>0.33617526590373181</v>
      </c>
      <c r="O8496" s="2">
        <f ca="1"/>
        <v>-0.1141000340585769</v>
      </c>
      <c r="X8496" s="2">
        <f ca="1"/>
        <v>53.897678537876779</v>
      </c>
      <c r="AG8496" s="2">
        <f ca="1"/>
        <v>0.27923377392842275</v>
      </c>
      <c r="AH8496" s="2" t="str">
        <f ca="1"/>
        <v>OK</v>
      </c>
    </row>
    <row r="8497" spans="2:34" x14ac:dyDescent="0.2">
      <c r="B8497" s="2">
        <f ca="1"/>
        <v>0.96683179452860935</v>
      </c>
      <c r="O8497" s="2">
        <f ca="1"/>
        <v>-1.0905843678378391</v>
      </c>
      <c r="X8497" s="2">
        <f ca="1"/>
        <v>52.594508133817151</v>
      </c>
      <c r="AG8497" s="2">
        <f ca="1"/>
        <v>0.12882612472886268</v>
      </c>
      <c r="AH8497" s="2" t="str">
        <f ca="1"/>
        <v>OK</v>
      </c>
    </row>
    <row r="8498" spans="2:34" x14ac:dyDescent="0.2">
      <c r="B8498" s="2">
        <f ca="1"/>
        <v>0.91533280255477001</v>
      </c>
      <c r="O8498" s="2">
        <f ca="1"/>
        <v>-0.77471179451736216</v>
      </c>
      <c r="X8498" s="2">
        <f ca="1"/>
        <v>78.847855523176605</v>
      </c>
      <c r="AG8498" s="2">
        <f ca="1"/>
        <v>0.26425016010522495</v>
      </c>
      <c r="AH8498" s="2" t="str">
        <f ca="1"/>
        <v>OK</v>
      </c>
    </row>
    <row r="8499" spans="2:34" x14ac:dyDescent="0.2">
      <c r="B8499" s="2">
        <f ca="1"/>
        <v>0.36935390198843443</v>
      </c>
      <c r="O8499" s="2">
        <f ca="1"/>
        <v>2.2227815154120156</v>
      </c>
      <c r="X8499" s="2">
        <f ca="1"/>
        <v>27.542935650771419</v>
      </c>
      <c r="AG8499" s="2">
        <f ca="1"/>
        <v>0.22809659139362437</v>
      </c>
      <c r="AH8499" s="2" t="str">
        <f ca="1"/>
        <v>OK</v>
      </c>
    </row>
    <row r="8500" spans="2:34" x14ac:dyDescent="0.2">
      <c r="B8500" s="2">
        <f ca="1"/>
        <v>0.72753177485666476</v>
      </c>
      <c r="O8500" s="2">
        <f ca="1"/>
        <v>0.11831277594799894</v>
      </c>
      <c r="X8500" s="2">
        <f ca="1"/>
        <v>72.297030307947978</v>
      </c>
      <c r="AG8500" s="2">
        <f ca="1"/>
        <v>0.15208862054205241</v>
      </c>
      <c r="AH8500" s="2" t="str">
        <f ca="1"/>
        <v>OK</v>
      </c>
    </row>
    <row r="8501" spans="2:34" x14ac:dyDescent="0.2">
      <c r="B8501" s="2">
        <f ca="1"/>
        <v>0.90736670780562467</v>
      </c>
      <c r="O8501" s="2">
        <f ca="1"/>
        <v>-0.15663389651329973</v>
      </c>
      <c r="X8501" s="2">
        <f ca="1"/>
        <v>63.816224797551548</v>
      </c>
      <c r="AG8501" s="2">
        <f ca="1"/>
        <v>0.37876861023782027</v>
      </c>
      <c r="AH8501" s="2" t="str">
        <f ca="1"/>
        <v>OK</v>
      </c>
    </row>
    <row r="8502" spans="2:34" x14ac:dyDescent="0.2">
      <c r="B8502" s="2">
        <f ca="1"/>
        <v>0.98706888958046024</v>
      </c>
      <c r="O8502" s="2">
        <f ca="1"/>
        <v>-1.5384481514431607</v>
      </c>
      <c r="X8502" s="2">
        <f ca="1"/>
        <v>34.805178197071022</v>
      </c>
      <c r="AG8502" s="2">
        <f ca="1"/>
        <v>0.36108715053647211</v>
      </c>
      <c r="AH8502" s="2" t="str">
        <f ca="1"/>
        <v>OK</v>
      </c>
    </row>
    <row r="8503" spans="2:34" x14ac:dyDescent="0.2">
      <c r="B8503" s="2">
        <f ca="1"/>
        <v>0.76684044901126103</v>
      </c>
      <c r="O8503" s="2">
        <f ca="1"/>
        <v>0.96649623026263398</v>
      </c>
      <c r="X8503" s="2">
        <f ca="1"/>
        <v>25.481420236784658</v>
      </c>
      <c r="AG8503" s="2">
        <f ca="1"/>
        <v>0.85522758128318621</v>
      </c>
      <c r="AH8503" s="2" t="str">
        <f ca="1"/>
        <v>Bad</v>
      </c>
    </row>
    <row r="8504" spans="2:34" x14ac:dyDescent="0.2">
      <c r="B8504" s="2">
        <f ca="1"/>
        <v>0.64821132422293126</v>
      </c>
      <c r="O8504" s="2">
        <f ca="1"/>
        <v>0.25933019993486583</v>
      </c>
      <c r="X8504" s="2">
        <f ca="1"/>
        <v>52.875164250764854</v>
      </c>
      <c r="AG8504" s="2">
        <f ca="1"/>
        <v>0.71166196888388611</v>
      </c>
      <c r="AH8504" s="2" t="str">
        <f ca="1"/>
        <v>Bad</v>
      </c>
    </row>
    <row r="8505" spans="2:34" x14ac:dyDescent="0.2">
      <c r="B8505" s="2">
        <f ca="1"/>
        <v>0.5941249439206493</v>
      </c>
      <c r="O8505" s="2">
        <f ca="1"/>
        <v>-0.94675975317595318</v>
      </c>
      <c r="X8505" s="2">
        <f ca="1"/>
        <v>40.068084217446014</v>
      </c>
      <c r="AG8505" s="2">
        <f ca="1"/>
        <v>0.40428155254521592</v>
      </c>
      <c r="AH8505" s="2" t="str">
        <f ca="1"/>
        <v>Bad</v>
      </c>
    </row>
    <row r="8506" spans="2:34" x14ac:dyDescent="0.2">
      <c r="B8506" s="2">
        <f ca="1"/>
        <v>0.97631074830383135</v>
      </c>
      <c r="O8506" s="2">
        <f ca="1"/>
        <v>-0.35762212913915176</v>
      </c>
      <c r="X8506" s="2">
        <f ca="1"/>
        <v>28.714529948170984</v>
      </c>
      <c r="AG8506" s="2">
        <f ca="1"/>
        <v>0.73437200846931883</v>
      </c>
      <c r="AH8506" s="2" t="str">
        <f ca="1"/>
        <v>Bad</v>
      </c>
    </row>
    <row r="8507" spans="2:34" x14ac:dyDescent="0.2">
      <c r="B8507" s="2">
        <f ca="1"/>
        <v>0.45216988170788519</v>
      </c>
      <c r="O8507" s="2">
        <f ca="1"/>
        <v>0.54082601730109381</v>
      </c>
      <c r="X8507" s="2">
        <f ca="1"/>
        <v>56.138252549294371</v>
      </c>
      <c r="AG8507" s="2">
        <f ca="1"/>
        <v>0.14140244306452376</v>
      </c>
      <c r="AH8507" s="2" t="str">
        <f ca="1"/>
        <v>OK</v>
      </c>
    </row>
    <row r="8508" spans="2:34" x14ac:dyDescent="0.2">
      <c r="B8508" s="2">
        <f ca="1"/>
        <v>8.9177495379248128E-2</v>
      </c>
      <c r="O8508" s="2">
        <f ca="1"/>
        <v>0.2596591575732648</v>
      </c>
      <c r="X8508" s="2">
        <f ca="1"/>
        <v>31.579619445570284</v>
      </c>
      <c r="AG8508" s="2">
        <f ca="1"/>
        <v>0.39711379958334181</v>
      </c>
      <c r="AH8508" s="2" t="str">
        <f ca="1"/>
        <v>OK</v>
      </c>
    </row>
    <row r="8509" spans="2:34" x14ac:dyDescent="0.2">
      <c r="B8509" s="2">
        <f ca="1"/>
        <v>0.32153014439279315</v>
      </c>
      <c r="O8509" s="2">
        <f ca="1"/>
        <v>7.7457731177136793E-2</v>
      </c>
      <c r="X8509" s="2">
        <f ca="1"/>
        <v>48.499046174919656</v>
      </c>
      <c r="AG8509" s="2">
        <f ca="1"/>
        <v>0.805884013546323</v>
      </c>
      <c r="AH8509" s="2" t="str">
        <f ca="1"/>
        <v>Bad</v>
      </c>
    </row>
    <row r="8510" spans="2:34" x14ac:dyDescent="0.2">
      <c r="B8510" s="2">
        <f ca="1"/>
        <v>0.90796600605334432</v>
      </c>
      <c r="O8510" s="2">
        <f ca="1"/>
        <v>-1.351216515715979</v>
      </c>
      <c r="X8510" s="2">
        <f ca="1"/>
        <v>42.064759725015207</v>
      </c>
      <c r="AG8510" s="2">
        <f ca="1"/>
        <v>0.62021449304636134</v>
      </c>
      <c r="AH8510" s="2" t="str">
        <f ca="1"/>
        <v>Bad</v>
      </c>
    </row>
    <row r="8511" spans="2:34" x14ac:dyDescent="0.2">
      <c r="B8511" s="2">
        <f ca="1"/>
        <v>0.58122023426284186</v>
      </c>
      <c r="O8511" s="2">
        <f ca="1"/>
        <v>8.409083297356626E-2</v>
      </c>
      <c r="X8511" s="2">
        <f ca="1"/>
        <v>48.847637128146111</v>
      </c>
      <c r="AG8511" s="2">
        <f ca="1"/>
        <v>0.68874950186819084</v>
      </c>
      <c r="AH8511" s="2" t="str">
        <f ca="1"/>
        <v>Bad</v>
      </c>
    </row>
    <row r="8512" spans="2:34" x14ac:dyDescent="0.2">
      <c r="B8512" s="2">
        <f ca="1"/>
        <v>0.68477305979406666</v>
      </c>
      <c r="O8512" s="2">
        <f ca="1"/>
        <v>-6.2612492651600821E-2</v>
      </c>
      <c r="X8512" s="2">
        <f ca="1"/>
        <v>42.932669388901289</v>
      </c>
      <c r="AG8512" s="2">
        <f ca="1"/>
        <v>0.58557135963137519</v>
      </c>
      <c r="AH8512" s="2" t="str">
        <f ca="1"/>
        <v>Bad</v>
      </c>
    </row>
    <row r="8513" spans="2:34" x14ac:dyDescent="0.2">
      <c r="B8513" s="2">
        <f ca="1"/>
        <v>0.88088941932142428</v>
      </c>
      <c r="O8513" s="2">
        <f ca="1"/>
        <v>1.8502926142485909</v>
      </c>
      <c r="X8513" s="2">
        <f ca="1"/>
        <v>32.738544302782458</v>
      </c>
      <c r="AG8513" s="2">
        <f ca="1"/>
        <v>0.84031468976378143</v>
      </c>
      <c r="AH8513" s="2" t="str">
        <f ca="1"/>
        <v>Bad</v>
      </c>
    </row>
    <row r="8514" spans="2:34" x14ac:dyDescent="0.2">
      <c r="B8514" s="2">
        <f ca="1"/>
        <v>0.32336629466559352</v>
      </c>
      <c r="O8514" s="2">
        <f ca="1"/>
        <v>-1.6938746493899508</v>
      </c>
      <c r="X8514" s="2">
        <f ca="1"/>
        <v>53.078597192775909</v>
      </c>
      <c r="AG8514" s="2">
        <f ca="1"/>
        <v>0.36879587826815907</v>
      </c>
      <c r="AH8514" s="2" t="str">
        <f ca="1"/>
        <v>OK</v>
      </c>
    </row>
    <row r="8515" spans="2:34" x14ac:dyDescent="0.2">
      <c r="B8515" s="2">
        <f ca="1"/>
        <v>0.61485181721092297</v>
      </c>
      <c r="O8515" s="2">
        <f ca="1"/>
        <v>0.65300054651982808</v>
      </c>
      <c r="X8515" s="2">
        <f ca="1"/>
        <v>25.536714327086074</v>
      </c>
      <c r="AG8515" s="2">
        <f ca="1"/>
        <v>7.9006673165638031E-3</v>
      </c>
      <c r="AH8515" s="2" t="str">
        <f ca="1"/>
        <v>Good</v>
      </c>
    </row>
    <row r="8516" spans="2:34" x14ac:dyDescent="0.2">
      <c r="B8516" s="2">
        <f ca="1"/>
        <v>0.56038511912263278</v>
      </c>
      <c r="O8516" s="2">
        <f ca="1"/>
        <v>-0.31232276855509689</v>
      </c>
      <c r="X8516" s="2">
        <f ca="1"/>
        <v>44.30107982989297</v>
      </c>
      <c r="AG8516" s="2">
        <f ca="1"/>
        <v>0.67033153614894081</v>
      </c>
      <c r="AH8516" s="2" t="str">
        <f ca="1"/>
        <v>Bad</v>
      </c>
    </row>
    <row r="8517" spans="2:34" x14ac:dyDescent="0.2">
      <c r="B8517" s="2">
        <f ca="1"/>
        <v>0.27778053676497128</v>
      </c>
      <c r="O8517" s="2">
        <f ca="1"/>
        <v>0.47228057501706583</v>
      </c>
      <c r="X8517" s="2">
        <f ca="1"/>
        <v>56.267744286969844</v>
      </c>
      <c r="AG8517" s="2">
        <f ca="1"/>
        <v>0.3526720206200491</v>
      </c>
      <c r="AH8517" s="2" t="str">
        <f ca="1"/>
        <v>OK</v>
      </c>
    </row>
    <row r="8518" spans="2:34" x14ac:dyDescent="0.2">
      <c r="B8518" s="2">
        <f ca="1"/>
        <v>0.22371451570746248</v>
      </c>
      <c r="O8518" s="2">
        <f ca="1"/>
        <v>1.7266034056886199</v>
      </c>
      <c r="X8518" s="2">
        <f ca="1"/>
        <v>17.80965548675702</v>
      </c>
      <c r="AG8518" s="2">
        <f ca="1"/>
        <v>2.663554828674064E-2</v>
      </c>
      <c r="AH8518" s="2" t="str">
        <f ca="1"/>
        <v>Good</v>
      </c>
    </row>
    <row r="8519" spans="2:34" x14ac:dyDescent="0.2">
      <c r="B8519" s="2">
        <f ca="1"/>
        <v>0.11605495227466922</v>
      </c>
      <c r="O8519" s="2">
        <f ca="1"/>
        <v>1.89869874677058</v>
      </c>
      <c r="X8519" s="2">
        <f ca="1"/>
        <v>25.119067334214247</v>
      </c>
      <c r="AG8519" s="2">
        <f ca="1"/>
        <v>0.74027523021807196</v>
      </c>
      <c r="AH8519" s="2" t="str">
        <f ca="1"/>
        <v>Bad</v>
      </c>
    </row>
    <row r="8520" spans="2:34" x14ac:dyDescent="0.2">
      <c r="B8520" s="2">
        <f ca="1"/>
        <v>0.32319735447698794</v>
      </c>
      <c r="O8520" s="2">
        <f ca="1"/>
        <v>-0.50109935268435268</v>
      </c>
      <c r="X8520" s="2">
        <f ca="1"/>
        <v>46.204540479548122</v>
      </c>
      <c r="AG8520" s="2">
        <f ca="1"/>
        <v>0.66272286890624588</v>
      </c>
      <c r="AH8520" s="2" t="str">
        <f ca="1"/>
        <v>Bad</v>
      </c>
    </row>
    <row r="8521" spans="2:34" x14ac:dyDescent="0.2">
      <c r="B8521" s="2">
        <f ca="1"/>
        <v>0.24230848692113605</v>
      </c>
      <c r="O8521" s="2">
        <f ca="1"/>
        <v>-0.51381003143318571</v>
      </c>
      <c r="X8521" s="2">
        <f ca="1"/>
        <v>49.794220600135723</v>
      </c>
      <c r="AG8521" s="2">
        <f ca="1"/>
        <v>0.12494242258304644</v>
      </c>
      <c r="AH8521" s="2" t="str">
        <f ca="1"/>
        <v>OK</v>
      </c>
    </row>
    <row r="8522" spans="2:34" x14ac:dyDescent="0.2">
      <c r="B8522" s="2">
        <f ca="1"/>
        <v>0.87439012015582507</v>
      </c>
      <c r="O8522" s="2">
        <f ca="1"/>
        <v>0.89070982270868715</v>
      </c>
      <c r="X8522" s="2">
        <f ca="1"/>
        <v>64.031873050011995</v>
      </c>
      <c r="AG8522" s="2">
        <f ca="1"/>
        <v>0.22011308212773217</v>
      </c>
      <c r="AH8522" s="2" t="str">
        <f ca="1"/>
        <v>OK</v>
      </c>
    </row>
    <row r="8523" spans="2:34" x14ac:dyDescent="0.2">
      <c r="B8523" s="2">
        <f ca="1"/>
        <v>3.2006734848114782E-2</v>
      </c>
      <c r="O8523" s="2">
        <f ca="1"/>
        <v>1.9960961004743154</v>
      </c>
      <c r="X8523" s="2">
        <f ca="1"/>
        <v>63.757028991544978</v>
      </c>
      <c r="AG8523" s="2">
        <f ca="1"/>
        <v>0.95615734840351596</v>
      </c>
      <c r="AH8523" s="2" t="str">
        <f ca="1"/>
        <v>Bad</v>
      </c>
    </row>
    <row r="8524" spans="2:34" x14ac:dyDescent="0.2">
      <c r="B8524" s="2">
        <f ca="1"/>
        <v>0.74848973489182824</v>
      </c>
      <c r="O8524" s="2">
        <f ca="1"/>
        <v>2.0342341352007982</v>
      </c>
      <c r="X8524" s="2">
        <f ca="1"/>
        <v>40.174136532365019</v>
      </c>
      <c r="AG8524" s="2">
        <f ca="1"/>
        <v>0.5963668970952356</v>
      </c>
      <c r="AH8524" s="2" t="str">
        <f ca="1"/>
        <v>Bad</v>
      </c>
    </row>
    <row r="8525" spans="2:34" x14ac:dyDescent="0.2">
      <c r="B8525" s="2">
        <f ca="1"/>
        <v>0.62171923550046593</v>
      </c>
      <c r="O8525" s="2">
        <f ca="1"/>
        <v>-0.71974888326228259</v>
      </c>
      <c r="X8525" s="2">
        <f ca="1"/>
        <v>22.131377976530562</v>
      </c>
      <c r="AG8525" s="2">
        <f ca="1"/>
        <v>0.56174002870403306</v>
      </c>
      <c r="AH8525" s="2" t="str">
        <f ca="1"/>
        <v>Bad</v>
      </c>
    </row>
    <row r="8526" spans="2:34" x14ac:dyDescent="0.2">
      <c r="B8526" s="2">
        <f ca="1"/>
        <v>0.76224665049093532</v>
      </c>
      <c r="O8526" s="2">
        <f ca="1"/>
        <v>0.90114589992776162</v>
      </c>
      <c r="X8526" s="2">
        <f ca="1"/>
        <v>42.701585760557208</v>
      </c>
      <c r="AG8526" s="2">
        <f ca="1"/>
        <v>0.14493020612735408</v>
      </c>
      <c r="AH8526" s="2" t="str">
        <f ca="1"/>
        <v>OK</v>
      </c>
    </row>
    <row r="8527" spans="2:34" x14ac:dyDescent="0.2">
      <c r="B8527" s="2">
        <f ca="1"/>
        <v>0.57680494763166967</v>
      </c>
      <c r="O8527" s="2">
        <f ca="1"/>
        <v>-2.2542572973679826</v>
      </c>
      <c r="X8527" s="2">
        <f ca="1"/>
        <v>45.231637429504318</v>
      </c>
      <c r="AG8527" s="2">
        <f ca="1"/>
        <v>0.64187764328761165</v>
      </c>
      <c r="AH8527" s="2" t="str">
        <f ca="1"/>
        <v>Bad</v>
      </c>
    </row>
    <row r="8528" spans="2:34" x14ac:dyDescent="0.2">
      <c r="B8528" s="2">
        <f ca="1"/>
        <v>0.22117808929310856</v>
      </c>
      <c r="O8528" s="2">
        <f ca="1"/>
        <v>0.92682443289750494</v>
      </c>
      <c r="X8528" s="2">
        <f ca="1"/>
        <v>60.879760629400188</v>
      </c>
      <c r="AG8528" s="2">
        <f ca="1"/>
        <v>0.8356843879202176</v>
      </c>
      <c r="AH8528" s="2" t="str">
        <f ca="1"/>
        <v>Bad</v>
      </c>
    </row>
    <row r="8529" spans="2:34" x14ac:dyDescent="0.2">
      <c r="B8529" s="2">
        <f ca="1"/>
        <v>0.93505347512228476</v>
      </c>
      <c r="O8529" s="2">
        <f ca="1"/>
        <v>-0.30389671910749266</v>
      </c>
      <c r="X8529" s="2">
        <f ca="1"/>
        <v>63.498712324051787</v>
      </c>
      <c r="AG8529" s="2">
        <f ca="1"/>
        <v>9.4627153720753032E-2</v>
      </c>
      <c r="AH8529" s="2" t="str">
        <f ca="1"/>
        <v>OK</v>
      </c>
    </row>
    <row r="8530" spans="2:34" x14ac:dyDescent="0.2">
      <c r="B8530" s="2">
        <f ca="1"/>
        <v>0.91185630532371365</v>
      </c>
      <c r="O8530" s="2">
        <f ca="1"/>
        <v>-1.0998735996706976</v>
      </c>
      <c r="X8530" s="2">
        <f ca="1"/>
        <v>54.755310444203772</v>
      </c>
      <c r="AG8530" s="2">
        <f ca="1"/>
        <v>0.65962058426526959</v>
      </c>
      <c r="AH8530" s="2" t="str">
        <f ca="1"/>
        <v>Bad</v>
      </c>
    </row>
    <row r="8531" spans="2:34" x14ac:dyDescent="0.2">
      <c r="B8531" s="2">
        <f ca="1"/>
        <v>0.66900480872099299</v>
      </c>
      <c r="O8531" s="2">
        <f ca="1"/>
        <v>1.7541675364551015</v>
      </c>
      <c r="X8531" s="2">
        <f ca="1"/>
        <v>47.678390248293844</v>
      </c>
      <c r="AG8531" s="2">
        <f ca="1"/>
        <v>0.40618401253599834</v>
      </c>
      <c r="AH8531" s="2" t="str">
        <f ca="1"/>
        <v>Bad</v>
      </c>
    </row>
    <row r="8532" spans="2:34" x14ac:dyDescent="0.2">
      <c r="B8532" s="2">
        <f ca="1"/>
        <v>0.67049953600429801</v>
      </c>
      <c r="O8532" s="2">
        <f ca="1"/>
        <v>-0.11902342239099081</v>
      </c>
      <c r="X8532" s="2">
        <f ca="1"/>
        <v>98.176006529513856</v>
      </c>
      <c r="AG8532" s="2">
        <f ca="1"/>
        <v>0.78915571864017386</v>
      </c>
      <c r="AH8532" s="2" t="str">
        <f ca="1"/>
        <v>Bad</v>
      </c>
    </row>
    <row r="8533" spans="2:34" x14ac:dyDescent="0.2">
      <c r="B8533" s="2">
        <f ca="1"/>
        <v>0.27572941468303025</v>
      </c>
      <c r="O8533" s="2">
        <f ca="1"/>
        <v>0.15431205518390545</v>
      </c>
      <c r="X8533" s="2">
        <f ca="1"/>
        <v>41.32302961267164</v>
      </c>
      <c r="AG8533" s="2">
        <f ca="1"/>
        <v>0.59982148926952061</v>
      </c>
      <c r="AH8533" s="2" t="str">
        <f ca="1"/>
        <v>Bad</v>
      </c>
    </row>
    <row r="8534" spans="2:34" x14ac:dyDescent="0.2">
      <c r="B8534" s="2">
        <f ca="1"/>
        <v>0.64978381044547207</v>
      </c>
      <c r="O8534" s="2">
        <f ca="1"/>
        <v>-1.9125730024927547</v>
      </c>
      <c r="X8534" s="2">
        <f ca="1"/>
        <v>36.881227168091698</v>
      </c>
      <c r="AG8534" s="2">
        <f ca="1"/>
        <v>0.17878487934695508</v>
      </c>
      <c r="AH8534" s="2" t="str">
        <f ca="1"/>
        <v>OK</v>
      </c>
    </row>
    <row r="8535" spans="2:34" x14ac:dyDescent="0.2">
      <c r="B8535" s="2">
        <f ca="1"/>
        <v>8.1045784251628783E-2</v>
      </c>
      <c r="O8535" s="2">
        <f ca="1"/>
        <v>-1.5160604903864379</v>
      </c>
      <c r="X8535" s="2">
        <f ca="1"/>
        <v>57.255417570268293</v>
      </c>
      <c r="AG8535" s="2">
        <f ca="1"/>
        <v>0.86157322056393593</v>
      </c>
      <c r="AH8535" s="2" t="str">
        <f ca="1"/>
        <v>Bad</v>
      </c>
    </row>
    <row r="8536" spans="2:34" x14ac:dyDescent="0.2">
      <c r="B8536" s="2">
        <f ca="1"/>
        <v>0.37513140104076448</v>
      </c>
      <c r="O8536" s="2">
        <f ca="1"/>
        <v>-1.1943025044139282</v>
      </c>
      <c r="X8536" s="2">
        <f ca="1"/>
        <v>42.775400181774692</v>
      </c>
      <c r="AG8536" s="2">
        <f ca="1"/>
        <v>0.80480900067004546</v>
      </c>
      <c r="AH8536" s="2" t="str">
        <f ca="1"/>
        <v>Bad</v>
      </c>
    </row>
    <row r="8537" spans="2:34" x14ac:dyDescent="0.2">
      <c r="B8537" s="2">
        <f ca="1"/>
        <v>0.94011974010621069</v>
      </c>
      <c r="O8537" s="2">
        <f ca="1"/>
        <v>-0.46719956028230147</v>
      </c>
      <c r="X8537" s="2">
        <f ca="1"/>
        <v>72.574797495517487</v>
      </c>
      <c r="AG8537" s="2">
        <f ca="1"/>
        <v>2.7959678762390805E-2</v>
      </c>
      <c r="AH8537" s="2" t="str">
        <f ca="1"/>
        <v>Good</v>
      </c>
    </row>
    <row r="8538" spans="2:34" x14ac:dyDescent="0.2">
      <c r="B8538" s="2">
        <f ca="1"/>
        <v>0.52598926922029521</v>
      </c>
      <c r="O8538" s="2">
        <f ca="1"/>
        <v>6.0736584036235587E-2</v>
      </c>
      <c r="X8538" s="2">
        <f ca="1"/>
        <v>59.149420570150511</v>
      </c>
      <c r="AG8538" s="2">
        <f ca="1"/>
        <v>8.1109340292436549E-2</v>
      </c>
      <c r="AH8538" s="2" t="str">
        <f ca="1"/>
        <v>OK</v>
      </c>
    </row>
    <row r="8539" spans="2:34" x14ac:dyDescent="0.2">
      <c r="B8539" s="2">
        <f ca="1"/>
        <v>0.42342381241494231</v>
      </c>
      <c r="O8539" s="2">
        <f ca="1"/>
        <v>-0.25135583603384859</v>
      </c>
      <c r="X8539" s="2">
        <f ca="1"/>
        <v>66.373667345035557</v>
      </c>
      <c r="AG8539" s="2">
        <f ca="1"/>
        <v>0.45403010541087996</v>
      </c>
      <c r="AH8539" s="2" t="str">
        <f ca="1"/>
        <v>Bad</v>
      </c>
    </row>
    <row r="8540" spans="2:34" x14ac:dyDescent="0.2">
      <c r="B8540" s="2">
        <f ca="1"/>
        <v>0.65292197288949083</v>
      </c>
      <c r="O8540" s="2">
        <f ca="1"/>
        <v>-0.42267365332133044</v>
      </c>
      <c r="X8540" s="2">
        <f ca="1"/>
        <v>47.975919702701624</v>
      </c>
      <c r="AG8540" s="2">
        <f ca="1"/>
        <v>0.16048866757406866</v>
      </c>
      <c r="AH8540" s="2" t="str">
        <f ca="1"/>
        <v>OK</v>
      </c>
    </row>
    <row r="8541" spans="2:34" x14ac:dyDescent="0.2">
      <c r="B8541" s="2">
        <f ca="1"/>
        <v>0.18874066273991064</v>
      </c>
      <c r="O8541" s="2">
        <f ca="1"/>
        <v>-1.3694834120787114</v>
      </c>
      <c r="X8541" s="2">
        <f ca="1"/>
        <v>53.858248115720599</v>
      </c>
      <c r="AG8541" s="2">
        <f ca="1"/>
        <v>0.62030300494357937</v>
      </c>
      <c r="AH8541" s="2" t="str">
        <f ca="1"/>
        <v>Bad</v>
      </c>
    </row>
    <row r="8542" spans="2:34" x14ac:dyDescent="0.2">
      <c r="B8542" s="2">
        <f ca="1"/>
        <v>0.5350217808671005</v>
      </c>
      <c r="O8542" s="2">
        <f ca="1"/>
        <v>-1.3139073640856536</v>
      </c>
      <c r="X8542" s="2">
        <f ca="1"/>
        <v>38.837425663755894</v>
      </c>
      <c r="AG8542" s="2">
        <f ca="1"/>
        <v>0.73888029942081768</v>
      </c>
      <c r="AH8542" s="2" t="str">
        <f ca="1"/>
        <v>Bad</v>
      </c>
    </row>
    <row r="8543" spans="2:34" x14ac:dyDescent="0.2">
      <c r="B8543" s="2">
        <f ca="1"/>
        <v>0.80028546965731562</v>
      </c>
      <c r="O8543" s="2">
        <f ca="1"/>
        <v>4.3514842915972726E-2</v>
      </c>
      <c r="X8543" s="2">
        <f ca="1"/>
        <v>52.343695954889</v>
      </c>
      <c r="AG8543" s="2">
        <f ca="1"/>
        <v>0.84303112804028046</v>
      </c>
      <c r="AH8543" s="2" t="str">
        <f ca="1"/>
        <v>Bad</v>
      </c>
    </row>
    <row r="8544" spans="2:34" x14ac:dyDescent="0.2">
      <c r="B8544" s="2">
        <f ca="1"/>
        <v>0.12528845574361225</v>
      </c>
      <c r="O8544" s="2">
        <f ca="1"/>
        <v>1.7431592982750623</v>
      </c>
      <c r="X8544" s="2">
        <f ca="1"/>
        <v>36.744638522912666</v>
      </c>
      <c r="AG8544" s="2">
        <f ca="1"/>
        <v>0.10921489289247654</v>
      </c>
      <c r="AH8544" s="2" t="str">
        <f ca="1"/>
        <v>OK</v>
      </c>
    </row>
    <row r="8545" spans="2:34" x14ac:dyDescent="0.2">
      <c r="B8545" s="2">
        <f ca="1"/>
        <v>0.1496077781092926</v>
      </c>
      <c r="O8545" s="2">
        <f ca="1"/>
        <v>0.7780074866044675</v>
      </c>
      <c r="X8545" s="2">
        <f ca="1"/>
        <v>71.181302604475746</v>
      </c>
      <c r="AG8545" s="2">
        <f ca="1"/>
        <v>0.13521780762122848</v>
      </c>
      <c r="AH8545" s="2" t="str">
        <f ca="1"/>
        <v>OK</v>
      </c>
    </row>
    <row r="8546" spans="2:34" x14ac:dyDescent="0.2">
      <c r="B8546" s="2">
        <f ca="1"/>
        <v>0.1083816574526093</v>
      </c>
      <c r="O8546" s="2">
        <f ca="1"/>
        <v>-0.43130487387061889</v>
      </c>
      <c r="X8546" s="2">
        <f ca="1"/>
        <v>59.676533652449287</v>
      </c>
      <c r="AG8546" s="2">
        <f ca="1"/>
        <v>0.17780114346371323</v>
      </c>
      <c r="AH8546" s="2" t="str">
        <f ca="1"/>
        <v>OK</v>
      </c>
    </row>
    <row r="8547" spans="2:34" x14ac:dyDescent="0.2">
      <c r="B8547" s="2">
        <f ca="1"/>
        <v>0.71631379738182077</v>
      </c>
      <c r="O8547" s="2">
        <f ca="1"/>
        <v>-0.45775462912235232</v>
      </c>
      <c r="X8547" s="2">
        <f ca="1"/>
        <v>68.082552482127866</v>
      </c>
      <c r="AG8547" s="2">
        <f ca="1"/>
        <v>0.2092976298515048</v>
      </c>
      <c r="AH8547" s="2" t="str">
        <f ca="1"/>
        <v>OK</v>
      </c>
    </row>
    <row r="8548" spans="2:34" x14ac:dyDescent="0.2">
      <c r="B8548" s="2">
        <f ca="1"/>
        <v>0.25955047009806043</v>
      </c>
      <c r="O8548" s="2">
        <f ca="1"/>
        <v>-0.67039631697401825</v>
      </c>
      <c r="X8548" s="2">
        <f ca="1"/>
        <v>62.554019543955739</v>
      </c>
      <c r="AG8548" s="2">
        <f ca="1"/>
        <v>2.9445418812238833E-2</v>
      </c>
      <c r="AH8548" s="2" t="str">
        <f ca="1"/>
        <v>Good</v>
      </c>
    </row>
    <row r="8549" spans="2:34" x14ac:dyDescent="0.2">
      <c r="B8549" s="2">
        <f ca="1"/>
        <v>0.8195270951797553</v>
      </c>
      <c r="O8549" s="2">
        <f ca="1"/>
        <v>0.13158509891921225</v>
      </c>
      <c r="X8549" s="2">
        <f ca="1"/>
        <v>49.560853795447343</v>
      </c>
      <c r="AG8549" s="2">
        <f ca="1"/>
        <v>0.53633474534395398</v>
      </c>
      <c r="AH8549" s="2" t="str">
        <f ca="1"/>
        <v>Bad</v>
      </c>
    </row>
    <row r="8550" spans="2:34" x14ac:dyDescent="0.2">
      <c r="B8550" s="2">
        <f ca="1"/>
        <v>4.0806280407906126E-2</v>
      </c>
      <c r="O8550" s="2">
        <f ca="1"/>
        <v>0.63316846467613719</v>
      </c>
      <c r="X8550" s="2">
        <f ca="1"/>
        <v>49.998891216027587</v>
      </c>
      <c r="AG8550" s="2">
        <f ca="1"/>
        <v>0.33789524805056281</v>
      </c>
      <c r="AH8550" s="2" t="str">
        <f ca="1"/>
        <v>OK</v>
      </c>
    </row>
    <row r="8551" spans="2:34" x14ac:dyDescent="0.2">
      <c r="B8551" s="2">
        <f ca="1"/>
        <v>0.42964115193353281</v>
      </c>
      <c r="O8551" s="2">
        <f ca="1"/>
        <v>-1.343546109419129</v>
      </c>
      <c r="X8551" s="2">
        <f ca="1"/>
        <v>56.82312513113672</v>
      </c>
      <c r="AG8551" s="2">
        <f ca="1"/>
        <v>0.63163141583238702</v>
      </c>
      <c r="AH8551" s="2" t="str">
        <f ca="1"/>
        <v>Bad</v>
      </c>
    </row>
    <row r="8552" spans="2:34" x14ac:dyDescent="0.2">
      <c r="B8552" s="2">
        <f ca="1"/>
        <v>0.48660704203617766</v>
      </c>
      <c r="O8552" s="2">
        <f ca="1"/>
        <v>-0.34523115322585862</v>
      </c>
      <c r="X8552" s="2">
        <f ca="1"/>
        <v>37.387502276614356</v>
      </c>
      <c r="AG8552" s="2">
        <f ca="1"/>
        <v>0.58231927929737171</v>
      </c>
      <c r="AH8552" s="2" t="str">
        <f ca="1"/>
        <v>Bad</v>
      </c>
    </row>
    <row r="8553" spans="2:34" x14ac:dyDescent="0.2">
      <c r="B8553" s="2">
        <f ca="1"/>
        <v>0.36218732564849465</v>
      </c>
      <c r="O8553" s="2">
        <f ca="1"/>
        <v>-0.23116674502994117</v>
      </c>
      <c r="X8553" s="2">
        <f ca="1"/>
        <v>54.615813301150453</v>
      </c>
      <c r="AG8553" s="2">
        <f ca="1"/>
        <v>0.84705117188591283</v>
      </c>
      <c r="AH8553" s="2" t="str">
        <f ca="1"/>
        <v>Bad</v>
      </c>
    </row>
    <row r="8554" spans="2:34" x14ac:dyDescent="0.2">
      <c r="B8554" s="2">
        <f ca="1"/>
        <v>0.15508266090507594</v>
      </c>
      <c r="O8554" s="2">
        <f ca="1"/>
        <v>1.2963415083353118</v>
      </c>
      <c r="X8554" s="2">
        <f ca="1"/>
        <v>78.187314395982924</v>
      </c>
      <c r="AG8554" s="2">
        <f ca="1"/>
        <v>0.98319253290795849</v>
      </c>
      <c r="AH8554" s="2" t="str">
        <f ca="1"/>
        <v>Bad</v>
      </c>
    </row>
    <row r="8555" spans="2:34" x14ac:dyDescent="0.2">
      <c r="B8555" s="2">
        <f ca="1"/>
        <v>0.40146196639790688</v>
      </c>
      <c r="O8555" s="2">
        <f ca="1"/>
        <v>0.98200731985556855</v>
      </c>
      <c r="X8555" s="2">
        <f ca="1"/>
        <v>37.027954204696847</v>
      </c>
      <c r="AG8555" s="2">
        <f ca="1"/>
        <v>9.7516290108961012E-2</v>
      </c>
      <c r="AH8555" s="2" t="str">
        <f ca="1"/>
        <v>OK</v>
      </c>
    </row>
    <row r="8556" spans="2:34" x14ac:dyDescent="0.2">
      <c r="B8556" s="2">
        <f ca="1"/>
        <v>0.42718232721058325</v>
      </c>
      <c r="O8556" s="2">
        <f ca="1"/>
        <v>-2.0533470003699925</v>
      </c>
      <c r="X8556" s="2">
        <f ca="1"/>
        <v>76.60261322372213</v>
      </c>
      <c r="AG8556" s="2">
        <f ca="1"/>
        <v>0.61212066885800631</v>
      </c>
      <c r="AH8556" s="2" t="str">
        <f ca="1"/>
        <v>Bad</v>
      </c>
    </row>
    <row r="8557" spans="2:34" x14ac:dyDescent="0.2">
      <c r="B8557" s="2">
        <f ca="1"/>
        <v>0.60248786494718609</v>
      </c>
      <c r="O8557" s="2">
        <f ca="1"/>
        <v>-3.0801340574388531E-3</v>
      </c>
      <c r="X8557" s="2">
        <f ca="1"/>
        <v>60.962783801232732</v>
      </c>
      <c r="AG8557" s="2">
        <f ca="1"/>
        <v>0.74143893181830145</v>
      </c>
      <c r="AH8557" s="2" t="str">
        <f ca="1"/>
        <v>Bad</v>
      </c>
    </row>
    <row r="8558" spans="2:34" x14ac:dyDescent="0.2">
      <c r="B8558" s="2">
        <f ca="1"/>
        <v>0.64143085450188519</v>
      </c>
      <c r="O8558" s="2">
        <f ca="1"/>
        <v>-0.42440023319023085</v>
      </c>
      <c r="X8558" s="2">
        <f ca="1"/>
        <v>50.571724850227582</v>
      </c>
      <c r="AG8558" s="2">
        <f ca="1"/>
        <v>0.82874841168368385</v>
      </c>
      <c r="AH8558" s="2" t="str">
        <f ca="1"/>
        <v>Bad</v>
      </c>
    </row>
    <row r="8559" spans="2:34" x14ac:dyDescent="0.2">
      <c r="B8559" s="2">
        <f ca="1"/>
        <v>1.4278861154106703E-2</v>
      </c>
      <c r="O8559" s="2">
        <f ca="1"/>
        <v>-0.42883707341850147</v>
      </c>
      <c r="X8559" s="2">
        <f ca="1"/>
        <v>62.458508461561607</v>
      </c>
      <c r="AG8559" s="2">
        <f ca="1"/>
        <v>0.87995101739655679</v>
      </c>
      <c r="AH8559" s="2" t="str">
        <f ca="1"/>
        <v>Bad</v>
      </c>
    </row>
    <row r="8560" spans="2:34" x14ac:dyDescent="0.2">
      <c r="B8560" s="2">
        <f ca="1"/>
        <v>0.53157274948064259</v>
      </c>
      <c r="O8560" s="2">
        <f ca="1"/>
        <v>-0.1411561179369443</v>
      </c>
      <c r="X8560" s="2">
        <f ca="1"/>
        <v>61.701047893686379</v>
      </c>
      <c r="AG8560" s="2">
        <f ca="1"/>
        <v>0.82777150694041834</v>
      </c>
      <c r="AH8560" s="2" t="str">
        <f ca="1"/>
        <v>Bad</v>
      </c>
    </row>
    <row r="8561" spans="2:34" x14ac:dyDescent="0.2">
      <c r="B8561" s="2">
        <f ca="1"/>
        <v>0.74687491843572151</v>
      </c>
      <c r="O8561" s="2">
        <f ca="1"/>
        <v>0.3231372574422593</v>
      </c>
      <c r="X8561" s="2">
        <f ca="1"/>
        <v>55.343083031980825</v>
      </c>
      <c r="AG8561" s="2">
        <f ca="1"/>
        <v>0.53599882804611942</v>
      </c>
      <c r="AH8561" s="2" t="str">
        <f ca="1"/>
        <v>Bad</v>
      </c>
    </row>
    <row r="8562" spans="2:34" x14ac:dyDescent="0.2">
      <c r="B8562" s="2">
        <f ca="1"/>
        <v>0.20092641681681833</v>
      </c>
      <c r="O8562" s="2">
        <f ca="1"/>
        <v>-0.54722778864040578</v>
      </c>
      <c r="X8562" s="2">
        <f ca="1"/>
        <v>69.963577545363776</v>
      </c>
      <c r="AG8562" s="2">
        <f ca="1"/>
        <v>0.60629383748796806</v>
      </c>
      <c r="AH8562" s="2" t="str">
        <f ca="1"/>
        <v>Bad</v>
      </c>
    </row>
    <row r="8563" spans="2:34" x14ac:dyDescent="0.2">
      <c r="B8563" s="2">
        <f ca="1"/>
        <v>3.7355199657874261E-2</v>
      </c>
      <c r="O8563" s="2">
        <f ca="1"/>
        <v>0.1494160970099023</v>
      </c>
      <c r="X8563" s="2">
        <f ca="1"/>
        <v>62.454455707866821</v>
      </c>
      <c r="AG8563" s="2">
        <f ca="1"/>
        <v>0.80573026289846195</v>
      </c>
      <c r="AH8563" s="2" t="str">
        <f ca="1"/>
        <v>Bad</v>
      </c>
    </row>
    <row r="8564" spans="2:34" x14ac:dyDescent="0.2">
      <c r="B8564" s="2">
        <f ca="1"/>
        <v>0.46726480852771113</v>
      </c>
      <c r="O8564" s="2">
        <f ca="1"/>
        <v>-0.98801225169808671</v>
      </c>
      <c r="X8564" s="2">
        <f ca="1"/>
        <v>46.944663518739688</v>
      </c>
      <c r="AG8564" s="2">
        <f ca="1"/>
        <v>0.51403091075349927</v>
      </c>
      <c r="AH8564" s="2" t="str">
        <f ca="1"/>
        <v>Bad</v>
      </c>
    </row>
    <row r="8565" spans="2:34" x14ac:dyDescent="0.2">
      <c r="B8565" s="2">
        <f ca="1"/>
        <v>0.71635557497542734</v>
      </c>
      <c r="O8565" s="2">
        <f ca="1"/>
        <v>0.78755554617748946</v>
      </c>
      <c r="X8565" s="2">
        <f ca="1"/>
        <v>63.178350379879895</v>
      </c>
      <c r="AG8565" s="2">
        <f ca="1"/>
        <v>0.79038353106917114</v>
      </c>
      <c r="AH8565" s="2" t="str">
        <f ca="1"/>
        <v>Bad</v>
      </c>
    </row>
    <row r="8566" spans="2:34" x14ac:dyDescent="0.2">
      <c r="B8566" s="2">
        <f ca="1"/>
        <v>0.99835652940945407</v>
      </c>
      <c r="O8566" s="2">
        <f ca="1"/>
        <v>-0.37063024292425595</v>
      </c>
      <c r="X8566" s="2">
        <f ca="1"/>
        <v>50.319730891882429</v>
      </c>
      <c r="AG8566" s="2">
        <f ca="1"/>
        <v>0.90041071374127113</v>
      </c>
      <c r="AH8566" s="2" t="str">
        <f ca="1"/>
        <v>Bad</v>
      </c>
    </row>
    <row r="8567" spans="2:34" x14ac:dyDescent="0.2">
      <c r="B8567" s="2">
        <f ca="1"/>
        <v>0.98143024995223604</v>
      </c>
      <c r="O8567" s="2">
        <f ca="1"/>
        <v>0.4545001393488392</v>
      </c>
      <c r="X8567" s="2">
        <f ca="1"/>
        <v>26.806794787884169</v>
      </c>
      <c r="AG8567" s="2">
        <f ca="1"/>
        <v>0.98540845302868196</v>
      </c>
      <c r="AH8567" s="2" t="str">
        <f ca="1"/>
        <v>Bad</v>
      </c>
    </row>
    <row r="8568" spans="2:34" x14ac:dyDescent="0.2">
      <c r="B8568" s="2">
        <f ca="1"/>
        <v>0.33079524363607371</v>
      </c>
      <c r="O8568" s="2">
        <f ca="1"/>
        <v>1.3453560032830874</v>
      </c>
      <c r="X8568" s="2">
        <f ca="1"/>
        <v>34.949818196241033</v>
      </c>
      <c r="AG8568" s="2">
        <f ca="1"/>
        <v>0.63539085732966138</v>
      </c>
      <c r="AH8568" s="2" t="str">
        <f ca="1"/>
        <v>Bad</v>
      </c>
    </row>
    <row r="8569" spans="2:34" x14ac:dyDescent="0.2">
      <c r="B8569" s="2">
        <f ca="1"/>
        <v>0.51072732158169343</v>
      </c>
      <c r="O8569" s="2">
        <f ca="1"/>
        <v>-0.36406856740392629</v>
      </c>
      <c r="X8569" s="2">
        <f ca="1"/>
        <v>59.052607540045514</v>
      </c>
      <c r="AG8569" s="2">
        <f ca="1"/>
        <v>0.20910914796995295</v>
      </c>
      <c r="AH8569" s="2" t="str">
        <f ca="1"/>
        <v>OK</v>
      </c>
    </row>
    <row r="8570" spans="2:34" x14ac:dyDescent="0.2">
      <c r="B8570" s="2">
        <f ca="1"/>
        <v>0.33875120001130532</v>
      </c>
      <c r="O8570" s="2">
        <f ca="1"/>
        <v>-0.51070507419848321</v>
      </c>
      <c r="X8570" s="2">
        <f ca="1"/>
        <v>32.936438861886259</v>
      </c>
      <c r="AG8570" s="2">
        <f ca="1"/>
        <v>0.38709115135024952</v>
      </c>
      <c r="AH8570" s="2" t="str">
        <f ca="1"/>
        <v>OK</v>
      </c>
    </row>
    <row r="8571" spans="2:34" x14ac:dyDescent="0.2">
      <c r="B8571" s="2">
        <f ca="1"/>
        <v>0.15603134855435163</v>
      </c>
      <c r="O8571" s="2">
        <f ca="1"/>
        <v>8.9765095799296021E-2</v>
      </c>
      <c r="X8571" s="2">
        <f ca="1"/>
        <v>32.50258864077788</v>
      </c>
      <c r="AG8571" s="2">
        <f ca="1"/>
        <v>0.61479372046413827</v>
      </c>
      <c r="AH8571" s="2" t="str">
        <f ca="1"/>
        <v>Bad</v>
      </c>
    </row>
    <row r="8572" spans="2:34" x14ac:dyDescent="0.2">
      <c r="B8572" s="2">
        <f ca="1"/>
        <v>0.85742787992774927</v>
      </c>
      <c r="O8572" s="2">
        <f ca="1"/>
        <v>0.86920508974283361</v>
      </c>
      <c r="X8572" s="2">
        <f ca="1"/>
        <v>59.724819155421173</v>
      </c>
      <c r="AG8572" s="2">
        <f ca="1"/>
        <v>0.32406200593082279</v>
      </c>
      <c r="AH8572" s="2" t="str">
        <f ca="1"/>
        <v>OK</v>
      </c>
    </row>
    <row r="8573" spans="2:34" x14ac:dyDescent="0.2">
      <c r="B8573" s="2">
        <f ca="1"/>
        <v>0.27604674306936117</v>
      </c>
      <c r="O8573" s="2">
        <f ca="1"/>
        <v>-1.3051582326696622</v>
      </c>
      <c r="X8573" s="2">
        <f ca="1"/>
        <v>38.530759906119428</v>
      </c>
      <c r="AG8573" s="2">
        <f ca="1"/>
        <v>0.89017059201924953</v>
      </c>
      <c r="AH8573" s="2" t="str">
        <f ca="1"/>
        <v>Bad</v>
      </c>
    </row>
    <row r="8574" spans="2:34" x14ac:dyDescent="0.2">
      <c r="B8574" s="2">
        <f ca="1"/>
        <v>0.6303476276523261</v>
      </c>
      <c r="O8574" s="2">
        <f ca="1"/>
        <v>1.2461325601892002</v>
      </c>
      <c r="X8574" s="2">
        <f ca="1"/>
        <v>77.580263650494786</v>
      </c>
      <c r="AG8574" s="2">
        <f ca="1"/>
        <v>0.39261334499102807</v>
      </c>
      <c r="AH8574" s="2" t="str">
        <f ca="1"/>
        <v>OK</v>
      </c>
    </row>
    <row r="8575" spans="2:34" x14ac:dyDescent="0.2">
      <c r="B8575" s="2">
        <f ca="1"/>
        <v>0.36323133384289719</v>
      </c>
      <c r="O8575" s="2">
        <f ca="1"/>
        <v>-4.723710019435929E-2</v>
      </c>
      <c r="X8575" s="2">
        <f ca="1"/>
        <v>38.687617858157431</v>
      </c>
      <c r="AG8575" s="2">
        <f ca="1"/>
        <v>3.6339251504218684E-2</v>
      </c>
      <c r="AH8575" s="2" t="str">
        <f ca="1"/>
        <v>Good</v>
      </c>
    </row>
    <row r="8576" spans="2:34" x14ac:dyDescent="0.2">
      <c r="B8576" s="2">
        <f ca="1"/>
        <v>0.67164376184607932</v>
      </c>
      <c r="O8576" s="2">
        <f ca="1"/>
        <v>-1.7618279874583245</v>
      </c>
      <c r="X8576" s="2">
        <f ca="1"/>
        <v>78.670525381366204</v>
      </c>
      <c r="AG8576" s="2">
        <f ca="1"/>
        <v>0.66154728591292855</v>
      </c>
      <c r="AH8576" s="2" t="str">
        <f ca="1"/>
        <v>Bad</v>
      </c>
    </row>
    <row r="8577" spans="2:34" x14ac:dyDescent="0.2">
      <c r="B8577" s="2">
        <f ca="1"/>
        <v>0.89376501693007993</v>
      </c>
      <c r="O8577" s="2">
        <f ca="1"/>
        <v>-0.49033324003549433</v>
      </c>
      <c r="X8577" s="2">
        <f ca="1"/>
        <v>43.184139795501935</v>
      </c>
      <c r="AG8577" s="2">
        <f ca="1"/>
        <v>0.64899479615505529</v>
      </c>
      <c r="AH8577" s="2" t="str">
        <f ca="1"/>
        <v>Bad</v>
      </c>
    </row>
    <row r="8578" spans="2:34" x14ac:dyDescent="0.2">
      <c r="B8578" s="2">
        <f ca="1"/>
        <v>0.34833079449311732</v>
      </c>
      <c r="O8578" s="2">
        <f ca="1"/>
        <v>1.1332496748499197</v>
      </c>
      <c r="X8578" s="2">
        <f ca="1"/>
        <v>51.052139504308862</v>
      </c>
      <c r="AG8578" s="2">
        <f ca="1"/>
        <v>4.8696106465462297E-3</v>
      </c>
      <c r="AH8578" s="2" t="str">
        <f ca="1"/>
        <v>Good</v>
      </c>
    </row>
    <row r="8579" spans="2:34" x14ac:dyDescent="0.2">
      <c r="B8579" s="2">
        <f ca="1"/>
        <v>0.67046047701729439</v>
      </c>
      <c r="O8579" s="2">
        <f ca="1"/>
        <v>-0.65512056531980456</v>
      </c>
      <c r="X8579" s="2">
        <f ca="1"/>
        <v>21.688093684540007</v>
      </c>
      <c r="AG8579" s="2">
        <f ca="1"/>
        <v>0.19158502699812296</v>
      </c>
      <c r="AH8579" s="2" t="str">
        <f ca="1"/>
        <v>OK</v>
      </c>
    </row>
    <row r="8580" spans="2:34" x14ac:dyDescent="0.2">
      <c r="B8580" s="2">
        <f ca="1"/>
        <v>0.55930444211878783</v>
      </c>
      <c r="O8580" s="2">
        <f ca="1"/>
        <v>1.0097195778634744</v>
      </c>
      <c r="X8580" s="2">
        <f ca="1"/>
        <v>57.778055936281227</v>
      </c>
      <c r="AG8580" s="2">
        <f ca="1"/>
        <v>0.45072412380988847</v>
      </c>
      <c r="AH8580" s="2" t="str">
        <f ca="1"/>
        <v>Bad</v>
      </c>
    </row>
    <row r="8581" spans="2:34" x14ac:dyDescent="0.2">
      <c r="B8581" s="2">
        <f ca="1"/>
        <v>0.61844979866786076</v>
      </c>
      <c r="O8581" s="2">
        <f ca="1"/>
        <v>-0.83105464407656848</v>
      </c>
      <c r="X8581" s="2">
        <f ca="1"/>
        <v>50.603364017633851</v>
      </c>
      <c r="AG8581" s="2">
        <f ca="1"/>
        <v>1.340255736568885E-2</v>
      </c>
      <c r="AH8581" s="2" t="str">
        <f ca="1"/>
        <v>Good</v>
      </c>
    </row>
    <row r="8582" spans="2:34" x14ac:dyDescent="0.2">
      <c r="B8582" s="2">
        <f ca="1"/>
        <v>0.66090738179758923</v>
      </c>
      <c r="O8582" s="2">
        <f ca="1"/>
        <v>-0.62346134777541495</v>
      </c>
      <c r="X8582" s="2">
        <f ca="1"/>
        <v>23.849218450395302</v>
      </c>
      <c r="AG8582" s="2">
        <f ca="1"/>
        <v>9.0028566911468211E-2</v>
      </c>
      <c r="AH8582" s="2" t="str">
        <f ca="1"/>
        <v>OK</v>
      </c>
    </row>
    <row r="8583" spans="2:34" x14ac:dyDescent="0.2">
      <c r="B8583" s="2">
        <f ca="1"/>
        <v>0.6246048434571938</v>
      </c>
      <c r="O8583" s="2">
        <f ca="1"/>
        <v>0.71154291692547345</v>
      </c>
      <c r="X8583" s="2">
        <f ca="1"/>
        <v>58.613037429458274</v>
      </c>
      <c r="AG8583" s="2">
        <f ca="1"/>
        <v>0.772686263356958</v>
      </c>
      <c r="AH8583" s="2" t="str">
        <f ca="1"/>
        <v>Bad</v>
      </c>
    </row>
    <row r="8584" spans="2:34" x14ac:dyDescent="0.2">
      <c r="B8584" s="2">
        <f ca="1"/>
        <v>0.27781786487431459</v>
      </c>
      <c r="O8584" s="2">
        <f ca="1"/>
        <v>0.75761072890992986</v>
      </c>
      <c r="X8584" s="2">
        <f ca="1"/>
        <v>49.618780395836744</v>
      </c>
      <c r="AG8584" s="2">
        <f ca="1"/>
        <v>0.62555231966196034</v>
      </c>
      <c r="AH8584" s="2" t="str">
        <f ca="1"/>
        <v>Bad</v>
      </c>
    </row>
    <row r="8585" spans="2:34" x14ac:dyDescent="0.2">
      <c r="B8585" s="2">
        <f ca="1"/>
        <v>0.23676660370085956</v>
      </c>
      <c r="O8585" s="2">
        <f ca="1"/>
        <v>1.8946875850219715</v>
      </c>
      <c r="X8585" s="2">
        <f ca="1"/>
        <v>53.426994323653929</v>
      </c>
      <c r="AG8585" s="2">
        <f ca="1"/>
        <v>0.79381477509508569</v>
      </c>
      <c r="AH8585" s="2" t="str">
        <f ca="1"/>
        <v>Bad</v>
      </c>
    </row>
    <row r="8586" spans="2:34" x14ac:dyDescent="0.2">
      <c r="B8586" s="2">
        <f ca="1"/>
        <v>0.52998081932499042</v>
      </c>
      <c r="O8586" s="2">
        <f ca="1"/>
        <v>-2.0133568761475513</v>
      </c>
      <c r="X8586" s="2">
        <f ca="1"/>
        <v>45.193906134590307</v>
      </c>
      <c r="AG8586" s="2">
        <f ca="1"/>
        <v>0.43706391715790693</v>
      </c>
      <c r="AH8586" s="2" t="str">
        <f ca="1"/>
        <v>Bad</v>
      </c>
    </row>
    <row r="8587" spans="2:34" x14ac:dyDescent="0.2">
      <c r="B8587" s="2">
        <f ca="1"/>
        <v>0.6724287154633064</v>
      </c>
      <c r="O8587" s="2">
        <f ca="1"/>
        <v>0.85633909149038878</v>
      </c>
      <c r="X8587" s="2">
        <f ca="1"/>
        <v>67.055730401853125</v>
      </c>
      <c r="AG8587" s="2">
        <f ca="1"/>
        <v>0.10538708180910739</v>
      </c>
      <c r="AH8587" s="2" t="str">
        <f ca="1"/>
        <v>OK</v>
      </c>
    </row>
    <row r="8588" spans="2:34" x14ac:dyDescent="0.2">
      <c r="B8588" s="2">
        <f ca="1"/>
        <v>0.28363298371981216</v>
      </c>
      <c r="O8588" s="2">
        <f ca="1"/>
        <v>-2.1297776561729513</v>
      </c>
      <c r="X8588" s="2">
        <f ca="1"/>
        <v>40.361830221755355</v>
      </c>
      <c r="AG8588" s="2">
        <f ca="1"/>
        <v>0.75778295615885116</v>
      </c>
      <c r="AH8588" s="2" t="str">
        <f ca="1"/>
        <v>Bad</v>
      </c>
    </row>
    <row r="8589" spans="2:34" x14ac:dyDescent="0.2">
      <c r="B8589" s="2">
        <f ca="1"/>
        <v>0.36469405081794859</v>
      </c>
      <c r="O8589" s="2">
        <f ca="1"/>
        <v>-1.6205469206109331</v>
      </c>
      <c r="X8589" s="2">
        <f ca="1"/>
        <v>28.877230409427291</v>
      </c>
      <c r="AG8589" s="2">
        <f ca="1"/>
        <v>0.47015278631245505</v>
      </c>
      <c r="AH8589" s="2" t="str">
        <f ca="1"/>
        <v>Bad</v>
      </c>
    </row>
    <row r="8590" spans="2:34" x14ac:dyDescent="0.2">
      <c r="B8590" s="2">
        <f ca="1"/>
        <v>0.35012353726963275</v>
      </c>
      <c r="O8590" s="2">
        <f ca="1"/>
        <v>-1.0456835506970805</v>
      </c>
      <c r="X8590" s="2">
        <f ca="1"/>
        <v>76.996123666837576</v>
      </c>
      <c r="AG8590" s="2">
        <f ca="1"/>
        <v>0.9116097440601294</v>
      </c>
      <c r="AH8590" s="2" t="str">
        <f ca="1"/>
        <v>Bad</v>
      </c>
    </row>
    <row r="8591" spans="2:34" x14ac:dyDescent="0.2">
      <c r="B8591" s="2">
        <f ca="1"/>
        <v>7.210696151147733E-2</v>
      </c>
      <c r="O8591" s="2">
        <f ca="1"/>
        <v>1.0928841688668873</v>
      </c>
      <c r="X8591" s="2">
        <f ca="1"/>
        <v>23.00707179931274</v>
      </c>
      <c r="AG8591" s="2">
        <f ca="1"/>
        <v>3.5283644641722622E-2</v>
      </c>
      <c r="AH8591" s="2" t="str">
        <f ca="1"/>
        <v>Good</v>
      </c>
    </row>
    <row r="8592" spans="2:34" x14ac:dyDescent="0.2">
      <c r="B8592" s="2">
        <f ca="1"/>
        <v>0.66499692300564561</v>
      </c>
      <c r="O8592" s="2">
        <f ca="1"/>
        <v>-1.3313640329121459</v>
      </c>
      <c r="X8592" s="2">
        <f ca="1"/>
        <v>56.768394156785426</v>
      </c>
      <c r="AG8592" s="2">
        <f ca="1"/>
        <v>0.43850594770333018</v>
      </c>
      <c r="AH8592" s="2" t="str">
        <f ca="1"/>
        <v>Bad</v>
      </c>
    </row>
    <row r="8593" spans="2:34" x14ac:dyDescent="0.2">
      <c r="B8593" s="2">
        <f ca="1"/>
        <v>0.44195398043951695</v>
      </c>
      <c r="O8593" s="2">
        <f ca="1"/>
        <v>1.5332398754450252</v>
      </c>
      <c r="X8593" s="2">
        <f ca="1"/>
        <v>35.686339505197196</v>
      </c>
      <c r="AG8593" s="2">
        <f ca="1"/>
        <v>0.1486546898875627</v>
      </c>
      <c r="AH8593" s="2" t="str">
        <f ca="1"/>
        <v>OK</v>
      </c>
    </row>
    <row r="8594" spans="2:34" x14ac:dyDescent="0.2">
      <c r="B8594" s="2">
        <f ca="1"/>
        <v>0.26382307596888288</v>
      </c>
      <c r="O8594" s="2">
        <f ca="1"/>
        <v>0.80842275645616035</v>
      </c>
      <c r="X8594" s="2">
        <f ca="1"/>
        <v>47.022592831060635</v>
      </c>
      <c r="AG8594" s="2">
        <f ca="1"/>
        <v>9.1980442166127219E-2</v>
      </c>
      <c r="AH8594" s="2" t="str">
        <f ca="1"/>
        <v>OK</v>
      </c>
    </row>
    <row r="8595" spans="2:34" x14ac:dyDescent="0.2">
      <c r="B8595" s="2">
        <f ca="1"/>
        <v>0.29628818698764658</v>
      </c>
      <c r="O8595" s="2">
        <f ca="1"/>
        <v>0.52556233778046135</v>
      </c>
      <c r="X8595" s="2">
        <f ca="1"/>
        <v>30.837730306776152</v>
      </c>
      <c r="AG8595" s="2">
        <f ca="1"/>
        <v>0.65383415233758035</v>
      </c>
      <c r="AH8595" s="2" t="str">
        <f ca="1"/>
        <v>Bad</v>
      </c>
    </row>
    <row r="8596" spans="2:34" x14ac:dyDescent="0.2">
      <c r="B8596" s="2">
        <f ca="1"/>
        <v>0.65649734252901837</v>
      </c>
      <c r="O8596" s="2">
        <f ca="1"/>
        <v>0.39025185552045821</v>
      </c>
      <c r="X8596" s="2">
        <f ca="1"/>
        <v>66.213230406827336</v>
      </c>
      <c r="AG8596" s="2">
        <f ca="1"/>
        <v>0.35222845115453394</v>
      </c>
      <c r="AH8596" s="2" t="str">
        <f ca="1"/>
        <v>OK</v>
      </c>
    </row>
    <row r="8597" spans="2:34" x14ac:dyDescent="0.2">
      <c r="B8597" s="2">
        <f ca="1"/>
        <v>0.15741030554545232</v>
      </c>
      <c r="O8597" s="2">
        <f ca="1"/>
        <v>-0.85420850242549762</v>
      </c>
      <c r="X8597" s="2">
        <f ca="1"/>
        <v>64.852302517270417</v>
      </c>
      <c r="AG8597" s="2">
        <f ca="1"/>
        <v>0.89433963625773738</v>
      </c>
      <c r="AH8597" s="2" t="str">
        <f ca="1"/>
        <v>Bad</v>
      </c>
    </row>
    <row r="8598" spans="2:34" x14ac:dyDescent="0.2">
      <c r="B8598" s="2">
        <f ca="1"/>
        <v>0.21540996169621107</v>
      </c>
      <c r="O8598" s="2">
        <f ca="1"/>
        <v>-1.4450890902921518</v>
      </c>
      <c r="X8598" s="2">
        <f ca="1"/>
        <v>58.370858962234735</v>
      </c>
      <c r="AG8598" s="2">
        <f ca="1"/>
        <v>0.59300946426211421</v>
      </c>
      <c r="AH8598" s="2" t="str">
        <f ca="1"/>
        <v>Bad</v>
      </c>
    </row>
    <row r="8599" spans="2:34" x14ac:dyDescent="0.2">
      <c r="B8599" s="2">
        <f ca="1"/>
        <v>0.1476342799443211</v>
      </c>
      <c r="O8599" s="2">
        <f ca="1"/>
        <v>-7.8849093691418154E-2</v>
      </c>
      <c r="X8599" s="2">
        <f ca="1"/>
        <v>55.702884128017075</v>
      </c>
      <c r="AG8599" s="2">
        <f ca="1"/>
        <v>0.62346999621741861</v>
      </c>
      <c r="AH8599" s="2" t="str">
        <f ca="1"/>
        <v>Bad</v>
      </c>
    </row>
    <row r="8600" spans="2:34" x14ac:dyDescent="0.2">
      <c r="B8600" s="2">
        <f ca="1"/>
        <v>0.81334446428035223</v>
      </c>
      <c r="O8600" s="2">
        <f ca="1"/>
        <v>1.9338811823605893</v>
      </c>
      <c r="X8600" s="2">
        <f ca="1"/>
        <v>71.915586488709963</v>
      </c>
      <c r="AG8600" s="2">
        <f ca="1"/>
        <v>0.84463865851882991</v>
      </c>
      <c r="AH8600" s="2" t="str">
        <f ca="1"/>
        <v>Bad</v>
      </c>
    </row>
    <row r="8601" spans="2:34" x14ac:dyDescent="0.2">
      <c r="B8601" s="2">
        <f ca="1"/>
        <v>0.92743004469259516</v>
      </c>
      <c r="O8601" s="2">
        <f ca="1"/>
        <v>1.4822743258772364</v>
      </c>
      <c r="X8601" s="2">
        <f ca="1"/>
        <v>49.444815770362368</v>
      </c>
      <c r="AG8601" s="2">
        <f ca="1"/>
        <v>0.19046976504320745</v>
      </c>
      <c r="AH8601" s="2" t="str">
        <f ca="1"/>
        <v>OK</v>
      </c>
    </row>
    <row r="8602" spans="2:34" x14ac:dyDescent="0.2">
      <c r="B8602" s="2">
        <f ca="1"/>
        <v>0.59967196468380646</v>
      </c>
      <c r="O8602" s="2">
        <f ca="1"/>
        <v>1.1151857692055338</v>
      </c>
      <c r="X8602" s="2">
        <f ca="1"/>
        <v>53.204456346608772</v>
      </c>
      <c r="AG8602" s="2">
        <f ca="1"/>
        <v>0.80808702579462133</v>
      </c>
      <c r="AH8602" s="2" t="str">
        <f ca="1"/>
        <v>Bad</v>
      </c>
    </row>
    <row r="8603" spans="2:34" x14ac:dyDescent="0.2">
      <c r="B8603" s="2">
        <f ca="1"/>
        <v>0.95993329129326987</v>
      </c>
      <c r="O8603" s="2">
        <f ca="1"/>
        <v>1.3500920162636121</v>
      </c>
      <c r="X8603" s="2">
        <f ca="1"/>
        <v>45.879006474476171</v>
      </c>
      <c r="AG8603" s="2">
        <f ca="1"/>
        <v>0.94540368906066563</v>
      </c>
      <c r="AH8603" s="2" t="str">
        <f ca="1"/>
        <v>Bad</v>
      </c>
    </row>
    <row r="8604" spans="2:34" x14ac:dyDescent="0.2">
      <c r="B8604" s="2">
        <f ca="1"/>
        <v>0.20845214652774691</v>
      </c>
      <c r="O8604" s="2">
        <f ca="1"/>
        <v>0.41007970696561313</v>
      </c>
      <c r="X8604" s="2">
        <f ca="1"/>
        <v>69.844242979548753</v>
      </c>
      <c r="AG8604" s="2">
        <f ca="1"/>
        <v>0.64641818850485255</v>
      </c>
      <c r="AH8604" s="2" t="str">
        <f ca="1"/>
        <v>Bad</v>
      </c>
    </row>
    <row r="8605" spans="2:34" x14ac:dyDescent="0.2">
      <c r="B8605" s="2">
        <f ca="1"/>
        <v>0.511772662970299</v>
      </c>
      <c r="O8605" s="2">
        <f ca="1"/>
        <v>6.9934168743567823E-2</v>
      </c>
      <c r="X8605" s="2">
        <f ca="1"/>
        <v>30.439791502017044</v>
      </c>
      <c r="AG8605" s="2">
        <f ca="1"/>
        <v>0.98284564325176316</v>
      </c>
      <c r="AH8605" s="2" t="str">
        <f ca="1"/>
        <v>Bad</v>
      </c>
    </row>
    <row r="8606" spans="2:34" x14ac:dyDescent="0.2">
      <c r="B8606" s="2">
        <f ca="1"/>
        <v>0.2155721819920482</v>
      </c>
      <c r="O8606" s="2">
        <f ca="1"/>
        <v>-0.54904987483767631</v>
      </c>
      <c r="X8606" s="2">
        <f ca="1"/>
        <v>58.239467250691675</v>
      </c>
      <c r="AG8606" s="2">
        <f ca="1"/>
        <v>0.22809923460567894</v>
      </c>
      <c r="AH8606" s="2" t="str">
        <f ca="1"/>
        <v>OK</v>
      </c>
    </row>
    <row r="8607" spans="2:34" x14ac:dyDescent="0.2">
      <c r="B8607" s="2">
        <f ca="1"/>
        <v>9.897481343871628E-2</v>
      </c>
      <c r="O8607" s="2">
        <f ca="1"/>
        <v>-1.5721396783331929</v>
      </c>
      <c r="X8607" s="2">
        <f ca="1"/>
        <v>50.165275791494849</v>
      </c>
      <c r="AG8607" s="2">
        <f ca="1"/>
        <v>1.7666123190811511E-2</v>
      </c>
      <c r="AH8607" s="2" t="str">
        <f ca="1"/>
        <v>Good</v>
      </c>
    </row>
    <row r="8608" spans="2:34" x14ac:dyDescent="0.2">
      <c r="B8608" s="2">
        <f ca="1"/>
        <v>0.73962370418819634</v>
      </c>
      <c r="O8608" s="2">
        <f ca="1"/>
        <v>-0.10773924939927494</v>
      </c>
      <c r="X8608" s="2">
        <f ca="1"/>
        <v>36.369864657368495</v>
      </c>
      <c r="AG8608" s="2">
        <f ca="1"/>
        <v>0.65116758736776181</v>
      </c>
      <c r="AH8608" s="2" t="str">
        <f ca="1"/>
        <v>Bad</v>
      </c>
    </row>
    <row r="8609" spans="2:34" x14ac:dyDescent="0.2">
      <c r="B8609" s="2">
        <f ca="1"/>
        <v>0.7765439894943833</v>
      </c>
      <c r="O8609" s="2">
        <f ca="1"/>
        <v>-0.36538405001511909</v>
      </c>
      <c r="X8609" s="2">
        <f ca="1"/>
        <v>39.591577033306443</v>
      </c>
      <c r="AG8609" s="2">
        <f ca="1"/>
        <v>0.36750718654253123</v>
      </c>
      <c r="AH8609" s="2" t="str">
        <f ca="1"/>
        <v>OK</v>
      </c>
    </row>
    <row r="8610" spans="2:34" x14ac:dyDescent="0.2">
      <c r="B8610" s="2">
        <f ca="1"/>
        <v>4.4657127841546851E-2</v>
      </c>
      <c r="O8610" s="2">
        <f ca="1"/>
        <v>-1.1516530426761666</v>
      </c>
      <c r="X8610" s="2">
        <f ca="1"/>
        <v>43.298733950108421</v>
      </c>
      <c r="AG8610" s="2">
        <f ca="1"/>
        <v>0.58348213701807916</v>
      </c>
      <c r="AH8610" s="2" t="str">
        <f ca="1"/>
        <v>Bad</v>
      </c>
    </row>
    <row r="8611" spans="2:34" x14ac:dyDescent="0.2">
      <c r="B8611" s="2">
        <f ca="1"/>
        <v>0.91168583725173513</v>
      </c>
      <c r="O8611" s="2">
        <f ca="1"/>
        <v>-1.2896277470799595</v>
      </c>
      <c r="X8611" s="2">
        <f ca="1"/>
        <v>34.645298524327508</v>
      </c>
      <c r="AG8611" s="2">
        <f ca="1"/>
        <v>0.37073741216054956</v>
      </c>
      <c r="AH8611" s="2" t="str">
        <f ca="1"/>
        <v>OK</v>
      </c>
    </row>
    <row r="8612" spans="2:34" x14ac:dyDescent="0.2">
      <c r="B8612" s="2">
        <f ca="1"/>
        <v>3.9561588031202799E-3</v>
      </c>
      <c r="O8612" s="2">
        <f ca="1"/>
        <v>-0.20305046948836467</v>
      </c>
      <c r="X8612" s="2">
        <f ca="1"/>
        <v>67.944231847248702</v>
      </c>
      <c r="AG8612" s="2">
        <f ca="1"/>
        <v>0.75998135643495046</v>
      </c>
      <c r="AH8612" s="2" t="str">
        <f ca="1"/>
        <v>Bad</v>
      </c>
    </row>
    <row r="8613" spans="2:34" x14ac:dyDescent="0.2">
      <c r="B8613" s="2">
        <f ca="1"/>
        <v>0.24677623990793429</v>
      </c>
      <c r="O8613" s="2">
        <f ca="1"/>
        <v>1.3123205619253804</v>
      </c>
      <c r="X8613" s="2">
        <f ca="1"/>
        <v>69.790159117983677</v>
      </c>
      <c r="AG8613" s="2">
        <f ca="1"/>
        <v>0.91859509289675567</v>
      </c>
      <c r="AH8613" s="2" t="str">
        <f ca="1"/>
        <v>Bad</v>
      </c>
    </row>
    <row r="8614" spans="2:34" x14ac:dyDescent="0.2">
      <c r="B8614" s="2">
        <f ca="1"/>
        <v>0.52650231747400889</v>
      </c>
      <c r="O8614" s="2">
        <f ca="1"/>
        <v>-0.70164209933116106</v>
      </c>
      <c r="X8614" s="2">
        <f ca="1"/>
        <v>52.313352655164167</v>
      </c>
      <c r="AG8614" s="2">
        <f ca="1"/>
        <v>0.31298099599340201</v>
      </c>
      <c r="AH8614" s="2" t="str">
        <f ca="1"/>
        <v>OK</v>
      </c>
    </row>
    <row r="8615" spans="2:34" x14ac:dyDescent="0.2">
      <c r="B8615" s="2">
        <f ca="1"/>
        <v>0.66955568846635161</v>
      </c>
      <c r="O8615" s="2">
        <f ca="1"/>
        <v>2.9065437496238435E-2</v>
      </c>
      <c r="X8615" s="2">
        <f ca="1"/>
        <v>37.359674286637031</v>
      </c>
      <c r="AG8615" s="2">
        <f ca="1"/>
        <v>9.6190856510526723E-2</v>
      </c>
      <c r="AH8615" s="2" t="str">
        <f ca="1"/>
        <v>OK</v>
      </c>
    </row>
    <row r="8616" spans="2:34" x14ac:dyDescent="0.2">
      <c r="B8616" s="2">
        <f ca="1"/>
        <v>0.50565188191397703</v>
      </c>
      <c r="O8616" s="2">
        <f ca="1"/>
        <v>-0.10244418358150739</v>
      </c>
      <c r="X8616" s="2">
        <f ca="1"/>
        <v>58.940383842375525</v>
      </c>
      <c r="AG8616" s="2">
        <f ca="1"/>
        <v>0.60855898173230294</v>
      </c>
      <c r="AH8616" s="2" t="str">
        <f ca="1"/>
        <v>Bad</v>
      </c>
    </row>
    <row r="8617" spans="2:34" x14ac:dyDescent="0.2">
      <c r="B8617" s="2">
        <f ca="1"/>
        <v>0.67400896127109489</v>
      </c>
      <c r="O8617" s="2">
        <f ca="1"/>
        <v>-1.2435312550954762</v>
      </c>
      <c r="X8617" s="2">
        <f ca="1"/>
        <v>57.113299032402523</v>
      </c>
      <c r="AG8617" s="2">
        <f ca="1"/>
        <v>0.68809479106692062</v>
      </c>
      <c r="AH8617" s="2" t="str">
        <f ca="1"/>
        <v>Bad</v>
      </c>
    </row>
    <row r="8618" spans="2:34" x14ac:dyDescent="0.2">
      <c r="B8618" s="2">
        <f ca="1"/>
        <v>0.83264569436239033</v>
      </c>
      <c r="O8618" s="2">
        <f ca="1"/>
        <v>0.93501084375208932</v>
      </c>
      <c r="X8618" s="2">
        <f ca="1"/>
        <v>56.264602651535057</v>
      </c>
      <c r="AG8618" s="2">
        <f ca="1"/>
        <v>0.69176577862459387</v>
      </c>
      <c r="AH8618" s="2" t="str">
        <f ca="1"/>
        <v>Bad</v>
      </c>
    </row>
    <row r="8619" spans="2:34" x14ac:dyDescent="0.2">
      <c r="B8619" s="2">
        <f ca="1"/>
        <v>0.13807946301849583</v>
      </c>
      <c r="O8619" s="2">
        <f ca="1"/>
        <v>0.78460369144158382</v>
      </c>
      <c r="X8619" s="2">
        <f ca="1"/>
        <v>61.369211862405599</v>
      </c>
      <c r="AG8619" s="2">
        <f ca="1"/>
        <v>0.93603283374326418</v>
      </c>
      <c r="AH8619" s="2" t="str">
        <f ca="1"/>
        <v>Bad</v>
      </c>
    </row>
    <row r="8620" spans="2:34" x14ac:dyDescent="0.2">
      <c r="B8620" s="2">
        <f ca="1"/>
        <v>0.16269052795460515</v>
      </c>
      <c r="O8620" s="2">
        <f ca="1"/>
        <v>-0.70829569206095078</v>
      </c>
      <c r="X8620" s="2">
        <f ca="1"/>
        <v>42.192483376682198</v>
      </c>
      <c r="AG8620" s="2">
        <f ca="1"/>
        <v>0.47076752924914955</v>
      </c>
      <c r="AH8620" s="2" t="str">
        <f ca="1"/>
        <v>Bad</v>
      </c>
    </row>
    <row r="8621" spans="2:34" x14ac:dyDescent="0.2">
      <c r="B8621" s="2">
        <f ca="1"/>
        <v>0.40973883179359705</v>
      </c>
      <c r="O8621" s="2">
        <f ca="1"/>
        <v>0.12613091658706665</v>
      </c>
      <c r="X8621" s="2">
        <f ca="1"/>
        <v>38.491513872664399</v>
      </c>
      <c r="AG8621" s="2">
        <f ca="1"/>
        <v>3.519658247527846E-2</v>
      </c>
      <c r="AH8621" s="2" t="str">
        <f ca="1"/>
        <v>Good</v>
      </c>
    </row>
    <row r="8622" spans="2:34" x14ac:dyDescent="0.2">
      <c r="B8622" s="2">
        <f ca="1"/>
        <v>0.6824677406196078</v>
      </c>
      <c r="O8622" s="2">
        <f ca="1"/>
        <v>-0.87568242740131075</v>
      </c>
      <c r="X8622" s="2">
        <f ca="1"/>
        <v>63.541611168610679</v>
      </c>
      <c r="AG8622" s="2">
        <f ca="1"/>
        <v>0.3791564823466913</v>
      </c>
      <c r="AH8622" s="2" t="str">
        <f ca="1"/>
        <v>OK</v>
      </c>
    </row>
    <row r="8623" spans="2:34" x14ac:dyDescent="0.2">
      <c r="B8623" s="2">
        <f ca="1"/>
        <v>1.8046768813866132E-2</v>
      </c>
      <c r="O8623" s="2">
        <f ca="1"/>
        <v>-1.0510108383760146</v>
      </c>
      <c r="X8623" s="2">
        <f ca="1"/>
        <v>55.404464491895681</v>
      </c>
      <c r="AG8623" s="2">
        <f ca="1"/>
        <v>0.69036150442626365</v>
      </c>
      <c r="AH8623" s="2" t="str">
        <f ca="1"/>
        <v>Bad</v>
      </c>
    </row>
    <row r="8624" spans="2:34" x14ac:dyDescent="0.2">
      <c r="B8624" s="2">
        <f ca="1"/>
        <v>0.34141214136404519</v>
      </c>
      <c r="O8624" s="2">
        <f ca="1"/>
        <v>1.1169499888797947</v>
      </c>
      <c r="X8624" s="2">
        <f ca="1"/>
        <v>35.697344610287132</v>
      </c>
      <c r="AG8624" s="2">
        <f ca="1"/>
        <v>0.97640365036735943</v>
      </c>
      <c r="AH8624" s="2" t="str">
        <f ca="1"/>
        <v>Bad</v>
      </c>
    </row>
    <row r="8625" spans="2:34" x14ac:dyDescent="0.2">
      <c r="B8625" s="2">
        <f ca="1"/>
        <v>0.12384216900501399</v>
      </c>
      <c r="O8625" s="2">
        <f ca="1"/>
        <v>1.2182937706769841</v>
      </c>
      <c r="X8625" s="2">
        <f ca="1"/>
        <v>50.047862689615528</v>
      </c>
      <c r="AG8625" s="2">
        <f ca="1"/>
        <v>0.72757121942786118</v>
      </c>
      <c r="AH8625" s="2" t="str">
        <f ca="1"/>
        <v>Bad</v>
      </c>
    </row>
    <row r="8626" spans="2:34" x14ac:dyDescent="0.2">
      <c r="B8626" s="2">
        <f ca="1"/>
        <v>1.4064065700849726E-2</v>
      </c>
      <c r="O8626" s="2">
        <f ca="1"/>
        <v>-0.14612449606462843</v>
      </c>
      <c r="X8626" s="2">
        <f ca="1"/>
        <v>43.923091692589004</v>
      </c>
      <c r="AG8626" s="2">
        <f ca="1"/>
        <v>0.53934907789156106</v>
      </c>
      <c r="AH8626" s="2" t="str">
        <f ca="1"/>
        <v>Bad</v>
      </c>
    </row>
    <row r="8627" spans="2:34" x14ac:dyDescent="0.2">
      <c r="B8627" s="2">
        <f ca="1"/>
        <v>0.36306100417465936</v>
      </c>
      <c r="O8627" s="2">
        <f ca="1"/>
        <v>0.48016568452698544</v>
      </c>
      <c r="X8627" s="2">
        <f ca="1"/>
        <v>49.089290393204294</v>
      </c>
      <c r="AG8627" s="2">
        <f ca="1"/>
        <v>0.38198529858884767</v>
      </c>
      <c r="AH8627" s="2" t="str">
        <f ca="1"/>
        <v>OK</v>
      </c>
    </row>
    <row r="8628" spans="2:34" x14ac:dyDescent="0.2">
      <c r="B8628" s="2">
        <f ca="1"/>
        <v>0.70863543613582025</v>
      </c>
      <c r="O8628" s="2">
        <f ca="1"/>
        <v>4.0423247913105843E-2</v>
      </c>
      <c r="X8628" s="2">
        <f ca="1"/>
        <v>36.236949923483785</v>
      </c>
      <c r="AG8628" s="2">
        <f ca="1"/>
        <v>0.9306251621282593</v>
      </c>
      <c r="AH8628" s="2" t="str">
        <f ca="1"/>
        <v>Bad</v>
      </c>
    </row>
    <row r="8629" spans="2:34" x14ac:dyDescent="0.2">
      <c r="B8629" s="2">
        <f ca="1"/>
        <v>0.95439696023163356</v>
      </c>
      <c r="O8629" s="2">
        <f ca="1"/>
        <v>0.85629104083160912</v>
      </c>
      <c r="X8629" s="2">
        <f ca="1"/>
        <v>48.816159552659919</v>
      </c>
      <c r="AG8629" s="2">
        <f ca="1"/>
        <v>0.93816335042184806</v>
      </c>
      <c r="AH8629" s="2" t="str">
        <f ca="1"/>
        <v>Bad</v>
      </c>
    </row>
    <row r="8630" spans="2:34" x14ac:dyDescent="0.2">
      <c r="B8630" s="2">
        <f ca="1"/>
        <v>0.92267450152913422</v>
      </c>
      <c r="O8630" s="2">
        <f ca="1"/>
        <v>0.62642145683876738</v>
      </c>
      <c r="X8630" s="2">
        <f ca="1"/>
        <v>43.93661151263008</v>
      </c>
      <c r="AG8630" s="2">
        <f ca="1"/>
        <v>0.56119938226881039</v>
      </c>
      <c r="AH8630" s="2" t="str">
        <f ca="1"/>
        <v>Bad</v>
      </c>
    </row>
    <row r="8631" spans="2:34" x14ac:dyDescent="0.2">
      <c r="B8631" s="2">
        <f ca="1"/>
        <v>0.60754574472147271</v>
      </c>
      <c r="O8631" s="2">
        <f ca="1"/>
        <v>-1.2946279888339935</v>
      </c>
      <c r="X8631" s="2">
        <f ca="1"/>
        <v>48.758549927599695</v>
      </c>
      <c r="AG8631" s="2">
        <f ca="1"/>
        <v>0.11093193920238753</v>
      </c>
      <c r="AH8631" s="2" t="str">
        <f ca="1"/>
        <v>OK</v>
      </c>
    </row>
    <row r="8632" spans="2:34" x14ac:dyDescent="0.2">
      <c r="B8632" s="2">
        <f ca="1"/>
        <v>0.13871554121260998</v>
      </c>
      <c r="O8632" s="2">
        <f ca="1"/>
        <v>1.1386514863160637</v>
      </c>
      <c r="X8632" s="2">
        <f ca="1"/>
        <v>95.605317577857946</v>
      </c>
      <c r="AG8632" s="2">
        <f ca="1"/>
        <v>0.88899341623002504</v>
      </c>
      <c r="AH8632" s="2" t="str">
        <f ca="1"/>
        <v>Bad</v>
      </c>
    </row>
    <row r="8633" spans="2:34" x14ac:dyDescent="0.2">
      <c r="B8633" s="2">
        <f ca="1"/>
        <v>0.15331836704910407</v>
      </c>
      <c r="O8633" s="2">
        <f ca="1"/>
        <v>0.8363622061073539</v>
      </c>
      <c r="X8633" s="2">
        <f ca="1"/>
        <v>81.95599670864172</v>
      </c>
      <c r="AG8633" s="2">
        <f ca="1"/>
        <v>0.27785704707792025</v>
      </c>
      <c r="AH8633" s="2" t="str">
        <f ca="1"/>
        <v>OK</v>
      </c>
    </row>
    <row r="8634" spans="2:34" x14ac:dyDescent="0.2">
      <c r="B8634" s="2">
        <f ca="1"/>
        <v>0.97768868210763693</v>
      </c>
      <c r="O8634" s="2">
        <f ca="1"/>
        <v>-0.62800441005639274</v>
      </c>
      <c r="X8634" s="2">
        <f ca="1"/>
        <v>40.773680191466475</v>
      </c>
      <c r="AG8634" s="2">
        <f ca="1"/>
        <v>0.11090435504181761</v>
      </c>
      <c r="AH8634" s="2" t="str">
        <f ca="1"/>
        <v>OK</v>
      </c>
    </row>
    <row r="8635" spans="2:34" x14ac:dyDescent="0.2">
      <c r="B8635" s="2">
        <f ca="1"/>
        <v>0.43031524323470083</v>
      </c>
      <c r="O8635" s="2">
        <f ca="1"/>
        <v>-0.18922016776422934</v>
      </c>
      <c r="X8635" s="2">
        <f ca="1"/>
        <v>56.013558014876665</v>
      </c>
      <c r="AG8635" s="2">
        <f ca="1"/>
        <v>0.30610978281653445</v>
      </c>
      <c r="AH8635" s="2" t="str">
        <f ca="1"/>
        <v>OK</v>
      </c>
    </row>
    <row r="8636" spans="2:34" x14ac:dyDescent="0.2">
      <c r="B8636" s="2">
        <f ca="1"/>
        <v>0.53310218646943275</v>
      </c>
      <c r="O8636" s="2">
        <f ca="1"/>
        <v>0.6283535759934834</v>
      </c>
      <c r="X8636" s="2">
        <f ca="1"/>
        <v>44.313309218062372</v>
      </c>
      <c r="AG8636" s="2">
        <f ca="1"/>
        <v>0.46893829095407402</v>
      </c>
      <c r="AH8636" s="2" t="str">
        <f ca="1"/>
        <v>Bad</v>
      </c>
    </row>
    <row r="8637" spans="2:34" x14ac:dyDescent="0.2">
      <c r="B8637" s="2">
        <f ca="1"/>
        <v>1.5749692979521557E-2</v>
      </c>
      <c r="O8637" s="2">
        <f ca="1"/>
        <v>1.4893205649128043</v>
      </c>
      <c r="X8637" s="2">
        <f ca="1"/>
        <v>46.865160936610025</v>
      </c>
      <c r="AG8637" s="2">
        <f ca="1"/>
        <v>0.95771010681530155</v>
      </c>
      <c r="AH8637" s="2" t="str">
        <f ca="1"/>
        <v>Bad</v>
      </c>
    </row>
    <row r="8638" spans="2:34" x14ac:dyDescent="0.2">
      <c r="B8638" s="2">
        <f ca="1"/>
        <v>0.4877564551189757</v>
      </c>
      <c r="O8638" s="2">
        <f ca="1"/>
        <v>1.9438281764302994</v>
      </c>
      <c r="X8638" s="2">
        <f ca="1"/>
        <v>31.050959202400513</v>
      </c>
      <c r="AG8638" s="2">
        <f ca="1"/>
        <v>0.15772680489173552</v>
      </c>
      <c r="AH8638" s="2" t="str">
        <f ca="1"/>
        <v>OK</v>
      </c>
    </row>
    <row r="8639" spans="2:34" x14ac:dyDescent="0.2">
      <c r="B8639" s="2">
        <f ca="1"/>
        <v>0.82326561386294839</v>
      </c>
      <c r="O8639" s="2">
        <f ca="1"/>
        <v>1.3230506582839734</v>
      </c>
      <c r="X8639" s="2">
        <f ca="1"/>
        <v>55.586690311643949</v>
      </c>
      <c r="AG8639" s="2">
        <f ca="1"/>
        <v>0.18338422404506649</v>
      </c>
      <c r="AH8639" s="2" t="str">
        <f ca="1"/>
        <v>OK</v>
      </c>
    </row>
    <row r="8640" spans="2:34" x14ac:dyDescent="0.2">
      <c r="B8640" s="2">
        <f ca="1"/>
        <v>0.9182070805970699</v>
      </c>
      <c r="O8640" s="2">
        <f ca="1"/>
        <v>0.90865045562962843</v>
      </c>
      <c r="X8640" s="2">
        <f ca="1"/>
        <v>28.421867801960357</v>
      </c>
      <c r="AG8640" s="2">
        <f ca="1"/>
        <v>0.1029127782993946</v>
      </c>
      <c r="AH8640" s="2" t="str">
        <f ca="1"/>
        <v>OK</v>
      </c>
    </row>
    <row r="8641" spans="2:34" x14ac:dyDescent="0.2">
      <c r="B8641" s="2">
        <f ca="1"/>
        <v>0.73830910307590436</v>
      </c>
      <c r="O8641" s="2">
        <f ca="1"/>
        <v>2.0112609213217709</v>
      </c>
      <c r="X8641" s="2">
        <f ca="1"/>
        <v>58.012330454698414</v>
      </c>
      <c r="AG8641" s="2">
        <f ca="1"/>
        <v>0.83755585948772593</v>
      </c>
      <c r="AH8641" s="2" t="str">
        <f ca="1"/>
        <v>Bad</v>
      </c>
    </row>
    <row r="8642" spans="2:34" x14ac:dyDescent="0.2">
      <c r="B8642" s="2">
        <f ca="1"/>
        <v>0.56976375043677296</v>
      </c>
      <c r="O8642" s="2">
        <f ca="1"/>
        <v>-8.5969202424564919E-2</v>
      </c>
      <c r="X8642" s="2">
        <f ca="1"/>
        <v>71.734140622854937</v>
      </c>
      <c r="AG8642" s="2">
        <f ca="1"/>
        <v>0.66823289134947306</v>
      </c>
      <c r="AH8642" s="2" t="str">
        <f ca="1"/>
        <v>Bad</v>
      </c>
    </row>
    <row r="8643" spans="2:34" x14ac:dyDescent="0.2">
      <c r="B8643" s="2">
        <f ca="1"/>
        <v>0.13546299999818223</v>
      </c>
      <c r="O8643" s="2">
        <f ca="1"/>
        <v>1.7005157291427262</v>
      </c>
      <c r="X8643" s="2">
        <f ca="1"/>
        <v>59.704626815003799</v>
      </c>
      <c r="AG8643" s="2">
        <f ca="1"/>
        <v>0.58490774614534602</v>
      </c>
      <c r="AH8643" s="2" t="str">
        <f ca="1"/>
        <v>Bad</v>
      </c>
    </row>
    <row r="8644" spans="2:34" x14ac:dyDescent="0.2">
      <c r="B8644" s="2">
        <f ca="1"/>
        <v>0.23860198270117627</v>
      </c>
      <c r="O8644" s="2">
        <f ca="1"/>
        <v>-0.44466057863063252</v>
      </c>
      <c r="X8644" s="2">
        <f ca="1"/>
        <v>61.068991354317042</v>
      </c>
      <c r="AG8644" s="2">
        <f ca="1"/>
        <v>0.94730394004738305</v>
      </c>
      <c r="AH8644" s="2" t="str">
        <f ca="1"/>
        <v>Bad</v>
      </c>
    </row>
    <row r="8645" spans="2:34" x14ac:dyDescent="0.2">
      <c r="B8645" s="2">
        <f ca="1"/>
        <v>0.21388097662554206</v>
      </c>
      <c r="O8645" s="2">
        <f ca="1"/>
        <v>0.74055694201720346</v>
      </c>
      <c r="X8645" s="2">
        <f ca="1"/>
        <v>39.471457697763654</v>
      </c>
      <c r="AG8645" s="2">
        <f ca="1"/>
        <v>0.48690180272695271</v>
      </c>
      <c r="AH8645" s="2" t="str">
        <f ca="1"/>
        <v>Bad</v>
      </c>
    </row>
    <row r="8646" spans="2:34" x14ac:dyDescent="0.2">
      <c r="B8646" s="2">
        <f ca="1"/>
        <v>0.83462049404315208</v>
      </c>
      <c r="O8646" s="2">
        <f ca="1"/>
        <v>-0.13715405879077766</v>
      </c>
      <c r="X8646" s="2">
        <f ca="1"/>
        <v>68.085123596606863</v>
      </c>
      <c r="AG8646" s="2">
        <f ca="1"/>
        <v>0.93130583655205612</v>
      </c>
      <c r="AH8646" s="2" t="str">
        <f ca="1"/>
        <v>Bad</v>
      </c>
    </row>
    <row r="8647" spans="2:34" x14ac:dyDescent="0.2">
      <c r="B8647" s="2">
        <f ca="1"/>
        <v>0.85095629893382241</v>
      </c>
      <c r="O8647" s="2">
        <f ca="1"/>
        <v>0.84261662196128617</v>
      </c>
      <c r="X8647" s="2">
        <f ca="1"/>
        <v>33.880069311679961</v>
      </c>
      <c r="AG8647" s="2">
        <f ca="1"/>
        <v>0.96266709409630269</v>
      </c>
      <c r="AH8647" s="2" t="str">
        <f ca="1"/>
        <v>Bad</v>
      </c>
    </row>
    <row r="8648" spans="2:34" x14ac:dyDescent="0.2">
      <c r="B8648" s="2">
        <f ca="1"/>
        <v>0.97354362780053361</v>
      </c>
      <c r="O8648" s="2">
        <f ca="1"/>
        <v>0.21328402499450011</v>
      </c>
      <c r="X8648" s="2">
        <f ca="1"/>
        <v>52.727325839408898</v>
      </c>
      <c r="AG8648" s="2">
        <f ca="1"/>
        <v>0.12453811613721744</v>
      </c>
      <c r="AH8648" s="2" t="str">
        <f ca="1"/>
        <v>OK</v>
      </c>
    </row>
    <row r="8649" spans="2:34" x14ac:dyDescent="0.2">
      <c r="B8649" s="2">
        <f ca="1"/>
        <v>0.92405150587613205</v>
      </c>
      <c r="O8649" s="2">
        <f ca="1"/>
        <v>-1.9406817037236443</v>
      </c>
      <c r="X8649" s="2">
        <f ca="1"/>
        <v>28.556001650889385</v>
      </c>
      <c r="AG8649" s="2">
        <f ca="1"/>
        <v>0.96477109396930194</v>
      </c>
      <c r="AH8649" s="2" t="str">
        <f ca="1"/>
        <v>Bad</v>
      </c>
    </row>
    <row r="8650" spans="2:34" x14ac:dyDescent="0.2">
      <c r="B8650" s="2">
        <f ca="1"/>
        <v>0.97035979246662429</v>
      </c>
      <c r="O8650" s="2">
        <f ca="1"/>
        <v>0.20252847209508346</v>
      </c>
      <c r="X8650" s="2">
        <f ca="1"/>
        <v>34.234635047116001</v>
      </c>
      <c r="AG8650" s="2">
        <f ca="1"/>
        <v>0.45397847536904279</v>
      </c>
      <c r="AH8650" s="2" t="str">
        <f ca="1"/>
        <v>Bad</v>
      </c>
    </row>
    <row r="8651" spans="2:34" x14ac:dyDescent="0.2">
      <c r="B8651" s="2">
        <f ca="1"/>
        <v>0.800758534037874</v>
      </c>
      <c r="O8651" s="2">
        <f ca="1"/>
        <v>0.32984317122131346</v>
      </c>
      <c r="X8651" s="2">
        <f ca="1"/>
        <v>26.564919443532563</v>
      </c>
      <c r="AG8651" s="2">
        <f ca="1"/>
        <v>0.9728107421762493</v>
      </c>
      <c r="AH8651" s="2" t="str">
        <f ca="1"/>
        <v>Bad</v>
      </c>
    </row>
    <row r="8652" spans="2:34" x14ac:dyDescent="0.2">
      <c r="B8652" s="2">
        <f ca="1"/>
        <v>0.97755541386610911</v>
      </c>
      <c r="O8652" s="2">
        <f ca="1"/>
        <v>-0.52509721768181195</v>
      </c>
      <c r="X8652" s="2">
        <f ca="1"/>
        <v>65.157308891393242</v>
      </c>
      <c r="AG8652" s="2">
        <f ca="1"/>
        <v>0.65152512382311789</v>
      </c>
      <c r="AH8652" s="2" t="str">
        <f ca="1"/>
        <v>Bad</v>
      </c>
    </row>
    <row r="8653" spans="2:34" x14ac:dyDescent="0.2">
      <c r="B8653" s="2">
        <f ca="1"/>
        <v>0.15377543588152087</v>
      </c>
      <c r="O8653" s="2">
        <f ca="1"/>
        <v>0.5949129862288669</v>
      </c>
      <c r="X8653" s="2">
        <f ca="1"/>
        <v>44.573847488694405</v>
      </c>
      <c r="AG8653" s="2">
        <f ca="1"/>
        <v>0.91458169090660091</v>
      </c>
      <c r="AH8653" s="2" t="str">
        <f ca="1"/>
        <v>Bad</v>
      </c>
    </row>
    <row r="8654" spans="2:34" x14ac:dyDescent="0.2">
      <c r="B8654" s="2">
        <f ca="1"/>
        <v>0.35119448435801459</v>
      </c>
      <c r="O8654" s="2">
        <f ca="1"/>
        <v>0.47758896682818858</v>
      </c>
      <c r="X8654" s="2">
        <f ca="1"/>
        <v>50.958574396750016</v>
      </c>
      <c r="AG8654" s="2">
        <f ca="1"/>
        <v>0.7572105419568913</v>
      </c>
      <c r="AH8654" s="2" t="str">
        <f ca="1"/>
        <v>Bad</v>
      </c>
    </row>
    <row r="8655" spans="2:34" x14ac:dyDescent="0.2">
      <c r="B8655" s="2">
        <f ca="1"/>
        <v>0.59504592761045094</v>
      </c>
      <c r="O8655" s="2">
        <f ca="1"/>
        <v>-0.13306459454580519</v>
      </c>
      <c r="X8655" s="2">
        <f ca="1"/>
        <v>94.016355592893859</v>
      </c>
      <c r="AG8655" s="2">
        <f ca="1"/>
        <v>0.71629733355234437</v>
      </c>
      <c r="AH8655" s="2" t="str">
        <f ca="1"/>
        <v>Bad</v>
      </c>
    </row>
    <row r="8656" spans="2:34" x14ac:dyDescent="0.2">
      <c r="B8656" s="2">
        <f ca="1"/>
        <v>0.81433829475691843</v>
      </c>
      <c r="O8656" s="2">
        <f ca="1"/>
        <v>1.4449041674565943</v>
      </c>
      <c r="X8656" s="2">
        <f ca="1"/>
        <v>49.799988695347878</v>
      </c>
      <c r="AG8656" s="2">
        <f ca="1"/>
        <v>0.23653292469847531</v>
      </c>
      <c r="AH8656" s="2" t="str">
        <f ca="1"/>
        <v>OK</v>
      </c>
    </row>
    <row r="8657" spans="2:34" x14ac:dyDescent="0.2">
      <c r="B8657" s="2">
        <f ca="1"/>
        <v>0.28952908808076572</v>
      </c>
      <c r="O8657" s="2">
        <f ca="1"/>
        <v>-2.2330090313835695</v>
      </c>
      <c r="X8657" s="2">
        <f ca="1"/>
        <v>43.528640487692876</v>
      </c>
      <c r="AG8657" s="2">
        <f ca="1"/>
        <v>0.76717685833439453</v>
      </c>
      <c r="AH8657" s="2" t="str">
        <f ca="1"/>
        <v>Bad</v>
      </c>
    </row>
    <row r="8658" spans="2:34" x14ac:dyDescent="0.2">
      <c r="B8658" s="2">
        <f ca="1"/>
        <v>0.85910691269876294</v>
      </c>
      <c r="O8658" s="2">
        <f ca="1"/>
        <v>0.21609668691333936</v>
      </c>
      <c r="X8658" s="2">
        <f ca="1"/>
        <v>53.411710864002188</v>
      </c>
      <c r="AG8658" s="2">
        <f ca="1"/>
        <v>0.25721385133899544</v>
      </c>
      <c r="AH8658" s="2" t="str">
        <f ca="1"/>
        <v>OK</v>
      </c>
    </row>
    <row r="8659" spans="2:34" x14ac:dyDescent="0.2">
      <c r="B8659" s="2">
        <f ca="1"/>
        <v>4.3106348485100643E-2</v>
      </c>
      <c r="O8659" s="2">
        <f ca="1"/>
        <v>-9.9092706058670654E-2</v>
      </c>
      <c r="X8659" s="2">
        <f ca="1"/>
        <v>64.193685457300091</v>
      </c>
      <c r="AG8659" s="2">
        <f ca="1"/>
        <v>0.28581981117265531</v>
      </c>
      <c r="AH8659" s="2" t="str">
        <f ca="1"/>
        <v>OK</v>
      </c>
    </row>
    <row r="8660" spans="2:34" x14ac:dyDescent="0.2">
      <c r="B8660" s="2">
        <f ca="1"/>
        <v>0.49407983434666702</v>
      </c>
      <c r="O8660" s="2">
        <f ca="1"/>
        <v>-0.71793237976549107</v>
      </c>
      <c r="X8660" s="2">
        <f ca="1"/>
        <v>59.581105619037217</v>
      </c>
      <c r="AG8660" s="2">
        <f ca="1"/>
        <v>0.17742821879854365</v>
      </c>
      <c r="AH8660" s="2" t="str">
        <f ca="1"/>
        <v>OK</v>
      </c>
    </row>
    <row r="8661" spans="2:34" x14ac:dyDescent="0.2">
      <c r="B8661" s="2">
        <f ca="1"/>
        <v>0.50945999835316758</v>
      </c>
      <c r="O8661" s="2">
        <f ca="1"/>
        <v>0.24972767119558567</v>
      </c>
      <c r="X8661" s="2">
        <f ca="1"/>
        <v>46.489539671684199</v>
      </c>
      <c r="AG8661" s="2">
        <f ca="1"/>
        <v>0.90534585385121624</v>
      </c>
      <c r="AH8661" s="2" t="str">
        <f ca="1"/>
        <v>Bad</v>
      </c>
    </row>
    <row r="8662" spans="2:34" x14ac:dyDescent="0.2">
      <c r="B8662" s="2">
        <f ca="1"/>
        <v>4.4691809915200498E-3</v>
      </c>
      <c r="O8662" s="2">
        <f ca="1"/>
        <v>1.3286709213505428</v>
      </c>
      <c r="X8662" s="2">
        <f ca="1"/>
        <v>62.285957513224929</v>
      </c>
      <c r="AG8662" s="2">
        <f ca="1"/>
        <v>0.70252815546552272</v>
      </c>
      <c r="AH8662" s="2" t="str">
        <f ca="1"/>
        <v>Bad</v>
      </c>
    </row>
    <row r="8663" spans="2:34" x14ac:dyDescent="0.2">
      <c r="B8663" s="2">
        <f ca="1"/>
        <v>0.21749852491803634</v>
      </c>
      <c r="O8663" s="2">
        <f ca="1"/>
        <v>-0.61286002742775336</v>
      </c>
      <c r="X8663" s="2">
        <f ca="1"/>
        <v>51.352243901381868</v>
      </c>
      <c r="AG8663" s="2">
        <f ca="1"/>
        <v>0.7131222667071464</v>
      </c>
      <c r="AH8663" s="2" t="str">
        <f ca="1"/>
        <v>Bad</v>
      </c>
    </row>
    <row r="8664" spans="2:34" x14ac:dyDescent="0.2">
      <c r="B8664" s="2">
        <f ca="1"/>
        <v>0.2044927066624167</v>
      </c>
      <c r="O8664" s="2">
        <f ca="1"/>
        <v>-0.48665233941772112</v>
      </c>
      <c r="X8664" s="2">
        <f ca="1"/>
        <v>53.714692784224823</v>
      </c>
      <c r="AG8664" s="2">
        <f ca="1"/>
        <v>0.37673631037469368</v>
      </c>
      <c r="AH8664" s="2" t="str">
        <f ca="1"/>
        <v>OK</v>
      </c>
    </row>
    <row r="8665" spans="2:34" x14ac:dyDescent="0.2">
      <c r="B8665" s="2">
        <f ca="1"/>
        <v>0.60170279326454645</v>
      </c>
      <c r="O8665" s="2">
        <f ca="1"/>
        <v>0.14326679736936812</v>
      </c>
      <c r="X8665" s="2">
        <f ca="1"/>
        <v>48.173480438725626</v>
      </c>
      <c r="AG8665" s="2">
        <f ca="1"/>
        <v>0.47026886529439693</v>
      </c>
      <c r="AH8665" s="2" t="str">
        <f ca="1"/>
        <v>Bad</v>
      </c>
    </row>
    <row r="8666" spans="2:34" x14ac:dyDescent="0.2">
      <c r="B8666" s="2">
        <f ca="1"/>
        <v>0.43769729604515839</v>
      </c>
      <c r="O8666" s="2">
        <f ca="1"/>
        <v>-0.12254690279048515</v>
      </c>
      <c r="X8666" s="2">
        <f ca="1"/>
        <v>53.554782744864006</v>
      </c>
      <c r="AG8666" s="2">
        <f ca="1"/>
        <v>0.63064674875395732</v>
      </c>
      <c r="AH8666" s="2" t="str">
        <f ca="1"/>
        <v>Bad</v>
      </c>
    </row>
    <row r="8667" spans="2:34" x14ac:dyDescent="0.2">
      <c r="B8667" s="2">
        <f ca="1"/>
        <v>0.92871998080746643</v>
      </c>
      <c r="O8667" s="2">
        <f ca="1"/>
        <v>0.51394710069183269</v>
      </c>
      <c r="X8667" s="2">
        <f ca="1"/>
        <v>31.126388093871466</v>
      </c>
      <c r="AG8667" s="2">
        <f ca="1"/>
        <v>0.64858627623377951</v>
      </c>
      <c r="AH8667" s="2" t="str">
        <f ca="1"/>
        <v>Bad</v>
      </c>
    </row>
    <row r="8668" spans="2:34" x14ac:dyDescent="0.2">
      <c r="B8668" s="2">
        <f ca="1"/>
        <v>0.57661039897578514</v>
      </c>
      <c r="O8668" s="2">
        <f ca="1"/>
        <v>-1.4753065414200568</v>
      </c>
      <c r="X8668" s="2">
        <f ca="1"/>
        <v>36.376972114171444</v>
      </c>
      <c r="AG8668" s="2">
        <f ca="1"/>
        <v>0.382650977360385</v>
      </c>
      <c r="AH8668" s="2" t="str">
        <f ca="1"/>
        <v>OK</v>
      </c>
    </row>
    <row r="8669" spans="2:34" x14ac:dyDescent="0.2">
      <c r="B8669" s="2">
        <f ca="1"/>
        <v>0.7607185189069583</v>
      </c>
      <c r="O8669" s="2">
        <f ca="1"/>
        <v>-0.2774504463976783</v>
      </c>
      <c r="X8669" s="2">
        <f ca="1"/>
        <v>48.523333094944789</v>
      </c>
      <c r="AG8669" s="2">
        <f ca="1"/>
        <v>0.72858494325263301</v>
      </c>
      <c r="AH8669" s="2" t="str">
        <f ca="1"/>
        <v>Bad</v>
      </c>
    </row>
    <row r="8670" spans="2:34" x14ac:dyDescent="0.2">
      <c r="B8670" s="2">
        <f ca="1"/>
        <v>0.84713853003228534</v>
      </c>
      <c r="O8670" s="2">
        <f ca="1"/>
        <v>-7.150914303269698E-3</v>
      </c>
      <c r="X8670" s="2">
        <f ca="1"/>
        <v>36.151247992868882</v>
      </c>
      <c r="AG8670" s="2">
        <f ca="1"/>
        <v>0.52690170768478173</v>
      </c>
      <c r="AH8670" s="2" t="str">
        <f ca="1"/>
        <v>Bad</v>
      </c>
    </row>
    <row r="8671" spans="2:34" x14ac:dyDescent="0.2">
      <c r="B8671" s="2">
        <f ca="1"/>
        <v>0.86362141319699015</v>
      </c>
      <c r="O8671" s="2">
        <f ca="1"/>
        <v>-2.9024941226304741</v>
      </c>
      <c r="X8671" s="2">
        <f ca="1"/>
        <v>19.931327805838471</v>
      </c>
      <c r="AG8671" s="2">
        <f ca="1"/>
        <v>0.44381753427867654</v>
      </c>
      <c r="AH8671" s="2" t="str">
        <f ca="1"/>
        <v>Bad</v>
      </c>
    </row>
    <row r="8672" spans="2:34" x14ac:dyDescent="0.2">
      <c r="B8672" s="2">
        <f ca="1"/>
        <v>0.17684764392384422</v>
      </c>
      <c r="O8672" s="2">
        <f ca="1"/>
        <v>-0.29179689519279201</v>
      </c>
      <c r="X8672" s="2">
        <f ca="1"/>
        <v>43.3746912957779</v>
      </c>
      <c r="AG8672" s="2">
        <f ca="1"/>
        <v>0.79432340561060721</v>
      </c>
      <c r="AH8672" s="2" t="str">
        <f ca="1"/>
        <v>Bad</v>
      </c>
    </row>
    <row r="8673" spans="2:34" x14ac:dyDescent="0.2">
      <c r="B8673" s="2">
        <f ca="1"/>
        <v>8.1818756207681531E-2</v>
      </c>
      <c r="O8673" s="2">
        <f ca="1"/>
        <v>-0.84524987132257945</v>
      </c>
      <c r="X8673" s="2">
        <f ca="1"/>
        <v>59.096611327168503</v>
      </c>
      <c r="AG8673" s="2">
        <f ca="1"/>
        <v>0.45472780529951962</v>
      </c>
      <c r="AH8673" s="2" t="str">
        <f ca="1"/>
        <v>Bad</v>
      </c>
    </row>
    <row r="8674" spans="2:34" x14ac:dyDescent="0.2">
      <c r="B8674" s="2">
        <f ca="1"/>
        <v>4.9863366714493651E-2</v>
      </c>
      <c r="O8674" s="2">
        <f ca="1"/>
        <v>-0.18910017572301235</v>
      </c>
      <c r="X8674" s="2">
        <f ca="1"/>
        <v>49.318494532311128</v>
      </c>
      <c r="AG8674" s="2">
        <f ca="1"/>
        <v>0.66317231970816115</v>
      </c>
      <c r="AH8674" s="2" t="str">
        <f ca="1"/>
        <v>Bad</v>
      </c>
    </row>
    <row r="8675" spans="2:34" x14ac:dyDescent="0.2">
      <c r="B8675" s="2">
        <f ca="1"/>
        <v>0.27812933046797617</v>
      </c>
      <c r="O8675" s="2">
        <f ca="1"/>
        <v>1.3637845868058855</v>
      </c>
      <c r="X8675" s="2">
        <f ca="1"/>
        <v>67.341484215275059</v>
      </c>
      <c r="AG8675" s="2">
        <f ca="1"/>
        <v>0.87664620068077337</v>
      </c>
      <c r="AH8675" s="2" t="str">
        <f ca="1"/>
        <v>Bad</v>
      </c>
    </row>
    <row r="8676" spans="2:34" x14ac:dyDescent="0.2">
      <c r="B8676" s="2">
        <f ca="1"/>
        <v>0.60201402293211448</v>
      </c>
      <c r="O8676" s="2">
        <f ca="1"/>
        <v>0.55844691773803801</v>
      </c>
      <c r="X8676" s="2">
        <f ca="1"/>
        <v>62.80063979337519</v>
      </c>
      <c r="AG8676" s="2">
        <f ca="1"/>
        <v>0.99946692364982859</v>
      </c>
      <c r="AH8676" s="2" t="str">
        <f ca="1"/>
        <v>Bad</v>
      </c>
    </row>
    <row r="8677" spans="2:34" x14ac:dyDescent="0.2">
      <c r="B8677" s="2">
        <f ca="1"/>
        <v>1.0483530123204243E-3</v>
      </c>
      <c r="O8677" s="2">
        <f ca="1"/>
        <v>1.2484468424206374</v>
      </c>
      <c r="X8677" s="2">
        <f ca="1"/>
        <v>48.769819313615059</v>
      </c>
      <c r="AG8677" s="2">
        <f ca="1"/>
        <v>0.38473456975644438</v>
      </c>
      <c r="AH8677" s="2" t="str">
        <f ca="1"/>
        <v>OK</v>
      </c>
    </row>
    <row r="8678" spans="2:34" x14ac:dyDescent="0.2">
      <c r="B8678" s="2">
        <f ca="1"/>
        <v>0.10006109885930004</v>
      </c>
      <c r="O8678" s="2">
        <f ca="1"/>
        <v>-0.71753857934781962</v>
      </c>
      <c r="X8678" s="2">
        <f ca="1"/>
        <v>49.901992000649713</v>
      </c>
      <c r="AG8678" s="2">
        <f ca="1"/>
        <v>0.65686691941233488</v>
      </c>
      <c r="AH8678" s="2" t="str">
        <f ca="1"/>
        <v>Bad</v>
      </c>
    </row>
    <row r="8679" spans="2:34" x14ac:dyDescent="0.2">
      <c r="B8679" s="2">
        <f ca="1"/>
        <v>0.64596038311835358</v>
      </c>
      <c r="O8679" s="2">
        <f ca="1"/>
        <v>-1.4595865317311805</v>
      </c>
      <c r="X8679" s="2">
        <f ca="1"/>
        <v>43.800377712951111</v>
      </c>
      <c r="AG8679" s="2">
        <f ca="1"/>
        <v>0.71047650900540593</v>
      </c>
      <c r="AH8679" s="2" t="str">
        <f ca="1"/>
        <v>Bad</v>
      </c>
    </row>
    <row r="8680" spans="2:34" x14ac:dyDescent="0.2">
      <c r="B8680" s="2">
        <f ca="1"/>
        <v>0.17279929623572188</v>
      </c>
      <c r="O8680" s="2">
        <f ca="1"/>
        <v>-0.24761929050523523</v>
      </c>
      <c r="X8680" s="2">
        <f ca="1"/>
        <v>57.733218603698042</v>
      </c>
      <c r="AG8680" s="2">
        <f ca="1"/>
        <v>9.2342057356034069E-3</v>
      </c>
      <c r="AH8680" s="2" t="str">
        <f ca="1"/>
        <v>Good</v>
      </c>
    </row>
    <row r="8681" spans="2:34" x14ac:dyDescent="0.2">
      <c r="B8681" s="2">
        <f ca="1"/>
        <v>0.47764029804162988</v>
      </c>
      <c r="O8681" s="2">
        <f ca="1"/>
        <v>1.2664598520593657</v>
      </c>
      <c r="X8681" s="2">
        <f ca="1"/>
        <v>39.166735214175475</v>
      </c>
      <c r="AG8681" s="2">
        <f ca="1"/>
        <v>1.9022875504724146E-2</v>
      </c>
      <c r="AH8681" s="2" t="str">
        <f ca="1"/>
        <v>Good</v>
      </c>
    </row>
    <row r="8682" spans="2:34" x14ac:dyDescent="0.2">
      <c r="B8682" s="2">
        <f ca="1"/>
        <v>0.93231003219549646</v>
      </c>
      <c r="O8682" s="2">
        <f ca="1"/>
        <v>-1.0973738184654303</v>
      </c>
      <c r="X8682" s="2">
        <f ca="1"/>
        <v>37.278081081435474</v>
      </c>
      <c r="AG8682" s="2">
        <f ca="1"/>
        <v>2.0600974559121576E-2</v>
      </c>
      <c r="AH8682" s="2" t="str">
        <f ca="1"/>
        <v>Good</v>
      </c>
    </row>
    <row r="8683" spans="2:34" x14ac:dyDescent="0.2">
      <c r="B8683" s="2">
        <f ca="1"/>
        <v>9.1107675699003687E-2</v>
      </c>
      <c r="O8683" s="2">
        <f ca="1"/>
        <v>1.0419306691243466</v>
      </c>
      <c r="X8683" s="2">
        <f ca="1"/>
        <v>40.377107837477553</v>
      </c>
      <c r="AG8683" s="2">
        <f ca="1"/>
        <v>0.22997444872813166</v>
      </c>
      <c r="AH8683" s="2" t="str">
        <f ca="1"/>
        <v>OK</v>
      </c>
    </row>
    <row r="8684" spans="2:34" x14ac:dyDescent="0.2">
      <c r="B8684" s="2">
        <f ca="1"/>
        <v>0.64284594254902783</v>
      </c>
      <c r="O8684" s="2">
        <f ca="1"/>
        <v>0.84353367990255623</v>
      </c>
      <c r="X8684" s="2">
        <f ca="1"/>
        <v>42.170486174454638</v>
      </c>
      <c r="AG8684" s="2">
        <f ca="1"/>
        <v>0.90386241969415981</v>
      </c>
      <c r="AH8684" s="2" t="str">
        <f ca="1"/>
        <v>Bad</v>
      </c>
    </row>
    <row r="8685" spans="2:34" x14ac:dyDescent="0.2">
      <c r="B8685" s="2">
        <f ca="1"/>
        <v>0.43808470418576428</v>
      </c>
      <c r="O8685" s="2">
        <f ca="1"/>
        <v>1.2602170486374873</v>
      </c>
      <c r="X8685" s="2">
        <f ca="1"/>
        <v>88.132983631173175</v>
      </c>
      <c r="AG8685" s="2">
        <f ca="1"/>
        <v>9.212886708538548E-2</v>
      </c>
      <c r="AH8685" s="2" t="str">
        <f ca="1"/>
        <v>OK</v>
      </c>
    </row>
    <row r="8686" spans="2:34" x14ac:dyDescent="0.2">
      <c r="B8686" s="2">
        <f ca="1"/>
        <v>0.27736207866878004</v>
      </c>
      <c r="O8686" s="2">
        <f ca="1"/>
        <v>-0.21261149531442811</v>
      </c>
      <c r="X8686" s="2">
        <f ca="1"/>
        <v>40.52721630582284</v>
      </c>
      <c r="AG8686" s="2">
        <f ca="1"/>
        <v>0.25991136016222249</v>
      </c>
      <c r="AH8686" s="2" t="str">
        <f ca="1"/>
        <v>OK</v>
      </c>
    </row>
    <row r="8687" spans="2:34" x14ac:dyDescent="0.2">
      <c r="B8687" s="2">
        <f ca="1"/>
        <v>0.82039496532210321</v>
      </c>
      <c r="O8687" s="2">
        <f ca="1"/>
        <v>0.6328458467316338</v>
      </c>
      <c r="X8687" s="2">
        <f ca="1"/>
        <v>36.666194984745701</v>
      </c>
      <c r="AG8687" s="2">
        <f ca="1"/>
        <v>0.65697485683114776</v>
      </c>
      <c r="AH8687" s="2" t="str">
        <f ca="1"/>
        <v>Bad</v>
      </c>
    </row>
    <row r="8688" spans="2:34" x14ac:dyDescent="0.2">
      <c r="B8688" s="2">
        <f ca="1"/>
        <v>0.25650004522706249</v>
      </c>
      <c r="O8688" s="2">
        <f ca="1"/>
        <v>0.32815187530440065</v>
      </c>
      <c r="X8688" s="2">
        <f ca="1"/>
        <v>47.319068929584446</v>
      </c>
      <c r="AG8688" s="2">
        <f ca="1"/>
        <v>0.96174803083331906</v>
      </c>
      <c r="AH8688" s="2" t="str">
        <f ca="1"/>
        <v>Bad</v>
      </c>
    </row>
    <row r="8689" spans="2:34" x14ac:dyDescent="0.2">
      <c r="B8689" s="2">
        <f ca="1"/>
        <v>0.3099447740505914</v>
      </c>
      <c r="O8689" s="2">
        <f ca="1"/>
        <v>-1.6530323299157501</v>
      </c>
      <c r="X8689" s="2">
        <f ca="1"/>
        <v>35.800017432687305</v>
      </c>
      <c r="AG8689" s="2">
        <f ca="1"/>
        <v>1.7915486304247441E-3</v>
      </c>
      <c r="AH8689" s="2" t="str">
        <f ca="1"/>
        <v>Good</v>
      </c>
    </row>
    <row r="8690" spans="2:34" x14ac:dyDescent="0.2">
      <c r="B8690" s="2">
        <f ca="1"/>
        <v>0.2391331078840675</v>
      </c>
      <c r="O8690" s="2">
        <f ca="1"/>
        <v>-1.002662385312906</v>
      </c>
      <c r="X8690" s="2">
        <f ca="1"/>
        <v>100.00823396013386</v>
      </c>
      <c r="AG8690" s="2">
        <f ca="1"/>
        <v>0.60249607178448183</v>
      </c>
      <c r="AH8690" s="2" t="str">
        <f ca="1"/>
        <v>Bad</v>
      </c>
    </row>
    <row r="8691" spans="2:34" x14ac:dyDescent="0.2">
      <c r="B8691" s="2">
        <f ca="1"/>
        <v>0.20137996135586422</v>
      </c>
      <c r="O8691" s="2">
        <f ca="1"/>
        <v>-0.67158695159326154</v>
      </c>
      <c r="X8691" s="2">
        <f ca="1"/>
        <v>39.052452402782329</v>
      </c>
      <c r="AG8691" s="2">
        <f ca="1"/>
        <v>0.37573941563682434</v>
      </c>
      <c r="AH8691" s="2" t="str">
        <f ca="1"/>
        <v>OK</v>
      </c>
    </row>
    <row r="8692" spans="2:34" x14ac:dyDescent="0.2">
      <c r="B8692" s="2">
        <f ca="1"/>
        <v>0.97087591766104797</v>
      </c>
      <c r="O8692" s="2">
        <f ca="1"/>
        <v>-1.8890070543235049</v>
      </c>
      <c r="X8692" s="2">
        <f ca="1"/>
        <v>59.824788809553738</v>
      </c>
      <c r="AG8692" s="2">
        <f ca="1"/>
        <v>0.33284979398312986</v>
      </c>
      <c r="AH8692" s="2" t="str">
        <f ca="1"/>
        <v>OK</v>
      </c>
    </row>
    <row r="8693" spans="2:34" x14ac:dyDescent="0.2">
      <c r="B8693" s="2">
        <f ca="1"/>
        <v>0.61714414722231359</v>
      </c>
      <c r="O8693" s="2">
        <f ca="1"/>
        <v>-1.2703508651034721</v>
      </c>
      <c r="X8693" s="2">
        <f ca="1"/>
        <v>50.025966746676161</v>
      </c>
      <c r="AG8693" s="2">
        <f ca="1"/>
        <v>0.12666492703416687</v>
      </c>
      <c r="AH8693" s="2" t="str">
        <f ca="1"/>
        <v>OK</v>
      </c>
    </row>
    <row r="8694" spans="2:34" x14ac:dyDescent="0.2">
      <c r="B8694" s="2">
        <f ca="1"/>
        <v>2.0200310797684251E-2</v>
      </c>
      <c r="O8694" s="2">
        <f ca="1"/>
        <v>-0.82266905786138322</v>
      </c>
      <c r="X8694" s="2">
        <f ca="1"/>
        <v>51.755835257036942</v>
      </c>
      <c r="AG8694" s="2">
        <f ca="1"/>
        <v>0.78873713184591665</v>
      </c>
      <c r="AH8694" s="2" t="str">
        <f ca="1"/>
        <v>Bad</v>
      </c>
    </row>
    <row r="8695" spans="2:34" x14ac:dyDescent="0.2">
      <c r="B8695" s="2">
        <f ca="1"/>
        <v>0.30158699313560455</v>
      </c>
      <c r="O8695" s="2">
        <f ca="1"/>
        <v>1.1558305681089882</v>
      </c>
      <c r="X8695" s="2">
        <f ca="1"/>
        <v>75.735683668171163</v>
      </c>
      <c r="AG8695" s="2">
        <f ca="1"/>
        <v>0.73069788041970596</v>
      </c>
      <c r="AH8695" s="2" t="str">
        <f ca="1"/>
        <v>Bad</v>
      </c>
    </row>
    <row r="8696" spans="2:34" x14ac:dyDescent="0.2">
      <c r="B8696" s="2">
        <f ca="1"/>
        <v>0.32833847845826614</v>
      </c>
      <c r="O8696" s="2">
        <f ca="1"/>
        <v>0.89858162145407017</v>
      </c>
      <c r="X8696" s="2">
        <f ca="1"/>
        <v>50.090084688366943</v>
      </c>
      <c r="AG8696" s="2">
        <f ca="1"/>
        <v>0.39787566688770193</v>
      </c>
      <c r="AH8696" s="2" t="str">
        <f ca="1"/>
        <v>OK</v>
      </c>
    </row>
    <row r="8697" spans="2:34" x14ac:dyDescent="0.2">
      <c r="B8697" s="2">
        <f ca="1"/>
        <v>0.90036814471401017</v>
      </c>
      <c r="O8697" s="2">
        <f ca="1"/>
        <v>-0.39271662905144383</v>
      </c>
      <c r="X8697" s="2">
        <f ca="1"/>
        <v>90.448296830108092</v>
      </c>
      <c r="AG8697" s="2">
        <f ca="1"/>
        <v>0.14060268726279879</v>
      </c>
      <c r="AH8697" s="2" t="str">
        <f ca="1"/>
        <v>OK</v>
      </c>
    </row>
    <row r="8698" spans="2:34" x14ac:dyDescent="0.2">
      <c r="B8698" s="2">
        <f ca="1"/>
        <v>0.20056518113534505</v>
      </c>
      <c r="O8698" s="2">
        <f ca="1"/>
        <v>-0.32648202916973057</v>
      </c>
      <c r="X8698" s="2">
        <f ca="1"/>
        <v>58.412434912092344</v>
      </c>
      <c r="AG8698" s="2">
        <f ca="1"/>
        <v>0.78278104259466086</v>
      </c>
      <c r="AH8698" s="2" t="str">
        <f ca="1"/>
        <v>Bad</v>
      </c>
    </row>
    <row r="8699" spans="2:34" x14ac:dyDescent="0.2">
      <c r="B8699" s="2">
        <f ca="1"/>
        <v>0.34101675498659545</v>
      </c>
      <c r="O8699" s="2">
        <f ca="1"/>
        <v>0.29926874643922652</v>
      </c>
      <c r="X8699" s="2">
        <f ca="1"/>
        <v>74.641161806928352</v>
      </c>
      <c r="AG8699" s="2">
        <f ca="1"/>
        <v>6.7026805753340746E-3</v>
      </c>
      <c r="AH8699" s="2" t="str">
        <f ca="1"/>
        <v>Good</v>
      </c>
    </row>
    <row r="8700" spans="2:34" x14ac:dyDescent="0.2">
      <c r="B8700" s="2">
        <f ca="1"/>
        <v>0.53656888546088677</v>
      </c>
      <c r="O8700" s="2">
        <f ca="1"/>
        <v>0.33000826777573572</v>
      </c>
      <c r="X8700" s="2">
        <f ca="1"/>
        <v>44.031579355727899</v>
      </c>
      <c r="AG8700" s="2">
        <f ca="1"/>
        <v>0.23905661908022346</v>
      </c>
      <c r="AH8700" s="2" t="str">
        <f ca="1"/>
        <v>OK</v>
      </c>
    </row>
    <row r="8701" spans="2:34" x14ac:dyDescent="0.2">
      <c r="B8701" s="2">
        <f ca="1"/>
        <v>5.6123763556412243E-2</v>
      </c>
      <c r="O8701" s="2">
        <f ca="1"/>
        <v>-1.3474889183313565</v>
      </c>
      <c r="X8701" s="2">
        <f ca="1"/>
        <v>37.244359620931924</v>
      </c>
      <c r="AG8701" s="2">
        <f ca="1"/>
        <v>0.48749686898058697</v>
      </c>
      <c r="AH8701" s="2" t="str">
        <f ca="1"/>
        <v>Bad</v>
      </c>
    </row>
    <row r="8702" spans="2:34" x14ac:dyDescent="0.2">
      <c r="B8702" s="2">
        <f ca="1"/>
        <v>0.41896511572874795</v>
      </c>
      <c r="O8702" s="2">
        <f ca="1"/>
        <v>-0.15331400081012622</v>
      </c>
      <c r="X8702" s="2">
        <f ca="1"/>
        <v>51.6402511041019</v>
      </c>
      <c r="AG8702" s="2">
        <f ca="1"/>
        <v>0.80649175542694351</v>
      </c>
      <c r="AH8702" s="2" t="str">
        <f ca="1"/>
        <v>Bad</v>
      </c>
    </row>
    <row r="8703" spans="2:34" x14ac:dyDescent="0.2">
      <c r="B8703" s="2">
        <f ca="1"/>
        <v>0.60398003955545154</v>
      </c>
      <c r="O8703" s="2">
        <f ca="1"/>
        <v>0.46673305767790657</v>
      </c>
      <c r="X8703" s="2">
        <f ca="1"/>
        <v>28.278397170664618</v>
      </c>
      <c r="AG8703" s="2">
        <f ca="1"/>
        <v>0.86931240929517406</v>
      </c>
      <c r="AH8703" s="2" t="str">
        <f ca="1"/>
        <v>Bad</v>
      </c>
    </row>
    <row r="8704" spans="2:34" x14ac:dyDescent="0.2">
      <c r="B8704" s="2">
        <f ca="1"/>
        <v>0.14793084180896932</v>
      </c>
      <c r="O8704" s="2">
        <f ca="1"/>
        <v>-0.90381610717301031</v>
      </c>
      <c r="X8704" s="2">
        <f ca="1"/>
        <v>53.815464796871701</v>
      </c>
      <c r="AG8704" s="2">
        <f ca="1"/>
        <v>0.4968882852780836</v>
      </c>
      <c r="AH8704" s="2" t="str">
        <f ca="1"/>
        <v>Bad</v>
      </c>
    </row>
    <row r="8705" spans="2:34" x14ac:dyDescent="0.2">
      <c r="B8705" s="2">
        <f ca="1"/>
        <v>0.54583709027493921</v>
      </c>
      <c r="O8705" s="2">
        <f ca="1"/>
        <v>0.3133922981532688</v>
      </c>
      <c r="X8705" s="2">
        <f ca="1"/>
        <v>82.979885956557638</v>
      </c>
      <c r="AG8705" s="2">
        <f ca="1"/>
        <v>0.58226487867145504</v>
      </c>
      <c r="AH8705" s="2" t="str">
        <f ca="1"/>
        <v>Bad</v>
      </c>
    </row>
    <row r="8706" spans="2:34" x14ac:dyDescent="0.2">
      <c r="B8706" s="2">
        <f ca="1"/>
        <v>0.32591705778793667</v>
      </c>
      <c r="O8706" s="2">
        <f ca="1"/>
        <v>-0.54341945405421188</v>
      </c>
      <c r="X8706" s="2">
        <f ca="1"/>
        <v>28.692790410439667</v>
      </c>
      <c r="AG8706" s="2">
        <f ca="1"/>
        <v>0.30813268821958584</v>
      </c>
      <c r="AH8706" s="2" t="str">
        <f ca="1"/>
        <v>OK</v>
      </c>
    </row>
    <row r="8707" spans="2:34" x14ac:dyDescent="0.2">
      <c r="B8707" s="2">
        <f ca="1"/>
        <v>0.20032834084584716</v>
      </c>
      <c r="O8707" s="2">
        <f ca="1"/>
        <v>1.7451375928911792</v>
      </c>
      <c r="X8707" s="2">
        <f ca="1"/>
        <v>51.181140900320003</v>
      </c>
      <c r="AG8707" s="2">
        <f ca="1"/>
        <v>0.21503874790842903</v>
      </c>
      <c r="AH8707" s="2" t="str">
        <f ca="1"/>
        <v>OK</v>
      </c>
    </row>
    <row r="8708" spans="2:34" x14ac:dyDescent="0.2">
      <c r="B8708" s="2">
        <f ca="1"/>
        <v>0.62223169355320529</v>
      </c>
      <c r="O8708" s="2">
        <f ca="1"/>
        <v>1.144512196502617</v>
      </c>
      <c r="X8708" s="2">
        <f ca="1"/>
        <v>54.563392307616773</v>
      </c>
      <c r="AG8708" s="2">
        <f ca="1"/>
        <v>0.92411926909866615</v>
      </c>
      <c r="AH8708" s="2" t="str">
        <f ca="1"/>
        <v>Bad</v>
      </c>
    </row>
    <row r="8709" spans="2:34" x14ac:dyDescent="0.2">
      <c r="B8709" s="2">
        <f ca="1"/>
        <v>0.61817450048960598</v>
      </c>
      <c r="O8709" s="2">
        <f ca="1"/>
        <v>-0.34472035347900715</v>
      </c>
      <c r="X8709" s="2">
        <f ca="1"/>
        <v>59.743849991894834</v>
      </c>
      <c r="AG8709" s="2">
        <f ca="1"/>
        <v>0.68087355067814048</v>
      </c>
      <c r="AH8709" s="2" t="str">
        <f ca="1"/>
        <v>Bad</v>
      </c>
    </row>
    <row r="8710" spans="2:34" x14ac:dyDescent="0.2">
      <c r="B8710" s="2">
        <f ca="1"/>
        <v>0.94565484609426509</v>
      </c>
      <c r="O8710" s="2">
        <f ca="1"/>
        <v>0.61447310269119071</v>
      </c>
      <c r="X8710" s="2">
        <f ca="1"/>
        <v>63.893799092973794</v>
      </c>
      <c r="AG8710" s="2">
        <f ca="1"/>
        <v>0.71656254598147617</v>
      </c>
      <c r="AH8710" s="2" t="str">
        <f ca="1"/>
        <v>Bad</v>
      </c>
    </row>
    <row r="8711" spans="2:34" x14ac:dyDescent="0.2">
      <c r="B8711" s="2">
        <f ca="1"/>
        <v>0.22459227464429654</v>
      </c>
      <c r="O8711" s="2">
        <f ca="1"/>
        <v>1.5606209325140528</v>
      </c>
      <c r="X8711" s="2">
        <f ca="1"/>
        <v>56.527308315335283</v>
      </c>
      <c r="AG8711" s="2">
        <f ca="1"/>
        <v>0.30718369332979045</v>
      </c>
      <c r="AH8711" s="2" t="str">
        <f ca="1"/>
        <v>OK</v>
      </c>
    </row>
    <row r="8712" spans="2:34" x14ac:dyDescent="0.2">
      <c r="B8712" s="2">
        <f ca="1"/>
        <v>0.51113510948389562</v>
      </c>
      <c r="O8712" s="2">
        <f ca="1"/>
        <v>0.68717487007401401</v>
      </c>
      <c r="X8712" s="2">
        <f ca="1"/>
        <v>53.564668538630542</v>
      </c>
      <c r="AG8712" s="2">
        <f ca="1"/>
        <v>0.5548082102265075</v>
      </c>
      <c r="AH8712" s="2" t="str">
        <f ca="1"/>
        <v>Bad</v>
      </c>
    </row>
    <row r="8713" spans="2:34" x14ac:dyDescent="0.2">
      <c r="B8713" s="2">
        <f ca="1"/>
        <v>0.87716731039760965</v>
      </c>
      <c r="O8713" s="2">
        <f ca="1"/>
        <v>0.65559005712875762</v>
      </c>
      <c r="X8713" s="2">
        <f ca="1"/>
        <v>37.385721280134703</v>
      </c>
      <c r="AG8713" s="2">
        <f ca="1"/>
        <v>9.5038875004498813E-2</v>
      </c>
      <c r="AH8713" s="2" t="str">
        <f ca="1"/>
        <v>OK</v>
      </c>
    </row>
    <row r="8714" spans="2:34" x14ac:dyDescent="0.2">
      <c r="B8714" s="2">
        <f ca="1"/>
        <v>0.77469758433223856</v>
      </c>
      <c r="O8714" s="2">
        <f ca="1"/>
        <v>-0.1433876943191939</v>
      </c>
      <c r="X8714" s="2">
        <f ca="1"/>
        <v>62.993200294803195</v>
      </c>
      <c r="AG8714" s="2">
        <f ca="1"/>
        <v>0.45527105184089711</v>
      </c>
      <c r="AH8714" s="2" t="str">
        <f ca="1"/>
        <v>Bad</v>
      </c>
    </row>
    <row r="8715" spans="2:34" x14ac:dyDescent="0.2">
      <c r="B8715" s="2">
        <f ca="1"/>
        <v>0.28654298689716295</v>
      </c>
      <c r="O8715" s="2">
        <f ca="1"/>
        <v>0.93932553166031052</v>
      </c>
      <c r="X8715" s="2">
        <f ca="1"/>
        <v>54.922157701721787</v>
      </c>
      <c r="AG8715" s="2">
        <f ca="1"/>
        <v>0.5595795012412792</v>
      </c>
      <c r="AH8715" s="2" t="str">
        <f ca="1"/>
        <v>Bad</v>
      </c>
    </row>
    <row r="8716" spans="2:34" x14ac:dyDescent="0.2">
      <c r="B8716" s="2">
        <f ca="1"/>
        <v>0.78165731095799806</v>
      </c>
      <c r="O8716" s="2">
        <f ca="1"/>
        <v>1.1795128203203142</v>
      </c>
      <c r="X8716" s="2">
        <f ca="1"/>
        <v>53.63276465282577</v>
      </c>
      <c r="AG8716" s="2">
        <f ca="1"/>
        <v>0.39264874801061156</v>
      </c>
      <c r="AH8716" s="2" t="str">
        <f ca="1"/>
        <v>OK</v>
      </c>
    </row>
    <row r="8717" spans="2:34" x14ac:dyDescent="0.2">
      <c r="B8717" s="2">
        <f ca="1"/>
        <v>0.93568485090466735</v>
      </c>
      <c r="O8717" s="2">
        <f ca="1"/>
        <v>8.5280141864600534E-2</v>
      </c>
      <c r="X8717" s="2">
        <f ca="1"/>
        <v>39.125460524210439</v>
      </c>
      <c r="AG8717" s="2">
        <f ca="1"/>
        <v>0.88404869405469566</v>
      </c>
      <c r="AH8717" s="2" t="str">
        <f ca="1"/>
        <v>Bad</v>
      </c>
    </row>
    <row r="8718" spans="2:34" x14ac:dyDescent="0.2">
      <c r="B8718" s="2">
        <f ca="1"/>
        <v>0.43557375232747519</v>
      </c>
      <c r="O8718" s="2">
        <f ca="1"/>
        <v>0.81624181578228561</v>
      </c>
      <c r="X8718" s="2">
        <f ca="1"/>
        <v>68.672245565072998</v>
      </c>
      <c r="AG8718" s="2">
        <f ca="1"/>
        <v>0.57386502054573008</v>
      </c>
      <c r="AH8718" s="2" t="str">
        <f ca="1"/>
        <v>Bad</v>
      </c>
    </row>
    <row r="8719" spans="2:34" x14ac:dyDescent="0.2">
      <c r="B8719" s="2">
        <f ca="1"/>
        <v>3.5458137910086451E-2</v>
      </c>
      <c r="O8719" s="2">
        <f ca="1"/>
        <v>0.51294445497040431</v>
      </c>
      <c r="X8719" s="2">
        <f ca="1"/>
        <v>58.85775665897895</v>
      </c>
      <c r="AG8719" s="2">
        <f ca="1"/>
        <v>0.8773755657488409</v>
      </c>
      <c r="AH8719" s="2" t="str">
        <f ca="1"/>
        <v>Bad</v>
      </c>
    </row>
    <row r="8720" spans="2:34" x14ac:dyDescent="0.2">
      <c r="B8720" s="2">
        <f ca="1"/>
        <v>0.74944483947054441</v>
      </c>
      <c r="O8720" s="2">
        <f ca="1"/>
        <v>-0.76738012201100081</v>
      </c>
      <c r="X8720" s="2">
        <f ca="1"/>
        <v>42.552293041667504</v>
      </c>
      <c r="AG8720" s="2">
        <f ca="1"/>
        <v>0.87336167488580174</v>
      </c>
      <c r="AH8720" s="2" t="str">
        <f ca="1"/>
        <v>Bad</v>
      </c>
    </row>
    <row r="8721" spans="2:34" x14ac:dyDescent="0.2">
      <c r="B8721" s="2">
        <f ca="1"/>
        <v>0.41763131860526226</v>
      </c>
      <c r="O8721" s="2">
        <f ca="1"/>
        <v>-1.455253988833193</v>
      </c>
      <c r="X8721" s="2">
        <f ca="1"/>
        <v>49.985694040058618</v>
      </c>
      <c r="AG8721" s="2">
        <f ca="1"/>
        <v>0.13215272584085036</v>
      </c>
      <c r="AH8721" s="2" t="str">
        <f ca="1"/>
        <v>OK</v>
      </c>
    </row>
    <row r="8722" spans="2:34" x14ac:dyDescent="0.2">
      <c r="B8722" s="2">
        <f ca="1"/>
        <v>0.81216147219359835</v>
      </c>
      <c r="O8722" s="2">
        <f ca="1"/>
        <v>-0.6429811258938668</v>
      </c>
      <c r="X8722" s="2">
        <f ca="1"/>
        <v>52.269578667470881</v>
      </c>
      <c r="AG8722" s="2">
        <f ca="1"/>
        <v>0.31537460276663865</v>
      </c>
      <c r="AH8722" s="2" t="str">
        <f ca="1"/>
        <v>OK</v>
      </c>
    </row>
    <row r="8723" spans="2:34" x14ac:dyDescent="0.2">
      <c r="B8723" s="2">
        <f ca="1"/>
        <v>0.97928443482037086</v>
      </c>
      <c r="O8723" s="2">
        <f ca="1"/>
        <v>0.14283111570024307</v>
      </c>
      <c r="X8723" s="2">
        <f ca="1"/>
        <v>57.934823086865777</v>
      </c>
      <c r="AG8723" s="2">
        <f ca="1"/>
        <v>0.57768839808797501</v>
      </c>
      <c r="AH8723" s="2" t="str">
        <f ca="1"/>
        <v>Bad</v>
      </c>
    </row>
    <row r="8724" spans="2:34" x14ac:dyDescent="0.2">
      <c r="B8724" s="2">
        <f ca="1"/>
        <v>3.8296307032735122E-2</v>
      </c>
      <c r="O8724" s="2">
        <f ca="1"/>
        <v>-0.2373395614455778</v>
      </c>
      <c r="X8724" s="2">
        <f ca="1"/>
        <v>65.137997173291623</v>
      </c>
      <c r="AG8724" s="2">
        <f ca="1"/>
        <v>0.74681820908060859</v>
      </c>
      <c r="AH8724" s="2" t="str">
        <f ca="1"/>
        <v>Bad</v>
      </c>
    </row>
    <row r="8725" spans="2:34" x14ac:dyDescent="0.2">
      <c r="B8725" s="2">
        <f ca="1"/>
        <v>0.27003389036759096</v>
      </c>
      <c r="O8725" s="2">
        <f ca="1"/>
        <v>0.27813441655486343</v>
      </c>
      <c r="X8725" s="2">
        <f ca="1"/>
        <v>76.056012674936383</v>
      </c>
      <c r="AG8725" s="2">
        <f ca="1"/>
        <v>4.8454964360244768E-2</v>
      </c>
      <c r="AH8725" s="2" t="str">
        <f ca="1"/>
        <v>Good</v>
      </c>
    </row>
    <row r="8726" spans="2:34" x14ac:dyDescent="0.2">
      <c r="B8726" s="2">
        <f ca="1"/>
        <v>0.47177563140774681</v>
      </c>
      <c r="O8726" s="2">
        <f ca="1"/>
        <v>1.5058658429472527</v>
      </c>
      <c r="X8726" s="2">
        <f ca="1"/>
        <v>47.995066028913918</v>
      </c>
      <c r="AG8726" s="2">
        <f ca="1"/>
        <v>0.81510169267002963</v>
      </c>
      <c r="AH8726" s="2" t="str">
        <f ca="1"/>
        <v>Bad</v>
      </c>
    </row>
    <row r="8727" spans="2:34" x14ac:dyDescent="0.2">
      <c r="B8727" s="2">
        <f ca="1"/>
        <v>0.11984382980261121</v>
      </c>
      <c r="O8727" s="2">
        <f ca="1"/>
        <v>0.81505609543895807</v>
      </c>
      <c r="X8727" s="2">
        <f ca="1"/>
        <v>44.405391047325971</v>
      </c>
      <c r="AG8727" s="2">
        <f ca="1"/>
        <v>0.32124338113052042</v>
      </c>
      <c r="AH8727" s="2" t="str">
        <f ca="1"/>
        <v>OK</v>
      </c>
    </row>
    <row r="8728" spans="2:34" x14ac:dyDescent="0.2">
      <c r="B8728" s="2">
        <f ca="1"/>
        <v>0.61997801390172325</v>
      </c>
      <c r="O8728" s="2">
        <f ca="1"/>
        <v>-1.5565536074535529</v>
      </c>
      <c r="X8728" s="2">
        <f ca="1"/>
        <v>63.385806650536637</v>
      </c>
      <c r="AG8728" s="2">
        <f ca="1"/>
        <v>0.32086922115545424</v>
      </c>
      <c r="AH8728" s="2" t="str">
        <f ca="1"/>
        <v>OK</v>
      </c>
    </row>
    <row r="8729" spans="2:34" x14ac:dyDescent="0.2">
      <c r="B8729" s="2">
        <f ca="1"/>
        <v>0.4797775431455773</v>
      </c>
      <c r="O8729" s="2">
        <f ca="1"/>
        <v>-1.0963879513379877</v>
      </c>
      <c r="X8729" s="2">
        <f ca="1"/>
        <v>28.894100025493287</v>
      </c>
      <c r="AG8729" s="2">
        <f ca="1"/>
        <v>0.94888086507896996</v>
      </c>
      <c r="AH8729" s="2" t="str">
        <f ca="1"/>
        <v>Bad</v>
      </c>
    </row>
    <row r="8730" spans="2:34" x14ac:dyDescent="0.2">
      <c r="B8730" s="2">
        <f ca="1"/>
        <v>0.41426661717873259</v>
      </c>
      <c r="O8730" s="2">
        <f ca="1"/>
        <v>0.23649694595538739</v>
      </c>
      <c r="X8730" s="2">
        <f ca="1"/>
        <v>57.741816983069604</v>
      </c>
      <c r="AG8730" s="2">
        <f ca="1"/>
        <v>9.9210534860632693E-2</v>
      </c>
      <c r="AH8730" s="2" t="str">
        <f ca="1"/>
        <v>OK</v>
      </c>
    </row>
    <row r="8731" spans="2:34" x14ac:dyDescent="0.2">
      <c r="B8731" s="2">
        <f ca="1"/>
        <v>0.49195092932406292</v>
      </c>
      <c r="O8731" s="2">
        <f ca="1"/>
        <v>0.56845137204146756</v>
      </c>
      <c r="X8731" s="2">
        <f ca="1"/>
        <v>62.435164301204786</v>
      </c>
      <c r="AG8731" s="2">
        <f ca="1"/>
        <v>0.41988771289387006</v>
      </c>
      <c r="AH8731" s="2" t="str">
        <f ca="1"/>
        <v>Bad</v>
      </c>
    </row>
    <row r="8732" spans="2:34" x14ac:dyDescent="0.2">
      <c r="B8732" s="2">
        <f ca="1"/>
        <v>4.8851591145235407E-2</v>
      </c>
      <c r="O8732" s="2">
        <f ca="1"/>
        <v>-1.0743637704525999</v>
      </c>
      <c r="X8732" s="2">
        <f ca="1"/>
        <v>51.755528164044485</v>
      </c>
      <c r="AG8732" s="2">
        <f ca="1"/>
        <v>0.30564878357481118</v>
      </c>
      <c r="AH8732" s="2" t="str">
        <f ca="1"/>
        <v>OK</v>
      </c>
    </row>
    <row r="8733" spans="2:34" x14ac:dyDescent="0.2">
      <c r="B8733" s="2">
        <f ca="1"/>
        <v>0.24222600966317187</v>
      </c>
      <c r="O8733" s="2">
        <f ca="1"/>
        <v>0.42467139384297864</v>
      </c>
      <c r="X8733" s="2">
        <f ca="1"/>
        <v>25.544028317248433</v>
      </c>
      <c r="AG8733" s="2">
        <f ca="1"/>
        <v>0.88101159063010859</v>
      </c>
      <c r="AH8733" s="2" t="str">
        <f ca="1"/>
        <v>Bad</v>
      </c>
    </row>
    <row r="8734" spans="2:34" x14ac:dyDescent="0.2">
      <c r="B8734" s="2">
        <f ca="1"/>
        <v>0.64982833201293722</v>
      </c>
      <c r="O8734" s="2">
        <f ca="1"/>
        <v>-0.48767747501477232</v>
      </c>
      <c r="X8734" s="2">
        <f ca="1"/>
        <v>40.552990809837738</v>
      </c>
      <c r="AG8734" s="2">
        <f ca="1"/>
        <v>0.2144406535790877</v>
      </c>
      <c r="AH8734" s="2" t="str">
        <f ca="1"/>
        <v>OK</v>
      </c>
    </row>
    <row r="8735" spans="2:34" x14ac:dyDescent="0.2">
      <c r="B8735" s="2">
        <f ca="1"/>
        <v>0.50655302461705909</v>
      </c>
      <c r="O8735" s="2">
        <f ca="1"/>
        <v>-1.0603198160458556</v>
      </c>
      <c r="X8735" s="2">
        <f ca="1"/>
        <v>51.416769788374395</v>
      </c>
      <c r="AG8735" s="2">
        <f ca="1"/>
        <v>0.65127010438945776</v>
      </c>
      <c r="AH8735" s="2" t="str">
        <f ca="1"/>
        <v>Bad</v>
      </c>
    </row>
    <row r="8736" spans="2:34" x14ac:dyDescent="0.2">
      <c r="B8736" s="2">
        <f ca="1"/>
        <v>0.44962090443317093</v>
      </c>
      <c r="O8736" s="2">
        <f ca="1"/>
        <v>0.98170470751370709</v>
      </c>
      <c r="X8736" s="2">
        <f ca="1"/>
        <v>52.952104671083092</v>
      </c>
      <c r="AG8736" s="2">
        <f ca="1"/>
        <v>4.2624096189296301E-2</v>
      </c>
      <c r="AH8736" s="2" t="str">
        <f ca="1"/>
        <v>Good</v>
      </c>
    </row>
    <row r="8737" spans="2:34" x14ac:dyDescent="0.2">
      <c r="B8737" s="2">
        <f ca="1"/>
        <v>0.15432400587309036</v>
      </c>
      <c r="O8737" s="2">
        <f ca="1"/>
        <v>0.20741579895871184</v>
      </c>
      <c r="X8737" s="2">
        <f ca="1"/>
        <v>42.51441294938742</v>
      </c>
      <c r="AG8737" s="2">
        <f ca="1"/>
        <v>0.237560338655461</v>
      </c>
      <c r="AH8737" s="2" t="str">
        <f ca="1"/>
        <v>OK</v>
      </c>
    </row>
    <row r="8738" spans="2:34" x14ac:dyDescent="0.2">
      <c r="B8738" s="2">
        <f ca="1"/>
        <v>0.69664101564812286</v>
      </c>
      <c r="O8738" s="2">
        <f ca="1"/>
        <v>-0.89052493030895663</v>
      </c>
      <c r="X8738" s="2">
        <f ca="1"/>
        <v>24.03554451119199</v>
      </c>
      <c r="AG8738" s="2">
        <f ca="1"/>
        <v>0.41407050430985826</v>
      </c>
      <c r="AH8738" s="2" t="str">
        <f ca="1"/>
        <v>Bad</v>
      </c>
    </row>
    <row r="8739" spans="2:34" x14ac:dyDescent="0.2">
      <c r="B8739" s="2">
        <f ca="1"/>
        <v>0.73897261885997767</v>
      </c>
      <c r="O8739" s="2">
        <f ca="1"/>
        <v>-1.2341094423842909</v>
      </c>
      <c r="X8739" s="2">
        <f ca="1"/>
        <v>49.789929481634189</v>
      </c>
      <c r="AG8739" s="2">
        <f ca="1"/>
        <v>0.80941425226464703</v>
      </c>
      <c r="AH8739" s="2" t="str">
        <f ca="1"/>
        <v>Bad</v>
      </c>
    </row>
    <row r="8740" spans="2:34" x14ac:dyDescent="0.2">
      <c r="B8740" s="2">
        <f ca="1"/>
        <v>0.96154072998398421</v>
      </c>
      <c r="O8740" s="2">
        <f ca="1"/>
        <v>-0.91097900570284773</v>
      </c>
      <c r="X8740" s="2">
        <f ca="1"/>
        <v>44.588006123240945</v>
      </c>
      <c r="AG8740" s="2">
        <f ca="1"/>
        <v>0.22220916749154673</v>
      </c>
      <c r="AH8740" s="2" t="str">
        <f ca="1"/>
        <v>OK</v>
      </c>
    </row>
    <row r="8741" spans="2:34" x14ac:dyDescent="0.2">
      <c r="B8741" s="2">
        <f ca="1"/>
        <v>0.40827012483062997</v>
      </c>
      <c r="O8741" s="2">
        <f ca="1"/>
        <v>-3.1096277459466579</v>
      </c>
      <c r="X8741" s="2">
        <f ca="1"/>
        <v>36.561121926753273</v>
      </c>
      <c r="AG8741" s="2">
        <f ca="1"/>
        <v>0.52502119298136196</v>
      </c>
      <c r="AH8741" s="2" t="str">
        <f ca="1"/>
        <v>Bad</v>
      </c>
    </row>
    <row r="8742" spans="2:34" x14ac:dyDescent="0.2">
      <c r="B8742" s="2">
        <f ca="1"/>
        <v>0.38001027658142927</v>
      </c>
      <c r="O8742" s="2">
        <f ca="1"/>
        <v>0.57580611767305601</v>
      </c>
      <c r="X8742" s="2">
        <f ca="1"/>
        <v>33.34673955978603</v>
      </c>
      <c r="AG8742" s="2">
        <f ca="1"/>
        <v>0.52446723282169527</v>
      </c>
      <c r="AH8742" s="2" t="str">
        <f ca="1"/>
        <v>Bad</v>
      </c>
    </row>
    <row r="8743" spans="2:34" x14ac:dyDescent="0.2">
      <c r="B8743" s="2">
        <f ca="1"/>
        <v>0.26788937305224914</v>
      </c>
      <c r="O8743" s="2">
        <f ca="1"/>
        <v>0.90241349899219958</v>
      </c>
      <c r="X8743" s="2">
        <f ca="1"/>
        <v>36.339515706434199</v>
      </c>
      <c r="AG8743" s="2">
        <f ca="1"/>
        <v>0.19709561872832237</v>
      </c>
      <c r="AH8743" s="2" t="str">
        <f ca="1"/>
        <v>OK</v>
      </c>
    </row>
    <row r="8744" spans="2:34" x14ac:dyDescent="0.2">
      <c r="B8744" s="2">
        <f ca="1"/>
        <v>0.74289352637432371</v>
      </c>
      <c r="O8744" s="2">
        <f ca="1"/>
        <v>-1.3365360047310904</v>
      </c>
      <c r="X8744" s="2">
        <f ca="1"/>
        <v>44.505519807142704</v>
      </c>
      <c r="AG8744" s="2">
        <f ca="1"/>
        <v>0.99745603568771957</v>
      </c>
      <c r="AH8744" s="2" t="str">
        <f ca="1"/>
        <v>Bad</v>
      </c>
    </row>
    <row r="8745" spans="2:34" x14ac:dyDescent="0.2">
      <c r="B8745" s="2">
        <f ca="1"/>
        <v>0.25578112976246281</v>
      </c>
      <c r="O8745" s="2">
        <f ca="1"/>
        <v>0.73944650159174308</v>
      </c>
      <c r="X8745" s="2">
        <f ca="1"/>
        <v>63.187559890278202</v>
      </c>
      <c r="AG8745" s="2">
        <f ca="1"/>
        <v>0.90565765473165905</v>
      </c>
      <c r="AH8745" s="2" t="str">
        <f ca="1"/>
        <v>Bad</v>
      </c>
    </row>
    <row r="8746" spans="2:34" x14ac:dyDescent="0.2">
      <c r="B8746" s="2">
        <f ca="1"/>
        <v>0.94243561987814606</v>
      </c>
      <c r="O8746" s="2">
        <f ca="1"/>
        <v>-0.6375558192170786</v>
      </c>
      <c r="X8746" s="2">
        <f ca="1"/>
        <v>72.692031219242551</v>
      </c>
      <c r="AG8746" s="2">
        <f ca="1"/>
        <v>0.39535795513452299</v>
      </c>
      <c r="AH8746" s="2" t="str">
        <f ca="1"/>
        <v>OK</v>
      </c>
    </row>
    <row r="8747" spans="2:34" x14ac:dyDescent="0.2">
      <c r="B8747" s="2">
        <f ca="1"/>
        <v>0.96078511093280494</v>
      </c>
      <c r="O8747" s="2">
        <f ca="1"/>
        <v>-1.8346970720160265</v>
      </c>
      <c r="X8747" s="2">
        <f ca="1"/>
        <v>36.082509417965134</v>
      </c>
      <c r="AG8747" s="2">
        <f ca="1"/>
        <v>0.16131312368511219</v>
      </c>
      <c r="AH8747" s="2" t="str">
        <f ca="1"/>
        <v>OK</v>
      </c>
    </row>
    <row r="8748" spans="2:34" x14ac:dyDescent="0.2">
      <c r="B8748" s="2">
        <f ca="1"/>
        <v>0.86942015511074566</v>
      </c>
      <c r="O8748" s="2">
        <f ca="1"/>
        <v>-0.77850726377378976</v>
      </c>
      <c r="X8748" s="2">
        <f ca="1"/>
        <v>39.086459608220771</v>
      </c>
      <c r="AG8748" s="2">
        <f ca="1"/>
        <v>0.64891899119553131</v>
      </c>
      <c r="AH8748" s="2" t="str">
        <f ca="1"/>
        <v>Bad</v>
      </c>
    </row>
    <row r="8749" spans="2:34" x14ac:dyDescent="0.2">
      <c r="B8749" s="2">
        <f ca="1"/>
        <v>0.2739287710045557</v>
      </c>
      <c r="O8749" s="2">
        <f ca="1"/>
        <v>0.50377156082951513</v>
      </c>
      <c r="X8749" s="2">
        <f ca="1"/>
        <v>57.457646476423065</v>
      </c>
      <c r="AG8749" s="2">
        <f ca="1"/>
        <v>0.21664237588910695</v>
      </c>
      <c r="AH8749" s="2" t="str">
        <f ca="1"/>
        <v>OK</v>
      </c>
    </row>
    <row r="8750" spans="2:34" x14ac:dyDescent="0.2">
      <c r="B8750" s="2">
        <f ca="1"/>
        <v>0.56463266678445456</v>
      </c>
      <c r="O8750" s="2">
        <f ca="1"/>
        <v>-0.1891197904436244</v>
      </c>
      <c r="X8750" s="2">
        <f ca="1"/>
        <v>49.216095333415538</v>
      </c>
      <c r="AG8750" s="2">
        <f ca="1"/>
        <v>0.28696023184963337</v>
      </c>
      <c r="AH8750" s="2" t="str">
        <f ca="1"/>
        <v>OK</v>
      </c>
    </row>
    <row r="8751" spans="2:34" x14ac:dyDescent="0.2">
      <c r="B8751" s="2">
        <f ca="1"/>
        <v>0.67605954482208408</v>
      </c>
      <c r="O8751" s="2">
        <f ca="1"/>
        <v>-1.0605177157684773</v>
      </c>
      <c r="X8751" s="2">
        <f ca="1"/>
        <v>63.026866016108336</v>
      </c>
      <c r="AG8751" s="2">
        <f ca="1"/>
        <v>0.75267890826478023</v>
      </c>
      <c r="AH8751" s="2" t="str">
        <f ca="1"/>
        <v>Bad</v>
      </c>
    </row>
    <row r="8752" spans="2:34" x14ac:dyDescent="0.2">
      <c r="B8752" s="2">
        <f ca="1"/>
        <v>0.64285322494002606</v>
      </c>
      <c r="O8752" s="2">
        <f ca="1"/>
        <v>0.52835051729260096</v>
      </c>
      <c r="X8752" s="2">
        <f ca="1"/>
        <v>50.596225036186119</v>
      </c>
      <c r="AG8752" s="2">
        <f ca="1"/>
        <v>0.69749823772369046</v>
      </c>
      <c r="AH8752" s="2" t="str">
        <f ca="1"/>
        <v>Bad</v>
      </c>
    </row>
    <row r="8753" spans="2:34" x14ac:dyDescent="0.2">
      <c r="B8753" s="2">
        <f ca="1"/>
        <v>0.31760224073489196</v>
      </c>
      <c r="O8753" s="2">
        <f ca="1"/>
        <v>-0.63634792814883911</v>
      </c>
      <c r="X8753" s="2">
        <f ca="1"/>
        <v>43.516212136787374</v>
      </c>
      <c r="AG8753" s="2">
        <f ca="1"/>
        <v>0.7413323943554877</v>
      </c>
      <c r="AH8753" s="2" t="str">
        <f ca="1"/>
        <v>Bad</v>
      </c>
    </row>
    <row r="8754" spans="2:34" x14ac:dyDescent="0.2">
      <c r="B8754" s="2">
        <f ca="1"/>
        <v>0.17606160865730236</v>
      </c>
      <c r="O8754" s="2">
        <f ca="1"/>
        <v>-0.67439996930823087</v>
      </c>
      <c r="X8754" s="2">
        <f ca="1"/>
        <v>80.046459136309309</v>
      </c>
      <c r="AG8754" s="2">
        <f ca="1"/>
        <v>0.97553065369564496</v>
      </c>
      <c r="AH8754" s="2" t="str">
        <f ca="1"/>
        <v>Bad</v>
      </c>
    </row>
    <row r="8755" spans="2:34" x14ac:dyDescent="0.2">
      <c r="B8755" s="2">
        <f ca="1"/>
        <v>0.8681274879551224</v>
      </c>
      <c r="O8755" s="2">
        <f ca="1"/>
        <v>0.60937488876191737</v>
      </c>
      <c r="X8755" s="2">
        <f ca="1"/>
        <v>56.990526410448787</v>
      </c>
      <c r="AG8755" s="2">
        <f ca="1"/>
        <v>0.18394401652423276</v>
      </c>
      <c r="AH8755" s="2" t="str">
        <f ca="1"/>
        <v>OK</v>
      </c>
    </row>
    <row r="8756" spans="2:34" x14ac:dyDescent="0.2">
      <c r="B8756" s="2">
        <f ca="1"/>
        <v>0.24068899228999641</v>
      </c>
      <c r="O8756" s="2">
        <f ca="1"/>
        <v>1.1426172407489046</v>
      </c>
      <c r="X8756" s="2">
        <f ca="1"/>
        <v>42.690051202140083</v>
      </c>
      <c r="AG8756" s="2">
        <f ca="1"/>
        <v>0.81735905775382545</v>
      </c>
      <c r="AH8756" s="2" t="str">
        <f ca="1"/>
        <v>Bad</v>
      </c>
    </row>
    <row r="8757" spans="2:34" x14ac:dyDescent="0.2">
      <c r="B8757" s="2">
        <f ca="1"/>
        <v>0.54829724168050298</v>
      </c>
      <c r="O8757" s="2">
        <f ca="1"/>
        <v>-0.7415285530722906</v>
      </c>
      <c r="X8757" s="2">
        <f ca="1"/>
        <v>36.860560212041165</v>
      </c>
      <c r="AG8757" s="2">
        <f ca="1"/>
        <v>0.12519918767581517</v>
      </c>
      <c r="AH8757" s="2" t="str">
        <f ca="1"/>
        <v>OK</v>
      </c>
    </row>
    <row r="8758" spans="2:34" x14ac:dyDescent="0.2">
      <c r="B8758" s="2">
        <f ca="1"/>
        <v>0.20474136033380641</v>
      </c>
      <c r="O8758" s="2">
        <f ca="1"/>
        <v>-1.0779348664630877</v>
      </c>
      <c r="X8758" s="2">
        <f ca="1"/>
        <v>67.287005633471665</v>
      </c>
      <c r="AG8758" s="2">
        <f ca="1"/>
        <v>0.52247948864387084</v>
      </c>
      <c r="AH8758" s="2" t="str">
        <f ca="1"/>
        <v>Bad</v>
      </c>
    </row>
    <row r="8759" spans="2:34" x14ac:dyDescent="0.2">
      <c r="B8759" s="2">
        <f ca="1"/>
        <v>0.34351078488062137</v>
      </c>
      <c r="O8759" s="2">
        <f ca="1"/>
        <v>-5.8500726917024614E-3</v>
      </c>
      <c r="X8759" s="2">
        <f ca="1"/>
        <v>67.796066979521058</v>
      </c>
      <c r="AG8759" s="2">
        <f ca="1"/>
        <v>0.3048164313396664</v>
      </c>
      <c r="AH8759" s="2" t="str">
        <f ca="1"/>
        <v>OK</v>
      </c>
    </row>
    <row r="8760" spans="2:34" x14ac:dyDescent="0.2">
      <c r="B8760" s="2">
        <f ca="1"/>
        <v>0.14437009209560703</v>
      </c>
      <c r="O8760" s="2">
        <f ca="1"/>
        <v>-1.0213284339432729</v>
      </c>
      <c r="X8760" s="2">
        <f ca="1"/>
        <v>41.245089734049884</v>
      </c>
      <c r="AG8760" s="2">
        <f ca="1"/>
        <v>0.16201739835730655</v>
      </c>
      <c r="AH8760" s="2" t="str">
        <f ca="1"/>
        <v>OK</v>
      </c>
    </row>
    <row r="8761" spans="2:34" x14ac:dyDescent="0.2">
      <c r="B8761" s="2">
        <f ca="1"/>
        <v>0.94960160163002572</v>
      </c>
      <c r="O8761" s="2">
        <f ca="1"/>
        <v>-0.17201131049592966</v>
      </c>
      <c r="X8761" s="2">
        <f ca="1"/>
        <v>44.680949814880584</v>
      </c>
      <c r="AG8761" s="2">
        <f ca="1"/>
        <v>0.29284966306604643</v>
      </c>
      <c r="AH8761" s="2" t="str">
        <f ca="1"/>
        <v>OK</v>
      </c>
    </row>
    <row r="8762" spans="2:34" x14ac:dyDescent="0.2">
      <c r="B8762" s="2">
        <f ca="1"/>
        <v>0.6907869287789572</v>
      </c>
      <c r="O8762" s="2">
        <f ca="1"/>
        <v>-6.9796798911102798E-2</v>
      </c>
      <c r="X8762" s="2">
        <f ca="1"/>
        <v>53.132473336833144</v>
      </c>
      <c r="AG8762" s="2">
        <f ca="1"/>
        <v>0.86911222453647929</v>
      </c>
      <c r="AH8762" s="2" t="str">
        <f ca="1"/>
        <v>Bad</v>
      </c>
    </row>
    <row r="8763" spans="2:34" x14ac:dyDescent="0.2">
      <c r="B8763" s="2">
        <f ca="1"/>
        <v>0.26563242458583725</v>
      </c>
      <c r="O8763" s="2">
        <f ca="1"/>
        <v>1.3018286874802647</v>
      </c>
      <c r="X8763" s="2">
        <f ca="1"/>
        <v>30.391547577872167</v>
      </c>
      <c r="AG8763" s="2">
        <f ca="1"/>
        <v>0.53045514577823494</v>
      </c>
      <c r="AH8763" s="2" t="str">
        <f ca="1"/>
        <v>Bad</v>
      </c>
    </row>
    <row r="8764" spans="2:34" x14ac:dyDescent="0.2">
      <c r="B8764" s="2">
        <f ca="1"/>
        <v>0.37824517562590798</v>
      </c>
      <c r="O8764" s="2">
        <f ca="1"/>
        <v>-0.12066337580508327</v>
      </c>
      <c r="X8764" s="2">
        <f ca="1"/>
        <v>60.727338921311116</v>
      </c>
      <c r="AG8764" s="2">
        <f ca="1"/>
        <v>0.97814509731828791</v>
      </c>
      <c r="AH8764" s="2" t="str">
        <f ca="1"/>
        <v>Bad</v>
      </c>
    </row>
    <row r="8765" spans="2:34" x14ac:dyDescent="0.2">
      <c r="B8765" s="2">
        <f ca="1"/>
        <v>0.90077686541453783</v>
      </c>
      <c r="O8765" s="2">
        <f ca="1"/>
        <v>-1.7633839107651184</v>
      </c>
      <c r="X8765" s="2">
        <f ca="1"/>
        <v>37.526258984458259</v>
      </c>
      <c r="AG8765" s="2">
        <f ca="1"/>
        <v>0.38780917204659149</v>
      </c>
      <c r="AH8765" s="2" t="str">
        <f ca="1"/>
        <v>OK</v>
      </c>
    </row>
    <row r="8766" spans="2:34" x14ac:dyDescent="0.2">
      <c r="B8766" s="2">
        <f ca="1"/>
        <v>5.3932699685042884E-2</v>
      </c>
      <c r="O8766" s="2">
        <f ca="1"/>
        <v>-0.24248366131923382</v>
      </c>
      <c r="X8766" s="2">
        <f ca="1"/>
        <v>52.756648003399633</v>
      </c>
      <c r="AG8766" s="2">
        <f ca="1"/>
        <v>0.13694166892664783</v>
      </c>
      <c r="AH8766" s="2" t="str">
        <f ca="1"/>
        <v>OK</v>
      </c>
    </row>
    <row r="8767" spans="2:34" x14ac:dyDescent="0.2">
      <c r="B8767" s="2">
        <f ca="1"/>
        <v>0.90230947859399224</v>
      </c>
      <c r="O8767" s="2">
        <f ca="1"/>
        <v>-0.93530279117397708</v>
      </c>
      <c r="X8767" s="2">
        <f ca="1"/>
        <v>63.952145802544749</v>
      </c>
      <c r="AG8767" s="2">
        <f ca="1"/>
        <v>0.86609494072070614</v>
      </c>
      <c r="AH8767" s="2" t="str">
        <f ca="1"/>
        <v>Bad</v>
      </c>
    </row>
    <row r="8768" spans="2:34" x14ac:dyDescent="0.2">
      <c r="B8768" s="2">
        <f ca="1"/>
        <v>0.22168006950196339</v>
      </c>
      <c r="O8768" s="2">
        <f ca="1"/>
        <v>-1.2230133777268477</v>
      </c>
      <c r="X8768" s="2">
        <f ca="1"/>
        <v>28.998471318253696</v>
      </c>
      <c r="AG8768" s="2">
        <f ca="1"/>
        <v>0.99896506145887454</v>
      </c>
      <c r="AH8768" s="2" t="str">
        <f ca="1"/>
        <v>Bad</v>
      </c>
    </row>
    <row r="8769" spans="2:34" x14ac:dyDescent="0.2">
      <c r="B8769" s="2">
        <f ca="1"/>
        <v>0.82917090504780577</v>
      </c>
      <c r="O8769" s="2">
        <f ca="1"/>
        <v>-1.0820788122684544</v>
      </c>
      <c r="X8769" s="2">
        <f ca="1"/>
        <v>25.584635218815649</v>
      </c>
      <c r="AG8769" s="2">
        <f ca="1"/>
        <v>0.36788722433281151</v>
      </c>
      <c r="AH8769" s="2" t="str">
        <f ca="1"/>
        <v>OK</v>
      </c>
    </row>
    <row r="8770" spans="2:34" x14ac:dyDescent="0.2">
      <c r="B8770" s="2">
        <f ca="1"/>
        <v>0.71296657443172218</v>
      </c>
      <c r="O8770" s="2">
        <f ca="1"/>
        <v>0.28488211274576009</v>
      </c>
      <c r="X8770" s="2">
        <f ca="1"/>
        <v>50.479972079888853</v>
      </c>
      <c r="AG8770" s="2">
        <f ca="1"/>
        <v>0.96178606837042513</v>
      </c>
      <c r="AH8770" s="2" t="str">
        <f ca="1"/>
        <v>Bad</v>
      </c>
    </row>
    <row r="8771" spans="2:34" x14ac:dyDescent="0.2">
      <c r="B8771" s="2">
        <f ca="1"/>
        <v>0.9118579597702452</v>
      </c>
      <c r="O8771" s="2">
        <f ca="1"/>
        <v>-1.2698192002214981</v>
      </c>
      <c r="X8771" s="2">
        <f ca="1"/>
        <v>46.519947385179506</v>
      </c>
      <c r="AG8771" s="2">
        <f ca="1"/>
        <v>0.42223670104730937</v>
      </c>
      <c r="AH8771" s="2" t="str">
        <f ca="1"/>
        <v>Bad</v>
      </c>
    </row>
    <row r="8772" spans="2:34" x14ac:dyDescent="0.2">
      <c r="B8772" s="2">
        <f ca="1"/>
        <v>0.35555665434891859</v>
      </c>
      <c r="O8772" s="2">
        <f ca="1"/>
        <v>-3.9619010826817264E-2</v>
      </c>
      <c r="X8772" s="2">
        <f ca="1"/>
        <v>63.313608567935702</v>
      </c>
      <c r="AG8772" s="2">
        <f ca="1"/>
        <v>0.7769822426077051</v>
      </c>
      <c r="AH8772" s="2" t="str">
        <f ca="1"/>
        <v>Bad</v>
      </c>
    </row>
    <row r="8773" spans="2:34" x14ac:dyDescent="0.2">
      <c r="B8773" s="2">
        <f ca="1"/>
        <v>0.97649454083042442</v>
      </c>
      <c r="O8773" s="2">
        <f ca="1"/>
        <v>9.074802855970894E-2</v>
      </c>
      <c r="X8773" s="2">
        <f ca="1"/>
        <v>29.477833044920732</v>
      </c>
      <c r="AG8773" s="2">
        <f ca="1"/>
        <v>0.85149130440069154</v>
      </c>
      <c r="AH8773" s="2" t="str">
        <f ca="1"/>
        <v>Bad</v>
      </c>
    </row>
    <row r="8774" spans="2:34" x14ac:dyDescent="0.2">
      <c r="B8774" s="2">
        <f ca="1"/>
        <v>0.36713845329533612</v>
      </c>
      <c r="O8774" s="2">
        <f ca="1"/>
        <v>-0.80412141871724185</v>
      </c>
      <c r="X8774" s="2">
        <f ca="1"/>
        <v>55.811786454537128</v>
      </c>
      <c r="AG8774" s="2">
        <f ca="1"/>
        <v>5.4559633033506749E-2</v>
      </c>
      <c r="AH8774" s="2" t="str">
        <f ca="1"/>
        <v>OK</v>
      </c>
    </row>
    <row r="8775" spans="2:34" x14ac:dyDescent="0.2">
      <c r="B8775" s="2">
        <f ca="1"/>
        <v>0.41284177104141873</v>
      </c>
      <c r="O8775" s="2">
        <f ca="1"/>
        <v>-0.64494760830351994</v>
      </c>
      <c r="X8775" s="2">
        <f ca="1"/>
        <v>57.908694734392569</v>
      </c>
      <c r="AG8775" s="2">
        <f ca="1"/>
        <v>0.28721205347250267</v>
      </c>
      <c r="AH8775" s="2" t="str">
        <f ca="1"/>
        <v>OK</v>
      </c>
    </row>
    <row r="8776" spans="2:34" x14ac:dyDescent="0.2">
      <c r="B8776" s="2">
        <f ca="1"/>
        <v>0.20497868283807552</v>
      </c>
      <c r="O8776" s="2">
        <f ca="1"/>
        <v>0.99680078689738894</v>
      </c>
      <c r="X8776" s="2">
        <f ca="1"/>
        <v>51.286027265287409</v>
      </c>
      <c r="AG8776" s="2">
        <f ca="1"/>
        <v>0.22524762361707396</v>
      </c>
      <c r="AH8776" s="2" t="str">
        <f ca="1"/>
        <v>OK</v>
      </c>
    </row>
    <row r="8777" spans="2:34" x14ac:dyDescent="0.2">
      <c r="B8777" s="2">
        <f ca="1"/>
        <v>0.79973503067463048</v>
      </c>
      <c r="O8777" s="2">
        <f ca="1"/>
        <v>0.96229167825350681</v>
      </c>
      <c r="X8777" s="2">
        <f ca="1"/>
        <v>44.976463818981962</v>
      </c>
      <c r="AG8777" s="2">
        <f ca="1"/>
        <v>0.80432496249448748</v>
      </c>
      <c r="AH8777" s="2" t="str">
        <f ca="1"/>
        <v>Bad</v>
      </c>
    </row>
    <row r="8778" spans="2:34" x14ac:dyDescent="0.2">
      <c r="B8778" s="2">
        <f ca="1"/>
        <v>0.86078606433610605</v>
      </c>
      <c r="O8778" s="2">
        <f ca="1"/>
        <v>-9.4267342527707201E-4</v>
      </c>
      <c r="X8778" s="2">
        <f ca="1"/>
        <v>59.658504019586935</v>
      </c>
      <c r="AG8778" s="2">
        <f ca="1"/>
        <v>0.52998849645242863</v>
      </c>
      <c r="AH8778" s="2" t="str">
        <f ca="1"/>
        <v>Bad</v>
      </c>
    </row>
    <row r="8779" spans="2:34" x14ac:dyDescent="0.2">
      <c r="B8779" s="2">
        <f ca="1"/>
        <v>0.75057792591403816</v>
      </c>
      <c r="O8779" s="2">
        <f ca="1"/>
        <v>-0.48621008765947671</v>
      </c>
      <c r="X8779" s="2">
        <f ca="1"/>
        <v>56.619777050813624</v>
      </c>
      <c r="AG8779" s="2">
        <f ca="1"/>
        <v>0.35357611489078633</v>
      </c>
      <c r="AH8779" s="2" t="str">
        <f ca="1"/>
        <v>OK</v>
      </c>
    </row>
    <row r="8780" spans="2:34" x14ac:dyDescent="0.2">
      <c r="B8780" s="2">
        <f ca="1"/>
        <v>0.86878132628750637</v>
      </c>
      <c r="O8780" s="2">
        <f ca="1"/>
        <v>0.72375478694108653</v>
      </c>
      <c r="X8780" s="2">
        <f ca="1"/>
        <v>83.272566405640504</v>
      </c>
      <c r="AG8780" s="2">
        <f ca="1"/>
        <v>0.69961769945289531</v>
      </c>
      <c r="AH8780" s="2" t="str">
        <f ca="1"/>
        <v>Bad</v>
      </c>
    </row>
    <row r="8781" spans="2:34" x14ac:dyDescent="0.2">
      <c r="B8781" s="2">
        <f ca="1"/>
        <v>0.46388784020156471</v>
      </c>
      <c r="O8781" s="2">
        <f ca="1"/>
        <v>1.6010660908808894</v>
      </c>
      <c r="X8781" s="2">
        <f ca="1"/>
        <v>29.108785420355954</v>
      </c>
      <c r="AG8781" s="2">
        <f ca="1"/>
        <v>7.8903416839425367E-2</v>
      </c>
      <c r="AH8781" s="2" t="str">
        <f ca="1"/>
        <v>OK</v>
      </c>
    </row>
    <row r="8782" spans="2:34" x14ac:dyDescent="0.2">
      <c r="B8782" s="2">
        <f ca="1"/>
        <v>0.96853085997890553</v>
      </c>
      <c r="O8782" s="2">
        <f ca="1"/>
        <v>-2.0894652571299166</v>
      </c>
      <c r="X8782" s="2">
        <f ca="1"/>
        <v>70.480546096058077</v>
      </c>
      <c r="AG8782" s="2">
        <f ca="1"/>
        <v>0.97346562365823552</v>
      </c>
      <c r="AH8782" s="2" t="str">
        <f ca="1"/>
        <v>Bad</v>
      </c>
    </row>
    <row r="8783" spans="2:34" x14ac:dyDescent="0.2">
      <c r="B8783" s="2">
        <f ca="1"/>
        <v>0.91381461724751412</v>
      </c>
      <c r="O8783" s="2">
        <f ca="1"/>
        <v>-0.56903233214451854</v>
      </c>
      <c r="X8783" s="2">
        <f ca="1"/>
        <v>40.915527656361562</v>
      </c>
      <c r="AG8783" s="2">
        <f ca="1"/>
        <v>0.44147585852455173</v>
      </c>
      <c r="AH8783" s="2" t="str">
        <f ca="1"/>
        <v>Bad</v>
      </c>
    </row>
    <row r="8784" spans="2:34" x14ac:dyDescent="0.2">
      <c r="B8784" s="2">
        <f ca="1"/>
        <v>0.44201217316379626</v>
      </c>
      <c r="O8784" s="2">
        <f ca="1"/>
        <v>0.91317798685937812</v>
      </c>
      <c r="X8784" s="2">
        <f ca="1"/>
        <v>40.206072901697269</v>
      </c>
      <c r="AG8784" s="2">
        <f ca="1"/>
        <v>0.55400927831214553</v>
      </c>
      <c r="AH8784" s="2" t="str">
        <f ca="1"/>
        <v>Bad</v>
      </c>
    </row>
    <row r="8785" spans="2:34" x14ac:dyDescent="0.2">
      <c r="B8785" s="2">
        <f ca="1"/>
        <v>6.1284017089713538E-2</v>
      </c>
      <c r="O8785" s="2">
        <f ca="1"/>
        <v>1.6288685563636204E-2</v>
      </c>
      <c r="X8785" s="2">
        <f ca="1"/>
        <v>74.206474326214462</v>
      </c>
      <c r="AG8785" s="2">
        <f ca="1"/>
        <v>0.43055175649131527</v>
      </c>
      <c r="AH8785" s="2" t="str">
        <f ca="1"/>
        <v>Bad</v>
      </c>
    </row>
    <row r="8786" spans="2:34" x14ac:dyDescent="0.2">
      <c r="B8786" s="2">
        <f ca="1"/>
        <v>0.55261617844075173</v>
      </c>
      <c r="O8786" s="2">
        <f ca="1"/>
        <v>-0.73955875602676657</v>
      </c>
      <c r="X8786" s="2">
        <f ca="1"/>
        <v>42.037078984633126</v>
      </c>
      <c r="AG8786" s="2">
        <f ca="1"/>
        <v>0.8286898477606357</v>
      </c>
      <c r="AH8786" s="2" t="str">
        <f ca="1"/>
        <v>Bad</v>
      </c>
    </row>
    <row r="8787" spans="2:34" x14ac:dyDescent="0.2">
      <c r="B8787" s="2">
        <f ca="1"/>
        <v>0.16460501713029063</v>
      </c>
      <c r="O8787" s="2">
        <f ca="1"/>
        <v>-1.7660692911275273</v>
      </c>
      <c r="X8787" s="2">
        <f ca="1"/>
        <v>59.330597856960978</v>
      </c>
      <c r="AG8787" s="2">
        <f ca="1"/>
        <v>7.4818090868326026E-2</v>
      </c>
      <c r="AH8787" s="2" t="str">
        <f ca="1"/>
        <v>OK</v>
      </c>
    </row>
    <row r="8788" spans="2:34" x14ac:dyDescent="0.2">
      <c r="B8788" s="2">
        <f ca="1"/>
        <v>0.39547638927715489</v>
      </c>
      <c r="O8788" s="2">
        <f ca="1"/>
        <v>0.24034905854979566</v>
      </c>
      <c r="X8788" s="2">
        <f ca="1"/>
        <v>45.162107463122247</v>
      </c>
      <c r="AG8788" s="2">
        <f ca="1"/>
        <v>0.77383232901631027</v>
      </c>
      <c r="AH8788" s="2" t="str">
        <f ca="1"/>
        <v>Bad</v>
      </c>
    </row>
    <row r="8789" spans="2:34" x14ac:dyDescent="0.2">
      <c r="B8789" s="2">
        <f ca="1"/>
        <v>0.97410898985859196</v>
      </c>
      <c r="O8789" s="2">
        <f ca="1"/>
        <v>-2.1452404665896054</v>
      </c>
      <c r="X8789" s="2">
        <f ca="1"/>
        <v>63.960280182244375</v>
      </c>
      <c r="AG8789" s="2">
        <f ca="1"/>
        <v>0.7058652269053074</v>
      </c>
      <c r="AH8789" s="2" t="str">
        <f ca="1"/>
        <v>Bad</v>
      </c>
    </row>
    <row r="8790" spans="2:34" x14ac:dyDescent="0.2">
      <c r="B8790" s="2">
        <f ca="1"/>
        <v>0.73600255818486482</v>
      </c>
      <c r="O8790" s="2">
        <f ca="1"/>
        <v>-0.92023601970228353</v>
      </c>
      <c r="X8790" s="2">
        <f ca="1"/>
        <v>43.565854554121699</v>
      </c>
      <c r="AG8790" s="2">
        <f ca="1"/>
        <v>0.60412814532634584</v>
      </c>
      <c r="AH8790" s="2" t="str">
        <f ca="1"/>
        <v>Bad</v>
      </c>
    </row>
    <row r="8791" spans="2:34" x14ac:dyDescent="0.2">
      <c r="B8791" s="2">
        <f ca="1"/>
        <v>0.28047801127574323</v>
      </c>
      <c r="O8791" s="2">
        <f ca="1"/>
        <v>-0.46464756215778008</v>
      </c>
      <c r="X8791" s="2">
        <f ca="1"/>
        <v>94.568702568859621</v>
      </c>
      <c r="AG8791" s="2">
        <f ca="1"/>
        <v>0.95394810134803754</v>
      </c>
      <c r="AH8791" s="2" t="str">
        <f ca="1"/>
        <v>Bad</v>
      </c>
    </row>
    <row r="8792" spans="2:34" x14ac:dyDescent="0.2">
      <c r="B8792" s="2">
        <f ca="1"/>
        <v>0.3093278622170017</v>
      </c>
      <c r="O8792" s="2">
        <f ca="1"/>
        <v>-0.32197643693718597</v>
      </c>
      <c r="X8792" s="2">
        <f ca="1"/>
        <v>41.146449607568385</v>
      </c>
      <c r="AG8792" s="2">
        <f ca="1"/>
        <v>0.48056622382286851</v>
      </c>
      <c r="AH8792" s="2" t="str">
        <f ca="1"/>
        <v>Bad</v>
      </c>
    </row>
    <row r="8793" spans="2:34" x14ac:dyDescent="0.2">
      <c r="B8793" s="2">
        <f ca="1"/>
        <v>0.59925266939076272</v>
      </c>
      <c r="O8793" s="2">
        <f ca="1"/>
        <v>5.3466470064425994E-2</v>
      </c>
      <c r="X8793" s="2">
        <f ca="1"/>
        <v>37.503000991130484</v>
      </c>
      <c r="AG8793" s="2">
        <f ca="1"/>
        <v>0.54931121422241747</v>
      </c>
      <c r="AH8793" s="2" t="str">
        <f ca="1"/>
        <v>Bad</v>
      </c>
    </row>
    <row r="8794" spans="2:34" x14ac:dyDescent="0.2">
      <c r="B8794" s="2">
        <f ca="1"/>
        <v>3.9713125565895346E-2</v>
      </c>
      <c r="O8794" s="2">
        <f ca="1"/>
        <v>0.29742535788661911</v>
      </c>
      <c r="X8794" s="2">
        <f ca="1"/>
        <v>52.757552638007581</v>
      </c>
      <c r="AG8794" s="2">
        <f ca="1"/>
        <v>0.43635774251468273</v>
      </c>
      <c r="AH8794" s="2" t="str">
        <f ca="1"/>
        <v>Bad</v>
      </c>
    </row>
    <row r="8795" spans="2:34" x14ac:dyDescent="0.2">
      <c r="B8795" s="2">
        <f ca="1"/>
        <v>0.34529339575972795</v>
      </c>
      <c r="O8795" s="2">
        <f ca="1"/>
        <v>-0.34281356691318904</v>
      </c>
      <c r="X8795" s="2">
        <f ca="1"/>
        <v>49.256584328658136</v>
      </c>
      <c r="AG8795" s="2">
        <f ca="1"/>
        <v>0.83628759275959541</v>
      </c>
      <c r="AH8795" s="2" t="str">
        <f ca="1"/>
        <v>Bad</v>
      </c>
    </row>
    <row r="8796" spans="2:34" x14ac:dyDescent="0.2">
      <c r="B8796" s="2">
        <f ca="1"/>
        <v>0.48821830486771312</v>
      </c>
      <c r="O8796" s="2">
        <f ca="1"/>
        <v>-0.86941443931037121</v>
      </c>
      <c r="X8796" s="2">
        <f ca="1"/>
        <v>29.116993863704778</v>
      </c>
      <c r="AG8796" s="2">
        <f ca="1"/>
        <v>0.63872216561309236</v>
      </c>
      <c r="AH8796" s="2" t="str">
        <f ca="1"/>
        <v>Bad</v>
      </c>
    </row>
    <row r="8797" spans="2:34" x14ac:dyDescent="0.2">
      <c r="B8797" s="2">
        <f ca="1"/>
        <v>0.65459132693317512</v>
      </c>
      <c r="O8797" s="2">
        <f ca="1"/>
        <v>0.39649490259586073</v>
      </c>
      <c r="X8797" s="2">
        <f ca="1"/>
        <v>38.568439094033245</v>
      </c>
      <c r="AG8797" s="2">
        <f ca="1"/>
        <v>0.36252547474612928</v>
      </c>
      <c r="AH8797" s="2" t="str">
        <f ca="1"/>
        <v>OK</v>
      </c>
    </row>
    <row r="8798" spans="2:34" x14ac:dyDescent="0.2">
      <c r="B8798" s="2">
        <f ca="1"/>
        <v>0.48230989571916161</v>
      </c>
      <c r="O8798" s="2">
        <f ca="1"/>
        <v>-7.8460855976163674E-2</v>
      </c>
      <c r="X8798" s="2">
        <f ca="1"/>
        <v>41.947298430513776</v>
      </c>
      <c r="AG8798" s="2">
        <f ca="1"/>
        <v>0.8202569303813898</v>
      </c>
      <c r="AH8798" s="2" t="str">
        <f ca="1"/>
        <v>Bad</v>
      </c>
    </row>
    <row r="8799" spans="2:34" x14ac:dyDescent="0.2">
      <c r="B8799" s="2">
        <f ca="1"/>
        <v>0.344030833491072</v>
      </c>
      <c r="O8799" s="2">
        <f ca="1"/>
        <v>1.0801339907849608</v>
      </c>
      <c r="X8799" s="2">
        <f ca="1"/>
        <v>26.592138976597543</v>
      </c>
      <c r="AG8799" s="2">
        <f ca="1"/>
        <v>0.10945054672640464</v>
      </c>
      <c r="AH8799" s="2" t="str">
        <f ca="1"/>
        <v>OK</v>
      </c>
    </row>
    <row r="8800" spans="2:34" x14ac:dyDescent="0.2">
      <c r="B8800" s="2">
        <f ca="1"/>
        <v>0.65886614473296601</v>
      </c>
      <c r="O8800" s="2">
        <f ca="1"/>
        <v>-1.5896789485382412</v>
      </c>
      <c r="X8800" s="2">
        <f ca="1"/>
        <v>29.629794582687804</v>
      </c>
      <c r="AG8800" s="2">
        <f ca="1"/>
        <v>0.83319553945783986</v>
      </c>
      <c r="AH8800" s="2" t="str">
        <f ca="1"/>
        <v>Bad</v>
      </c>
    </row>
    <row r="8801" spans="2:34" x14ac:dyDescent="0.2">
      <c r="B8801" s="2">
        <f ca="1"/>
        <v>0.19886485458218495</v>
      </c>
      <c r="O8801" s="2">
        <f ca="1"/>
        <v>-0.50958365025028785</v>
      </c>
      <c r="X8801" s="2">
        <f ca="1"/>
        <v>75.574517490973804</v>
      </c>
      <c r="AG8801" s="2">
        <f ca="1"/>
        <v>0.86082127317352497</v>
      </c>
      <c r="AH8801" s="2" t="str">
        <f ca="1"/>
        <v>Bad</v>
      </c>
    </row>
    <row r="8802" spans="2:34" x14ac:dyDescent="0.2">
      <c r="B8802" s="2">
        <f ca="1"/>
        <v>3.8802436890681857E-2</v>
      </c>
      <c r="O8802" s="2">
        <f ca="1"/>
        <v>-1.4483500491344854</v>
      </c>
      <c r="X8802" s="2">
        <f ca="1"/>
        <v>59.570701724692903</v>
      </c>
      <c r="AG8802" s="2">
        <f ca="1"/>
        <v>0.92687834978357664</v>
      </c>
      <c r="AH8802" s="2" t="str">
        <f ca="1"/>
        <v>Bad</v>
      </c>
    </row>
    <row r="8803" spans="2:34" x14ac:dyDescent="0.2">
      <c r="B8803" s="2">
        <f ca="1"/>
        <v>0.70279607937381061</v>
      </c>
      <c r="O8803" s="2">
        <f ca="1"/>
        <v>-7.7838942523950471E-3</v>
      </c>
      <c r="X8803" s="2">
        <f ca="1"/>
        <v>51.888146889002222</v>
      </c>
      <c r="AG8803" s="2">
        <f ca="1"/>
        <v>0.29315010534887542</v>
      </c>
      <c r="AH8803" s="2" t="str">
        <f ca="1"/>
        <v>OK</v>
      </c>
    </row>
    <row r="8804" spans="2:34" x14ac:dyDescent="0.2">
      <c r="B8804" s="2">
        <f ca="1"/>
        <v>0.2436595586536412</v>
      </c>
      <c r="O8804" s="2">
        <f ca="1"/>
        <v>-1.7524421906893326</v>
      </c>
      <c r="X8804" s="2">
        <f ca="1"/>
        <v>72.110036433918182</v>
      </c>
      <c r="AG8804" s="2">
        <f ca="1"/>
        <v>0.15135182881668197</v>
      </c>
      <c r="AH8804" s="2" t="str">
        <f ca="1"/>
        <v>OK</v>
      </c>
    </row>
    <row r="8805" spans="2:34" x14ac:dyDescent="0.2">
      <c r="B8805" s="2">
        <f ca="1"/>
        <v>0.28717081852052173</v>
      </c>
      <c r="O8805" s="2">
        <f ca="1"/>
        <v>-0.26226390799338062</v>
      </c>
      <c r="X8805" s="2">
        <f ca="1"/>
        <v>43.967447384323748</v>
      </c>
      <c r="AG8805" s="2">
        <f ca="1"/>
        <v>0.9026323278107109</v>
      </c>
      <c r="AH8805" s="2" t="str">
        <f ca="1"/>
        <v>Bad</v>
      </c>
    </row>
    <row r="8806" spans="2:34" x14ac:dyDescent="0.2">
      <c r="B8806" s="2">
        <f ca="1"/>
        <v>0.86167071244200732</v>
      </c>
      <c r="O8806" s="2">
        <f ca="1"/>
        <v>1.7365510716882783E-2</v>
      </c>
      <c r="X8806" s="2">
        <f ca="1"/>
        <v>43.142169788323997</v>
      </c>
      <c r="AG8806" s="2">
        <f ca="1"/>
        <v>7.9777918079648957E-2</v>
      </c>
      <c r="AH8806" s="2" t="str">
        <f ca="1"/>
        <v>OK</v>
      </c>
    </row>
    <row r="8807" spans="2:34" x14ac:dyDescent="0.2">
      <c r="B8807" s="2">
        <f ca="1"/>
        <v>0.5174882559616516</v>
      </c>
      <c r="O8807" s="2">
        <f ca="1"/>
        <v>0.69497964338714002</v>
      </c>
      <c r="X8807" s="2">
        <f ca="1"/>
        <v>76.902211622339493</v>
      </c>
      <c r="AG8807" s="2">
        <f ca="1"/>
        <v>0.50757765910231756</v>
      </c>
      <c r="AH8807" s="2" t="str">
        <f ca="1"/>
        <v>Bad</v>
      </c>
    </row>
    <row r="8808" spans="2:34" x14ac:dyDescent="0.2">
      <c r="B8808" s="2">
        <f ca="1"/>
        <v>0.65904221352771453</v>
      </c>
      <c r="O8808" s="2">
        <f ca="1"/>
        <v>0.3485215695793058</v>
      </c>
      <c r="X8808" s="2">
        <f ca="1"/>
        <v>50.900425201109904</v>
      </c>
      <c r="AG8808" s="2">
        <f ca="1"/>
        <v>0.40571296499574028</v>
      </c>
      <c r="AH8808" s="2" t="str">
        <f ca="1"/>
        <v>Bad</v>
      </c>
    </row>
    <row r="8809" spans="2:34" x14ac:dyDescent="0.2">
      <c r="B8809" s="2">
        <f ca="1"/>
        <v>8.0957249155662492E-2</v>
      </c>
      <c r="O8809" s="2">
        <f ca="1"/>
        <v>-0.22763695868212072</v>
      </c>
      <c r="X8809" s="2">
        <f ca="1"/>
        <v>68.759407130774605</v>
      </c>
      <c r="AG8809" s="2">
        <f ca="1"/>
        <v>0.49544836984769969</v>
      </c>
      <c r="AH8809" s="2" t="str">
        <f ca="1"/>
        <v>Bad</v>
      </c>
    </row>
    <row r="8810" spans="2:34" x14ac:dyDescent="0.2">
      <c r="B8810" s="2">
        <f ca="1"/>
        <v>0.15215868494991591</v>
      </c>
      <c r="O8810" s="2">
        <f ca="1"/>
        <v>-1.9284716645885955</v>
      </c>
      <c r="X8810" s="2">
        <f ca="1"/>
        <v>48.588134922506583</v>
      </c>
      <c r="AG8810" s="2">
        <f ca="1"/>
        <v>0.77102664823698408</v>
      </c>
      <c r="AH8810" s="2" t="str">
        <f ca="1"/>
        <v>Bad</v>
      </c>
    </row>
    <row r="8811" spans="2:34" x14ac:dyDescent="0.2">
      <c r="B8811" s="2">
        <f ca="1"/>
        <v>8.3860510049304393E-2</v>
      </c>
      <c r="O8811" s="2">
        <f ca="1"/>
        <v>-1.6368455029507456</v>
      </c>
      <c r="X8811" s="2">
        <f ca="1"/>
        <v>52.455340304642618</v>
      </c>
      <c r="AG8811" s="2">
        <f ca="1"/>
        <v>0.22360901552657841</v>
      </c>
      <c r="AH8811" s="2" t="str">
        <f ca="1"/>
        <v>OK</v>
      </c>
    </row>
    <row r="8812" spans="2:34" x14ac:dyDescent="0.2">
      <c r="B8812" s="2">
        <f ca="1"/>
        <v>0.3403723568346162</v>
      </c>
      <c r="O8812" s="2">
        <f ca="1"/>
        <v>-1.0915039485907205</v>
      </c>
      <c r="X8812" s="2">
        <f ca="1"/>
        <v>30.837812614354242</v>
      </c>
      <c r="AG8812" s="2">
        <f ca="1"/>
        <v>0.21758130100723427</v>
      </c>
      <c r="AH8812" s="2" t="str">
        <f ca="1"/>
        <v>OK</v>
      </c>
    </row>
    <row r="8813" spans="2:34" x14ac:dyDescent="0.2">
      <c r="B8813" s="2">
        <f ca="1"/>
        <v>0.63650261053142443</v>
      </c>
      <c r="O8813" s="2">
        <f ca="1"/>
        <v>0.35016417489788754</v>
      </c>
      <c r="X8813" s="2">
        <f ca="1"/>
        <v>58.266497163878384</v>
      </c>
      <c r="AG8813" s="2">
        <f ca="1"/>
        <v>0.33855435754522012</v>
      </c>
      <c r="AH8813" s="2" t="str">
        <f ca="1"/>
        <v>OK</v>
      </c>
    </row>
    <row r="8814" spans="2:34" x14ac:dyDescent="0.2">
      <c r="B8814" s="2">
        <f ca="1"/>
        <v>0.80739255133606314</v>
      </c>
      <c r="O8814" s="2">
        <f ca="1"/>
        <v>-9.073178885119805E-3</v>
      </c>
      <c r="X8814" s="2">
        <f ca="1"/>
        <v>46.945813565385222</v>
      </c>
      <c r="AG8814" s="2">
        <f ca="1"/>
        <v>0.43245683031555826</v>
      </c>
      <c r="AH8814" s="2" t="str">
        <f ca="1"/>
        <v>Bad</v>
      </c>
    </row>
    <row r="8815" spans="2:34" x14ac:dyDescent="0.2">
      <c r="B8815" s="2">
        <f ca="1"/>
        <v>0.55682429139603018</v>
      </c>
      <c r="O8815" s="2">
        <f ca="1"/>
        <v>0.44668470550274314</v>
      </c>
      <c r="X8815" s="2">
        <f ca="1"/>
        <v>88.120165477995442</v>
      </c>
      <c r="AG8815" s="2">
        <f ca="1"/>
        <v>0.78908590017388036</v>
      </c>
      <c r="AH8815" s="2" t="str">
        <f ca="1"/>
        <v>Bad</v>
      </c>
    </row>
    <row r="8816" spans="2:34" x14ac:dyDescent="0.2">
      <c r="B8816" s="2">
        <f ca="1"/>
        <v>0.70176070967847903</v>
      </c>
      <c r="O8816" s="2">
        <f ca="1"/>
        <v>-0.25998464357568918</v>
      </c>
      <c r="X8816" s="2">
        <f ca="1"/>
        <v>36.367728212787483</v>
      </c>
      <c r="AG8816" s="2">
        <f ca="1"/>
        <v>0.57693780660227856</v>
      </c>
      <c r="AH8816" s="2" t="str">
        <f ca="1"/>
        <v>Bad</v>
      </c>
    </row>
    <row r="8817" spans="2:34" x14ac:dyDescent="0.2">
      <c r="B8817" s="2">
        <f ca="1"/>
        <v>0.38816636854443609</v>
      </c>
      <c r="O8817" s="2">
        <f ca="1"/>
        <v>5.9055005916962236E-2</v>
      </c>
      <c r="X8817" s="2">
        <f ca="1"/>
        <v>57.04840038042515</v>
      </c>
      <c r="AG8817" s="2">
        <f ca="1"/>
        <v>0.14173284002353448</v>
      </c>
      <c r="AH8817" s="2" t="str">
        <f ca="1"/>
        <v>OK</v>
      </c>
    </row>
    <row r="8818" spans="2:34" x14ac:dyDescent="0.2">
      <c r="B8818" s="2">
        <f ca="1"/>
        <v>0.75695062795579182</v>
      </c>
      <c r="O8818" s="2">
        <f ca="1"/>
        <v>-0.87368044850104853</v>
      </c>
      <c r="X8818" s="2">
        <f ca="1"/>
        <v>31.087342796145563</v>
      </c>
      <c r="AG8818" s="2">
        <f ca="1"/>
        <v>0.86490693951961584</v>
      </c>
      <c r="AH8818" s="2" t="str">
        <f ca="1"/>
        <v>Bad</v>
      </c>
    </row>
    <row r="8819" spans="2:34" x14ac:dyDescent="0.2">
      <c r="B8819" s="2">
        <f ca="1"/>
        <v>0.82070374313667172</v>
      </c>
      <c r="O8819" s="2">
        <f ca="1"/>
        <v>-0.98386068012891992</v>
      </c>
      <c r="X8819" s="2">
        <f ca="1"/>
        <v>41.701908470430745</v>
      </c>
      <c r="AG8819" s="2">
        <f ca="1"/>
        <v>0.95863994764096461</v>
      </c>
      <c r="AH8819" s="2" t="str">
        <f ca="1"/>
        <v>Bad</v>
      </c>
    </row>
    <row r="8820" spans="2:34" x14ac:dyDescent="0.2">
      <c r="B8820" s="2">
        <f ca="1"/>
        <v>0.87618990507972438</v>
      </c>
      <c r="O8820" s="2">
        <f ca="1"/>
        <v>-0.41087888125682681</v>
      </c>
      <c r="X8820" s="2">
        <f ca="1"/>
        <v>82.100005456891409</v>
      </c>
      <c r="AG8820" s="2">
        <f ca="1"/>
        <v>0.69916953975959539</v>
      </c>
      <c r="AH8820" s="2" t="str">
        <f ca="1"/>
        <v>Bad</v>
      </c>
    </row>
    <row r="8821" spans="2:34" x14ac:dyDescent="0.2">
      <c r="B8821" s="2">
        <f ca="1"/>
        <v>0.71341983383136331</v>
      </c>
      <c r="O8821" s="2">
        <f ca="1"/>
        <v>3.3223130584791601E-2</v>
      </c>
      <c r="X8821" s="2">
        <f ca="1"/>
        <v>53.323742903272162</v>
      </c>
      <c r="AG8821" s="2">
        <f ca="1"/>
        <v>0.2386395547005451</v>
      </c>
      <c r="AH8821" s="2" t="str">
        <f ca="1"/>
        <v>OK</v>
      </c>
    </row>
    <row r="8822" spans="2:34" x14ac:dyDescent="0.2">
      <c r="B8822" s="2">
        <f ca="1"/>
        <v>0.74113148059840794</v>
      </c>
      <c r="O8822" s="2">
        <f ca="1"/>
        <v>-0.22769979253310343</v>
      </c>
      <c r="X8822" s="2">
        <f ca="1"/>
        <v>38.351091749139563</v>
      </c>
      <c r="AG8822" s="2">
        <f ca="1"/>
        <v>0.84130611883819317</v>
      </c>
      <c r="AH8822" s="2" t="str">
        <f ca="1"/>
        <v>Bad</v>
      </c>
    </row>
    <row r="8823" spans="2:34" x14ac:dyDescent="0.2">
      <c r="B8823" s="2">
        <f ca="1"/>
        <v>0.99762687677498074</v>
      </c>
      <c r="O8823" s="2">
        <f ca="1"/>
        <v>2.2472870917295231</v>
      </c>
      <c r="X8823" s="2">
        <f ca="1"/>
        <v>40.989791455401658</v>
      </c>
      <c r="AG8823" s="2">
        <f ca="1"/>
        <v>0.63538531187292802</v>
      </c>
      <c r="AH8823" s="2" t="str">
        <f ca="1"/>
        <v>Bad</v>
      </c>
    </row>
    <row r="8824" spans="2:34" x14ac:dyDescent="0.2">
      <c r="B8824" s="2">
        <f ca="1"/>
        <v>4.5032095107458536E-2</v>
      </c>
      <c r="O8824" s="2">
        <f ca="1"/>
        <v>-0.32699536226349696</v>
      </c>
      <c r="X8824" s="2">
        <f ca="1"/>
        <v>68.10216048841697</v>
      </c>
      <c r="AG8824" s="2">
        <f ca="1"/>
        <v>0.52896149646771984</v>
      </c>
      <c r="AH8824" s="2" t="str">
        <f ca="1"/>
        <v>Bad</v>
      </c>
    </row>
    <row r="8825" spans="2:34" x14ac:dyDescent="0.2">
      <c r="B8825" s="2">
        <f ca="1"/>
        <v>4.0659058328901709E-2</v>
      </c>
      <c r="O8825" s="2">
        <f ca="1"/>
        <v>0.92892992202574043</v>
      </c>
      <c r="X8825" s="2">
        <f ca="1"/>
        <v>48.089752377015984</v>
      </c>
      <c r="AG8825" s="2">
        <f ca="1"/>
        <v>0.60626276181417049</v>
      </c>
      <c r="AH8825" s="2" t="str">
        <f ca="1"/>
        <v>Bad</v>
      </c>
    </row>
    <row r="8826" spans="2:34" x14ac:dyDescent="0.2">
      <c r="B8826" s="2">
        <f ca="1"/>
        <v>0.52100519620019425</v>
      </c>
      <c r="O8826" s="2">
        <f ca="1"/>
        <v>-0.4591613704421123</v>
      </c>
      <c r="X8826" s="2">
        <f ca="1"/>
        <v>73.984208556125026</v>
      </c>
      <c r="AG8826" s="2">
        <f ca="1"/>
        <v>0.13269389977080737</v>
      </c>
      <c r="AH8826" s="2" t="str">
        <f ca="1"/>
        <v>OK</v>
      </c>
    </row>
    <row r="8827" spans="2:34" x14ac:dyDescent="0.2">
      <c r="B8827" s="2">
        <f ca="1"/>
        <v>0.11265884625918554</v>
      </c>
      <c r="O8827" s="2">
        <f ca="1"/>
        <v>-1.0864022358961858</v>
      </c>
      <c r="X8827" s="2">
        <f ca="1"/>
        <v>39.122904887400203</v>
      </c>
      <c r="AG8827" s="2">
        <f ca="1"/>
        <v>1.669214184004808E-2</v>
      </c>
      <c r="AH8827" s="2" t="str">
        <f ca="1"/>
        <v>Good</v>
      </c>
    </row>
    <row r="8828" spans="2:34" x14ac:dyDescent="0.2">
      <c r="B8828" s="2">
        <f ca="1"/>
        <v>0.98149490029440822</v>
      </c>
      <c r="O8828" s="2">
        <f ca="1"/>
        <v>-0.57247293197935778</v>
      </c>
      <c r="X8828" s="2">
        <f ca="1"/>
        <v>41.278483404279946</v>
      </c>
      <c r="AG8828" s="2">
        <f ca="1"/>
        <v>0.52655149555493352</v>
      </c>
      <c r="AH8828" s="2" t="str">
        <f ca="1"/>
        <v>Bad</v>
      </c>
    </row>
    <row r="8829" spans="2:34" x14ac:dyDescent="0.2">
      <c r="B8829" s="2">
        <f ca="1"/>
        <v>0.79050293753544043</v>
      </c>
      <c r="O8829" s="2">
        <f ca="1"/>
        <v>0.99661520116428548</v>
      </c>
      <c r="X8829" s="2">
        <f ca="1"/>
        <v>37.187862798551862</v>
      </c>
      <c r="AG8829" s="2">
        <f ca="1"/>
        <v>6.825864353603861E-2</v>
      </c>
      <c r="AH8829" s="2" t="str">
        <f ca="1"/>
        <v>OK</v>
      </c>
    </row>
    <row r="8830" spans="2:34" x14ac:dyDescent="0.2">
      <c r="B8830" s="2">
        <f ca="1"/>
        <v>0.68163767013464205</v>
      </c>
      <c r="O8830" s="2">
        <f ca="1"/>
        <v>-0.52404543122456804</v>
      </c>
      <c r="X8830" s="2">
        <f ca="1"/>
        <v>45.233091891344145</v>
      </c>
      <c r="AG8830" s="2">
        <f ca="1"/>
        <v>0.87883291231767036</v>
      </c>
      <c r="AH8830" s="2" t="str">
        <f ca="1"/>
        <v>Bad</v>
      </c>
    </row>
    <row r="8831" spans="2:34" x14ac:dyDescent="0.2">
      <c r="B8831" s="2">
        <f ca="1"/>
        <v>0.8283286535354617</v>
      </c>
      <c r="O8831" s="2">
        <f ca="1"/>
        <v>0.72123732944371544</v>
      </c>
      <c r="X8831" s="2">
        <f ca="1"/>
        <v>65.309055320306683</v>
      </c>
      <c r="AG8831" s="2">
        <f ca="1"/>
        <v>0.66575423430727287</v>
      </c>
      <c r="AH8831" s="2" t="str">
        <f ca="1"/>
        <v>Bad</v>
      </c>
    </row>
    <row r="8832" spans="2:34" x14ac:dyDescent="0.2">
      <c r="B8832" s="2">
        <f ca="1"/>
        <v>0.23567839663750267</v>
      </c>
      <c r="O8832" s="2">
        <f ca="1"/>
        <v>1.0226834473733075</v>
      </c>
      <c r="X8832" s="2">
        <f ca="1"/>
        <v>48.128434829366469</v>
      </c>
      <c r="AG8832" s="2">
        <f ca="1"/>
        <v>0.92972465035468632</v>
      </c>
      <c r="AH8832" s="2" t="str">
        <f ca="1"/>
        <v>Bad</v>
      </c>
    </row>
    <row r="8833" spans="2:34" x14ac:dyDescent="0.2">
      <c r="B8833" s="2">
        <f ca="1"/>
        <v>0.33157683796092363</v>
      </c>
      <c r="O8833" s="2">
        <f ca="1"/>
        <v>6.2810969005696771E-2</v>
      </c>
      <c r="X8833" s="2">
        <f ca="1"/>
        <v>34.926457850945035</v>
      </c>
      <c r="AG8833" s="2">
        <f ca="1"/>
        <v>0.68847673798411146</v>
      </c>
      <c r="AH8833" s="2" t="str">
        <f ca="1"/>
        <v>Bad</v>
      </c>
    </row>
    <row r="8834" spans="2:34" x14ac:dyDescent="0.2">
      <c r="B8834" s="2">
        <f ca="1"/>
        <v>0.99992179948494009</v>
      </c>
      <c r="O8834" s="2">
        <f ca="1"/>
        <v>1.3298903678637064E-2</v>
      </c>
      <c r="X8834" s="2">
        <f ca="1"/>
        <v>40.01891200280761</v>
      </c>
      <c r="AG8834" s="2">
        <f ca="1"/>
        <v>0.41907716825749075</v>
      </c>
      <c r="AH8834" s="2" t="str">
        <f ca="1"/>
        <v>Bad</v>
      </c>
    </row>
    <row r="8835" spans="2:34" x14ac:dyDescent="0.2">
      <c r="B8835" s="2">
        <f ca="1"/>
        <v>0.19891473473169086</v>
      </c>
      <c r="O8835" s="2">
        <f ca="1"/>
        <v>0.71059412775023401</v>
      </c>
      <c r="X8835" s="2">
        <f ca="1"/>
        <v>46.681901367646702</v>
      </c>
      <c r="AG8835" s="2">
        <f ca="1"/>
        <v>0.34088695512565126</v>
      </c>
      <c r="AH8835" s="2" t="str">
        <f ca="1"/>
        <v>OK</v>
      </c>
    </row>
    <row r="8836" spans="2:34" x14ac:dyDescent="0.2">
      <c r="B8836" s="2">
        <f ca="1"/>
        <v>0.62469875391389817</v>
      </c>
      <c r="O8836" s="2">
        <f ca="1"/>
        <v>0.16437769535742305</v>
      </c>
      <c r="X8836" s="2">
        <f ca="1"/>
        <v>62.507435345043604</v>
      </c>
      <c r="AG8836" s="2">
        <f ca="1"/>
        <v>0.17100321555414411</v>
      </c>
      <c r="AH8836" s="2" t="str">
        <f ca="1"/>
        <v>OK</v>
      </c>
    </row>
    <row r="8837" spans="2:34" x14ac:dyDescent="0.2">
      <c r="B8837" s="2">
        <f ca="1"/>
        <v>0.27682849211033411</v>
      </c>
      <c r="O8837" s="2">
        <f ca="1"/>
        <v>-0.61149289884861058</v>
      </c>
      <c r="X8837" s="2">
        <f ca="1"/>
        <v>102.72459634617837</v>
      </c>
      <c r="AG8837" s="2">
        <f ca="1"/>
        <v>0.49530108131572659</v>
      </c>
      <c r="AH8837" s="2" t="str">
        <f ca="1"/>
        <v>Bad</v>
      </c>
    </row>
    <row r="8838" spans="2:34" x14ac:dyDescent="0.2">
      <c r="B8838" s="2">
        <f ca="1"/>
        <v>0.39323431686887589</v>
      </c>
      <c r="O8838" s="2">
        <f ca="1"/>
        <v>-0.70987942763910361</v>
      </c>
      <c r="X8838" s="2">
        <f ca="1"/>
        <v>37.124462611713007</v>
      </c>
      <c r="AG8838" s="2">
        <f ca="1"/>
        <v>0.11828337370608111</v>
      </c>
      <c r="AH8838" s="2" t="str">
        <f ca="1"/>
        <v>OK</v>
      </c>
    </row>
    <row r="8839" spans="2:34" x14ac:dyDescent="0.2">
      <c r="B8839" s="2">
        <f ca="1"/>
        <v>0.49037754544949763</v>
      </c>
      <c r="O8839" s="2">
        <f ca="1"/>
        <v>-0.21779761688296695</v>
      </c>
      <c r="X8839" s="2">
        <f ca="1"/>
        <v>42.625432254187686</v>
      </c>
      <c r="AG8839" s="2">
        <f ca="1"/>
        <v>0.95359095916174841</v>
      </c>
      <c r="AH8839" s="2" t="str">
        <f ca="1"/>
        <v>Bad</v>
      </c>
    </row>
    <row r="8840" spans="2:34" x14ac:dyDescent="0.2">
      <c r="B8840" s="2">
        <f ca="1"/>
        <v>0.77620680444052859</v>
      </c>
      <c r="O8840" s="2">
        <f ca="1"/>
        <v>-2.0179429342921162</v>
      </c>
      <c r="X8840" s="2">
        <f ca="1"/>
        <v>35.46088280147935</v>
      </c>
      <c r="AG8840" s="2">
        <f ca="1"/>
        <v>0.2460249004529651</v>
      </c>
      <c r="AH8840" s="2" t="str">
        <f ca="1"/>
        <v>OK</v>
      </c>
    </row>
    <row r="8841" spans="2:34" x14ac:dyDescent="0.2">
      <c r="B8841" s="2">
        <f ca="1"/>
        <v>0.93727588826476183</v>
      </c>
      <c r="O8841" s="2">
        <f ca="1"/>
        <v>1.3196363066517716</v>
      </c>
      <c r="X8841" s="2">
        <f ca="1"/>
        <v>44.393153599796243</v>
      </c>
      <c r="AG8841" s="2">
        <f ca="1"/>
        <v>0.91905983274286851</v>
      </c>
      <c r="AH8841" s="2" t="str">
        <f ca="1"/>
        <v>Bad</v>
      </c>
    </row>
    <row r="8842" spans="2:34" x14ac:dyDescent="0.2">
      <c r="B8842" s="2">
        <f ca="1"/>
        <v>0.82039511597652282</v>
      </c>
      <c r="O8842" s="2">
        <f ca="1"/>
        <v>-1.3347800527673392</v>
      </c>
      <c r="X8842" s="2">
        <f ca="1"/>
        <v>80.743656744178764</v>
      </c>
      <c r="AG8842" s="2">
        <f ca="1"/>
        <v>0.72028952839286364</v>
      </c>
      <c r="AH8842" s="2" t="str">
        <f ca="1"/>
        <v>Bad</v>
      </c>
    </row>
    <row r="8843" spans="2:34" x14ac:dyDescent="0.2">
      <c r="B8843" s="2">
        <f ca="1"/>
        <v>0.45675870751566006</v>
      </c>
      <c r="O8843" s="2">
        <f ca="1"/>
        <v>-0.46593199457634898</v>
      </c>
      <c r="X8843" s="2">
        <f ca="1"/>
        <v>44.296217090745543</v>
      </c>
      <c r="AG8843" s="2">
        <f ca="1"/>
        <v>0.61917215205386755</v>
      </c>
      <c r="AH8843" s="2" t="str">
        <f ca="1"/>
        <v>Bad</v>
      </c>
    </row>
    <row r="8844" spans="2:34" x14ac:dyDescent="0.2">
      <c r="B8844" s="2">
        <f ca="1"/>
        <v>0.45245306303807897</v>
      </c>
      <c r="O8844" s="2">
        <f ca="1"/>
        <v>0.8391844095642268</v>
      </c>
      <c r="X8844" s="2">
        <f ca="1"/>
        <v>43.457790942557651</v>
      </c>
      <c r="AG8844" s="2">
        <f ca="1"/>
        <v>0.18916891964939575</v>
      </c>
      <c r="AH8844" s="2" t="str">
        <f ca="1"/>
        <v>OK</v>
      </c>
    </row>
    <row r="8845" spans="2:34" x14ac:dyDescent="0.2">
      <c r="B8845" s="2">
        <f ca="1"/>
        <v>0.56191552850730919</v>
      </c>
      <c r="O8845" s="2">
        <f ca="1"/>
        <v>-0.4859220906706469</v>
      </c>
      <c r="X8845" s="2">
        <f ca="1"/>
        <v>43.12439170330989</v>
      </c>
      <c r="AG8845" s="2">
        <f ca="1"/>
        <v>0.61207577165368421</v>
      </c>
      <c r="AH8845" s="2" t="str">
        <f ca="1"/>
        <v>Bad</v>
      </c>
    </row>
    <row r="8846" spans="2:34" x14ac:dyDescent="0.2">
      <c r="B8846" s="2">
        <f ca="1"/>
        <v>0.65834353117311495</v>
      </c>
      <c r="O8846" s="2">
        <f ca="1"/>
        <v>-0.69529557828487121</v>
      </c>
      <c r="X8846" s="2">
        <f ca="1"/>
        <v>35.773042490478204</v>
      </c>
      <c r="AG8846" s="2">
        <f ca="1"/>
        <v>0.34115652091670134</v>
      </c>
      <c r="AH8846" s="2" t="str">
        <f ca="1"/>
        <v>OK</v>
      </c>
    </row>
    <row r="8847" spans="2:34" x14ac:dyDescent="0.2">
      <c r="B8847" s="2">
        <f ca="1"/>
        <v>7.6704511363162808E-2</v>
      </c>
      <c r="O8847" s="2">
        <f ca="1"/>
        <v>-0.251501382065278</v>
      </c>
      <c r="X8847" s="2">
        <f ca="1"/>
        <v>17.902108763593812</v>
      </c>
      <c r="AG8847" s="2">
        <f ca="1"/>
        <v>0.86339154116692707</v>
      </c>
      <c r="AH8847" s="2" t="str">
        <f ca="1"/>
        <v>Bad</v>
      </c>
    </row>
    <row r="8848" spans="2:34" x14ac:dyDescent="0.2">
      <c r="B8848" s="2">
        <f ca="1"/>
        <v>0.84795736104417063</v>
      </c>
      <c r="O8848" s="2">
        <f ca="1"/>
        <v>-0.20097466915292106</v>
      </c>
      <c r="X8848" s="2">
        <f ca="1"/>
        <v>57.528843731459645</v>
      </c>
      <c r="AG8848" s="2">
        <f ca="1"/>
        <v>0.471396326314933</v>
      </c>
      <c r="AH8848" s="2" t="str">
        <f ca="1"/>
        <v>Bad</v>
      </c>
    </row>
    <row r="8849" spans="2:34" x14ac:dyDescent="0.2">
      <c r="B8849" s="2">
        <f ca="1"/>
        <v>0.27713838867896379</v>
      </c>
      <c r="O8849" s="2">
        <f ca="1"/>
        <v>6.4878700369496264E-2</v>
      </c>
      <c r="X8849" s="2">
        <f ca="1"/>
        <v>50.695546008670377</v>
      </c>
      <c r="AG8849" s="2">
        <f ca="1"/>
        <v>2.3024935272657476E-2</v>
      </c>
      <c r="AH8849" s="2" t="str">
        <f ca="1"/>
        <v>Good</v>
      </c>
    </row>
    <row r="8850" spans="2:34" x14ac:dyDescent="0.2">
      <c r="B8850" s="2">
        <f ca="1"/>
        <v>0.63648920355664695</v>
      </c>
      <c r="O8850" s="2">
        <f ca="1"/>
        <v>1.0916751220712662</v>
      </c>
      <c r="X8850" s="2">
        <f ca="1"/>
        <v>51.069576854500376</v>
      </c>
      <c r="AG8850" s="2">
        <f ca="1"/>
        <v>0.83203629238599519</v>
      </c>
      <c r="AH8850" s="2" t="str">
        <f ca="1"/>
        <v>Bad</v>
      </c>
    </row>
    <row r="8851" spans="2:34" x14ac:dyDescent="0.2">
      <c r="B8851" s="2">
        <f ca="1"/>
        <v>0.20009544840644189</v>
      </c>
      <c r="O8851" s="2">
        <f ca="1"/>
        <v>1.1807456114512491</v>
      </c>
      <c r="X8851" s="2">
        <f ca="1"/>
        <v>50.085794909195478</v>
      </c>
      <c r="AG8851" s="2">
        <f ca="1"/>
        <v>0.58504649744223158</v>
      </c>
      <c r="AH8851" s="2" t="str">
        <f ca="1"/>
        <v>Bad</v>
      </c>
    </row>
    <row r="8852" spans="2:34" x14ac:dyDescent="0.2">
      <c r="B8852" s="2">
        <f ca="1"/>
        <v>0.9917544385723982</v>
      </c>
      <c r="O8852" s="2">
        <f ca="1"/>
        <v>-0.75437696254846942</v>
      </c>
      <c r="X8852" s="2">
        <f ca="1"/>
        <v>54.709706339614208</v>
      </c>
      <c r="AG8852" s="2">
        <f ca="1"/>
        <v>0.67720228628226931</v>
      </c>
      <c r="AH8852" s="2" t="str">
        <f ca="1"/>
        <v>Bad</v>
      </c>
    </row>
    <row r="8853" spans="2:34" x14ac:dyDescent="0.2">
      <c r="B8853" s="2">
        <f ca="1"/>
        <v>0.20626662636242754</v>
      </c>
      <c r="O8853" s="2">
        <f ca="1"/>
        <v>-0.54148899599491795</v>
      </c>
      <c r="X8853" s="2">
        <f ca="1"/>
        <v>57.499712976399536</v>
      </c>
      <c r="AG8853" s="2">
        <f ca="1"/>
        <v>0.76135102755319339</v>
      </c>
      <c r="AH8853" s="2" t="str">
        <f ca="1"/>
        <v>Bad</v>
      </c>
    </row>
    <row r="8854" spans="2:34" x14ac:dyDescent="0.2">
      <c r="B8854" s="2">
        <f ca="1"/>
        <v>0.89494877730655387</v>
      </c>
      <c r="O8854" s="2">
        <f ca="1"/>
        <v>-0.98450708019091049</v>
      </c>
      <c r="X8854" s="2">
        <f ca="1"/>
        <v>28.271227644504652</v>
      </c>
      <c r="AG8854" s="2">
        <f ca="1"/>
        <v>0.3148046868112151</v>
      </c>
      <c r="AH8854" s="2" t="str">
        <f ca="1"/>
        <v>OK</v>
      </c>
    </row>
    <row r="8855" spans="2:34" x14ac:dyDescent="0.2">
      <c r="B8855" s="2">
        <f ca="1"/>
        <v>0.56972444345296513</v>
      </c>
      <c r="O8855" s="2">
        <f ca="1"/>
        <v>-0.86455078874816438</v>
      </c>
      <c r="X8855" s="2">
        <f ca="1"/>
        <v>43.793897031955488</v>
      </c>
      <c r="AG8855" s="2">
        <f ca="1"/>
        <v>0.11233845275859089</v>
      </c>
      <c r="AH8855" s="2" t="str">
        <f ca="1"/>
        <v>OK</v>
      </c>
    </row>
    <row r="8856" spans="2:34" x14ac:dyDescent="0.2">
      <c r="B8856" s="2">
        <f ca="1"/>
        <v>0.18393412720671187</v>
      </c>
      <c r="O8856" s="2">
        <f ca="1"/>
        <v>1.2487262118733287</v>
      </c>
      <c r="X8856" s="2">
        <f ca="1"/>
        <v>54.214072414954018</v>
      </c>
      <c r="AG8856" s="2">
        <f ca="1"/>
        <v>0.32083929709304826</v>
      </c>
      <c r="AH8856" s="2" t="str">
        <f ca="1"/>
        <v>OK</v>
      </c>
    </row>
    <row r="8857" spans="2:34" x14ac:dyDescent="0.2">
      <c r="B8857" s="2">
        <f ca="1"/>
        <v>0.58292954958391596</v>
      </c>
      <c r="O8857" s="2">
        <f ca="1"/>
        <v>-0.83260935553617754</v>
      </c>
      <c r="X8857" s="2">
        <f ca="1"/>
        <v>36.770497533751524</v>
      </c>
      <c r="AG8857" s="2">
        <f ca="1"/>
        <v>0.82357198757045014</v>
      </c>
      <c r="AH8857" s="2" t="str">
        <f ca="1"/>
        <v>Bad</v>
      </c>
    </row>
    <row r="8858" spans="2:34" x14ac:dyDescent="0.2">
      <c r="B8858" s="2">
        <f ca="1"/>
        <v>0.59567732375960403</v>
      </c>
      <c r="O8858" s="2">
        <f ca="1"/>
        <v>1.089422302825181</v>
      </c>
      <c r="X8858" s="2">
        <f ca="1"/>
        <v>59.975719451864947</v>
      </c>
      <c r="AG8858" s="2">
        <f ca="1"/>
        <v>0.89417533013993822</v>
      </c>
      <c r="AH8858" s="2" t="str">
        <f ca="1"/>
        <v>Bad</v>
      </c>
    </row>
    <row r="8859" spans="2:34" x14ac:dyDescent="0.2">
      <c r="B8859" s="2">
        <f ca="1"/>
        <v>0.23904451450584618</v>
      </c>
      <c r="O8859" s="2">
        <f ca="1"/>
        <v>-8.0165674412481597E-2</v>
      </c>
      <c r="X8859" s="2">
        <f ca="1"/>
        <v>62.272004278180965</v>
      </c>
      <c r="AG8859" s="2">
        <f ca="1"/>
        <v>0.620962055040988</v>
      </c>
      <c r="AH8859" s="2" t="str">
        <f ca="1"/>
        <v>Bad</v>
      </c>
    </row>
    <row r="8860" spans="2:34" x14ac:dyDescent="0.2">
      <c r="B8860" s="2">
        <f ca="1"/>
        <v>0.87708555292476831</v>
      </c>
      <c r="O8860" s="2">
        <f ca="1"/>
        <v>-0.85072205507415977</v>
      </c>
      <c r="X8860" s="2">
        <f ca="1"/>
        <v>48.803728982233359</v>
      </c>
      <c r="AG8860" s="2">
        <f ca="1"/>
        <v>0.13380464171407525</v>
      </c>
      <c r="AH8860" s="2" t="str">
        <f ca="1"/>
        <v>OK</v>
      </c>
    </row>
    <row r="8861" spans="2:34" x14ac:dyDescent="0.2">
      <c r="B8861" s="2">
        <f ca="1"/>
        <v>0.75072572232798906</v>
      </c>
      <c r="O8861" s="2">
        <f ca="1"/>
        <v>0.30253708833283932</v>
      </c>
      <c r="X8861" s="2">
        <f ca="1"/>
        <v>60.461467609305465</v>
      </c>
      <c r="AG8861" s="2">
        <f ca="1"/>
        <v>0.17177344470672762</v>
      </c>
      <c r="AH8861" s="2" t="str">
        <f ca="1"/>
        <v>OK</v>
      </c>
    </row>
    <row r="8862" spans="2:34" x14ac:dyDescent="0.2">
      <c r="B8862" s="2">
        <f ca="1"/>
        <v>0.3145311541844078</v>
      </c>
      <c r="O8862" s="2">
        <f ca="1"/>
        <v>0.3748656625004666</v>
      </c>
      <c r="X8862" s="2">
        <f ca="1"/>
        <v>29.777055984725266</v>
      </c>
      <c r="AG8862" s="2">
        <f ca="1"/>
        <v>0.60242897164080333</v>
      </c>
      <c r="AH8862" s="2" t="str">
        <f ca="1"/>
        <v>Bad</v>
      </c>
    </row>
    <row r="8863" spans="2:34" x14ac:dyDescent="0.2">
      <c r="B8863" s="2">
        <f ca="1"/>
        <v>4.9766084439836433E-2</v>
      </c>
      <c r="O8863" s="2">
        <f ca="1"/>
        <v>2.600658395322955</v>
      </c>
      <c r="X8863" s="2">
        <f ca="1"/>
        <v>64.10099952836012</v>
      </c>
      <c r="AG8863" s="2">
        <f ca="1"/>
        <v>0.88155343180905943</v>
      </c>
      <c r="AH8863" s="2" t="str">
        <f ca="1"/>
        <v>Bad</v>
      </c>
    </row>
    <row r="8864" spans="2:34" x14ac:dyDescent="0.2">
      <c r="B8864" s="2">
        <f ca="1"/>
        <v>0.18696851657365143</v>
      </c>
      <c r="O8864" s="2">
        <f ca="1"/>
        <v>-0.46568905996963422</v>
      </c>
      <c r="X8864" s="2">
        <f ca="1"/>
        <v>73.043392135880552</v>
      </c>
      <c r="AG8864" s="2">
        <f ca="1"/>
        <v>0.29438619213577888</v>
      </c>
      <c r="AH8864" s="2" t="str">
        <f ca="1"/>
        <v>OK</v>
      </c>
    </row>
    <row r="8865" spans="2:34" x14ac:dyDescent="0.2">
      <c r="B8865" s="2">
        <f ca="1"/>
        <v>0.44002223945538943</v>
      </c>
      <c r="O8865" s="2">
        <f ca="1"/>
        <v>-9.7186348559915578E-2</v>
      </c>
      <c r="X8865" s="2">
        <f ca="1"/>
        <v>56.283535159187039</v>
      </c>
      <c r="AG8865" s="2">
        <f ca="1"/>
        <v>0.33519333699108289</v>
      </c>
      <c r="AH8865" s="2" t="str">
        <f ca="1"/>
        <v>OK</v>
      </c>
    </row>
    <row r="8866" spans="2:34" x14ac:dyDescent="0.2">
      <c r="B8866" s="2">
        <f ca="1"/>
        <v>0.68327823196669102</v>
      </c>
      <c r="O8866" s="2">
        <f ca="1"/>
        <v>1.9030981685877668</v>
      </c>
      <c r="X8866" s="2">
        <f ca="1"/>
        <v>53.462613049084943</v>
      </c>
      <c r="AG8866" s="2">
        <f ca="1"/>
        <v>0.12151322401415587</v>
      </c>
      <c r="AH8866" s="2" t="str">
        <f ca="1"/>
        <v>OK</v>
      </c>
    </row>
    <row r="8867" spans="2:34" x14ac:dyDescent="0.2">
      <c r="B8867" s="2">
        <f ca="1"/>
        <v>0.82066036253457764</v>
      </c>
      <c r="O8867" s="2">
        <f ca="1"/>
        <v>-0.67817874428929592</v>
      </c>
      <c r="X8867" s="2">
        <f ca="1"/>
        <v>44.959453596755836</v>
      </c>
      <c r="AG8867" s="2">
        <f ca="1"/>
        <v>0.53128892234193792</v>
      </c>
      <c r="AH8867" s="2" t="str">
        <f ca="1"/>
        <v>Bad</v>
      </c>
    </row>
    <row r="8868" spans="2:34" x14ac:dyDescent="0.2">
      <c r="B8868" s="2">
        <f ca="1"/>
        <v>0.16088617184524767</v>
      </c>
      <c r="O8868" s="2">
        <f ca="1"/>
        <v>2.3742262494982895E-2</v>
      </c>
      <c r="X8868" s="2">
        <f ca="1"/>
        <v>64.846223839677165</v>
      </c>
      <c r="AG8868" s="2">
        <f ca="1"/>
        <v>0.41290139064541287</v>
      </c>
      <c r="AH8868" s="2" t="str">
        <f ca="1"/>
        <v>Bad</v>
      </c>
    </row>
    <row r="8869" spans="2:34" x14ac:dyDescent="0.2">
      <c r="B8869" s="2">
        <f ca="1"/>
        <v>0.70562902765329993</v>
      </c>
      <c r="O8869" s="2">
        <f ca="1"/>
        <v>0.47481864854479072</v>
      </c>
      <c r="X8869" s="2">
        <f ca="1"/>
        <v>35.891633599223702</v>
      </c>
      <c r="AG8869" s="2">
        <f ca="1"/>
        <v>0.35790046306367151</v>
      </c>
      <c r="AH8869" s="2" t="str">
        <f ca="1"/>
        <v>OK</v>
      </c>
    </row>
    <row r="8870" spans="2:34" x14ac:dyDescent="0.2">
      <c r="B8870" s="2">
        <f ca="1"/>
        <v>0.56054437128550916</v>
      </c>
      <c r="O8870" s="2">
        <f ca="1"/>
        <v>-1.4799417147887624</v>
      </c>
      <c r="X8870" s="2">
        <f ca="1"/>
        <v>66.668578727315179</v>
      </c>
      <c r="AG8870" s="2">
        <f ca="1"/>
        <v>4.4086881289393309E-2</v>
      </c>
      <c r="AH8870" s="2" t="str">
        <f ca="1"/>
        <v>Good</v>
      </c>
    </row>
    <row r="8871" spans="2:34" x14ac:dyDescent="0.2">
      <c r="B8871" s="2">
        <f ca="1"/>
        <v>0.43502393846857812</v>
      </c>
      <c r="O8871" s="2">
        <f ca="1"/>
        <v>-0.6951158883432168</v>
      </c>
      <c r="X8871" s="2">
        <f ca="1"/>
        <v>49.329120970385169</v>
      </c>
      <c r="AG8871" s="2">
        <f ca="1"/>
        <v>0.91192866513323101</v>
      </c>
      <c r="AH8871" s="2" t="str">
        <f ca="1"/>
        <v>Bad</v>
      </c>
    </row>
    <row r="8872" spans="2:34" x14ac:dyDescent="0.2">
      <c r="B8872" s="2">
        <f ca="1"/>
        <v>0.48816088352313969</v>
      </c>
      <c r="O8872" s="2">
        <f ca="1"/>
        <v>3.6764981709078798E-2</v>
      </c>
      <c r="X8872" s="2">
        <f ca="1"/>
        <v>67.530338651520111</v>
      </c>
      <c r="AG8872" s="2">
        <f ca="1"/>
        <v>0.30020579933315106</v>
      </c>
      <c r="AH8872" s="2" t="str">
        <f ca="1"/>
        <v>OK</v>
      </c>
    </row>
    <row r="8873" spans="2:34" x14ac:dyDescent="0.2">
      <c r="B8873" s="2">
        <f ca="1"/>
        <v>0.57230059882189477</v>
      </c>
      <c r="O8873" s="2">
        <f ca="1"/>
        <v>-1.397068663425584</v>
      </c>
      <c r="X8873" s="2">
        <f ca="1"/>
        <v>57.902371129302459</v>
      </c>
      <c r="AG8873" s="2">
        <f ca="1"/>
        <v>0.35160163465280592</v>
      </c>
      <c r="AH8873" s="2" t="str">
        <f ca="1"/>
        <v>OK</v>
      </c>
    </row>
    <row r="8874" spans="2:34" x14ac:dyDescent="0.2">
      <c r="B8874" s="2">
        <f ca="1"/>
        <v>0.96693454790715561</v>
      </c>
      <c r="O8874" s="2">
        <f ca="1"/>
        <v>0.28666408352372552</v>
      </c>
      <c r="X8874" s="2">
        <f ca="1"/>
        <v>89.215722189212926</v>
      </c>
      <c r="AG8874" s="2">
        <f ca="1"/>
        <v>0.9254511316750178</v>
      </c>
      <c r="AH8874" s="2" t="str">
        <f ca="1"/>
        <v>Bad</v>
      </c>
    </row>
    <row r="8875" spans="2:34" x14ac:dyDescent="0.2">
      <c r="B8875" s="2">
        <f ca="1"/>
        <v>0.32296850213118899</v>
      </c>
      <c r="O8875" s="2">
        <f ca="1"/>
        <v>-0.72613874813609414</v>
      </c>
      <c r="X8875" s="2">
        <f ca="1"/>
        <v>63.391277968328851</v>
      </c>
      <c r="AG8875" s="2">
        <f ca="1"/>
        <v>0.35461106015615917</v>
      </c>
      <c r="AH8875" s="2" t="str">
        <f ca="1"/>
        <v>OK</v>
      </c>
    </row>
    <row r="8876" spans="2:34" x14ac:dyDescent="0.2">
      <c r="B8876" s="2">
        <f ca="1"/>
        <v>0.5684592130286239</v>
      </c>
      <c r="O8876" s="2">
        <f ca="1"/>
        <v>1.2724427209476019</v>
      </c>
      <c r="X8876" s="2">
        <f ca="1"/>
        <v>30.669499994452629</v>
      </c>
      <c r="AG8876" s="2">
        <f ca="1"/>
        <v>0.95356447008841183</v>
      </c>
      <c r="AH8876" s="2" t="str">
        <f ca="1"/>
        <v>Bad</v>
      </c>
    </row>
    <row r="8877" spans="2:34" x14ac:dyDescent="0.2">
      <c r="B8877" s="2">
        <f ca="1"/>
        <v>0.33811553127042071</v>
      </c>
      <c r="O8877" s="2">
        <f ca="1"/>
        <v>-1.360540198536484</v>
      </c>
      <c r="X8877" s="2">
        <f ca="1"/>
        <v>57.58565737098855</v>
      </c>
      <c r="AG8877" s="2">
        <f ca="1"/>
        <v>0.45213273420807787</v>
      </c>
      <c r="AH8877" s="2" t="str">
        <f ca="1"/>
        <v>Bad</v>
      </c>
    </row>
    <row r="8878" spans="2:34" x14ac:dyDescent="0.2">
      <c r="B8878" s="2">
        <f ca="1"/>
        <v>5.8732854180347793E-2</v>
      </c>
      <c r="O8878" s="2">
        <f ca="1"/>
        <v>0.83963338753635708</v>
      </c>
      <c r="X8878" s="2">
        <f ca="1"/>
        <v>50.81735319775963</v>
      </c>
      <c r="AG8878" s="2">
        <f ca="1"/>
        <v>8.6750439003326463E-2</v>
      </c>
      <c r="AH8878" s="2" t="str">
        <f ca="1"/>
        <v>OK</v>
      </c>
    </row>
    <row r="8879" spans="2:34" x14ac:dyDescent="0.2">
      <c r="B8879" s="2">
        <f ca="1"/>
        <v>0.94154059420769798</v>
      </c>
      <c r="O8879" s="2">
        <f ca="1"/>
        <v>-0.36761492876074892</v>
      </c>
      <c r="X8879" s="2">
        <f ca="1"/>
        <v>65.041623922336456</v>
      </c>
      <c r="AG8879" s="2">
        <f ca="1"/>
        <v>0.42185642224067421</v>
      </c>
      <c r="AH8879" s="2" t="str">
        <f ca="1"/>
        <v>Bad</v>
      </c>
    </row>
    <row r="8880" spans="2:34" x14ac:dyDescent="0.2">
      <c r="B8880" s="2">
        <f ca="1"/>
        <v>1.6280092298467386E-2</v>
      </c>
      <c r="O8880" s="2">
        <f ca="1"/>
        <v>-1.8187425495565208</v>
      </c>
      <c r="X8880" s="2">
        <f ca="1"/>
        <v>42.749437336855706</v>
      </c>
      <c r="AG8880" s="2">
        <f ca="1"/>
        <v>0.12613461147221905</v>
      </c>
      <c r="AH8880" s="2" t="str">
        <f ca="1"/>
        <v>OK</v>
      </c>
    </row>
    <row r="8881" spans="2:34" x14ac:dyDescent="0.2">
      <c r="B8881" s="2">
        <f ca="1"/>
        <v>0.18630490917584996</v>
      </c>
      <c r="O8881" s="2">
        <f ca="1"/>
        <v>-0.14817363452411567</v>
      </c>
      <c r="X8881" s="2">
        <f ca="1"/>
        <v>43.1391503495772</v>
      </c>
      <c r="AG8881" s="2">
        <f ca="1"/>
        <v>0.41415840884646471</v>
      </c>
      <c r="AH8881" s="2" t="str">
        <f ca="1"/>
        <v>Bad</v>
      </c>
    </row>
    <row r="8882" spans="2:34" x14ac:dyDescent="0.2">
      <c r="B8882" s="2">
        <f ca="1"/>
        <v>0.76888124522210077</v>
      </c>
      <c r="O8882" s="2">
        <f ca="1"/>
        <v>-0.72637227932414705</v>
      </c>
      <c r="X8882" s="2">
        <f ca="1"/>
        <v>38.263182631391885</v>
      </c>
      <c r="AG8882" s="2">
        <f ca="1"/>
        <v>0.79873266183021374</v>
      </c>
      <c r="AH8882" s="2" t="str">
        <f ca="1"/>
        <v>Bad</v>
      </c>
    </row>
    <row r="8883" spans="2:34" x14ac:dyDescent="0.2">
      <c r="B8883" s="2">
        <f ca="1"/>
        <v>0.84641944212333819</v>
      </c>
      <c r="O8883" s="2">
        <f ca="1"/>
        <v>-1.4723470397273837</v>
      </c>
      <c r="X8883" s="2">
        <f ca="1"/>
        <v>57.760736359800013</v>
      </c>
      <c r="AG8883" s="2">
        <f ca="1"/>
        <v>0.83522295581140971</v>
      </c>
      <c r="AH8883" s="2" t="str">
        <f ca="1"/>
        <v>Bad</v>
      </c>
    </row>
    <row r="8884" spans="2:34" x14ac:dyDescent="0.2">
      <c r="B8884" s="2">
        <f ca="1"/>
        <v>0.9965223412513784</v>
      </c>
      <c r="O8884" s="2">
        <f ca="1"/>
        <v>1.220773355495018</v>
      </c>
      <c r="X8884" s="2">
        <f ca="1"/>
        <v>63.954535684600572</v>
      </c>
      <c r="AG8884" s="2">
        <f ca="1"/>
        <v>0.39684602105212163</v>
      </c>
      <c r="AH8884" s="2" t="str">
        <f ca="1"/>
        <v>OK</v>
      </c>
    </row>
    <row r="8885" spans="2:34" x14ac:dyDescent="0.2">
      <c r="B8885" s="2">
        <f ca="1"/>
        <v>0.7503967645546068</v>
      </c>
      <c r="O8885" s="2">
        <f ca="1"/>
        <v>-0.99735414519295673</v>
      </c>
      <c r="X8885" s="2">
        <f ca="1"/>
        <v>42.836343069895477</v>
      </c>
      <c r="AG8885" s="2">
        <f ca="1"/>
        <v>0.88141981469059671</v>
      </c>
      <c r="AH8885" s="2" t="str">
        <f ca="1"/>
        <v>Bad</v>
      </c>
    </row>
    <row r="8886" spans="2:34" x14ac:dyDescent="0.2">
      <c r="B8886" s="2">
        <f ca="1"/>
        <v>0.6392000052057456</v>
      </c>
      <c r="O8886" s="2">
        <f ca="1"/>
        <v>-5.5158066085267618E-2</v>
      </c>
      <c r="X8886" s="2">
        <f ca="1"/>
        <v>80.956088238884135</v>
      </c>
      <c r="AG8886" s="2">
        <f ca="1"/>
        <v>0.34683768940621307</v>
      </c>
      <c r="AH8886" s="2" t="str">
        <f ca="1"/>
        <v>OK</v>
      </c>
    </row>
    <row r="8887" spans="2:34" x14ac:dyDescent="0.2">
      <c r="B8887" s="2">
        <f ca="1"/>
        <v>0.83465312012304649</v>
      </c>
      <c r="O8887" s="2">
        <f ca="1"/>
        <v>1.0061125933678661</v>
      </c>
      <c r="X8887" s="2">
        <f ca="1"/>
        <v>41.594757391252635</v>
      </c>
      <c r="AG8887" s="2">
        <f ca="1"/>
        <v>0.69357736380641888</v>
      </c>
      <c r="AH8887" s="2" t="str">
        <f ca="1"/>
        <v>Bad</v>
      </c>
    </row>
    <row r="8888" spans="2:34" x14ac:dyDescent="0.2">
      <c r="B8888" s="2">
        <f ca="1"/>
        <v>0.60574141149289074</v>
      </c>
      <c r="O8888" s="2">
        <f ca="1"/>
        <v>0.19051534425560296</v>
      </c>
      <c r="X8888" s="2">
        <f ca="1"/>
        <v>20.303410280123288</v>
      </c>
      <c r="AG8888" s="2">
        <f ca="1"/>
        <v>0.17310365789125615</v>
      </c>
      <c r="AH8888" s="2" t="str">
        <f ca="1"/>
        <v>OK</v>
      </c>
    </row>
    <row r="8889" spans="2:34" x14ac:dyDescent="0.2">
      <c r="B8889" s="2">
        <f ca="1"/>
        <v>0.79505028956184565</v>
      </c>
      <c r="O8889" s="2">
        <f ca="1"/>
        <v>0.97965157567700389</v>
      </c>
      <c r="X8889" s="2">
        <f ca="1"/>
        <v>27.193973564872703</v>
      </c>
      <c r="AG8889" s="2">
        <f ca="1"/>
        <v>0.16182588901172923</v>
      </c>
      <c r="AH8889" s="2" t="str">
        <f ca="1"/>
        <v>OK</v>
      </c>
    </row>
    <row r="8890" spans="2:34" x14ac:dyDescent="0.2">
      <c r="B8890" s="2">
        <f ca="1"/>
        <v>0.24320403369695076</v>
      </c>
      <c r="O8890" s="2">
        <f ca="1"/>
        <v>0.96382536328318735</v>
      </c>
      <c r="X8890" s="2">
        <f ca="1"/>
        <v>43.674801034874378</v>
      </c>
      <c r="AG8890" s="2">
        <f ca="1"/>
        <v>0.60493035457034061</v>
      </c>
      <c r="AH8890" s="2" t="str">
        <f ca="1"/>
        <v>Bad</v>
      </c>
    </row>
    <row r="8891" spans="2:34" x14ac:dyDescent="0.2">
      <c r="B8891" s="2">
        <f ca="1"/>
        <v>0.99005905002814276</v>
      </c>
      <c r="O8891" s="2">
        <f ca="1"/>
        <v>0.22629244762073875</v>
      </c>
      <c r="X8891" s="2">
        <f ca="1"/>
        <v>53.408530007198955</v>
      </c>
      <c r="AG8891" s="2">
        <f ca="1"/>
        <v>0.17593698294888482</v>
      </c>
      <c r="AH8891" s="2" t="str">
        <f ca="1"/>
        <v>OK</v>
      </c>
    </row>
    <row r="8892" spans="2:34" x14ac:dyDescent="0.2">
      <c r="B8892" s="2">
        <f ca="1"/>
        <v>0.30568191511665188</v>
      </c>
      <c r="O8892" s="2">
        <f ca="1"/>
        <v>-1.036595460747963</v>
      </c>
      <c r="X8892" s="2">
        <f ca="1"/>
        <v>27.065508257063836</v>
      </c>
      <c r="AG8892" s="2">
        <f ca="1"/>
        <v>0.61399629927990995</v>
      </c>
      <c r="AH8892" s="2" t="str">
        <f ca="1"/>
        <v>Bad</v>
      </c>
    </row>
    <row r="8893" spans="2:34" x14ac:dyDescent="0.2">
      <c r="B8893" s="2">
        <f ca="1"/>
        <v>0.98015561147489194</v>
      </c>
      <c r="O8893" s="2">
        <f ca="1"/>
        <v>0.87699215108758266</v>
      </c>
      <c r="X8893" s="2">
        <f ca="1"/>
        <v>35.676556191243591</v>
      </c>
      <c r="AG8893" s="2">
        <f ca="1"/>
        <v>0.9953051005201643</v>
      </c>
      <c r="AH8893" s="2" t="str">
        <f ca="1"/>
        <v>Bad</v>
      </c>
    </row>
    <row r="8894" spans="2:34" x14ac:dyDescent="0.2">
      <c r="B8894" s="2">
        <f ca="1"/>
        <v>0.4262410831769472</v>
      </c>
      <c r="O8894" s="2">
        <f ca="1"/>
        <v>-0.26189109324845228</v>
      </c>
      <c r="X8894" s="2">
        <f ca="1"/>
        <v>41.983621291139912</v>
      </c>
      <c r="AG8894" s="2">
        <f ca="1"/>
        <v>9.3076541776502264E-3</v>
      </c>
      <c r="AH8894" s="2" t="str">
        <f ca="1"/>
        <v>Good</v>
      </c>
    </row>
    <row r="8895" spans="2:34" x14ac:dyDescent="0.2">
      <c r="B8895" s="2">
        <f ca="1"/>
        <v>0.83774676279353555</v>
      </c>
      <c r="O8895" s="2">
        <f ca="1"/>
        <v>0.9883739033440887</v>
      </c>
      <c r="X8895" s="2">
        <f ca="1"/>
        <v>24.239603665197617</v>
      </c>
      <c r="AG8895" s="2">
        <f ca="1"/>
        <v>0.33430613120557107</v>
      </c>
      <c r="AH8895" s="2" t="str">
        <f ca="1"/>
        <v>OK</v>
      </c>
    </row>
    <row r="8896" spans="2:34" x14ac:dyDescent="0.2">
      <c r="B8896" s="2">
        <f ca="1"/>
        <v>0.43747074075813797</v>
      </c>
      <c r="O8896" s="2">
        <f ca="1"/>
        <v>0.84271740666761441</v>
      </c>
      <c r="X8896" s="2">
        <f ca="1"/>
        <v>48.59436695979943</v>
      </c>
      <c r="AG8896" s="2">
        <f ca="1"/>
        <v>0.55281245823817682</v>
      </c>
      <c r="AH8896" s="2" t="str">
        <f ca="1"/>
        <v>Bad</v>
      </c>
    </row>
    <row r="8897" spans="2:34" x14ac:dyDescent="0.2">
      <c r="B8897" s="2">
        <f ca="1"/>
        <v>4.0735212603325799E-2</v>
      </c>
      <c r="O8897" s="2">
        <f ca="1"/>
        <v>-0.91857890268868203</v>
      </c>
      <c r="X8897" s="2">
        <f ca="1"/>
        <v>41.384984285305499</v>
      </c>
      <c r="AG8897" s="2">
        <f ca="1"/>
        <v>0.4618407111805618</v>
      </c>
      <c r="AH8897" s="2" t="str">
        <f ca="1"/>
        <v>Bad</v>
      </c>
    </row>
    <row r="8898" spans="2:34" x14ac:dyDescent="0.2">
      <c r="B8898" s="2">
        <f ca="1"/>
        <v>0.59415066018214002</v>
      </c>
      <c r="O8898" s="2">
        <f ca="1"/>
        <v>2.5637248282533366E-2</v>
      </c>
      <c r="X8898" s="2">
        <f ca="1"/>
        <v>22.813355285044437</v>
      </c>
      <c r="AG8898" s="2">
        <f ca="1"/>
        <v>0.58583941158498232</v>
      </c>
      <c r="AH8898" s="2" t="str">
        <f ca="1"/>
        <v>Bad</v>
      </c>
    </row>
    <row r="8899" spans="2:34" x14ac:dyDescent="0.2">
      <c r="B8899" s="2">
        <f ca="1"/>
        <v>0.90568413218060173</v>
      </c>
      <c r="O8899" s="2">
        <f ca="1"/>
        <v>0.38322611197842649</v>
      </c>
      <c r="X8899" s="2">
        <f ca="1"/>
        <v>44.876987862786841</v>
      </c>
      <c r="AG8899" s="2">
        <f ca="1"/>
        <v>0.97145936683678413</v>
      </c>
      <c r="AH8899" s="2" t="str">
        <f ca="1"/>
        <v>Bad</v>
      </c>
    </row>
    <row r="8900" spans="2:34" x14ac:dyDescent="0.2">
      <c r="B8900" s="2">
        <f ca="1"/>
        <v>0.43741899852181865</v>
      </c>
      <c r="O8900" s="2">
        <f ca="1"/>
        <v>-2.5408670570313947</v>
      </c>
      <c r="X8900" s="2">
        <f ca="1"/>
        <v>40.080048915226755</v>
      </c>
      <c r="AG8900" s="2">
        <f ca="1"/>
        <v>0.27221040701975308</v>
      </c>
      <c r="AH8900" s="2" t="str">
        <f ca="1"/>
        <v>OK</v>
      </c>
    </row>
    <row r="8901" spans="2:34" x14ac:dyDescent="0.2">
      <c r="B8901" s="2">
        <f ca="1"/>
        <v>0.3371527064348967</v>
      </c>
      <c r="O8901" s="2">
        <f ca="1"/>
        <v>-1.2396059957391654</v>
      </c>
      <c r="X8901" s="2">
        <f ca="1"/>
        <v>56.647135666609067</v>
      </c>
      <c r="AG8901" s="2">
        <f ca="1"/>
        <v>0.3601493097084516</v>
      </c>
      <c r="AH8901" s="2" t="str">
        <f ca="1"/>
        <v>OK</v>
      </c>
    </row>
    <row r="8902" spans="2:34" x14ac:dyDescent="0.2">
      <c r="B8902" s="2">
        <f ca="1"/>
        <v>0.96825618117824908</v>
      </c>
      <c r="O8902" s="2">
        <f ca="1"/>
        <v>0.53572995765360265</v>
      </c>
      <c r="X8902" s="2">
        <f ca="1"/>
        <v>49.792194947383379</v>
      </c>
      <c r="AG8902" s="2">
        <f ca="1"/>
        <v>1.2672024234290147E-2</v>
      </c>
      <c r="AH8902" s="2" t="str">
        <f ca="1"/>
        <v>Good</v>
      </c>
    </row>
    <row r="8903" spans="2:34" x14ac:dyDescent="0.2">
      <c r="B8903" s="2">
        <f ca="1"/>
        <v>0.16004613434696768</v>
      </c>
      <c r="O8903" s="2">
        <f ca="1"/>
        <v>1.3831547959257025</v>
      </c>
      <c r="X8903" s="2">
        <f ca="1"/>
        <v>42.998408598296116</v>
      </c>
      <c r="AG8903" s="2">
        <f ca="1"/>
        <v>0.88156286371927228</v>
      </c>
      <c r="AH8903" s="2" t="str">
        <f ca="1"/>
        <v>Bad</v>
      </c>
    </row>
    <row r="8904" spans="2:34" x14ac:dyDescent="0.2">
      <c r="B8904" s="2">
        <f ca="1"/>
        <v>0.67727331986721873</v>
      </c>
      <c r="O8904" s="2">
        <f ca="1"/>
        <v>2.2089061303264561</v>
      </c>
      <c r="X8904" s="2">
        <f ca="1"/>
        <v>53.90760711312096</v>
      </c>
      <c r="AG8904" s="2">
        <f ca="1"/>
        <v>0.55668132000939474</v>
      </c>
      <c r="AH8904" s="2" t="str">
        <f ca="1"/>
        <v>Bad</v>
      </c>
    </row>
    <row r="8905" spans="2:34" x14ac:dyDescent="0.2">
      <c r="B8905" s="2">
        <f ca="1"/>
        <v>7.3534843244910997E-2</v>
      </c>
      <c r="O8905" s="2">
        <f ca="1"/>
        <v>0.46796575215387021</v>
      </c>
      <c r="X8905" s="2">
        <f ca="1"/>
        <v>62.520138410188764</v>
      </c>
      <c r="AG8905" s="2">
        <f ca="1"/>
        <v>0.62770508488101129</v>
      </c>
      <c r="AH8905" s="2" t="str">
        <f ca="1"/>
        <v>Bad</v>
      </c>
    </row>
    <row r="8906" spans="2:34" x14ac:dyDescent="0.2">
      <c r="B8906" s="2">
        <f ca="1"/>
        <v>0.79508225711742742</v>
      </c>
      <c r="O8906" s="2">
        <f ca="1"/>
        <v>-0.25126956285688407</v>
      </c>
      <c r="X8906" s="2">
        <f ca="1"/>
        <v>49.10437460958957</v>
      </c>
      <c r="AG8906" s="2">
        <f ca="1"/>
        <v>0.79739113980024712</v>
      </c>
      <c r="AH8906" s="2" t="str">
        <f ca="1"/>
        <v>Bad</v>
      </c>
    </row>
    <row r="8907" spans="2:34" x14ac:dyDescent="0.2">
      <c r="B8907" s="2">
        <f ca="1"/>
        <v>0.40958721784488095</v>
      </c>
      <c r="O8907" s="2">
        <f ca="1"/>
        <v>0.20581584047893775</v>
      </c>
      <c r="X8907" s="2">
        <f ca="1"/>
        <v>27.410230831862833</v>
      </c>
      <c r="AG8907" s="2">
        <f ca="1"/>
        <v>0.80254793450893636</v>
      </c>
      <c r="AH8907" s="2" t="str">
        <f ca="1"/>
        <v>Bad</v>
      </c>
    </row>
    <row r="8908" spans="2:34" x14ac:dyDescent="0.2">
      <c r="B8908" s="2">
        <f ca="1"/>
        <v>0.65799733360329293</v>
      </c>
      <c r="O8908" s="2">
        <f ca="1"/>
        <v>4.1417108873874897E-2</v>
      </c>
      <c r="X8908" s="2">
        <f ca="1"/>
        <v>41.600142720188202</v>
      </c>
      <c r="AG8908" s="2">
        <f ca="1"/>
        <v>0.75761931108564751</v>
      </c>
      <c r="AH8908" s="2" t="str">
        <f ca="1"/>
        <v>Bad</v>
      </c>
    </row>
    <row r="8909" spans="2:34" x14ac:dyDescent="0.2">
      <c r="B8909" s="2">
        <f ca="1"/>
        <v>0.26917419427002076</v>
      </c>
      <c r="O8909" s="2">
        <f ca="1"/>
        <v>-0.83017547845442774</v>
      </c>
      <c r="X8909" s="2">
        <f ca="1"/>
        <v>34.902357695548815</v>
      </c>
      <c r="AG8909" s="2">
        <f ca="1"/>
        <v>0.13011752999734627</v>
      </c>
      <c r="AH8909" s="2" t="str">
        <f ca="1"/>
        <v>OK</v>
      </c>
    </row>
    <row r="8910" spans="2:34" x14ac:dyDescent="0.2">
      <c r="B8910" s="2">
        <f ca="1"/>
        <v>0.83342272709349685</v>
      </c>
      <c r="O8910" s="2">
        <f ca="1"/>
        <v>-0.40509833241400667</v>
      </c>
      <c r="X8910" s="2">
        <f ca="1"/>
        <v>40.721719234376152</v>
      </c>
      <c r="AG8910" s="2">
        <f ca="1"/>
        <v>0.44799359121138216</v>
      </c>
      <c r="AH8910" s="2" t="str">
        <f ca="1"/>
        <v>Bad</v>
      </c>
    </row>
    <row r="8911" spans="2:34" x14ac:dyDescent="0.2">
      <c r="B8911" s="2">
        <f ca="1"/>
        <v>0.503516382133401</v>
      </c>
      <c r="O8911" s="2">
        <f ca="1"/>
        <v>0.43852925283958788</v>
      </c>
      <c r="X8911" s="2">
        <f ca="1"/>
        <v>59.729380867923076</v>
      </c>
      <c r="AG8911" s="2">
        <f ca="1"/>
        <v>0.78563788064555906</v>
      </c>
      <c r="AH8911" s="2" t="str">
        <f ca="1"/>
        <v>Bad</v>
      </c>
    </row>
    <row r="8912" spans="2:34" x14ac:dyDescent="0.2">
      <c r="B8912" s="2">
        <f ca="1"/>
        <v>0.90678959640333878</v>
      </c>
      <c r="O8912" s="2">
        <f ca="1"/>
        <v>-1.2649580373238165</v>
      </c>
      <c r="X8912" s="2">
        <f ca="1"/>
        <v>65.569208465009424</v>
      </c>
      <c r="AG8912" s="2">
        <f ca="1"/>
        <v>0.24404370726506808</v>
      </c>
      <c r="AH8912" s="2" t="str">
        <f ca="1"/>
        <v>OK</v>
      </c>
    </row>
    <row r="8913" spans="2:34" x14ac:dyDescent="0.2">
      <c r="B8913" s="2">
        <f ca="1"/>
        <v>4.5013331699279568E-2</v>
      </c>
      <c r="O8913" s="2">
        <f ca="1"/>
        <v>0.6519512260146334</v>
      </c>
      <c r="X8913" s="2">
        <f ca="1"/>
        <v>29.426089289437023</v>
      </c>
      <c r="AG8913" s="2">
        <f ca="1"/>
        <v>0.86443573796225537</v>
      </c>
      <c r="AH8913" s="2" t="str">
        <f ca="1"/>
        <v>Bad</v>
      </c>
    </row>
    <row r="8914" spans="2:34" x14ac:dyDescent="0.2">
      <c r="B8914" s="2">
        <f ca="1"/>
        <v>0.74219674776245115</v>
      </c>
      <c r="O8914" s="2">
        <f ca="1"/>
        <v>-0.2038453139016379</v>
      </c>
      <c r="X8914" s="2">
        <f ca="1"/>
        <v>37.447433825496852</v>
      </c>
      <c r="AG8914" s="2">
        <f ca="1"/>
        <v>0.15538119531518779</v>
      </c>
      <c r="AH8914" s="2" t="str">
        <f ca="1"/>
        <v>OK</v>
      </c>
    </row>
    <row r="8915" spans="2:34" x14ac:dyDescent="0.2">
      <c r="B8915" s="2">
        <f ca="1"/>
        <v>0.54019509920245445</v>
      </c>
      <c r="O8915" s="2">
        <f ca="1"/>
        <v>-0.20391919283317078</v>
      </c>
      <c r="X8915" s="2">
        <f ca="1"/>
        <v>35.909991203871549</v>
      </c>
      <c r="AG8915" s="2">
        <f ca="1"/>
        <v>0.23533208365262248</v>
      </c>
      <c r="AH8915" s="2" t="str">
        <f ca="1"/>
        <v>OK</v>
      </c>
    </row>
    <row r="8916" spans="2:34" x14ac:dyDescent="0.2">
      <c r="B8916" s="2">
        <f ca="1"/>
        <v>0.39088250105494771</v>
      </c>
      <c r="O8916" s="2">
        <f ca="1"/>
        <v>-0.85409433929266465</v>
      </c>
      <c r="X8916" s="2">
        <f ca="1"/>
        <v>58.54847062378888</v>
      </c>
      <c r="AG8916" s="2">
        <f ca="1"/>
        <v>0.23530903190150898</v>
      </c>
      <c r="AH8916" s="2" t="str">
        <f ca="1"/>
        <v>OK</v>
      </c>
    </row>
    <row r="8917" spans="2:34" x14ac:dyDescent="0.2">
      <c r="B8917" s="2">
        <f ca="1"/>
        <v>0.38140688837068515</v>
      </c>
      <c r="O8917" s="2">
        <f ca="1"/>
        <v>0.3159403579824977</v>
      </c>
      <c r="X8917" s="2">
        <f ca="1"/>
        <v>63.350644717802453</v>
      </c>
      <c r="AG8917" s="2">
        <f ca="1"/>
        <v>0.80807305034133181</v>
      </c>
      <c r="AH8917" s="2" t="str">
        <f ca="1"/>
        <v>Bad</v>
      </c>
    </row>
    <row r="8918" spans="2:34" x14ac:dyDescent="0.2">
      <c r="B8918" s="2">
        <f ca="1"/>
        <v>0.85442644987626548</v>
      </c>
      <c r="O8918" s="2">
        <f ca="1"/>
        <v>-0.28740416685810016</v>
      </c>
      <c r="X8918" s="2">
        <f ca="1"/>
        <v>68.73487076968982</v>
      </c>
      <c r="AG8918" s="2">
        <f ca="1"/>
        <v>0.91027046182504723</v>
      </c>
      <c r="AH8918" s="2" t="str">
        <f ca="1"/>
        <v>Bad</v>
      </c>
    </row>
    <row r="8919" spans="2:34" x14ac:dyDescent="0.2">
      <c r="B8919" s="2">
        <f ca="1"/>
        <v>0.29486233171492526</v>
      </c>
      <c r="O8919" s="2">
        <f ca="1"/>
        <v>0.82567505520337536</v>
      </c>
      <c r="X8919" s="2">
        <f ca="1"/>
        <v>54.476753316505111</v>
      </c>
      <c r="AG8919" s="2">
        <f ca="1"/>
        <v>0.38470233487788152</v>
      </c>
      <c r="AH8919" s="2" t="str">
        <f ca="1"/>
        <v>OK</v>
      </c>
    </row>
    <row r="8920" spans="2:34" x14ac:dyDescent="0.2">
      <c r="B8920" s="2">
        <f ca="1"/>
        <v>0.11416793930514402</v>
      </c>
      <c r="O8920" s="2">
        <f ca="1"/>
        <v>1.3232728822114364</v>
      </c>
      <c r="X8920" s="2">
        <f ca="1"/>
        <v>26.874744510397662</v>
      </c>
      <c r="AG8920" s="2">
        <f ca="1"/>
        <v>0.31209620792821813</v>
      </c>
      <c r="AH8920" s="2" t="str">
        <f ca="1"/>
        <v>OK</v>
      </c>
    </row>
    <row r="8921" spans="2:34" x14ac:dyDescent="0.2">
      <c r="B8921" s="2">
        <f ca="1"/>
        <v>0.15643583774874625</v>
      </c>
      <c r="O8921" s="2">
        <f ca="1"/>
        <v>8.5138962610728924E-2</v>
      </c>
      <c r="X8921" s="2">
        <f ca="1"/>
        <v>20.153755500678564</v>
      </c>
      <c r="AG8921" s="2">
        <f ca="1"/>
        <v>0.49721136314697323</v>
      </c>
      <c r="AH8921" s="2" t="str">
        <f ca="1"/>
        <v>Bad</v>
      </c>
    </row>
    <row r="8922" spans="2:34" x14ac:dyDescent="0.2">
      <c r="B8922" s="2">
        <f ca="1"/>
        <v>0.45446030101238932</v>
      </c>
      <c r="O8922" s="2">
        <f ca="1"/>
        <v>-0.26545116959213377</v>
      </c>
      <c r="X8922" s="2">
        <f ca="1"/>
        <v>40.534702397579778</v>
      </c>
      <c r="AG8922" s="2">
        <f ca="1"/>
        <v>5.6080459054785647E-2</v>
      </c>
      <c r="AH8922" s="2" t="str">
        <f ca="1"/>
        <v>OK</v>
      </c>
    </row>
    <row r="8923" spans="2:34" x14ac:dyDescent="0.2">
      <c r="B8923" s="2">
        <f ca="1"/>
        <v>6.434563262694537E-2</v>
      </c>
      <c r="O8923" s="2">
        <f ca="1"/>
        <v>-0.311357411690596</v>
      </c>
      <c r="X8923" s="2">
        <f ca="1"/>
        <v>53.512844212642072</v>
      </c>
      <c r="AG8923" s="2">
        <f ca="1"/>
        <v>0.37092828248081289</v>
      </c>
      <c r="AH8923" s="2" t="str">
        <f ca="1"/>
        <v>OK</v>
      </c>
    </row>
    <row r="8924" spans="2:34" x14ac:dyDescent="0.2">
      <c r="B8924" s="2">
        <f ca="1"/>
        <v>0.92933209220855639</v>
      </c>
      <c r="O8924" s="2">
        <f ca="1"/>
        <v>-1.0977712968237385</v>
      </c>
      <c r="X8924" s="2">
        <f ca="1"/>
        <v>37.553821900683452</v>
      </c>
      <c r="AG8924" s="2">
        <f ca="1"/>
        <v>0.48262051340508538</v>
      </c>
      <c r="AH8924" s="2" t="str">
        <f ca="1"/>
        <v>Bad</v>
      </c>
    </row>
    <row r="8925" spans="2:34" x14ac:dyDescent="0.2">
      <c r="B8925" s="2">
        <f ca="1"/>
        <v>0.7791449019467791</v>
      </c>
      <c r="O8925" s="2">
        <f ca="1"/>
        <v>0.21926083370223856</v>
      </c>
      <c r="X8925" s="2">
        <f ca="1"/>
        <v>28.298372132395613</v>
      </c>
      <c r="AG8925" s="2">
        <f ca="1"/>
        <v>0.51103330467922747</v>
      </c>
      <c r="AH8925" s="2" t="str">
        <f ca="1"/>
        <v>Bad</v>
      </c>
    </row>
    <row r="8926" spans="2:34" x14ac:dyDescent="0.2">
      <c r="B8926" s="2">
        <f ca="1"/>
        <v>0.34771163312606657</v>
      </c>
      <c r="O8926" s="2">
        <f ca="1"/>
        <v>-0.19920528835565685</v>
      </c>
      <c r="X8926" s="2">
        <f ca="1"/>
        <v>46.483313837880928</v>
      </c>
      <c r="AG8926" s="2">
        <f ca="1"/>
        <v>0.97011823552858822</v>
      </c>
      <c r="AH8926" s="2" t="str">
        <f ca="1"/>
        <v>Bad</v>
      </c>
    </row>
    <row r="8927" spans="2:34" x14ac:dyDescent="0.2">
      <c r="B8927" s="2">
        <f ca="1"/>
        <v>0.46075725945731949</v>
      </c>
      <c r="O8927" s="2">
        <f ca="1"/>
        <v>-0.20771251927623241</v>
      </c>
      <c r="X8927" s="2">
        <f ca="1"/>
        <v>48.729613114028922</v>
      </c>
      <c r="AG8927" s="2">
        <f ca="1"/>
        <v>0.99557220417564918</v>
      </c>
      <c r="AH8927" s="2" t="str">
        <f ca="1"/>
        <v>Bad</v>
      </c>
    </row>
    <row r="8928" spans="2:34" x14ac:dyDescent="0.2">
      <c r="B8928" s="2">
        <f ca="1"/>
        <v>0.8675843290487979</v>
      </c>
      <c r="O8928" s="2">
        <f ca="1"/>
        <v>0.17003104760922216</v>
      </c>
      <c r="X8928" s="2">
        <f ca="1"/>
        <v>61.766063406471559</v>
      </c>
      <c r="AG8928" s="2">
        <f ca="1"/>
        <v>0.54228232238462803</v>
      </c>
      <c r="AH8928" s="2" t="str">
        <f ca="1"/>
        <v>Bad</v>
      </c>
    </row>
    <row r="8929" spans="2:34" x14ac:dyDescent="0.2">
      <c r="B8929" s="2">
        <f ca="1"/>
        <v>0.24175323602644916</v>
      </c>
      <c r="O8929" s="2">
        <f ca="1"/>
        <v>0.45916165211665949</v>
      </c>
      <c r="X8929" s="2">
        <f ca="1"/>
        <v>47.507005838582742</v>
      </c>
      <c r="AG8929" s="2">
        <f ca="1"/>
        <v>0.36880894825083277</v>
      </c>
      <c r="AH8929" s="2" t="str">
        <f ca="1"/>
        <v>OK</v>
      </c>
    </row>
    <row r="8930" spans="2:34" x14ac:dyDescent="0.2">
      <c r="B8930" s="2">
        <f ca="1"/>
        <v>0.19463220782188717</v>
      </c>
      <c r="O8930" s="2">
        <f ca="1"/>
        <v>-7.6935160631852254E-2</v>
      </c>
      <c r="X8930" s="2">
        <f ca="1"/>
        <v>51.471623943304571</v>
      </c>
      <c r="AG8930" s="2">
        <f ca="1"/>
        <v>0.48227262873051369</v>
      </c>
      <c r="AH8930" s="2" t="str">
        <f ca="1"/>
        <v>Bad</v>
      </c>
    </row>
    <row r="8931" spans="2:34" x14ac:dyDescent="0.2">
      <c r="B8931" s="2">
        <f ca="1"/>
        <v>0.49586064848810918</v>
      </c>
      <c r="O8931" s="2">
        <f ca="1"/>
        <v>-0.15239187131690651</v>
      </c>
      <c r="X8931" s="2">
        <f ca="1"/>
        <v>39.937840568110822</v>
      </c>
      <c r="AG8931" s="2">
        <f ca="1"/>
        <v>3.7381461607312261E-2</v>
      </c>
      <c r="AH8931" s="2" t="str">
        <f ca="1"/>
        <v>Good</v>
      </c>
    </row>
    <row r="8932" spans="2:34" x14ac:dyDescent="0.2">
      <c r="B8932" s="2">
        <f ca="1"/>
        <v>0.23355412817968446</v>
      </c>
      <c r="O8932" s="2">
        <f ca="1"/>
        <v>0.98922531649742751</v>
      </c>
      <c r="X8932" s="2">
        <f ca="1"/>
        <v>36.457951724115873</v>
      </c>
      <c r="AG8932" s="2">
        <f ca="1"/>
        <v>0.46200844727631463</v>
      </c>
      <c r="AH8932" s="2" t="str">
        <f ca="1"/>
        <v>Bad</v>
      </c>
    </row>
    <row r="8933" spans="2:34" x14ac:dyDescent="0.2">
      <c r="B8933" s="2">
        <f ca="1"/>
        <v>0.87040581870808942</v>
      </c>
      <c r="O8933" s="2">
        <f ca="1"/>
        <v>7.3903464901667285E-2</v>
      </c>
      <c r="X8933" s="2">
        <f ca="1"/>
        <v>58.674818901094127</v>
      </c>
      <c r="AG8933" s="2">
        <f ca="1"/>
        <v>0.17176788519887332</v>
      </c>
      <c r="AH8933" s="2" t="str">
        <f ca="1"/>
        <v>OK</v>
      </c>
    </row>
    <row r="8934" spans="2:34" x14ac:dyDescent="0.2">
      <c r="B8934" s="2">
        <f ca="1"/>
        <v>0.62943081834043291</v>
      </c>
      <c r="O8934" s="2">
        <f ca="1"/>
        <v>1.7088219640781102</v>
      </c>
      <c r="X8934" s="2">
        <f ca="1"/>
        <v>37.872183326483906</v>
      </c>
      <c r="AG8934" s="2">
        <f ca="1"/>
        <v>0.77079630872512994</v>
      </c>
      <c r="AH8934" s="2" t="str">
        <f ca="1"/>
        <v>Bad</v>
      </c>
    </row>
    <row r="8935" spans="2:34" x14ac:dyDescent="0.2">
      <c r="B8935" s="2">
        <f ca="1"/>
        <v>0.65106653281472715</v>
      </c>
      <c r="O8935" s="2">
        <f ca="1"/>
        <v>-0.93127779052511561</v>
      </c>
      <c r="X8935" s="2">
        <f ca="1"/>
        <v>44.153557612333849</v>
      </c>
      <c r="AG8935" s="2">
        <f ca="1"/>
        <v>0.33680130398570718</v>
      </c>
      <c r="AH8935" s="2" t="str">
        <f ca="1"/>
        <v>OK</v>
      </c>
    </row>
    <row r="8936" spans="2:34" x14ac:dyDescent="0.2">
      <c r="B8936" s="2">
        <f ca="1"/>
        <v>0.38209910414793136</v>
      </c>
      <c r="O8936" s="2">
        <f ca="1"/>
        <v>0.17190288342311574</v>
      </c>
      <c r="X8936" s="2">
        <f ca="1"/>
        <v>67.719251253822691</v>
      </c>
      <c r="AG8936" s="2">
        <f ca="1"/>
        <v>0.58189004453325399</v>
      </c>
      <c r="AH8936" s="2" t="str">
        <f ca="1"/>
        <v>Bad</v>
      </c>
    </row>
    <row r="8937" spans="2:34" x14ac:dyDescent="0.2">
      <c r="B8937" s="2">
        <f ca="1"/>
        <v>0.79682702103343717</v>
      </c>
      <c r="O8937" s="2">
        <f ca="1"/>
        <v>1.4222958980550726</v>
      </c>
      <c r="X8937" s="2">
        <f ca="1"/>
        <v>47.087688837067375</v>
      </c>
      <c r="AG8937" s="2">
        <f ca="1"/>
        <v>0.79864335289499278</v>
      </c>
      <c r="AH8937" s="2" t="str">
        <f ca="1"/>
        <v>Bad</v>
      </c>
    </row>
    <row r="8938" spans="2:34" x14ac:dyDescent="0.2">
      <c r="B8938" s="2">
        <f ca="1"/>
        <v>0.17247893808830517</v>
      </c>
      <c r="O8938" s="2">
        <f ca="1"/>
        <v>-0.48445817244285411</v>
      </c>
      <c r="X8938" s="2">
        <f ca="1"/>
        <v>64.655157779631566</v>
      </c>
      <c r="AG8938" s="2">
        <f ca="1"/>
        <v>0.3030034804223336</v>
      </c>
      <c r="AH8938" s="2" t="str">
        <f ca="1"/>
        <v>OK</v>
      </c>
    </row>
    <row r="8939" spans="2:34" x14ac:dyDescent="0.2">
      <c r="B8939" s="2">
        <f ca="1"/>
        <v>0.23151572024153455</v>
      </c>
      <c r="O8939" s="2">
        <f ca="1"/>
        <v>-0.32743319567950918</v>
      </c>
      <c r="X8939" s="2">
        <f ca="1"/>
        <v>41.347078250514038</v>
      </c>
      <c r="AG8939" s="2">
        <f ca="1"/>
        <v>0.36058375931916453</v>
      </c>
      <c r="AH8939" s="2" t="str">
        <f ca="1"/>
        <v>OK</v>
      </c>
    </row>
    <row r="8940" spans="2:34" x14ac:dyDescent="0.2">
      <c r="B8940" s="2">
        <f ca="1"/>
        <v>0.72583428135407702</v>
      </c>
      <c r="O8940" s="2">
        <f ca="1"/>
        <v>1.4064530590384128</v>
      </c>
      <c r="X8940" s="2">
        <f ca="1"/>
        <v>72.609790338595928</v>
      </c>
      <c r="AG8940" s="2">
        <f ca="1"/>
        <v>0.34875196354377813</v>
      </c>
      <c r="AH8940" s="2" t="str">
        <f ca="1"/>
        <v>OK</v>
      </c>
    </row>
    <row r="8941" spans="2:34" x14ac:dyDescent="0.2">
      <c r="B8941" s="2">
        <f ca="1"/>
        <v>0.37812586207121468</v>
      </c>
      <c r="O8941" s="2">
        <f ca="1"/>
        <v>1.1072286903464035</v>
      </c>
      <c r="X8941" s="2">
        <f ca="1"/>
        <v>47.558555862339311</v>
      </c>
      <c r="AG8941" s="2">
        <f ca="1"/>
        <v>0.71933246614296742</v>
      </c>
      <c r="AH8941" s="2" t="str">
        <f ca="1"/>
        <v>Bad</v>
      </c>
    </row>
    <row r="8942" spans="2:34" x14ac:dyDescent="0.2">
      <c r="B8942" s="2">
        <f ca="1"/>
        <v>5.7885247738970858E-2</v>
      </c>
      <c r="O8942" s="2">
        <f ca="1"/>
        <v>-0.15570318432515995</v>
      </c>
      <c r="X8942" s="2">
        <f ca="1"/>
        <v>46.593128407958389</v>
      </c>
      <c r="AG8942" s="2">
        <f ca="1"/>
        <v>0.86660872127110089</v>
      </c>
      <c r="AH8942" s="2" t="str">
        <f ca="1"/>
        <v>Bad</v>
      </c>
    </row>
    <row r="8943" spans="2:34" x14ac:dyDescent="0.2">
      <c r="B8943" s="2">
        <f ca="1"/>
        <v>0.52859613306406183</v>
      </c>
      <c r="O8943" s="2">
        <f ca="1"/>
        <v>0.90517127419002119</v>
      </c>
      <c r="X8943" s="2">
        <f ca="1"/>
        <v>41.579577677716372</v>
      </c>
      <c r="AG8943" s="2">
        <f ca="1"/>
        <v>0.87244271513425686</v>
      </c>
      <c r="AH8943" s="2" t="str">
        <f ca="1"/>
        <v>Bad</v>
      </c>
    </row>
    <row r="8944" spans="2:34" x14ac:dyDescent="0.2">
      <c r="B8944" s="2">
        <f ca="1"/>
        <v>0.10578985493996407</v>
      </c>
      <c r="O8944" s="2">
        <f ca="1"/>
        <v>-1.1768468459427464</v>
      </c>
      <c r="X8944" s="2">
        <f ca="1"/>
        <v>62.983043008986698</v>
      </c>
      <c r="AG8944" s="2">
        <f ca="1"/>
        <v>0.25543706994616944</v>
      </c>
      <c r="AH8944" s="2" t="str">
        <f ca="1"/>
        <v>OK</v>
      </c>
    </row>
    <row r="8945" spans="2:34" x14ac:dyDescent="0.2">
      <c r="B8945" s="2">
        <f ca="1"/>
        <v>0.20188191915640008</v>
      </c>
      <c r="O8945" s="2">
        <f ca="1"/>
        <v>-1.0729312641166022</v>
      </c>
      <c r="X8945" s="2">
        <f ca="1"/>
        <v>45.158927600812547</v>
      </c>
      <c r="AG8945" s="2">
        <f ca="1"/>
        <v>0.61117791815037159</v>
      </c>
      <c r="AH8945" s="2" t="str">
        <f ca="1"/>
        <v>Bad</v>
      </c>
    </row>
    <row r="8946" spans="2:34" x14ac:dyDescent="0.2">
      <c r="B8946" s="2">
        <f ca="1"/>
        <v>0.70858940913135826</v>
      </c>
      <c r="O8946" s="2">
        <f ca="1"/>
        <v>-1.5168664370883103</v>
      </c>
      <c r="X8946" s="2">
        <f ca="1"/>
        <v>60.605515690461687</v>
      </c>
      <c r="AG8946" s="2">
        <f ca="1"/>
        <v>8.2104599219543495E-3</v>
      </c>
      <c r="AH8946" s="2" t="str">
        <f ca="1"/>
        <v>Good</v>
      </c>
    </row>
    <row r="8947" spans="2:34" x14ac:dyDescent="0.2">
      <c r="B8947" s="2">
        <f ca="1"/>
        <v>0.34219634092047024</v>
      </c>
      <c r="O8947" s="2">
        <f ca="1"/>
        <v>1.2902875307167136</v>
      </c>
      <c r="X8947" s="2">
        <f ca="1"/>
        <v>48.940850354464665</v>
      </c>
      <c r="AG8947" s="2">
        <f ca="1"/>
        <v>0.44669249899182795</v>
      </c>
      <c r="AH8947" s="2" t="str">
        <f ca="1"/>
        <v>Bad</v>
      </c>
    </row>
    <row r="8948" spans="2:34" x14ac:dyDescent="0.2">
      <c r="B8948" s="2">
        <f ca="1"/>
        <v>0.6924254488030388</v>
      </c>
      <c r="O8948" s="2">
        <f ca="1"/>
        <v>-6.7474823424345909E-2</v>
      </c>
      <c r="X8948" s="2">
        <f ca="1"/>
        <v>44.007697079478696</v>
      </c>
      <c r="AG8948" s="2">
        <f ca="1"/>
        <v>0.46832051023367716</v>
      </c>
      <c r="AH8948" s="2" t="str">
        <f ca="1"/>
        <v>Bad</v>
      </c>
    </row>
    <row r="8949" spans="2:34" x14ac:dyDescent="0.2">
      <c r="B8949" s="2">
        <f ca="1"/>
        <v>0.14063208820844708</v>
      </c>
      <c r="O8949" s="2">
        <f ca="1"/>
        <v>-9.7676942687545065E-2</v>
      </c>
      <c r="X8949" s="2">
        <f ca="1"/>
        <v>50.966056172204333</v>
      </c>
      <c r="AG8949" s="2">
        <f ca="1"/>
        <v>0.59725310822459976</v>
      </c>
      <c r="AH8949" s="2" t="str">
        <f ca="1"/>
        <v>Bad</v>
      </c>
    </row>
    <row r="8950" spans="2:34" x14ac:dyDescent="0.2">
      <c r="B8950" s="2">
        <f ca="1"/>
        <v>0.453679983187941</v>
      </c>
      <c r="O8950" s="2">
        <f ca="1"/>
        <v>0.52136042583765796</v>
      </c>
      <c r="X8950" s="2">
        <f ca="1"/>
        <v>53.625320703003183</v>
      </c>
      <c r="AG8950" s="2">
        <f ca="1"/>
        <v>0.20987610225513298</v>
      </c>
      <c r="AH8950" s="2" t="str">
        <f ca="1"/>
        <v>OK</v>
      </c>
    </row>
    <row r="8951" spans="2:34" x14ac:dyDescent="0.2">
      <c r="B8951" s="2">
        <f ca="1"/>
        <v>0.41161964780092397</v>
      </c>
      <c r="O8951" s="2">
        <f ca="1"/>
        <v>2.5970590509962612</v>
      </c>
      <c r="X8951" s="2">
        <f ca="1"/>
        <v>52.583123381838632</v>
      </c>
      <c r="AG8951" s="2">
        <f ca="1"/>
        <v>0.13825005760394671</v>
      </c>
      <c r="AH8951" s="2" t="str">
        <f ca="1"/>
        <v>OK</v>
      </c>
    </row>
    <row r="8952" spans="2:34" x14ac:dyDescent="0.2">
      <c r="B8952" s="2">
        <f ca="1"/>
        <v>0.61001471886228709</v>
      </c>
      <c r="O8952" s="2">
        <f ca="1"/>
        <v>-0.38573518266986712</v>
      </c>
      <c r="X8952" s="2">
        <f ca="1"/>
        <v>46.872093239935133</v>
      </c>
      <c r="AG8952" s="2">
        <f ca="1"/>
        <v>0.97474341762030359</v>
      </c>
      <c r="AH8952" s="2" t="str">
        <f ca="1"/>
        <v>Bad</v>
      </c>
    </row>
    <row r="8953" spans="2:34" x14ac:dyDescent="0.2">
      <c r="B8953" s="2">
        <f ca="1"/>
        <v>0.7985453100038391</v>
      </c>
      <c r="O8953" s="2">
        <f ca="1"/>
        <v>-0.79403666626520664</v>
      </c>
      <c r="X8953" s="2">
        <f ca="1"/>
        <v>21.92834164339331</v>
      </c>
      <c r="AG8953" s="2">
        <f ca="1"/>
        <v>0.49699012340907145</v>
      </c>
      <c r="AH8953" s="2" t="str">
        <f ca="1"/>
        <v>Bad</v>
      </c>
    </row>
    <row r="8954" spans="2:34" x14ac:dyDescent="0.2">
      <c r="B8954" s="2">
        <f ca="1"/>
        <v>0.65173730176648337</v>
      </c>
      <c r="O8954" s="2">
        <f ca="1"/>
        <v>-0.2105188585472321</v>
      </c>
      <c r="X8954" s="2">
        <f ca="1"/>
        <v>46.045166084990079</v>
      </c>
      <c r="AG8954" s="2">
        <f ca="1"/>
        <v>0.23932895008457189</v>
      </c>
      <c r="AH8954" s="2" t="str">
        <f ca="1"/>
        <v>OK</v>
      </c>
    </row>
    <row r="8955" spans="2:34" x14ac:dyDescent="0.2">
      <c r="B8955" s="2">
        <f ca="1"/>
        <v>0.97158913240960487</v>
      </c>
      <c r="O8955" s="2">
        <f ca="1"/>
        <v>-2.912295569799106</v>
      </c>
      <c r="X8955" s="2">
        <f ca="1"/>
        <v>41.596482694953174</v>
      </c>
      <c r="AG8955" s="2">
        <f ca="1"/>
        <v>3.5883047468085127E-2</v>
      </c>
      <c r="AH8955" s="2" t="str">
        <f ca="1"/>
        <v>Good</v>
      </c>
    </row>
    <row r="8956" spans="2:34" x14ac:dyDescent="0.2">
      <c r="B8956" s="2">
        <f ca="1"/>
        <v>0.8485880371789245</v>
      </c>
      <c r="O8956" s="2">
        <f ca="1"/>
        <v>0.5309276312298925</v>
      </c>
      <c r="X8956" s="2">
        <f ca="1"/>
        <v>31.809030799845878</v>
      </c>
      <c r="AG8956" s="2">
        <f ca="1"/>
        <v>0.36497249032184764</v>
      </c>
      <c r="AH8956" s="2" t="str">
        <f ca="1"/>
        <v>OK</v>
      </c>
    </row>
    <row r="8957" spans="2:34" x14ac:dyDescent="0.2">
      <c r="B8957" s="2">
        <f ca="1"/>
        <v>0.54421472817093197</v>
      </c>
      <c r="O8957" s="2">
        <f ca="1"/>
        <v>-0.14698616893928523</v>
      </c>
      <c r="X8957" s="2">
        <f ca="1"/>
        <v>49.827409462134312</v>
      </c>
      <c r="AG8957" s="2">
        <f ca="1"/>
        <v>0.35855818418222452</v>
      </c>
      <c r="AH8957" s="2" t="str">
        <f ca="1"/>
        <v>OK</v>
      </c>
    </row>
    <row r="8958" spans="2:34" x14ac:dyDescent="0.2">
      <c r="B8958" s="2">
        <f ca="1"/>
        <v>3.6019363904229218E-2</v>
      </c>
      <c r="O8958" s="2">
        <f ca="1"/>
        <v>-0.10203345308983458</v>
      </c>
      <c r="X8958" s="2">
        <f ca="1"/>
        <v>58.212364271311827</v>
      </c>
      <c r="AG8958" s="2">
        <f ca="1"/>
        <v>0.90501819303290532</v>
      </c>
      <c r="AH8958" s="2" t="str">
        <f ca="1"/>
        <v>Bad</v>
      </c>
    </row>
    <row r="8959" spans="2:34" x14ac:dyDescent="0.2">
      <c r="B8959" s="2">
        <f ca="1"/>
        <v>0.15682738226099424</v>
      </c>
      <c r="O8959" s="2">
        <f ca="1"/>
        <v>-0.3098467736416694</v>
      </c>
      <c r="X8959" s="2">
        <f ca="1"/>
        <v>81.264533863269705</v>
      </c>
      <c r="AG8959" s="2">
        <f ca="1"/>
        <v>0.29910125729258774</v>
      </c>
      <c r="AH8959" s="2" t="str">
        <f ca="1"/>
        <v>OK</v>
      </c>
    </row>
    <row r="8960" spans="2:34" x14ac:dyDescent="0.2">
      <c r="B8960" s="2">
        <f ca="1"/>
        <v>0.74615120378345834</v>
      </c>
      <c r="O8960" s="2">
        <f ca="1"/>
        <v>-0.67563304471655239</v>
      </c>
      <c r="X8960" s="2">
        <f ca="1"/>
        <v>51.763936156751022</v>
      </c>
      <c r="AG8960" s="2">
        <f ca="1"/>
        <v>0.51664869182196194</v>
      </c>
      <c r="AH8960" s="2" t="str">
        <f ca="1"/>
        <v>Bad</v>
      </c>
    </row>
    <row r="8961" spans="2:34" x14ac:dyDescent="0.2">
      <c r="B8961" s="2">
        <f ca="1"/>
        <v>0.39200911843779007</v>
      </c>
      <c r="O8961" s="2">
        <f ca="1"/>
        <v>-0.34606903015102958</v>
      </c>
      <c r="X8961" s="2">
        <f ca="1"/>
        <v>44.066164750200151</v>
      </c>
      <c r="AG8961" s="2">
        <f ca="1"/>
        <v>0.32987248637769562</v>
      </c>
      <c r="AH8961" s="2" t="str">
        <f ca="1"/>
        <v>OK</v>
      </c>
    </row>
    <row r="8962" spans="2:34" x14ac:dyDescent="0.2">
      <c r="B8962" s="2">
        <f ca="1"/>
        <v>0.66876563516300269</v>
      </c>
      <c r="O8962" s="2">
        <f ca="1"/>
        <v>1.2056079146627761</v>
      </c>
      <c r="X8962" s="2">
        <f ca="1"/>
        <v>34.539310714364326</v>
      </c>
      <c r="AG8962" s="2">
        <f ca="1"/>
        <v>0.39614457185299767</v>
      </c>
      <c r="AH8962" s="2" t="str">
        <f ca="1"/>
        <v>OK</v>
      </c>
    </row>
    <row r="8963" spans="2:34" x14ac:dyDescent="0.2">
      <c r="B8963" s="2">
        <f ca="1"/>
        <v>0.28676072429208843</v>
      </c>
      <c r="O8963" s="2">
        <f ca="1"/>
        <v>0.11640129166830843</v>
      </c>
      <c r="X8963" s="2">
        <f ca="1"/>
        <v>44.544263838560752</v>
      </c>
      <c r="AG8963" s="2">
        <f ca="1"/>
        <v>0.82672300221623618</v>
      </c>
      <c r="AH8963" s="2" t="str">
        <f ca="1"/>
        <v>Bad</v>
      </c>
    </row>
    <row r="8964" spans="2:34" x14ac:dyDescent="0.2">
      <c r="B8964" s="2">
        <f ca="1"/>
        <v>0.89023770515616429</v>
      </c>
      <c r="O8964" s="2">
        <f ca="1"/>
        <v>-0.45434685914575662</v>
      </c>
      <c r="X8964" s="2">
        <f ca="1"/>
        <v>40.803669825383864</v>
      </c>
      <c r="AG8964" s="2">
        <f ca="1"/>
        <v>0.39715598813504904</v>
      </c>
      <c r="AH8964" s="2" t="str">
        <f ca="1"/>
        <v>OK</v>
      </c>
    </row>
    <row r="8965" spans="2:34" x14ac:dyDescent="0.2">
      <c r="B8965" s="2">
        <f ca="1"/>
        <v>0.52440169343016274</v>
      </c>
      <c r="O8965" s="2">
        <f ca="1"/>
        <v>1.2524138006774805</v>
      </c>
      <c r="X8965" s="2">
        <f ca="1"/>
        <v>43.131041225237759</v>
      </c>
      <c r="AG8965" s="2">
        <f ca="1"/>
        <v>0.5008094255176565</v>
      </c>
      <c r="AH8965" s="2" t="str">
        <f ca="1"/>
        <v>Bad</v>
      </c>
    </row>
    <row r="8966" spans="2:34" x14ac:dyDescent="0.2">
      <c r="B8966" s="2">
        <f ca="1"/>
        <v>0.34104245587484683</v>
      </c>
      <c r="O8966" s="2">
        <f ca="1"/>
        <v>0.34625531303048146</v>
      </c>
      <c r="X8966" s="2">
        <f ca="1"/>
        <v>63.201661108109299</v>
      </c>
      <c r="AG8966" s="2">
        <f ca="1"/>
        <v>0.12342602643584444</v>
      </c>
      <c r="AH8966" s="2" t="str">
        <f ca="1"/>
        <v>OK</v>
      </c>
    </row>
    <row r="8967" spans="2:34" x14ac:dyDescent="0.2">
      <c r="B8967" s="2">
        <f ca="1"/>
        <v>0.84228428183903881</v>
      </c>
      <c r="O8967" s="2">
        <f ca="1"/>
        <v>1.9295280606373086</v>
      </c>
      <c r="X8967" s="2">
        <f ca="1"/>
        <v>42.8195356119856</v>
      </c>
      <c r="AG8967" s="2">
        <f ca="1"/>
        <v>0.97599518422847042</v>
      </c>
      <c r="AH8967" s="2" t="str">
        <f ca="1"/>
        <v>Bad</v>
      </c>
    </row>
    <row r="8968" spans="2:34" x14ac:dyDescent="0.2">
      <c r="B8968" s="2">
        <f ca="1"/>
        <v>0.60083714280203271</v>
      </c>
      <c r="O8968" s="2">
        <f ca="1"/>
        <v>-0.34909437020670092</v>
      </c>
      <c r="X8968" s="2">
        <f ca="1"/>
        <v>47.990300292780105</v>
      </c>
      <c r="AG8968" s="2">
        <f ca="1"/>
        <v>0.47489646817590869</v>
      </c>
      <c r="AH8968" s="2" t="str">
        <f ca="1"/>
        <v>Bad</v>
      </c>
    </row>
    <row r="8969" spans="2:34" x14ac:dyDescent="0.2">
      <c r="B8969" s="2">
        <f ca="1"/>
        <v>0.73937267806792506</v>
      </c>
      <c r="O8969" s="2">
        <f ca="1"/>
        <v>-0.10138204697198536</v>
      </c>
      <c r="X8969" s="2">
        <f ca="1"/>
        <v>80.25673944106606</v>
      </c>
      <c r="AG8969" s="2">
        <f ca="1"/>
        <v>0.97762250297786735</v>
      </c>
      <c r="AH8969" s="2" t="str">
        <f ca="1"/>
        <v>Bad</v>
      </c>
    </row>
    <row r="8970" spans="2:34" x14ac:dyDescent="0.2">
      <c r="B8970" s="2">
        <f ca="1"/>
        <v>0.67611372334214526</v>
      </c>
      <c r="O8970" s="2">
        <f ca="1"/>
        <v>0.80504210851516145</v>
      </c>
      <c r="X8970" s="2">
        <f ca="1"/>
        <v>84.862438453813809</v>
      </c>
      <c r="AG8970" s="2">
        <f ca="1"/>
        <v>0.26876463907455661</v>
      </c>
      <c r="AH8970" s="2" t="str">
        <f ca="1"/>
        <v>OK</v>
      </c>
    </row>
    <row r="8971" spans="2:34" x14ac:dyDescent="0.2">
      <c r="B8971" s="2">
        <f ca="1"/>
        <v>0.64474125868035581</v>
      </c>
      <c r="O8971" s="2">
        <f ca="1"/>
        <v>-0.15924173211109852</v>
      </c>
      <c r="X8971" s="2">
        <f ca="1"/>
        <v>42.656123073384144</v>
      </c>
      <c r="AG8971" s="2">
        <f ca="1"/>
        <v>0.24182335775528419</v>
      </c>
      <c r="AH8971" s="2" t="str">
        <f ca="1"/>
        <v>OK</v>
      </c>
    </row>
    <row r="8972" spans="2:34" x14ac:dyDescent="0.2">
      <c r="B8972" s="2">
        <f ca="1"/>
        <v>2.9141149917535358E-2</v>
      </c>
      <c r="O8972" s="2">
        <f ca="1"/>
        <v>-0.76493294309484705</v>
      </c>
      <c r="X8972" s="2">
        <f ca="1"/>
        <v>57.3381662766392</v>
      </c>
      <c r="AG8972" s="2">
        <f ca="1"/>
        <v>0.16058502231701599</v>
      </c>
      <c r="AH8972" s="2" t="str">
        <f ca="1"/>
        <v>OK</v>
      </c>
    </row>
    <row r="8973" spans="2:34" x14ac:dyDescent="0.2">
      <c r="B8973" s="2">
        <f ca="1"/>
        <v>0.95516572752364826</v>
      </c>
      <c r="O8973" s="2">
        <f ca="1"/>
        <v>-0.90573355866651395</v>
      </c>
      <c r="X8973" s="2">
        <f ca="1"/>
        <v>62.858437776833718</v>
      </c>
      <c r="AG8973" s="2">
        <f ca="1"/>
        <v>0.69192388630611834</v>
      </c>
      <c r="AH8973" s="2" t="str">
        <f ca="1"/>
        <v>Bad</v>
      </c>
    </row>
    <row r="8974" spans="2:34" x14ac:dyDescent="0.2">
      <c r="B8974" s="2">
        <f ca="1"/>
        <v>0.42645328387432313</v>
      </c>
      <c r="O8974" s="2">
        <f ca="1"/>
        <v>-2.3745956834633528</v>
      </c>
      <c r="X8974" s="2">
        <f ca="1"/>
        <v>69.436567433168591</v>
      </c>
      <c r="AG8974" s="2">
        <f ca="1"/>
        <v>0.55863410088337995</v>
      </c>
      <c r="AH8974" s="2" t="str">
        <f ca="1"/>
        <v>Bad</v>
      </c>
    </row>
    <row r="8975" spans="2:34" x14ac:dyDescent="0.2">
      <c r="B8975" s="2">
        <f ca="1"/>
        <v>0.73386955533584497</v>
      </c>
      <c r="O8975" s="2">
        <f ca="1"/>
        <v>0.87875566307430264</v>
      </c>
      <c r="X8975" s="2">
        <f ca="1"/>
        <v>57.221996885381898</v>
      </c>
      <c r="AG8975" s="2">
        <f ca="1"/>
        <v>0.28231672519372575</v>
      </c>
      <c r="AH8975" s="2" t="str">
        <f ca="1"/>
        <v>OK</v>
      </c>
    </row>
    <row r="8976" spans="2:34" x14ac:dyDescent="0.2">
      <c r="B8976" s="2">
        <f ca="1"/>
        <v>0.31506712200762088</v>
      </c>
      <c r="O8976" s="2">
        <f ca="1"/>
        <v>1.2514391424924474</v>
      </c>
      <c r="X8976" s="2">
        <f ca="1"/>
        <v>43.903817632438958</v>
      </c>
      <c r="AG8976" s="2">
        <f ca="1"/>
        <v>0.45699582901383651</v>
      </c>
      <c r="AH8976" s="2" t="str">
        <f ca="1"/>
        <v>Bad</v>
      </c>
    </row>
    <row r="8977" spans="2:34" x14ac:dyDescent="0.2">
      <c r="B8977" s="2">
        <f ca="1"/>
        <v>0.84174782654967051</v>
      </c>
      <c r="O8977" s="2">
        <f ca="1"/>
        <v>6.9271474586017304E-2</v>
      </c>
      <c r="X8977" s="2">
        <f ca="1"/>
        <v>29.009185193671613</v>
      </c>
      <c r="AG8977" s="2">
        <f ca="1"/>
        <v>0.66993210193982944</v>
      </c>
      <c r="AH8977" s="2" t="str">
        <f ca="1"/>
        <v>Bad</v>
      </c>
    </row>
    <row r="8978" spans="2:34" x14ac:dyDescent="0.2">
      <c r="B8978" s="2">
        <f ca="1"/>
        <v>0.85080690918467683</v>
      </c>
      <c r="O8978" s="2">
        <f ca="1"/>
        <v>-0.87710359554927853</v>
      </c>
      <c r="X8978" s="2">
        <f ca="1"/>
        <v>35.500575954451953</v>
      </c>
      <c r="AG8978" s="2">
        <f ca="1"/>
        <v>0.76709595927850072</v>
      </c>
      <c r="AH8978" s="2" t="str">
        <f ca="1"/>
        <v>Bad</v>
      </c>
    </row>
    <row r="8979" spans="2:34" x14ac:dyDescent="0.2">
      <c r="B8979" s="2">
        <f ca="1"/>
        <v>0.80625037588557569</v>
      </c>
      <c r="O8979" s="2">
        <f ca="1"/>
        <v>-1.5221695412903729</v>
      </c>
      <c r="X8979" s="2">
        <f ca="1"/>
        <v>55.211722715050797</v>
      </c>
      <c r="AG8979" s="2">
        <f ca="1"/>
        <v>0.50817648143068261</v>
      </c>
      <c r="AH8979" s="2" t="str">
        <f ca="1"/>
        <v>Bad</v>
      </c>
    </row>
    <row r="8980" spans="2:34" x14ac:dyDescent="0.2">
      <c r="B8980" s="2">
        <f ca="1"/>
        <v>0.30774922311549813</v>
      </c>
      <c r="O8980" s="2">
        <f ca="1"/>
        <v>5.3866506256007498E-3</v>
      </c>
      <c r="X8980" s="2">
        <f ca="1"/>
        <v>32.758139376715455</v>
      </c>
      <c r="AG8980" s="2">
        <f ca="1"/>
        <v>8.0377951245546031E-2</v>
      </c>
      <c r="AH8980" s="2" t="str">
        <f ca="1"/>
        <v>OK</v>
      </c>
    </row>
    <row r="8981" spans="2:34" x14ac:dyDescent="0.2">
      <c r="B8981" s="2">
        <f ca="1"/>
        <v>0.65602582375389251</v>
      </c>
      <c r="O8981" s="2">
        <f ca="1"/>
        <v>0.94459257658466245</v>
      </c>
      <c r="X8981" s="2">
        <f ca="1"/>
        <v>44.101475063570128</v>
      </c>
      <c r="AG8981" s="2">
        <f ca="1"/>
        <v>0.63417603029121339</v>
      </c>
      <c r="AH8981" s="2" t="str">
        <f ca="1"/>
        <v>Bad</v>
      </c>
    </row>
    <row r="8982" spans="2:34" x14ac:dyDescent="0.2">
      <c r="B8982" s="2">
        <f ca="1"/>
        <v>4.8255051237886093E-2</v>
      </c>
      <c r="O8982" s="2">
        <f ca="1"/>
        <v>1.1657748693982999</v>
      </c>
      <c r="X8982" s="2">
        <f ca="1"/>
        <v>64.250945297527764</v>
      </c>
      <c r="AG8982" s="2">
        <f ca="1"/>
        <v>0.47290682998941214</v>
      </c>
      <c r="AH8982" s="2" t="str">
        <f ca="1"/>
        <v>Bad</v>
      </c>
    </row>
    <row r="8983" spans="2:34" x14ac:dyDescent="0.2">
      <c r="B8983" s="2">
        <f ca="1"/>
        <v>0.25569015664942341</v>
      </c>
      <c r="O8983" s="2">
        <f ca="1"/>
        <v>0.60438573900548354</v>
      </c>
      <c r="X8983" s="2">
        <f ca="1"/>
        <v>59.682263555348854</v>
      </c>
      <c r="AG8983" s="2">
        <f ca="1"/>
        <v>0.15170741006245048</v>
      </c>
      <c r="AH8983" s="2" t="str">
        <f ca="1"/>
        <v>OK</v>
      </c>
    </row>
    <row r="8984" spans="2:34" x14ac:dyDescent="0.2">
      <c r="B8984" s="2">
        <f ca="1"/>
        <v>0.77911599849928925</v>
      </c>
      <c r="O8984" s="2">
        <f ca="1"/>
        <v>-0.69134775483824717</v>
      </c>
      <c r="X8984" s="2">
        <f ca="1"/>
        <v>47.798416861515491</v>
      </c>
      <c r="AG8984" s="2">
        <f ca="1"/>
        <v>0.88566420612879493</v>
      </c>
      <c r="AH8984" s="2" t="str">
        <f ca="1"/>
        <v>Bad</v>
      </c>
    </row>
    <row r="8985" spans="2:34" x14ac:dyDescent="0.2">
      <c r="B8985" s="2">
        <f ca="1"/>
        <v>0.77614200128640354</v>
      </c>
      <c r="O8985" s="2">
        <f ca="1"/>
        <v>-8.7381732795364042E-2</v>
      </c>
      <c r="X8985" s="2">
        <f ca="1"/>
        <v>53.383644253778463</v>
      </c>
      <c r="AG8985" s="2">
        <f ca="1"/>
        <v>0.76075786226495357</v>
      </c>
      <c r="AH8985" s="2" t="str">
        <f ca="1"/>
        <v>Bad</v>
      </c>
    </row>
    <row r="8986" spans="2:34" x14ac:dyDescent="0.2">
      <c r="B8986" s="2">
        <f ca="1"/>
        <v>0.82705494957237646</v>
      </c>
      <c r="O8986" s="2">
        <f ca="1"/>
        <v>1.0328307427908381</v>
      </c>
      <c r="X8986" s="2">
        <f ca="1"/>
        <v>23.609940024809227</v>
      </c>
      <c r="AG8986" s="2">
        <f ca="1"/>
        <v>3.4200414737291851E-2</v>
      </c>
      <c r="AH8986" s="2" t="str">
        <f ca="1"/>
        <v>Good</v>
      </c>
    </row>
    <row r="8987" spans="2:34" x14ac:dyDescent="0.2">
      <c r="B8987" s="2">
        <f ca="1"/>
        <v>5.397589681177295E-2</v>
      </c>
      <c r="O8987" s="2">
        <f ca="1"/>
        <v>-2.3227814136254641</v>
      </c>
      <c r="X8987" s="2">
        <f ca="1"/>
        <v>57.1886243304278</v>
      </c>
      <c r="AG8987" s="2">
        <f ca="1"/>
        <v>0.40630086661471321</v>
      </c>
      <c r="AH8987" s="2" t="str">
        <f ca="1"/>
        <v>Bad</v>
      </c>
    </row>
    <row r="8988" spans="2:34" x14ac:dyDescent="0.2">
      <c r="B8988" s="2">
        <f ca="1"/>
        <v>0.98452819350075349</v>
      </c>
      <c r="O8988" s="2">
        <f ca="1"/>
        <v>6.0955491486818135E-2</v>
      </c>
      <c r="X8988" s="2">
        <f ca="1"/>
        <v>60.029981144922509</v>
      </c>
      <c r="AG8988" s="2">
        <f ca="1"/>
        <v>0.35257106906854974</v>
      </c>
      <c r="AH8988" s="2" t="str">
        <f ca="1"/>
        <v>OK</v>
      </c>
    </row>
    <row r="8989" spans="2:34" x14ac:dyDescent="0.2">
      <c r="B8989" s="2">
        <f ca="1"/>
        <v>0.61619315756213577</v>
      </c>
      <c r="O8989" s="2">
        <f ca="1"/>
        <v>-0.45320955659534912</v>
      </c>
      <c r="X8989" s="2">
        <f ca="1"/>
        <v>61.086596946384162</v>
      </c>
      <c r="AG8989" s="2">
        <f ca="1"/>
        <v>0.49597357193830827</v>
      </c>
      <c r="AH8989" s="2" t="str">
        <f ca="1"/>
        <v>Bad</v>
      </c>
    </row>
    <row r="8990" spans="2:34" x14ac:dyDescent="0.2">
      <c r="B8990" s="2">
        <f ca="1"/>
        <v>0.67163780883943591</v>
      </c>
      <c r="O8990" s="2">
        <f ca="1"/>
        <v>0.72130155270137664</v>
      </c>
      <c r="X8990" s="2">
        <f ca="1"/>
        <v>61.737876186620895</v>
      </c>
      <c r="AG8990" s="2">
        <f ca="1"/>
        <v>0.16932209138582466</v>
      </c>
      <c r="AH8990" s="2" t="str">
        <f ca="1"/>
        <v>OK</v>
      </c>
    </row>
    <row r="8991" spans="2:34" x14ac:dyDescent="0.2">
      <c r="B8991" s="2">
        <f ca="1"/>
        <v>8.6409054199862112E-2</v>
      </c>
      <c r="O8991" s="2">
        <f ca="1"/>
        <v>-0.66925552285571688</v>
      </c>
      <c r="X8991" s="2">
        <f ca="1"/>
        <v>30.391938227261512</v>
      </c>
      <c r="AG8991" s="2">
        <f ca="1"/>
        <v>0.38747139595957059</v>
      </c>
      <c r="AH8991" s="2" t="str">
        <f ca="1"/>
        <v>OK</v>
      </c>
    </row>
    <row r="8992" spans="2:34" x14ac:dyDescent="0.2">
      <c r="B8992" s="2">
        <f ca="1"/>
        <v>0.10190998717522315</v>
      </c>
      <c r="O8992" s="2">
        <f ca="1"/>
        <v>0.66434610268956207</v>
      </c>
      <c r="X8992" s="2">
        <f ca="1"/>
        <v>31.080415858710325</v>
      </c>
      <c r="AG8992" s="2">
        <f ca="1"/>
        <v>0.49752121518029524</v>
      </c>
      <c r="AH8992" s="2" t="str">
        <f ca="1"/>
        <v>Bad</v>
      </c>
    </row>
    <row r="8993" spans="2:34" x14ac:dyDescent="0.2">
      <c r="B8993" s="2">
        <f ca="1"/>
        <v>0.21315333273428849</v>
      </c>
      <c r="O8993" s="2">
        <f ca="1"/>
        <v>-0.31664279644404747</v>
      </c>
      <c r="X8993" s="2">
        <f ca="1"/>
        <v>44.175975502984024</v>
      </c>
      <c r="AG8993" s="2">
        <f ca="1"/>
        <v>0.11294032692023426</v>
      </c>
      <c r="AH8993" s="2" t="str">
        <f ca="1"/>
        <v>OK</v>
      </c>
    </row>
    <row r="8994" spans="2:34" x14ac:dyDescent="0.2">
      <c r="B8994" s="2">
        <f ca="1"/>
        <v>5.0625209006675664E-2</v>
      </c>
      <c r="O8994" s="2">
        <f ca="1"/>
        <v>-1.1675776070597441</v>
      </c>
      <c r="X8994" s="2">
        <f ca="1"/>
        <v>70.487828150415979</v>
      </c>
      <c r="AG8994" s="2">
        <f ca="1"/>
        <v>0.16424395606880671</v>
      </c>
      <c r="AH8994" s="2" t="str">
        <f ca="1"/>
        <v>OK</v>
      </c>
    </row>
    <row r="8995" spans="2:34" x14ac:dyDescent="0.2">
      <c r="B8995" s="2">
        <f ca="1"/>
        <v>0.18869002985924532</v>
      </c>
      <c r="O8995" s="2">
        <f ca="1"/>
        <v>0.65686868703241164</v>
      </c>
      <c r="X8995" s="2">
        <f ca="1"/>
        <v>65.677195158483187</v>
      </c>
      <c r="AG8995" s="2">
        <f ca="1"/>
        <v>0.93594055695100087</v>
      </c>
      <c r="AH8995" s="2" t="str">
        <f ca="1"/>
        <v>Bad</v>
      </c>
    </row>
    <row r="8996" spans="2:34" x14ac:dyDescent="0.2">
      <c r="B8996" s="2">
        <f ca="1"/>
        <v>0.38860427066288894</v>
      </c>
      <c r="O8996" s="2">
        <f ca="1"/>
        <v>0.7273884706803001</v>
      </c>
      <c r="X8996" s="2">
        <f ca="1"/>
        <v>34.04313801602769</v>
      </c>
      <c r="AG8996" s="2">
        <f ca="1"/>
        <v>0.33020649794627732</v>
      </c>
      <c r="AH8996" s="2" t="str">
        <f ca="1"/>
        <v>OK</v>
      </c>
    </row>
    <row r="8997" spans="2:34" x14ac:dyDescent="0.2">
      <c r="B8997" s="2">
        <f ca="1"/>
        <v>0.14452072398422122</v>
      </c>
      <c r="O8997" s="2">
        <f ca="1"/>
        <v>0.49501762147502082</v>
      </c>
      <c r="X8997" s="2">
        <f ca="1"/>
        <v>58.373799358833722</v>
      </c>
      <c r="AG8997" s="2">
        <f ca="1"/>
        <v>0.2593292496433135</v>
      </c>
      <c r="AH8997" s="2" t="str">
        <f ca="1"/>
        <v>OK</v>
      </c>
    </row>
    <row r="8998" spans="2:34" x14ac:dyDescent="0.2">
      <c r="B8998" s="2">
        <f ca="1"/>
        <v>0.85046858551773052</v>
      </c>
      <c r="O8998" s="2">
        <f ca="1"/>
        <v>1.474679341011095</v>
      </c>
      <c r="X8998" s="2">
        <f ca="1"/>
        <v>34.578735356521861</v>
      </c>
      <c r="AG8998" s="2">
        <f ca="1"/>
        <v>1.0220364349205369E-2</v>
      </c>
      <c r="AH8998" s="2" t="str">
        <f ca="1"/>
        <v>Good</v>
      </c>
    </row>
    <row r="8999" spans="2:34" x14ac:dyDescent="0.2">
      <c r="B8999" s="2">
        <f ca="1"/>
        <v>0.96106452808510312</v>
      </c>
      <c r="O8999" s="2">
        <f ca="1"/>
        <v>-0.54929442600629541</v>
      </c>
      <c r="X8999" s="2">
        <f ca="1"/>
        <v>40.240697714729848</v>
      </c>
      <c r="AG8999" s="2">
        <f ca="1"/>
        <v>0.46445112877721395</v>
      </c>
      <c r="AH8999" s="2" t="str">
        <f ca="1"/>
        <v>Bad</v>
      </c>
    </row>
    <row r="9000" spans="2:34" x14ac:dyDescent="0.2">
      <c r="B9000" s="2">
        <f ca="1"/>
        <v>0.16082454673055779</v>
      </c>
      <c r="O9000" s="2">
        <f ca="1"/>
        <v>0.33114948050244586</v>
      </c>
      <c r="X9000" s="2">
        <f ca="1"/>
        <v>29.474669471266527</v>
      </c>
      <c r="AG9000" s="2">
        <f ca="1"/>
        <v>0.60205265828900867</v>
      </c>
      <c r="AH9000" s="2" t="str">
        <f ca="1"/>
        <v>Bad</v>
      </c>
    </row>
    <row r="9001" spans="2:34" x14ac:dyDescent="0.2">
      <c r="B9001" s="2">
        <f ca="1"/>
        <v>1.1214588226270417E-2</v>
      </c>
      <c r="O9001" s="2">
        <f ca="1"/>
        <v>-0.57135067283389496</v>
      </c>
      <c r="X9001" s="2">
        <f ca="1"/>
        <v>44.562653025872351</v>
      </c>
      <c r="AG9001" s="2">
        <f ca="1"/>
        <v>0.6396165473709976</v>
      </c>
      <c r="AH9001" s="2" t="str">
        <f ca="1"/>
        <v>Bad</v>
      </c>
    </row>
    <row r="9002" spans="2:34" x14ac:dyDescent="0.2">
      <c r="B9002" s="2">
        <f ca="1"/>
        <v>0.89902837919449174</v>
      </c>
      <c r="O9002" s="2">
        <f ca="1"/>
        <v>-0.29102008345520408</v>
      </c>
      <c r="X9002" s="2">
        <f ca="1"/>
        <v>72.904525884755259</v>
      </c>
      <c r="AG9002" s="2">
        <f ca="1"/>
        <v>0.36026315984917678</v>
      </c>
      <c r="AH9002" s="2" t="str">
        <f ca="1"/>
        <v>OK</v>
      </c>
    </row>
    <row r="9003" spans="2:34" x14ac:dyDescent="0.2">
      <c r="B9003" s="2">
        <f ca="1"/>
        <v>0.35705334803077204</v>
      </c>
      <c r="O9003" s="2">
        <f ca="1"/>
        <v>1.2443279547315267</v>
      </c>
      <c r="X9003" s="2">
        <f ca="1"/>
        <v>66.08877757931225</v>
      </c>
      <c r="AG9003" s="2">
        <f ca="1"/>
        <v>0.97106300034050963</v>
      </c>
      <c r="AH9003" s="2" t="str">
        <f ca="1"/>
        <v>Bad</v>
      </c>
    </row>
    <row r="9004" spans="2:34" x14ac:dyDescent="0.2">
      <c r="B9004" s="2">
        <f ca="1"/>
        <v>0.75454155832965775</v>
      </c>
      <c r="O9004" s="2">
        <f ca="1"/>
        <v>0.83711321429563901</v>
      </c>
      <c r="X9004" s="2">
        <f ca="1"/>
        <v>61.732701691172707</v>
      </c>
      <c r="AG9004" s="2">
        <f ca="1"/>
        <v>0.407733720906305</v>
      </c>
      <c r="AH9004" s="2" t="str">
        <f ca="1"/>
        <v>Bad</v>
      </c>
    </row>
    <row r="9005" spans="2:34" x14ac:dyDescent="0.2">
      <c r="B9005" s="2">
        <f ca="1"/>
        <v>0.85780215765964418</v>
      </c>
      <c r="O9005" s="2">
        <f ca="1"/>
        <v>0.35324812184054299</v>
      </c>
      <c r="X9005" s="2">
        <f ca="1"/>
        <v>36.659903696709719</v>
      </c>
      <c r="AG9005" s="2">
        <f ca="1"/>
        <v>0.69159116750836613</v>
      </c>
      <c r="AH9005" s="2" t="str">
        <f ca="1"/>
        <v>Bad</v>
      </c>
    </row>
    <row r="9006" spans="2:34" x14ac:dyDescent="0.2">
      <c r="B9006" s="2">
        <f ca="1"/>
        <v>0.71509144559432514</v>
      </c>
      <c r="O9006" s="2">
        <f ca="1"/>
        <v>-2.2143238725639063</v>
      </c>
      <c r="X9006" s="2">
        <f ca="1"/>
        <v>47.907801512015773</v>
      </c>
      <c r="AG9006" s="2">
        <f ca="1"/>
        <v>0.2042193195435873</v>
      </c>
      <c r="AH9006" s="2" t="str">
        <f ca="1"/>
        <v>OK</v>
      </c>
    </row>
    <row r="9007" spans="2:34" x14ac:dyDescent="0.2">
      <c r="B9007" s="2">
        <f ca="1"/>
        <v>0.53968397922866806</v>
      </c>
      <c r="O9007" s="2">
        <f ca="1"/>
        <v>0.71520445280279243</v>
      </c>
      <c r="X9007" s="2">
        <f ca="1"/>
        <v>80.596175034439895</v>
      </c>
      <c r="AG9007" s="2">
        <f ca="1"/>
        <v>0.92901445390713722</v>
      </c>
      <c r="AH9007" s="2" t="str">
        <f ca="1"/>
        <v>Bad</v>
      </c>
    </row>
    <row r="9008" spans="2:34" x14ac:dyDescent="0.2">
      <c r="B9008" s="2">
        <f ca="1"/>
        <v>0.48230266632652263</v>
      </c>
      <c r="O9008" s="2">
        <f ca="1"/>
        <v>0.59213657966558797</v>
      </c>
      <c r="X9008" s="2">
        <f ca="1"/>
        <v>49.324533007571773</v>
      </c>
      <c r="AG9008" s="2">
        <f ca="1"/>
        <v>0.97284861886293195</v>
      </c>
      <c r="AH9008" s="2" t="str">
        <f ca="1"/>
        <v>Bad</v>
      </c>
    </row>
    <row r="9009" spans="2:34" x14ac:dyDescent="0.2">
      <c r="B9009" s="2">
        <f ca="1"/>
        <v>0.87247229404782711</v>
      </c>
      <c r="O9009" s="2">
        <f ca="1"/>
        <v>0.35210305986141865</v>
      </c>
      <c r="X9009" s="2">
        <f ca="1"/>
        <v>55.63037890406968</v>
      </c>
      <c r="AG9009" s="2">
        <f ca="1"/>
        <v>0.43577374774720745</v>
      </c>
      <c r="AH9009" s="2" t="str">
        <f ca="1"/>
        <v>Bad</v>
      </c>
    </row>
    <row r="9010" spans="2:34" x14ac:dyDescent="0.2">
      <c r="B9010" s="2">
        <f ca="1"/>
        <v>9.6752908907502988E-2</v>
      </c>
      <c r="O9010" s="2">
        <f ca="1"/>
        <v>1.051210420693417</v>
      </c>
      <c r="X9010" s="2">
        <f ca="1"/>
        <v>53.527424907111481</v>
      </c>
      <c r="AG9010" s="2">
        <f ca="1"/>
        <v>0.10735096889873796</v>
      </c>
      <c r="AH9010" s="2" t="str">
        <f ca="1"/>
        <v>OK</v>
      </c>
    </row>
    <row r="9011" spans="2:34" x14ac:dyDescent="0.2">
      <c r="B9011" s="2">
        <f ca="1"/>
        <v>0.93253227556963258</v>
      </c>
      <c r="O9011" s="2">
        <f ca="1"/>
        <v>-2.0375694818080938</v>
      </c>
      <c r="X9011" s="2">
        <f ca="1"/>
        <v>65.963310513967102</v>
      </c>
      <c r="AG9011" s="2">
        <f ca="1"/>
        <v>0.26208278967561816</v>
      </c>
      <c r="AH9011" s="2" t="str">
        <f ca="1"/>
        <v>OK</v>
      </c>
    </row>
    <row r="9012" spans="2:34" x14ac:dyDescent="0.2">
      <c r="B9012" s="2">
        <f ca="1"/>
        <v>0.20066301647647222</v>
      </c>
      <c r="O9012" s="2">
        <f ca="1"/>
        <v>-2.3814408914016836</v>
      </c>
      <c r="X9012" s="2">
        <f ca="1"/>
        <v>31.564054076100252</v>
      </c>
      <c r="AG9012" s="2">
        <f ca="1"/>
        <v>2.0036234478071124E-2</v>
      </c>
      <c r="AH9012" s="2" t="str">
        <f ca="1"/>
        <v>Good</v>
      </c>
    </row>
    <row r="9013" spans="2:34" x14ac:dyDescent="0.2">
      <c r="B9013" s="2">
        <f ca="1"/>
        <v>6.8472216413862474E-2</v>
      </c>
      <c r="O9013" s="2">
        <f ca="1"/>
        <v>-0.14349757210788799</v>
      </c>
      <c r="X9013" s="2">
        <f ca="1"/>
        <v>27.12943065382429</v>
      </c>
      <c r="AG9013" s="2">
        <f ca="1"/>
        <v>0.153206649753312</v>
      </c>
      <c r="AH9013" s="2" t="str">
        <f ca="1"/>
        <v>OK</v>
      </c>
    </row>
    <row r="9014" spans="2:34" x14ac:dyDescent="0.2">
      <c r="B9014" s="2">
        <f ca="1"/>
        <v>0.71286383076761273</v>
      </c>
      <c r="O9014" s="2">
        <f ca="1"/>
        <v>1.2253040601174978</v>
      </c>
      <c r="X9014" s="2">
        <f ca="1"/>
        <v>75.844578380337438</v>
      </c>
      <c r="AG9014" s="2">
        <f ca="1"/>
        <v>0.96662271031090885</v>
      </c>
      <c r="AH9014" s="2" t="str">
        <f ca="1"/>
        <v>Bad</v>
      </c>
    </row>
    <row r="9015" spans="2:34" x14ac:dyDescent="0.2">
      <c r="B9015" s="2">
        <f ca="1"/>
        <v>0.12349317346527333</v>
      </c>
      <c r="O9015" s="2">
        <f ca="1"/>
        <v>-0.37575596723239846</v>
      </c>
      <c r="X9015" s="2">
        <f ca="1"/>
        <v>49.932433967485608</v>
      </c>
      <c r="AG9015" s="2">
        <f ca="1"/>
        <v>0.924651714597581</v>
      </c>
      <c r="AH9015" s="2" t="str">
        <f ca="1"/>
        <v>Bad</v>
      </c>
    </row>
    <row r="9016" spans="2:34" x14ac:dyDescent="0.2">
      <c r="B9016" s="2">
        <f ca="1"/>
        <v>0.54528501319447376</v>
      </c>
      <c r="O9016" s="2">
        <f ca="1"/>
        <v>-1.5216043873627156</v>
      </c>
      <c r="X9016" s="2">
        <f ca="1"/>
        <v>29.642989219316416</v>
      </c>
      <c r="AG9016" s="2">
        <f ca="1"/>
        <v>0.79705822185813813</v>
      </c>
      <c r="AH9016" s="2" t="str">
        <f ca="1"/>
        <v>Bad</v>
      </c>
    </row>
    <row r="9017" spans="2:34" x14ac:dyDescent="0.2">
      <c r="B9017" s="2">
        <f ca="1"/>
        <v>0.73395764727707724</v>
      </c>
      <c r="O9017" s="2">
        <f ca="1"/>
        <v>-1.4042889270659806</v>
      </c>
      <c r="X9017" s="2">
        <f ca="1"/>
        <v>40.498762641582211</v>
      </c>
      <c r="AG9017" s="2">
        <f ca="1"/>
        <v>0.69460777749553038</v>
      </c>
      <c r="AH9017" s="2" t="str">
        <f ca="1"/>
        <v>Bad</v>
      </c>
    </row>
    <row r="9018" spans="2:34" x14ac:dyDescent="0.2">
      <c r="B9018" s="2">
        <f ca="1"/>
        <v>0.96789660140252964</v>
      </c>
      <c r="O9018" s="2">
        <f ca="1"/>
        <v>-1.1980831612579161</v>
      </c>
      <c r="X9018" s="2">
        <f ca="1"/>
        <v>40.668500349338558</v>
      </c>
      <c r="AG9018" s="2">
        <f ca="1"/>
        <v>0.36248334601956667</v>
      </c>
      <c r="AH9018" s="2" t="str">
        <f ca="1"/>
        <v>OK</v>
      </c>
    </row>
    <row r="9019" spans="2:34" x14ac:dyDescent="0.2">
      <c r="B9019" s="2">
        <f ca="1"/>
        <v>0.11973666052903131</v>
      </c>
      <c r="O9019" s="2">
        <f ca="1"/>
        <v>-0.96725534019861525</v>
      </c>
      <c r="X9019" s="2">
        <f ca="1"/>
        <v>39.762145616723046</v>
      </c>
      <c r="AG9019" s="2">
        <f ca="1"/>
        <v>0.40584412319306162</v>
      </c>
      <c r="AH9019" s="2" t="str">
        <f ca="1"/>
        <v>Bad</v>
      </c>
    </row>
    <row r="9020" spans="2:34" x14ac:dyDescent="0.2">
      <c r="B9020" s="2">
        <f ca="1"/>
        <v>0.991267040618242</v>
      </c>
      <c r="O9020" s="2">
        <f ca="1"/>
        <v>-0.17308910722831139</v>
      </c>
      <c r="X9020" s="2">
        <f ca="1"/>
        <v>62.425262353000157</v>
      </c>
      <c r="AG9020" s="2">
        <f ca="1"/>
        <v>0.9625113841593258</v>
      </c>
      <c r="AH9020" s="2" t="str">
        <f ca="1"/>
        <v>Bad</v>
      </c>
    </row>
    <row r="9021" spans="2:34" x14ac:dyDescent="0.2">
      <c r="B9021" s="2">
        <f ca="1"/>
        <v>0.41136738880896528</v>
      </c>
      <c r="O9021" s="2">
        <f ca="1"/>
        <v>0.48575108333200256</v>
      </c>
      <c r="X9021" s="2">
        <f ca="1"/>
        <v>50.866806830223972</v>
      </c>
      <c r="AG9021" s="2">
        <f ca="1"/>
        <v>0.49394805935585584</v>
      </c>
      <c r="AH9021" s="2" t="str">
        <f ca="1"/>
        <v>Bad</v>
      </c>
    </row>
    <row r="9022" spans="2:34" x14ac:dyDescent="0.2">
      <c r="B9022" s="2">
        <f ca="1"/>
        <v>7.4820065984119388E-2</v>
      </c>
      <c r="O9022" s="2">
        <f ca="1"/>
        <v>-0.30332514798629445</v>
      </c>
      <c r="X9022" s="2">
        <f ca="1"/>
        <v>55.16044720296744</v>
      </c>
      <c r="AG9022" s="2">
        <f ca="1"/>
        <v>0.74406351477275257</v>
      </c>
      <c r="AH9022" s="2" t="str">
        <f ca="1"/>
        <v>Bad</v>
      </c>
    </row>
    <row r="9023" spans="2:34" x14ac:dyDescent="0.2">
      <c r="B9023" s="2">
        <f ca="1"/>
        <v>4.5994883806643738E-3</v>
      </c>
      <c r="O9023" s="2">
        <f ca="1"/>
        <v>1.5406573055860351</v>
      </c>
      <c r="X9023" s="2">
        <f ca="1"/>
        <v>18.628041387650754</v>
      </c>
      <c r="AG9023" s="2">
        <f ca="1"/>
        <v>0.63693562918686064</v>
      </c>
      <c r="AH9023" s="2" t="str">
        <f ca="1"/>
        <v>Bad</v>
      </c>
    </row>
    <row r="9024" spans="2:34" x14ac:dyDescent="0.2">
      <c r="B9024" s="2">
        <f ca="1"/>
        <v>0.60886653305394178</v>
      </c>
      <c r="O9024" s="2">
        <f ca="1"/>
        <v>-0.13795739622319494</v>
      </c>
      <c r="X9024" s="2">
        <f ca="1"/>
        <v>45.610817537046977</v>
      </c>
      <c r="AG9024" s="2">
        <f ca="1"/>
        <v>0.97328806507762011</v>
      </c>
      <c r="AH9024" s="2" t="str">
        <f ca="1"/>
        <v>Bad</v>
      </c>
    </row>
    <row r="9025" spans="2:34" x14ac:dyDescent="0.2">
      <c r="B9025" s="2">
        <f ca="1"/>
        <v>0.29203647520645215</v>
      </c>
      <c r="O9025" s="2">
        <f ca="1"/>
        <v>1.5103779504329786</v>
      </c>
      <c r="X9025" s="2">
        <f ca="1"/>
        <v>34.234790060631511</v>
      </c>
      <c r="AG9025" s="2">
        <f ca="1"/>
        <v>0.2881484700642023</v>
      </c>
      <c r="AH9025" s="2" t="str">
        <f ca="1"/>
        <v>OK</v>
      </c>
    </row>
    <row r="9026" spans="2:34" x14ac:dyDescent="0.2">
      <c r="B9026" s="2">
        <f ca="1"/>
        <v>1.2981248407511359E-2</v>
      </c>
      <c r="O9026" s="2">
        <f ca="1"/>
        <v>-0.52881702011976528</v>
      </c>
      <c r="X9026" s="2">
        <f ca="1"/>
        <v>60.448960374569658</v>
      </c>
      <c r="AG9026" s="2">
        <f ca="1"/>
        <v>5.5269820593395025E-2</v>
      </c>
      <c r="AH9026" s="2" t="str">
        <f ca="1"/>
        <v>OK</v>
      </c>
    </row>
    <row r="9027" spans="2:34" x14ac:dyDescent="0.2">
      <c r="B9027" s="2">
        <f ca="1"/>
        <v>0.86343681715488962</v>
      </c>
      <c r="O9027" s="2">
        <f ca="1"/>
        <v>0.86502739693772246</v>
      </c>
      <c r="X9027" s="2">
        <f ca="1"/>
        <v>52.00178697902188</v>
      </c>
      <c r="AG9027" s="2">
        <f ca="1"/>
        <v>0.14708742494414051</v>
      </c>
      <c r="AH9027" s="2" t="str">
        <f ca="1"/>
        <v>OK</v>
      </c>
    </row>
    <row r="9028" spans="2:34" x14ac:dyDescent="0.2">
      <c r="B9028" s="2">
        <f ca="1"/>
        <v>0.93895632932459505</v>
      </c>
      <c r="O9028" s="2">
        <f ca="1"/>
        <v>0.96801618114425891</v>
      </c>
      <c r="X9028" s="2">
        <f ca="1"/>
        <v>40.842875943545408</v>
      </c>
      <c r="AG9028" s="2">
        <f ca="1"/>
        <v>0.35903541529308014</v>
      </c>
      <c r="AH9028" s="2" t="str">
        <f ca="1"/>
        <v>OK</v>
      </c>
    </row>
    <row r="9029" spans="2:34" x14ac:dyDescent="0.2">
      <c r="B9029" s="2">
        <f ca="1"/>
        <v>0.80259808905434182</v>
      </c>
      <c r="O9029" s="2">
        <f ca="1"/>
        <v>0.78727182030201037</v>
      </c>
      <c r="X9029" s="2">
        <f ca="1"/>
        <v>44.09258258333351</v>
      </c>
      <c r="AG9029" s="2">
        <f ca="1"/>
        <v>0.94664429531313266</v>
      </c>
      <c r="AH9029" s="2" t="str">
        <f ca="1"/>
        <v>Bad</v>
      </c>
    </row>
    <row r="9030" spans="2:34" x14ac:dyDescent="0.2">
      <c r="B9030" s="2">
        <f ca="1"/>
        <v>0.9558329419999958</v>
      </c>
      <c r="O9030" s="2">
        <f ca="1"/>
        <v>-0.38605230067149643</v>
      </c>
      <c r="X9030" s="2">
        <f ca="1"/>
        <v>28.358004215704653</v>
      </c>
      <c r="AG9030" s="2">
        <f ca="1"/>
        <v>0.57284600885366666</v>
      </c>
      <c r="AH9030" s="2" t="str">
        <f ca="1"/>
        <v>Bad</v>
      </c>
    </row>
    <row r="9031" spans="2:34" x14ac:dyDescent="0.2">
      <c r="B9031" s="2">
        <f ca="1"/>
        <v>0.51852006635276582</v>
      </c>
      <c r="O9031" s="2">
        <f ca="1"/>
        <v>-0.14112882325499332</v>
      </c>
      <c r="X9031" s="2">
        <f ca="1"/>
        <v>64.509545050736691</v>
      </c>
      <c r="AG9031" s="2">
        <f ca="1"/>
        <v>9.793070672989157E-2</v>
      </c>
      <c r="AH9031" s="2" t="str">
        <f ca="1"/>
        <v>OK</v>
      </c>
    </row>
    <row r="9032" spans="2:34" x14ac:dyDescent="0.2">
      <c r="B9032" s="2">
        <f ca="1"/>
        <v>0.33842351986320485</v>
      </c>
      <c r="O9032" s="2">
        <f ca="1"/>
        <v>-0.46333960227031495</v>
      </c>
      <c r="X9032" s="2">
        <f ca="1"/>
        <v>44.595775491419886</v>
      </c>
      <c r="AG9032" s="2">
        <f ca="1"/>
        <v>0.73563026421272926</v>
      </c>
      <c r="AH9032" s="2" t="str">
        <f ca="1"/>
        <v>Bad</v>
      </c>
    </row>
    <row r="9033" spans="2:34" x14ac:dyDescent="0.2">
      <c r="B9033" s="2">
        <f ca="1"/>
        <v>0.39759336970375303</v>
      </c>
      <c r="O9033" s="2">
        <f ca="1"/>
        <v>0.36435356579083822</v>
      </c>
      <c r="X9033" s="2">
        <f ca="1"/>
        <v>22.626557168703094</v>
      </c>
      <c r="AG9033" s="2">
        <f ca="1"/>
        <v>0.28854526663400848</v>
      </c>
      <c r="AH9033" s="2" t="str">
        <f ca="1"/>
        <v>OK</v>
      </c>
    </row>
    <row r="9034" spans="2:34" x14ac:dyDescent="0.2">
      <c r="B9034" s="2">
        <f ca="1"/>
        <v>0.8258014572720922</v>
      </c>
      <c r="O9034" s="2">
        <f ca="1"/>
        <v>0.56552463079687332</v>
      </c>
      <c r="X9034" s="2">
        <f ca="1"/>
        <v>67.452772367972841</v>
      </c>
      <c r="AG9034" s="2">
        <f ca="1"/>
        <v>0.75922785962392281</v>
      </c>
      <c r="AH9034" s="2" t="str">
        <f ca="1"/>
        <v>Bad</v>
      </c>
    </row>
    <row r="9035" spans="2:34" x14ac:dyDescent="0.2">
      <c r="B9035" s="2">
        <f ca="1"/>
        <v>0.12794821761886177</v>
      </c>
      <c r="O9035" s="2">
        <f ca="1"/>
        <v>-6.170770647870643E-2</v>
      </c>
      <c r="X9035" s="2">
        <f ca="1"/>
        <v>33.536550310943618</v>
      </c>
      <c r="AG9035" s="2">
        <f ca="1"/>
        <v>7.379562530303585E-2</v>
      </c>
      <c r="AH9035" s="2" t="str">
        <f ca="1"/>
        <v>OK</v>
      </c>
    </row>
    <row r="9036" spans="2:34" x14ac:dyDescent="0.2">
      <c r="B9036" s="2">
        <f ca="1"/>
        <v>0.53531687683010554</v>
      </c>
      <c r="O9036" s="2">
        <f ca="1"/>
        <v>-1.2502424591403642</v>
      </c>
      <c r="X9036" s="2">
        <f ca="1"/>
        <v>41.856778185947228</v>
      </c>
      <c r="AG9036" s="2">
        <f ca="1"/>
        <v>0.13499962591272108</v>
      </c>
      <c r="AH9036" s="2" t="str">
        <f ca="1"/>
        <v>OK</v>
      </c>
    </row>
    <row r="9037" spans="2:34" x14ac:dyDescent="0.2">
      <c r="B9037" s="2">
        <f ca="1"/>
        <v>0.25593213504155843</v>
      </c>
      <c r="O9037" s="2">
        <f ca="1"/>
        <v>-1.2835668743396815</v>
      </c>
      <c r="X9037" s="2">
        <f ca="1"/>
        <v>33.429752172919464</v>
      </c>
      <c r="AG9037" s="2">
        <f ca="1"/>
        <v>0.70781887563650114</v>
      </c>
      <c r="AH9037" s="2" t="str">
        <f ca="1"/>
        <v>Bad</v>
      </c>
    </row>
    <row r="9038" spans="2:34" x14ac:dyDescent="0.2">
      <c r="B9038" s="2">
        <f ca="1"/>
        <v>0.63252830238512359</v>
      </c>
      <c r="O9038" s="2">
        <f ca="1"/>
        <v>0.11155007513275182</v>
      </c>
      <c r="X9038" s="2">
        <f ca="1"/>
        <v>34.033891916667514</v>
      </c>
      <c r="AG9038" s="2">
        <f ca="1"/>
        <v>1.7162525144062357E-2</v>
      </c>
      <c r="AH9038" s="2" t="str">
        <f ca="1"/>
        <v>Good</v>
      </c>
    </row>
    <row r="9039" spans="2:34" x14ac:dyDescent="0.2">
      <c r="B9039" s="2">
        <f ca="1"/>
        <v>6.0015702414949468E-2</v>
      </c>
      <c r="O9039" s="2">
        <f ca="1"/>
        <v>0.76300516744728575</v>
      </c>
      <c r="X9039" s="2">
        <f ca="1"/>
        <v>45.681300021756641</v>
      </c>
      <c r="AG9039" s="2">
        <f ca="1"/>
        <v>0.68345326841692566</v>
      </c>
      <c r="AH9039" s="2" t="str">
        <f ca="1"/>
        <v>Bad</v>
      </c>
    </row>
    <row r="9040" spans="2:34" x14ac:dyDescent="0.2">
      <c r="B9040" s="2">
        <f ca="1"/>
        <v>0.85902975227338252</v>
      </c>
      <c r="O9040" s="2">
        <f ca="1"/>
        <v>-0.83376113512691019</v>
      </c>
      <c r="X9040" s="2">
        <f ca="1"/>
        <v>39.722805853031332</v>
      </c>
      <c r="AG9040" s="2">
        <f ca="1"/>
        <v>0.87395691809817544</v>
      </c>
      <c r="AH9040" s="2" t="str">
        <f ca="1"/>
        <v>Bad</v>
      </c>
    </row>
    <row r="9041" spans="2:34" x14ac:dyDescent="0.2">
      <c r="B9041" s="2">
        <f ca="1"/>
        <v>0.73966699147452508</v>
      </c>
      <c r="O9041" s="2">
        <f ca="1"/>
        <v>-0.73326013047153649</v>
      </c>
      <c r="X9041" s="2">
        <f ca="1"/>
        <v>57.013910275660223</v>
      </c>
      <c r="AG9041" s="2">
        <f ca="1"/>
        <v>0.40640843382203262</v>
      </c>
      <c r="AH9041" s="2" t="str">
        <f ca="1"/>
        <v>Bad</v>
      </c>
    </row>
    <row r="9042" spans="2:34" x14ac:dyDescent="0.2">
      <c r="B9042" s="2">
        <f ca="1"/>
        <v>0.60727293369383961</v>
      </c>
      <c r="O9042" s="2">
        <f ca="1"/>
        <v>-1.3543747260845349</v>
      </c>
      <c r="X9042" s="2">
        <f ca="1"/>
        <v>65.112073906091481</v>
      </c>
      <c r="AG9042" s="2">
        <f ca="1"/>
        <v>2.1193233133039335E-2</v>
      </c>
      <c r="AH9042" s="2" t="str">
        <f ca="1"/>
        <v>Good</v>
      </c>
    </row>
    <row r="9043" spans="2:34" x14ac:dyDescent="0.2">
      <c r="B9043" s="2">
        <f ca="1"/>
        <v>0.61233398945440709</v>
      </c>
      <c r="O9043" s="2">
        <f ca="1"/>
        <v>0.50817945550621657</v>
      </c>
      <c r="X9043" s="2">
        <f ca="1"/>
        <v>33.907962219182657</v>
      </c>
      <c r="AG9043" s="2">
        <f ca="1"/>
        <v>0.76222385589037134</v>
      </c>
      <c r="AH9043" s="2" t="str">
        <f ca="1"/>
        <v>Bad</v>
      </c>
    </row>
    <row r="9044" spans="2:34" x14ac:dyDescent="0.2">
      <c r="B9044" s="2">
        <f ca="1"/>
        <v>0.40413283720984849</v>
      </c>
      <c r="O9044" s="2">
        <f ca="1"/>
        <v>0.56147521597159955</v>
      </c>
      <c r="X9044" s="2">
        <f ca="1"/>
        <v>29.422126167889644</v>
      </c>
      <c r="AG9044" s="2">
        <f ca="1"/>
        <v>0.2806331829472426</v>
      </c>
      <c r="AH9044" s="2" t="str">
        <f ca="1"/>
        <v>OK</v>
      </c>
    </row>
    <row r="9045" spans="2:34" x14ac:dyDescent="0.2">
      <c r="B9045" s="2">
        <f ca="1"/>
        <v>0.78975000337880985</v>
      </c>
      <c r="O9045" s="2">
        <f ca="1"/>
        <v>0.68405238939130841</v>
      </c>
      <c r="X9045" s="2">
        <f ca="1"/>
        <v>41.678393179218183</v>
      </c>
      <c r="AG9045" s="2">
        <f ca="1"/>
        <v>0.76886873154409563</v>
      </c>
      <c r="AH9045" s="2" t="str">
        <f ca="1"/>
        <v>Bad</v>
      </c>
    </row>
    <row r="9046" spans="2:34" x14ac:dyDescent="0.2">
      <c r="B9046" s="2">
        <f ca="1"/>
        <v>0.30955507862452336</v>
      </c>
      <c r="O9046" s="2">
        <f ca="1"/>
        <v>0.77097364467103768</v>
      </c>
      <c r="X9046" s="2">
        <f ca="1"/>
        <v>36.266490402515934</v>
      </c>
      <c r="AG9046" s="2">
        <f ca="1"/>
        <v>0.75256837089765138</v>
      </c>
      <c r="AH9046" s="2" t="str">
        <f ca="1"/>
        <v>Bad</v>
      </c>
    </row>
    <row r="9047" spans="2:34" x14ac:dyDescent="0.2">
      <c r="B9047" s="2">
        <f ca="1"/>
        <v>0.49624770952909625</v>
      </c>
      <c r="O9047" s="2">
        <f ca="1"/>
        <v>1.9651808397792605</v>
      </c>
      <c r="X9047" s="2">
        <f ca="1"/>
        <v>48.191827426072138</v>
      </c>
      <c r="AG9047" s="2">
        <f ca="1"/>
        <v>0.56612845002868628</v>
      </c>
      <c r="AH9047" s="2" t="str">
        <f ca="1"/>
        <v>Bad</v>
      </c>
    </row>
    <row r="9048" spans="2:34" x14ac:dyDescent="0.2">
      <c r="B9048" s="2">
        <f ca="1"/>
        <v>0.86579926089108539</v>
      </c>
      <c r="O9048" s="2">
        <f ca="1"/>
        <v>2.0199046580770812</v>
      </c>
      <c r="X9048" s="2">
        <f ca="1"/>
        <v>40.341328886522916</v>
      </c>
      <c r="AG9048" s="2">
        <f ca="1"/>
        <v>4.5508591144493682E-2</v>
      </c>
      <c r="AH9048" s="2" t="str">
        <f ca="1"/>
        <v>Good</v>
      </c>
    </row>
    <row r="9049" spans="2:34" x14ac:dyDescent="0.2">
      <c r="B9049" s="2">
        <f ca="1"/>
        <v>0.5590103607559298</v>
      </c>
      <c r="O9049" s="2">
        <f ca="1"/>
        <v>0.15573884327856463</v>
      </c>
      <c r="X9049" s="2">
        <f ca="1"/>
        <v>55.306803072694933</v>
      </c>
      <c r="AG9049" s="2">
        <f ca="1"/>
        <v>0.34290234049793611</v>
      </c>
      <c r="AH9049" s="2" t="str">
        <f ca="1"/>
        <v>OK</v>
      </c>
    </row>
    <row r="9050" spans="2:34" x14ac:dyDescent="0.2">
      <c r="B9050" s="2">
        <f ca="1"/>
        <v>0.52771582221005886</v>
      </c>
      <c r="O9050" s="2">
        <f ca="1"/>
        <v>-0.21850606892162086</v>
      </c>
      <c r="X9050" s="2">
        <f ca="1"/>
        <v>84.716435362182096</v>
      </c>
      <c r="AG9050" s="2">
        <f ca="1"/>
        <v>5.9210438452662384E-2</v>
      </c>
      <c r="AH9050" s="2" t="str">
        <f ca="1"/>
        <v>OK</v>
      </c>
    </row>
    <row r="9051" spans="2:34" x14ac:dyDescent="0.2">
      <c r="B9051" s="2">
        <f ca="1"/>
        <v>0.60219102422185045</v>
      </c>
      <c r="O9051" s="2">
        <f ca="1"/>
        <v>-1.3525270870926833</v>
      </c>
      <c r="X9051" s="2">
        <f ca="1"/>
        <v>47.70118808111792</v>
      </c>
      <c r="AG9051" s="2">
        <f ca="1"/>
        <v>0.50414450968053037</v>
      </c>
      <c r="AH9051" s="2" t="str">
        <f ca="1"/>
        <v>Bad</v>
      </c>
    </row>
    <row r="9052" spans="2:34" x14ac:dyDescent="0.2">
      <c r="B9052" s="2">
        <f ca="1"/>
        <v>0.86606824992717324</v>
      </c>
      <c r="O9052" s="2">
        <f ca="1"/>
        <v>-0.26274993963032878</v>
      </c>
      <c r="X9052" s="2">
        <f ca="1"/>
        <v>52.456702082709434</v>
      </c>
      <c r="AG9052" s="2">
        <f ca="1"/>
        <v>0.78595118907094941</v>
      </c>
      <c r="AH9052" s="2" t="str">
        <f ca="1"/>
        <v>Bad</v>
      </c>
    </row>
    <row r="9053" spans="2:34" x14ac:dyDescent="0.2">
      <c r="B9053" s="2">
        <f ca="1"/>
        <v>0.16463205301550832</v>
      </c>
      <c r="O9053" s="2">
        <f ca="1"/>
        <v>-1.0374572332093421</v>
      </c>
      <c r="X9053" s="2">
        <f ca="1"/>
        <v>64.036299207624666</v>
      </c>
      <c r="AG9053" s="2">
        <f ca="1"/>
        <v>0.73017775419142783</v>
      </c>
      <c r="AH9053" s="2" t="str">
        <f ca="1"/>
        <v>Bad</v>
      </c>
    </row>
    <row r="9054" spans="2:34" x14ac:dyDescent="0.2">
      <c r="B9054" s="2">
        <f ca="1"/>
        <v>0.59952997646506523</v>
      </c>
      <c r="O9054" s="2">
        <f ca="1"/>
        <v>-0.1925545179625657</v>
      </c>
      <c r="X9054" s="2">
        <f ca="1"/>
        <v>49.045874816744544</v>
      </c>
      <c r="AG9054" s="2">
        <f ca="1"/>
        <v>0.28630271102681504</v>
      </c>
      <c r="AH9054" s="2" t="str">
        <f ca="1"/>
        <v>OK</v>
      </c>
    </row>
    <row r="9055" spans="2:34" x14ac:dyDescent="0.2">
      <c r="B9055" s="2">
        <f ca="1"/>
        <v>0.76639610616399212</v>
      </c>
      <c r="O9055" s="2">
        <f ca="1"/>
        <v>-0.30235802042716214</v>
      </c>
      <c r="X9055" s="2">
        <f ca="1"/>
        <v>62.574883031033252</v>
      </c>
      <c r="AG9055" s="2">
        <f ca="1"/>
        <v>0.92608112109029905</v>
      </c>
      <c r="AH9055" s="2" t="str">
        <f ca="1"/>
        <v>Bad</v>
      </c>
    </row>
    <row r="9056" spans="2:34" x14ac:dyDescent="0.2">
      <c r="B9056" s="2">
        <f ca="1"/>
        <v>1.6270057323906739E-2</v>
      </c>
      <c r="O9056" s="2">
        <f ca="1"/>
        <v>1.2249692680092976</v>
      </c>
      <c r="X9056" s="2">
        <f ca="1"/>
        <v>66.866304373824903</v>
      </c>
      <c r="AG9056" s="2">
        <f ca="1"/>
        <v>0.65006638905891778</v>
      </c>
      <c r="AH9056" s="2" t="str">
        <f ca="1"/>
        <v>Bad</v>
      </c>
    </row>
    <row r="9057" spans="2:34" x14ac:dyDescent="0.2">
      <c r="B9057" s="2">
        <f ca="1"/>
        <v>0.21523085140343778</v>
      </c>
      <c r="O9057" s="2">
        <f ca="1"/>
        <v>-1.5895512189432597</v>
      </c>
      <c r="X9057" s="2">
        <f ca="1"/>
        <v>47.916902986269491</v>
      </c>
      <c r="AG9057" s="2">
        <f ca="1"/>
        <v>0.10967134165833703</v>
      </c>
      <c r="AH9057" s="2" t="str">
        <f ca="1"/>
        <v>OK</v>
      </c>
    </row>
    <row r="9058" spans="2:34" x14ac:dyDescent="0.2">
      <c r="B9058" s="2">
        <f ca="1"/>
        <v>0.81902677750208941</v>
      </c>
      <c r="O9058" s="2">
        <f ca="1"/>
        <v>0.30359621461821346</v>
      </c>
      <c r="X9058" s="2">
        <f ca="1"/>
        <v>45.841704529473965</v>
      </c>
      <c r="AG9058" s="2">
        <f ca="1"/>
        <v>0.79788965464981709</v>
      </c>
      <c r="AH9058" s="2" t="str">
        <f ca="1"/>
        <v>Bad</v>
      </c>
    </row>
    <row r="9059" spans="2:34" x14ac:dyDescent="0.2">
      <c r="B9059" s="2">
        <f ca="1"/>
        <v>0.92897047586844783</v>
      </c>
      <c r="O9059" s="2">
        <f ca="1"/>
        <v>-2.0897564026969753</v>
      </c>
      <c r="X9059" s="2">
        <f ca="1"/>
        <v>49.017584104992821</v>
      </c>
      <c r="AG9059" s="2">
        <f ca="1"/>
        <v>0.74412124442950422</v>
      </c>
      <c r="AH9059" s="2" t="str">
        <f ca="1"/>
        <v>Bad</v>
      </c>
    </row>
    <row r="9060" spans="2:34" x14ac:dyDescent="0.2">
      <c r="B9060" s="2">
        <f ca="1"/>
        <v>0.3077959358903477</v>
      </c>
      <c r="O9060" s="2">
        <f ca="1"/>
        <v>1.2110044015768595</v>
      </c>
      <c r="X9060" s="2">
        <f ca="1"/>
        <v>43.803242475733335</v>
      </c>
      <c r="AG9060" s="2">
        <f ca="1"/>
        <v>0.41211792813222026</v>
      </c>
      <c r="AH9060" s="2" t="str">
        <f ca="1"/>
        <v>Bad</v>
      </c>
    </row>
    <row r="9061" spans="2:34" x14ac:dyDescent="0.2">
      <c r="B9061" s="2">
        <f ca="1"/>
        <v>0.2527764092190008</v>
      </c>
      <c r="O9061" s="2">
        <f ca="1"/>
        <v>0.71176801661197631</v>
      </c>
      <c r="X9061" s="2">
        <f ca="1"/>
        <v>66.614126778116145</v>
      </c>
      <c r="AG9061" s="2">
        <f ca="1"/>
        <v>0.79624303492715232</v>
      </c>
      <c r="AH9061" s="2" t="str">
        <f ca="1"/>
        <v>Bad</v>
      </c>
    </row>
    <row r="9062" spans="2:34" x14ac:dyDescent="0.2">
      <c r="B9062" s="2">
        <f ca="1"/>
        <v>0.18132321158250897</v>
      </c>
      <c r="O9062" s="2">
        <f ca="1"/>
        <v>-1.4075103171328918</v>
      </c>
      <c r="X9062" s="2">
        <f ca="1"/>
        <v>77.152262648330222</v>
      </c>
      <c r="AG9062" s="2">
        <f ca="1"/>
        <v>0.27177440695718236</v>
      </c>
      <c r="AH9062" s="2" t="str">
        <f ca="1"/>
        <v>OK</v>
      </c>
    </row>
    <row r="9063" spans="2:34" x14ac:dyDescent="0.2">
      <c r="B9063" s="2">
        <f ca="1"/>
        <v>2.9848428564957841E-2</v>
      </c>
      <c r="O9063" s="2">
        <f ca="1"/>
        <v>3.1686075601653507E-3</v>
      </c>
      <c r="X9063" s="2">
        <f ca="1"/>
        <v>64.909464828535292</v>
      </c>
      <c r="AG9063" s="2">
        <f ca="1"/>
        <v>0.41641597324517754</v>
      </c>
      <c r="AH9063" s="2" t="str">
        <f ca="1"/>
        <v>Bad</v>
      </c>
    </row>
    <row r="9064" spans="2:34" x14ac:dyDescent="0.2">
      <c r="B9064" s="2">
        <f ca="1"/>
        <v>0.1005896716697452</v>
      </c>
      <c r="O9064" s="2">
        <f ca="1"/>
        <v>-0.53114850115988133</v>
      </c>
      <c r="X9064" s="2">
        <f ca="1"/>
        <v>30.467758719042788</v>
      </c>
      <c r="AG9064" s="2">
        <f ca="1"/>
        <v>0.3314441365116545</v>
      </c>
      <c r="AH9064" s="2" t="str">
        <f ca="1"/>
        <v>OK</v>
      </c>
    </row>
    <row r="9065" spans="2:34" x14ac:dyDescent="0.2">
      <c r="B9065" s="2">
        <f ca="1"/>
        <v>0.29331648310536207</v>
      </c>
      <c r="O9065" s="2">
        <f ca="1"/>
        <v>-1.3275463486707877</v>
      </c>
      <c r="X9065" s="2">
        <f ca="1"/>
        <v>56.734307279298449</v>
      </c>
      <c r="AG9065" s="2">
        <f ca="1"/>
        <v>0.92734321052817514</v>
      </c>
      <c r="AH9065" s="2" t="str">
        <f ca="1"/>
        <v>Bad</v>
      </c>
    </row>
    <row r="9066" spans="2:34" x14ac:dyDescent="0.2">
      <c r="B9066" s="2">
        <f ca="1"/>
        <v>0.43457498847816911</v>
      </c>
      <c r="O9066" s="2">
        <f ca="1"/>
        <v>-0.67674355554530008</v>
      </c>
      <c r="X9066" s="2">
        <f ca="1"/>
        <v>47.889634831014263</v>
      </c>
      <c r="AG9066" s="2">
        <f ca="1"/>
        <v>0.59394245664355627</v>
      </c>
      <c r="AH9066" s="2" t="str">
        <f ca="1"/>
        <v>Bad</v>
      </c>
    </row>
    <row r="9067" spans="2:34" x14ac:dyDescent="0.2">
      <c r="B9067" s="2">
        <f ca="1"/>
        <v>0.34389516676437792</v>
      </c>
      <c r="O9067" s="2">
        <f ca="1"/>
        <v>-0.83420206289788612</v>
      </c>
      <c r="X9067" s="2">
        <f ca="1"/>
        <v>34.823784840646631</v>
      </c>
      <c r="AG9067" s="2">
        <f ca="1"/>
        <v>0.40592815947788985</v>
      </c>
      <c r="AH9067" s="2" t="str">
        <f ca="1"/>
        <v>Bad</v>
      </c>
    </row>
    <row r="9068" spans="2:34" x14ac:dyDescent="0.2">
      <c r="B9068" s="2">
        <f ca="1"/>
        <v>0.45824109329478224</v>
      </c>
      <c r="O9068" s="2">
        <f ca="1"/>
        <v>-0.18157778889260162</v>
      </c>
      <c r="X9068" s="2">
        <f ca="1"/>
        <v>55.345721229645399</v>
      </c>
      <c r="AG9068" s="2">
        <f ca="1"/>
        <v>0.97551003047201412</v>
      </c>
      <c r="AH9068" s="2" t="str">
        <f ca="1"/>
        <v>Bad</v>
      </c>
    </row>
    <row r="9069" spans="2:34" x14ac:dyDescent="0.2">
      <c r="B9069" s="2">
        <f ca="1"/>
        <v>0.17884237753047949</v>
      </c>
      <c r="O9069" s="2">
        <f ca="1"/>
        <v>0.7579461661450374</v>
      </c>
      <c r="X9069" s="2">
        <f ca="1"/>
        <v>80.700054037089586</v>
      </c>
      <c r="AG9069" s="2">
        <f ca="1"/>
        <v>0.27473959759716049</v>
      </c>
      <c r="AH9069" s="2" t="str">
        <f ca="1"/>
        <v>OK</v>
      </c>
    </row>
    <row r="9070" spans="2:34" x14ac:dyDescent="0.2">
      <c r="B9070" s="2">
        <f ca="1"/>
        <v>0.4638995427305459</v>
      </c>
      <c r="O9070" s="2">
        <f ca="1"/>
        <v>0.82050971643535342</v>
      </c>
      <c r="X9070" s="2">
        <f ca="1"/>
        <v>16.114287910192044</v>
      </c>
      <c r="AG9070" s="2">
        <f ca="1"/>
        <v>0.83200472400318604</v>
      </c>
      <c r="AH9070" s="2" t="str">
        <f ca="1"/>
        <v>Bad</v>
      </c>
    </row>
    <row r="9071" spans="2:34" x14ac:dyDescent="0.2">
      <c r="B9071" s="2">
        <f ca="1"/>
        <v>0.61179666941401578</v>
      </c>
      <c r="O9071" s="2">
        <f ca="1"/>
        <v>-0.37092298207801039</v>
      </c>
      <c r="X9071" s="2">
        <f ca="1"/>
        <v>58.023552502887917</v>
      </c>
      <c r="AG9071" s="2">
        <f ca="1"/>
        <v>0.41456612586869301</v>
      </c>
      <c r="AH9071" s="2" t="str">
        <f ca="1"/>
        <v>Bad</v>
      </c>
    </row>
    <row r="9072" spans="2:34" x14ac:dyDescent="0.2">
      <c r="B9072" s="2">
        <f ca="1"/>
        <v>0.11580435900056307</v>
      </c>
      <c r="O9072" s="2">
        <f ca="1"/>
        <v>-2.0773462082061305</v>
      </c>
      <c r="X9072" s="2">
        <f ca="1"/>
        <v>36.216323151669471</v>
      </c>
      <c r="AG9072" s="2">
        <f ca="1"/>
        <v>0.37555459648140999</v>
      </c>
      <c r="AH9072" s="2" t="str">
        <f ca="1"/>
        <v>OK</v>
      </c>
    </row>
    <row r="9073" spans="2:34" x14ac:dyDescent="0.2">
      <c r="B9073" s="2">
        <f ca="1"/>
        <v>0.73722687000401677</v>
      </c>
      <c r="O9073" s="2">
        <f ca="1"/>
        <v>-0.73880120507475044</v>
      </c>
      <c r="X9073" s="2">
        <f ca="1"/>
        <v>62.796535666691</v>
      </c>
      <c r="AG9073" s="2">
        <f ca="1"/>
        <v>0.33628013953153268</v>
      </c>
      <c r="AH9073" s="2" t="str">
        <f ca="1"/>
        <v>OK</v>
      </c>
    </row>
    <row r="9074" spans="2:34" x14ac:dyDescent="0.2">
      <c r="B9074" s="2">
        <f ca="1"/>
        <v>0.47961507744534604</v>
      </c>
      <c r="O9074" s="2">
        <f ca="1"/>
        <v>-0.24604386301810938</v>
      </c>
      <c r="X9074" s="2">
        <f ca="1"/>
        <v>27.939561886311502</v>
      </c>
      <c r="AG9074" s="2">
        <f ca="1"/>
        <v>0.72839823207513832</v>
      </c>
      <c r="AH9074" s="2" t="str">
        <f ca="1"/>
        <v>Bad</v>
      </c>
    </row>
    <row r="9075" spans="2:34" x14ac:dyDescent="0.2">
      <c r="B9075" s="2">
        <f ca="1"/>
        <v>0.47605857803199503</v>
      </c>
      <c r="O9075" s="2">
        <f ca="1"/>
        <v>-1.5957702491141044</v>
      </c>
      <c r="X9075" s="2">
        <f ca="1"/>
        <v>48.023627521713976</v>
      </c>
      <c r="AG9075" s="2">
        <f ca="1"/>
        <v>1.8691096783334915E-2</v>
      </c>
      <c r="AH9075" s="2" t="str">
        <f ca="1"/>
        <v>Good</v>
      </c>
    </row>
    <row r="9076" spans="2:34" x14ac:dyDescent="0.2">
      <c r="B9076" s="2">
        <f ca="1"/>
        <v>0.28122450912628927</v>
      </c>
      <c r="O9076" s="2">
        <f ca="1"/>
        <v>0.43997758205186549</v>
      </c>
      <c r="X9076" s="2">
        <f ca="1"/>
        <v>61.404780634310328</v>
      </c>
      <c r="AG9076" s="2">
        <f ca="1"/>
        <v>0.43590243375739446</v>
      </c>
      <c r="AH9076" s="2" t="str">
        <f ca="1"/>
        <v>Bad</v>
      </c>
    </row>
    <row r="9077" spans="2:34" x14ac:dyDescent="0.2">
      <c r="B9077" s="2">
        <f ca="1"/>
        <v>0.85513327632127134</v>
      </c>
      <c r="O9077" s="2">
        <f ca="1"/>
        <v>0.19124035925566168</v>
      </c>
      <c r="X9077" s="2">
        <f ca="1"/>
        <v>61.754870002650975</v>
      </c>
      <c r="AG9077" s="2">
        <f ca="1"/>
        <v>9.6496577294724606E-2</v>
      </c>
      <c r="AH9077" s="2" t="str">
        <f ca="1"/>
        <v>OK</v>
      </c>
    </row>
    <row r="9078" spans="2:34" x14ac:dyDescent="0.2">
      <c r="B9078" s="2">
        <f ca="1"/>
        <v>0.99622935691518655</v>
      </c>
      <c r="O9078" s="2">
        <f ca="1"/>
        <v>0.32533334249259871</v>
      </c>
      <c r="X9078" s="2">
        <f ca="1"/>
        <v>52.557225885426945</v>
      </c>
      <c r="AG9078" s="2">
        <f ca="1"/>
        <v>0.96783851336838822</v>
      </c>
      <c r="AH9078" s="2" t="str">
        <f ca="1"/>
        <v>Bad</v>
      </c>
    </row>
    <row r="9079" spans="2:34" x14ac:dyDescent="0.2">
      <c r="B9079" s="2">
        <f ca="1"/>
        <v>1.0839861948933827E-2</v>
      </c>
      <c r="O9079" s="2">
        <f ca="1"/>
        <v>1.3671446570726684</v>
      </c>
      <c r="X9079" s="2">
        <f ca="1"/>
        <v>88.18300038410726</v>
      </c>
      <c r="AG9079" s="2">
        <f ca="1"/>
        <v>0.83729026446631694</v>
      </c>
      <c r="AH9079" s="2" t="str">
        <f ca="1"/>
        <v>Bad</v>
      </c>
    </row>
    <row r="9080" spans="2:34" x14ac:dyDescent="0.2">
      <c r="B9080" s="2">
        <f ca="1"/>
        <v>0.26494190186951982</v>
      </c>
      <c r="O9080" s="2">
        <f ca="1"/>
        <v>-0.27388250280052245</v>
      </c>
      <c r="X9080" s="2">
        <f ca="1"/>
        <v>58.374423513347665</v>
      </c>
      <c r="AG9080" s="2">
        <f ca="1"/>
        <v>0.70383023339624029</v>
      </c>
      <c r="AH9080" s="2" t="str">
        <f ca="1"/>
        <v>Bad</v>
      </c>
    </row>
    <row r="9081" spans="2:34" x14ac:dyDescent="0.2">
      <c r="B9081" s="2">
        <f ca="1"/>
        <v>0.72000172025830445</v>
      </c>
      <c r="O9081" s="2">
        <f ca="1"/>
        <v>0.52278466760532283</v>
      </c>
      <c r="X9081" s="2">
        <f ca="1"/>
        <v>55.500297701040637</v>
      </c>
      <c r="AG9081" s="2">
        <f ca="1"/>
        <v>0.22935898448507031</v>
      </c>
      <c r="AH9081" s="2" t="str">
        <f ca="1"/>
        <v>OK</v>
      </c>
    </row>
    <row r="9082" spans="2:34" x14ac:dyDescent="0.2">
      <c r="B9082" s="2">
        <f ca="1"/>
        <v>0.1769916002499019</v>
      </c>
      <c r="O9082" s="2">
        <f ca="1"/>
        <v>-1.1108241934356573</v>
      </c>
      <c r="X9082" s="2">
        <f ca="1"/>
        <v>45.234890235720194</v>
      </c>
      <c r="AG9082" s="2">
        <f ca="1"/>
        <v>0.5510681486466511</v>
      </c>
      <c r="AH9082" s="2" t="str">
        <f ca="1"/>
        <v>Bad</v>
      </c>
    </row>
    <row r="9083" spans="2:34" x14ac:dyDescent="0.2">
      <c r="B9083" s="2">
        <f ca="1"/>
        <v>0.98718947498879372</v>
      </c>
      <c r="O9083" s="2">
        <f ca="1"/>
        <v>-1.1470997679095785</v>
      </c>
      <c r="X9083" s="2">
        <f ca="1"/>
        <v>34.760791243077151</v>
      </c>
      <c r="AG9083" s="2">
        <f ca="1"/>
        <v>0.71877508771823306</v>
      </c>
      <c r="AH9083" s="2" t="str">
        <f ca="1"/>
        <v>Bad</v>
      </c>
    </row>
    <row r="9084" spans="2:34" x14ac:dyDescent="0.2">
      <c r="B9084" s="2">
        <f ca="1"/>
        <v>0.87614583698532988</v>
      </c>
      <c r="O9084" s="2">
        <f ca="1"/>
        <v>0.69806527025576115</v>
      </c>
      <c r="X9084" s="2">
        <f ca="1"/>
        <v>31.972414101908196</v>
      </c>
      <c r="AG9084" s="2">
        <f ca="1"/>
        <v>0.69034267232914481</v>
      </c>
      <c r="AH9084" s="2" t="str">
        <f ca="1"/>
        <v>Bad</v>
      </c>
    </row>
    <row r="9085" spans="2:34" x14ac:dyDescent="0.2">
      <c r="B9085" s="2">
        <f ca="1"/>
        <v>0.25286019999704856</v>
      </c>
      <c r="O9085" s="2">
        <f ca="1"/>
        <v>0.72836288039766639</v>
      </c>
      <c r="X9085" s="2">
        <f ca="1"/>
        <v>46.826964006967451</v>
      </c>
      <c r="AG9085" s="2">
        <f ca="1"/>
        <v>0.43636048475839195</v>
      </c>
      <c r="AH9085" s="2" t="str">
        <f ca="1"/>
        <v>Bad</v>
      </c>
    </row>
    <row r="9086" spans="2:34" x14ac:dyDescent="0.2">
      <c r="B9086" s="2">
        <f ca="1"/>
        <v>0.74446371473140216</v>
      </c>
      <c r="O9086" s="2">
        <f ca="1"/>
        <v>0.60189146816696248</v>
      </c>
      <c r="X9086" s="2">
        <f ca="1"/>
        <v>50.954099037277452</v>
      </c>
      <c r="AG9086" s="2">
        <f ca="1"/>
        <v>0.88145975245192254</v>
      </c>
      <c r="AH9086" s="2" t="str">
        <f ca="1"/>
        <v>Bad</v>
      </c>
    </row>
    <row r="9087" spans="2:34" x14ac:dyDescent="0.2">
      <c r="B9087" s="2">
        <f ca="1"/>
        <v>7.9640047888748677E-2</v>
      </c>
      <c r="O9087" s="2">
        <f ca="1"/>
        <v>-0.47815373705760472</v>
      </c>
      <c r="X9087" s="2">
        <f ca="1"/>
        <v>36.718947088855145</v>
      </c>
      <c r="AG9087" s="2">
        <f ca="1"/>
        <v>0.92952608576440787</v>
      </c>
      <c r="AH9087" s="2" t="str">
        <f ca="1"/>
        <v>Bad</v>
      </c>
    </row>
    <row r="9088" spans="2:34" x14ac:dyDescent="0.2">
      <c r="B9088" s="2">
        <f ca="1"/>
        <v>1.2447291715884878E-2</v>
      </c>
      <c r="O9088" s="2">
        <f ca="1"/>
        <v>-0.58521648251313652</v>
      </c>
      <c r="X9088" s="2">
        <f ca="1"/>
        <v>36.490078627542736</v>
      </c>
      <c r="AG9088" s="2">
        <f ca="1"/>
        <v>0.37312158912639259</v>
      </c>
      <c r="AH9088" s="2" t="str">
        <f ca="1"/>
        <v>OK</v>
      </c>
    </row>
    <row r="9089" spans="2:34" x14ac:dyDescent="0.2">
      <c r="B9089" s="2">
        <f ca="1"/>
        <v>7.5939088831237678E-2</v>
      </c>
      <c r="O9089" s="2">
        <f ca="1"/>
        <v>-0.43490780158543885</v>
      </c>
      <c r="X9089" s="2">
        <f ca="1"/>
        <v>70.994137479791704</v>
      </c>
      <c r="AG9089" s="2">
        <f ca="1"/>
        <v>0.77220359822908713</v>
      </c>
      <c r="AH9089" s="2" t="str">
        <f ca="1"/>
        <v>Bad</v>
      </c>
    </row>
    <row r="9090" spans="2:34" x14ac:dyDescent="0.2">
      <c r="B9090" s="2">
        <f ca="1"/>
        <v>0.49395893059134721</v>
      </c>
      <c r="O9090" s="2">
        <f ca="1"/>
        <v>0.47429540014798088</v>
      </c>
      <c r="X9090" s="2">
        <f ca="1"/>
        <v>52.720723822584581</v>
      </c>
      <c r="AG9090" s="2">
        <f ca="1"/>
        <v>0.10004769513238232</v>
      </c>
      <c r="AH9090" s="2" t="str">
        <f ca="1"/>
        <v>OK</v>
      </c>
    </row>
    <row r="9091" spans="2:34" x14ac:dyDescent="0.2">
      <c r="B9091" s="2">
        <f ca="1"/>
        <v>0.61707883387663665</v>
      </c>
      <c r="O9091" s="2">
        <f ca="1"/>
        <v>2.0603942295243462E-2</v>
      </c>
      <c r="X9091" s="2">
        <f ca="1"/>
        <v>29.075292855816848</v>
      </c>
      <c r="AG9091" s="2">
        <f ca="1"/>
        <v>0.48769777675224923</v>
      </c>
      <c r="AH9091" s="2" t="str">
        <f ca="1"/>
        <v>Bad</v>
      </c>
    </row>
    <row r="9092" spans="2:34" x14ac:dyDescent="0.2">
      <c r="B9092" s="2">
        <f ca="1"/>
        <v>0.43089695353979507</v>
      </c>
      <c r="O9092" s="2">
        <f ca="1"/>
        <v>1.5876965067387065</v>
      </c>
      <c r="X9092" s="2">
        <f ca="1"/>
        <v>46.087939804256337</v>
      </c>
      <c r="AG9092" s="2">
        <f ca="1"/>
        <v>0.54801276441088209</v>
      </c>
      <c r="AH9092" s="2" t="str">
        <f ca="1"/>
        <v>Bad</v>
      </c>
    </row>
    <row r="9093" spans="2:34" x14ac:dyDescent="0.2">
      <c r="B9093" s="2">
        <f ca="1"/>
        <v>0.72654909069987084</v>
      </c>
      <c r="O9093" s="2">
        <f ca="1"/>
        <v>1.8909060669402751</v>
      </c>
      <c r="X9093" s="2">
        <f ca="1"/>
        <v>75.726799241876492</v>
      </c>
      <c r="AG9093" s="2">
        <f ca="1"/>
        <v>7.5192916168760116E-2</v>
      </c>
      <c r="AH9093" s="2" t="str">
        <f ca="1"/>
        <v>OK</v>
      </c>
    </row>
    <row r="9094" spans="2:34" x14ac:dyDescent="0.2">
      <c r="B9094" s="2">
        <f ca="1"/>
        <v>0.89243888668549931</v>
      </c>
      <c r="O9094" s="2">
        <f ca="1"/>
        <v>0.84689314457216236</v>
      </c>
      <c r="X9094" s="2">
        <f ca="1"/>
        <v>34.232694323828511</v>
      </c>
      <c r="AG9094" s="2">
        <f ca="1"/>
        <v>5.9178943089783997E-2</v>
      </c>
      <c r="AH9094" s="2" t="str">
        <f ca="1"/>
        <v>OK</v>
      </c>
    </row>
    <row r="9095" spans="2:34" x14ac:dyDescent="0.2">
      <c r="B9095" s="2">
        <f ca="1"/>
        <v>0.72388564716219017</v>
      </c>
      <c r="O9095" s="2">
        <f ca="1"/>
        <v>1.1052982668003857</v>
      </c>
      <c r="X9095" s="2">
        <f ca="1"/>
        <v>64.816315407615463</v>
      </c>
      <c r="AG9095" s="2">
        <f ca="1"/>
        <v>0.76481463097488844</v>
      </c>
      <c r="AH9095" s="2" t="str">
        <f ca="1"/>
        <v>Bad</v>
      </c>
    </row>
    <row r="9096" spans="2:34" x14ac:dyDescent="0.2">
      <c r="B9096" s="2">
        <f ca="1"/>
        <v>0.70997741833429862</v>
      </c>
      <c r="O9096" s="2">
        <f ca="1"/>
        <v>-3.6492077881161836E-2</v>
      </c>
      <c r="X9096" s="2">
        <f ca="1"/>
        <v>42.565960990492009</v>
      </c>
      <c r="AG9096" s="2">
        <f ca="1"/>
        <v>0.76987887985898684</v>
      </c>
      <c r="AH9096" s="2" t="str">
        <f ca="1"/>
        <v>Bad</v>
      </c>
    </row>
    <row r="9097" spans="2:34" x14ac:dyDescent="0.2">
      <c r="B9097" s="2">
        <f ca="1"/>
        <v>0.58978314486138195</v>
      </c>
      <c r="O9097" s="2">
        <f ca="1"/>
        <v>0.62562553329062753</v>
      </c>
      <c r="X9097" s="2">
        <f ca="1"/>
        <v>35.095447417123545</v>
      </c>
      <c r="AG9097" s="2">
        <f ca="1"/>
        <v>0.49414633337882052</v>
      </c>
      <c r="AH9097" s="2" t="str">
        <f ca="1"/>
        <v>Bad</v>
      </c>
    </row>
    <row r="9098" spans="2:34" x14ac:dyDescent="0.2">
      <c r="B9098" s="2">
        <f ca="1"/>
        <v>0.67381452138421505</v>
      </c>
      <c r="O9098" s="2">
        <f ca="1"/>
        <v>-0.36734122157355592</v>
      </c>
      <c r="X9098" s="2">
        <f ca="1"/>
        <v>47.697658694234732</v>
      </c>
      <c r="AG9098" s="2">
        <f ca="1"/>
        <v>0.18278010064454819</v>
      </c>
      <c r="AH9098" s="2" t="str">
        <f ca="1"/>
        <v>OK</v>
      </c>
    </row>
    <row r="9099" spans="2:34" x14ac:dyDescent="0.2">
      <c r="B9099" s="2">
        <f ca="1"/>
        <v>0.20006473823730397</v>
      </c>
      <c r="O9099" s="2">
        <f ca="1"/>
        <v>-0.12294577655498919</v>
      </c>
      <c r="X9099" s="2">
        <f ca="1"/>
        <v>24.747442090855309</v>
      </c>
      <c r="AG9099" s="2">
        <f ca="1"/>
        <v>2.2111687830575821E-2</v>
      </c>
      <c r="AH9099" s="2" t="str">
        <f ca="1"/>
        <v>Good</v>
      </c>
    </row>
    <row r="9100" spans="2:34" x14ac:dyDescent="0.2">
      <c r="B9100" s="2">
        <f ca="1"/>
        <v>0.70982705730642914</v>
      </c>
      <c r="O9100" s="2">
        <f ca="1"/>
        <v>-0.70284752863212629</v>
      </c>
      <c r="X9100" s="2">
        <f ca="1"/>
        <v>80.373397426708451</v>
      </c>
      <c r="AG9100" s="2">
        <f ca="1"/>
        <v>0.14047939583331459</v>
      </c>
      <c r="AH9100" s="2" t="str">
        <f ca="1"/>
        <v>OK</v>
      </c>
    </row>
    <row r="9101" spans="2:34" x14ac:dyDescent="0.2">
      <c r="B9101" s="2">
        <f ca="1"/>
        <v>0.68692477445594102</v>
      </c>
      <c r="O9101" s="2">
        <f ca="1"/>
        <v>1.1040893725171466</v>
      </c>
      <c r="X9101" s="2">
        <f ca="1"/>
        <v>33.471528859062694</v>
      </c>
      <c r="AG9101" s="2">
        <f ca="1"/>
        <v>4.1206263885504413E-2</v>
      </c>
      <c r="AH9101" s="2" t="str">
        <f ca="1"/>
        <v>Good</v>
      </c>
    </row>
    <row r="9102" spans="2:34" x14ac:dyDescent="0.2">
      <c r="B9102" s="2">
        <f ca="1"/>
        <v>0.16595734058227229</v>
      </c>
      <c r="O9102" s="2">
        <f ca="1"/>
        <v>0.56976780404992522</v>
      </c>
      <c r="X9102" s="2">
        <f ca="1"/>
        <v>38.649729627504328</v>
      </c>
      <c r="AG9102" s="2">
        <f ca="1"/>
        <v>0.70281701238967376</v>
      </c>
      <c r="AH9102" s="2" t="str">
        <f ca="1"/>
        <v>Bad</v>
      </c>
    </row>
    <row r="9103" spans="2:34" x14ac:dyDescent="0.2">
      <c r="B9103" s="2">
        <f ca="1"/>
        <v>0.70459292312871247</v>
      </c>
      <c r="O9103" s="2">
        <f ca="1"/>
        <v>-1.1115790410058719</v>
      </c>
      <c r="X9103" s="2">
        <f ca="1"/>
        <v>68.099325056009206</v>
      </c>
      <c r="AG9103" s="2">
        <f ca="1"/>
        <v>0.90117975022564578</v>
      </c>
      <c r="AH9103" s="2" t="str">
        <f ca="1"/>
        <v>Bad</v>
      </c>
    </row>
    <row r="9104" spans="2:34" x14ac:dyDescent="0.2">
      <c r="B9104" s="2">
        <f ca="1"/>
        <v>0.41843664660565794</v>
      </c>
      <c r="O9104" s="2">
        <f ca="1"/>
        <v>1.3138911080652049</v>
      </c>
      <c r="X9104" s="2">
        <f ca="1"/>
        <v>31.767187012182831</v>
      </c>
      <c r="AG9104" s="2">
        <f ca="1"/>
        <v>0.47364730719959991</v>
      </c>
      <c r="AH9104" s="2" t="str">
        <f ca="1"/>
        <v>Bad</v>
      </c>
    </row>
    <row r="9105" spans="2:34" x14ac:dyDescent="0.2">
      <c r="B9105" s="2">
        <f ca="1"/>
        <v>0.57753935107760168</v>
      </c>
      <c r="O9105" s="2">
        <f ca="1"/>
        <v>0.1520922089410601</v>
      </c>
      <c r="X9105" s="2">
        <f ca="1"/>
        <v>44.37900362235014</v>
      </c>
      <c r="AG9105" s="2">
        <f ca="1"/>
        <v>0.63872570419207064</v>
      </c>
      <c r="AH9105" s="2" t="str">
        <f ca="1"/>
        <v>Bad</v>
      </c>
    </row>
    <row r="9106" spans="2:34" x14ac:dyDescent="0.2">
      <c r="B9106" s="2">
        <f ca="1"/>
        <v>0.60516886010528292</v>
      </c>
      <c r="O9106" s="2">
        <f ca="1"/>
        <v>1.4512214283114699</v>
      </c>
      <c r="X9106" s="2">
        <f ca="1"/>
        <v>83.587030051309597</v>
      </c>
      <c r="AG9106" s="2">
        <f ca="1"/>
        <v>0.64981143995737689</v>
      </c>
      <c r="AH9106" s="2" t="str">
        <f ca="1"/>
        <v>Bad</v>
      </c>
    </row>
    <row r="9107" spans="2:34" x14ac:dyDescent="0.2">
      <c r="B9107" s="2">
        <f ca="1"/>
        <v>3.5806937780458625E-2</v>
      </c>
      <c r="O9107" s="2">
        <f ca="1"/>
        <v>-6.1146318095531574E-2</v>
      </c>
      <c r="X9107" s="2">
        <f ca="1"/>
        <v>77.872826325472261</v>
      </c>
      <c r="AG9107" s="2">
        <f ca="1"/>
        <v>0.95037468688022586</v>
      </c>
      <c r="AH9107" s="2" t="str">
        <f ca="1"/>
        <v>Bad</v>
      </c>
    </row>
    <row r="9108" spans="2:34" x14ac:dyDescent="0.2">
      <c r="B9108" s="2">
        <f ca="1"/>
        <v>0.87393183405524866</v>
      </c>
      <c r="O9108" s="2">
        <f ca="1"/>
        <v>0.50626970723455722</v>
      </c>
      <c r="X9108" s="2">
        <f ca="1"/>
        <v>39.093547454333986</v>
      </c>
      <c r="AG9108" s="2">
        <f ca="1"/>
        <v>0.45908061404293821</v>
      </c>
      <c r="AH9108" s="2" t="str">
        <f ca="1"/>
        <v>Bad</v>
      </c>
    </row>
    <row r="9109" spans="2:34" x14ac:dyDescent="0.2">
      <c r="B9109" s="2">
        <f ca="1"/>
        <v>5.2859482441665495E-2</v>
      </c>
      <c r="O9109" s="2">
        <f ca="1"/>
        <v>-1.3353298300157219</v>
      </c>
      <c r="X9109" s="2">
        <f ca="1"/>
        <v>88.993504979998534</v>
      </c>
      <c r="AG9109" s="2">
        <f ca="1"/>
        <v>0.30306953255493263</v>
      </c>
      <c r="AH9109" s="2" t="str">
        <f ca="1"/>
        <v>OK</v>
      </c>
    </row>
    <row r="9110" spans="2:34" x14ac:dyDescent="0.2">
      <c r="B9110" s="2">
        <f ca="1"/>
        <v>0.44481288685811005</v>
      </c>
      <c r="O9110" s="2">
        <f ca="1"/>
        <v>-2.3292139874453368</v>
      </c>
      <c r="X9110" s="2">
        <f ca="1"/>
        <v>38.451696266985792</v>
      </c>
      <c r="AG9110" s="2">
        <f ca="1"/>
        <v>0.55177459949676511</v>
      </c>
      <c r="AH9110" s="2" t="str">
        <f ca="1"/>
        <v>Bad</v>
      </c>
    </row>
    <row r="9111" spans="2:34" x14ac:dyDescent="0.2">
      <c r="B9111" s="2">
        <f ca="1"/>
        <v>0.30940184551582073</v>
      </c>
      <c r="O9111" s="2">
        <f ca="1"/>
        <v>0.41413988068089153</v>
      </c>
      <c r="X9111" s="2">
        <f ca="1"/>
        <v>52.049462863491968</v>
      </c>
      <c r="AG9111" s="2">
        <f ca="1"/>
        <v>0.65833737581303509</v>
      </c>
      <c r="AH9111" s="2" t="str">
        <f ca="1"/>
        <v>Bad</v>
      </c>
    </row>
    <row r="9112" spans="2:34" x14ac:dyDescent="0.2">
      <c r="B9112" s="2">
        <f ca="1"/>
        <v>0.48599034409776154</v>
      </c>
      <c r="O9112" s="2">
        <f ca="1"/>
        <v>-1.3775978951968126</v>
      </c>
      <c r="X9112" s="2">
        <f ca="1"/>
        <v>67.040871852303425</v>
      </c>
      <c r="AG9112" s="2">
        <f ca="1"/>
        <v>0.63009352299189536</v>
      </c>
      <c r="AH9112" s="2" t="str">
        <f ca="1"/>
        <v>Bad</v>
      </c>
    </row>
    <row r="9113" spans="2:34" x14ac:dyDescent="0.2">
      <c r="B9113" s="2">
        <f ca="1"/>
        <v>0.36151711375935491</v>
      </c>
      <c r="O9113" s="2">
        <f ca="1"/>
        <v>-4.5803933107618669E-2</v>
      </c>
      <c r="X9113" s="2">
        <f ca="1"/>
        <v>42.018247968787833</v>
      </c>
      <c r="AG9113" s="2">
        <f ca="1"/>
        <v>0.10930339662556565</v>
      </c>
      <c r="AH9113" s="2" t="str">
        <f ca="1"/>
        <v>OK</v>
      </c>
    </row>
    <row r="9114" spans="2:34" x14ac:dyDescent="0.2">
      <c r="B9114" s="2">
        <f ca="1"/>
        <v>0.38232758856312077</v>
      </c>
      <c r="O9114" s="2">
        <f ca="1"/>
        <v>-6.556048312848696E-2</v>
      </c>
      <c r="X9114" s="2">
        <f ca="1"/>
        <v>29.145968437066784</v>
      </c>
      <c r="AG9114" s="2">
        <f ca="1"/>
        <v>1.1197316913493127E-2</v>
      </c>
      <c r="AH9114" s="2" t="str">
        <f ca="1"/>
        <v>Good</v>
      </c>
    </row>
    <row r="9115" spans="2:34" x14ac:dyDescent="0.2">
      <c r="B9115" s="2">
        <f ca="1"/>
        <v>0.79589460340121376</v>
      </c>
      <c r="O9115" s="2">
        <f ca="1"/>
        <v>-3.9674625040666034</v>
      </c>
      <c r="X9115" s="2">
        <f ca="1"/>
        <v>48.369320515971694</v>
      </c>
      <c r="AG9115" s="2">
        <f ca="1"/>
        <v>0.70608562712717671</v>
      </c>
      <c r="AH9115" s="2" t="str">
        <f ca="1"/>
        <v>Bad</v>
      </c>
    </row>
    <row r="9116" spans="2:34" x14ac:dyDescent="0.2">
      <c r="B9116" s="2">
        <f ca="1"/>
        <v>0.66986616897520412</v>
      </c>
      <c r="O9116" s="2">
        <f ca="1"/>
        <v>0.22762222205046373</v>
      </c>
      <c r="X9116" s="2">
        <f ca="1"/>
        <v>46.596877597716748</v>
      </c>
      <c r="AG9116" s="2">
        <f ca="1"/>
        <v>0.6941860741214203</v>
      </c>
      <c r="AH9116" s="2" t="str">
        <f ca="1"/>
        <v>Bad</v>
      </c>
    </row>
    <row r="9117" spans="2:34" x14ac:dyDescent="0.2">
      <c r="B9117" s="2">
        <f ca="1"/>
        <v>0.30722204474106407</v>
      </c>
      <c r="O9117" s="2">
        <f ca="1"/>
        <v>0.96295514516214686</v>
      </c>
      <c r="X9117" s="2">
        <f ca="1"/>
        <v>33.407974858183692</v>
      </c>
      <c r="AG9117" s="2">
        <f ca="1"/>
        <v>8.4041352613639431E-2</v>
      </c>
      <c r="AH9117" s="2" t="str">
        <f ca="1"/>
        <v>OK</v>
      </c>
    </row>
    <row r="9118" spans="2:34" x14ac:dyDescent="0.2">
      <c r="B9118" s="2">
        <f ca="1"/>
        <v>0.6534545520321895</v>
      </c>
      <c r="O9118" s="2">
        <f ca="1"/>
        <v>0.1136853655381347</v>
      </c>
      <c r="X9118" s="2">
        <f ca="1"/>
        <v>41.674775316891996</v>
      </c>
      <c r="AG9118" s="2">
        <f ca="1"/>
        <v>0.615025241083903</v>
      </c>
      <c r="AH9118" s="2" t="str">
        <f ca="1"/>
        <v>Bad</v>
      </c>
    </row>
    <row r="9119" spans="2:34" x14ac:dyDescent="0.2">
      <c r="B9119" s="2">
        <f ca="1"/>
        <v>0.16733921020831444</v>
      </c>
      <c r="O9119" s="2">
        <f ca="1"/>
        <v>0.81929480497834173</v>
      </c>
      <c r="X9119" s="2">
        <f ca="1"/>
        <v>34.621670352229074</v>
      </c>
      <c r="AG9119" s="2">
        <f ca="1"/>
        <v>0.10809284970090194</v>
      </c>
      <c r="AH9119" s="2" t="str">
        <f ca="1"/>
        <v>OK</v>
      </c>
    </row>
    <row r="9120" spans="2:34" x14ac:dyDescent="0.2">
      <c r="B9120" s="2">
        <f ca="1"/>
        <v>0.80658849490266715</v>
      </c>
      <c r="O9120" s="2">
        <f ca="1"/>
        <v>-0.55590040842945565</v>
      </c>
      <c r="X9120" s="2">
        <f ca="1"/>
        <v>35.407050256389162</v>
      </c>
      <c r="AG9120" s="2">
        <f ca="1"/>
        <v>0.60203084709349852</v>
      </c>
      <c r="AH9120" s="2" t="str">
        <f ca="1"/>
        <v>Bad</v>
      </c>
    </row>
    <row r="9121" spans="2:34" x14ac:dyDescent="0.2">
      <c r="B9121" s="2">
        <f ca="1"/>
        <v>0.37585227055512371</v>
      </c>
      <c r="O9121" s="2">
        <f ca="1"/>
        <v>-1.0309358672870086</v>
      </c>
      <c r="X9121" s="2">
        <f ca="1"/>
        <v>47.946657552773935</v>
      </c>
      <c r="AG9121" s="2">
        <f ca="1"/>
        <v>0.19468666811772883</v>
      </c>
      <c r="AH9121" s="2" t="str">
        <f ca="1"/>
        <v>OK</v>
      </c>
    </row>
    <row r="9122" spans="2:34" x14ac:dyDescent="0.2">
      <c r="B9122" s="2">
        <f ca="1"/>
        <v>9.3173489078956617E-2</v>
      </c>
      <c r="O9122" s="2">
        <f ca="1"/>
        <v>-0.77693729227480446</v>
      </c>
      <c r="X9122" s="2">
        <f ca="1"/>
        <v>46.583289445341087</v>
      </c>
      <c r="AG9122" s="2">
        <f ca="1"/>
        <v>0.56018551776260628</v>
      </c>
      <c r="AH9122" s="2" t="str">
        <f ca="1"/>
        <v>Bad</v>
      </c>
    </row>
    <row r="9123" spans="2:34" x14ac:dyDescent="0.2">
      <c r="B9123" s="2">
        <f ca="1"/>
        <v>0.15911342266524309</v>
      </c>
      <c r="O9123" s="2">
        <f ca="1"/>
        <v>-1.1718914302582695</v>
      </c>
      <c r="X9123" s="2">
        <f ca="1"/>
        <v>48.118850177455954</v>
      </c>
      <c r="AG9123" s="2">
        <f ca="1"/>
        <v>0.60852710638610619</v>
      </c>
      <c r="AH9123" s="2" t="str">
        <f ca="1"/>
        <v>Bad</v>
      </c>
    </row>
    <row r="9124" spans="2:34" x14ac:dyDescent="0.2">
      <c r="B9124" s="2">
        <f ca="1"/>
        <v>0.89026224609599436</v>
      </c>
      <c r="O9124" s="2">
        <f ca="1"/>
        <v>2.2648087818340858</v>
      </c>
      <c r="X9124" s="2">
        <f ca="1"/>
        <v>42.837534424621076</v>
      </c>
      <c r="AG9124" s="2">
        <f ca="1"/>
        <v>7.4510219782864651E-2</v>
      </c>
      <c r="AH9124" s="2" t="str">
        <f ca="1"/>
        <v>OK</v>
      </c>
    </row>
    <row r="9125" spans="2:34" x14ac:dyDescent="0.2">
      <c r="B9125" s="2">
        <f ca="1"/>
        <v>0.60975023136562045</v>
      </c>
      <c r="O9125" s="2">
        <f ca="1"/>
        <v>-0.91710940796923424</v>
      </c>
      <c r="X9125" s="2">
        <f ca="1"/>
        <v>53.144500617191319</v>
      </c>
      <c r="AG9125" s="2">
        <f ca="1"/>
        <v>0.72308780572166542</v>
      </c>
      <c r="AH9125" s="2" t="str">
        <f ca="1"/>
        <v>Bad</v>
      </c>
    </row>
    <row r="9126" spans="2:34" x14ac:dyDescent="0.2">
      <c r="B9126" s="2">
        <f ca="1"/>
        <v>0.59204006312532931</v>
      </c>
      <c r="O9126" s="2">
        <f ca="1"/>
        <v>-0.59728902799889683</v>
      </c>
      <c r="X9126" s="2">
        <f ca="1"/>
        <v>69.630566956750499</v>
      </c>
      <c r="AG9126" s="2">
        <f ca="1"/>
        <v>2.4962570191371158E-2</v>
      </c>
      <c r="AH9126" s="2" t="str">
        <f ca="1"/>
        <v>Good</v>
      </c>
    </row>
    <row r="9127" spans="2:34" x14ac:dyDescent="0.2">
      <c r="B9127" s="2">
        <f ca="1"/>
        <v>0.28341956844110583</v>
      </c>
      <c r="O9127" s="2">
        <f ca="1"/>
        <v>0.57610320269555615</v>
      </c>
      <c r="X9127" s="2">
        <f ca="1"/>
        <v>41.317949571601595</v>
      </c>
      <c r="AG9127" s="2">
        <f ca="1"/>
        <v>0.45292020578228875</v>
      </c>
      <c r="AH9127" s="2" t="str">
        <f ca="1"/>
        <v>Bad</v>
      </c>
    </row>
    <row r="9128" spans="2:34" x14ac:dyDescent="0.2">
      <c r="B9128" s="2">
        <f ca="1"/>
        <v>0.43048564680369883</v>
      </c>
      <c r="O9128" s="2">
        <f ca="1"/>
        <v>-0.27371780592773332</v>
      </c>
      <c r="X9128" s="2">
        <f ca="1"/>
        <v>23.122734761732289</v>
      </c>
      <c r="AG9128" s="2">
        <f ca="1"/>
        <v>0.54486398157655125</v>
      </c>
      <c r="AH9128" s="2" t="str">
        <f ca="1"/>
        <v>Bad</v>
      </c>
    </row>
    <row r="9129" spans="2:34" x14ac:dyDescent="0.2">
      <c r="B9129" s="2">
        <f ca="1"/>
        <v>0.17856039855483008</v>
      </c>
      <c r="O9129" s="2">
        <f ca="1"/>
        <v>-1.5463434905898041</v>
      </c>
      <c r="X9129" s="2">
        <f ca="1"/>
        <v>66.296110473527548</v>
      </c>
      <c r="AG9129" s="2">
        <f ca="1"/>
        <v>0.37490083676838859</v>
      </c>
      <c r="AH9129" s="2" t="str">
        <f ca="1"/>
        <v>OK</v>
      </c>
    </row>
    <row r="9130" spans="2:34" x14ac:dyDescent="0.2">
      <c r="B9130" s="2">
        <f ca="1"/>
        <v>0.24999443299382818</v>
      </c>
      <c r="O9130" s="2">
        <f ca="1"/>
        <v>-0.37686697047793377</v>
      </c>
      <c r="X9130" s="2">
        <f ca="1"/>
        <v>33.311513582764618</v>
      </c>
      <c r="AG9130" s="2">
        <f ca="1"/>
        <v>0.69537134035642634</v>
      </c>
      <c r="AH9130" s="2" t="str">
        <f ca="1"/>
        <v>Bad</v>
      </c>
    </row>
    <row r="9131" spans="2:34" x14ac:dyDescent="0.2">
      <c r="B9131" s="2">
        <f ca="1"/>
        <v>0.24314990789831659</v>
      </c>
      <c r="O9131" s="2">
        <f ca="1"/>
        <v>0.37047860056247095</v>
      </c>
      <c r="X9131" s="2">
        <f ca="1"/>
        <v>43.857803011743179</v>
      </c>
      <c r="AG9131" s="2">
        <f ca="1"/>
        <v>0.11548233481506776</v>
      </c>
      <c r="AH9131" s="2" t="str">
        <f ca="1"/>
        <v>OK</v>
      </c>
    </row>
    <row r="9132" spans="2:34" x14ac:dyDescent="0.2">
      <c r="B9132" s="2">
        <f ca="1"/>
        <v>0.81825236296579695</v>
      </c>
      <c r="O9132" s="2">
        <f ca="1"/>
        <v>-0.87584400502164861</v>
      </c>
      <c r="X9132" s="2">
        <f ca="1"/>
        <v>81.06192213105578</v>
      </c>
      <c r="AG9132" s="2">
        <f ca="1"/>
        <v>0.28125181034648561</v>
      </c>
      <c r="AH9132" s="2" t="str">
        <f ca="1"/>
        <v>OK</v>
      </c>
    </row>
    <row r="9133" spans="2:34" x14ac:dyDescent="0.2">
      <c r="B9133" s="2">
        <f ca="1"/>
        <v>0.6792669658930357</v>
      </c>
      <c r="O9133" s="2">
        <f ca="1"/>
        <v>0.13891007035513497</v>
      </c>
      <c r="X9133" s="2">
        <f ca="1"/>
        <v>68.531941021818696</v>
      </c>
      <c r="AG9133" s="2">
        <f ca="1"/>
        <v>0.73110409580362745</v>
      </c>
      <c r="AH9133" s="2" t="str">
        <f ca="1"/>
        <v>Bad</v>
      </c>
    </row>
    <row r="9134" spans="2:34" x14ac:dyDescent="0.2">
      <c r="B9134" s="2">
        <f ca="1"/>
        <v>0.46741854452653486</v>
      </c>
      <c r="O9134" s="2">
        <f ca="1"/>
        <v>0.76088086261105825</v>
      </c>
      <c r="X9134" s="2">
        <f ca="1"/>
        <v>46.025094537206925</v>
      </c>
      <c r="AG9134" s="2">
        <f ca="1"/>
        <v>0.12537386766234437</v>
      </c>
      <c r="AH9134" s="2" t="str">
        <f ca="1"/>
        <v>OK</v>
      </c>
    </row>
    <row r="9135" spans="2:34" x14ac:dyDescent="0.2">
      <c r="B9135" s="2">
        <f ca="1"/>
        <v>0.26144506648949828</v>
      </c>
      <c r="O9135" s="2">
        <f ca="1"/>
        <v>-2.5154476367997791</v>
      </c>
      <c r="X9135" s="2">
        <f ca="1"/>
        <v>29.685711439247584</v>
      </c>
      <c r="AG9135" s="2">
        <f ca="1"/>
        <v>0.29279584827370053</v>
      </c>
      <c r="AH9135" s="2" t="str">
        <f ca="1"/>
        <v>OK</v>
      </c>
    </row>
    <row r="9136" spans="2:34" x14ac:dyDescent="0.2">
      <c r="B9136" s="2">
        <f ca="1"/>
        <v>6.157193230494018E-2</v>
      </c>
      <c r="O9136" s="2">
        <f ca="1"/>
        <v>0.48303168277979242</v>
      </c>
      <c r="X9136" s="2">
        <f ca="1"/>
        <v>57.088522459534701</v>
      </c>
      <c r="AG9136" s="2">
        <f ca="1"/>
        <v>0.90143316081631841</v>
      </c>
      <c r="AH9136" s="2" t="str">
        <f ca="1"/>
        <v>Bad</v>
      </c>
    </row>
    <row r="9137" spans="2:34" x14ac:dyDescent="0.2">
      <c r="B9137" s="2">
        <f ca="1"/>
        <v>0.68915055521405</v>
      </c>
      <c r="O9137" s="2">
        <f ca="1"/>
        <v>-0.29197852812930392</v>
      </c>
      <c r="X9137" s="2">
        <f ca="1"/>
        <v>33.429969011692194</v>
      </c>
      <c r="AG9137" s="2">
        <f ca="1"/>
        <v>0.25652639059047799</v>
      </c>
      <c r="AH9137" s="2" t="str">
        <f ca="1"/>
        <v>OK</v>
      </c>
    </row>
    <row r="9138" spans="2:34" x14ac:dyDescent="0.2">
      <c r="B9138" s="2">
        <f ca="1"/>
        <v>0.75759542512979228</v>
      </c>
      <c r="O9138" s="2">
        <f ca="1"/>
        <v>0.43317402603435162</v>
      </c>
      <c r="X9138" s="2">
        <f ca="1"/>
        <v>39.120896089052351</v>
      </c>
      <c r="AG9138" s="2">
        <f ca="1"/>
        <v>0.11239075849981428</v>
      </c>
      <c r="AH9138" s="2" t="str">
        <f ca="1"/>
        <v>OK</v>
      </c>
    </row>
    <row r="9139" spans="2:34" x14ac:dyDescent="0.2">
      <c r="B9139" s="2">
        <f ca="1"/>
        <v>0.69036665870390901</v>
      </c>
      <c r="O9139" s="2">
        <f ca="1"/>
        <v>-1.2036702096370397</v>
      </c>
      <c r="X9139" s="2">
        <f ca="1"/>
        <v>37.0414878627805</v>
      </c>
      <c r="AG9139" s="2">
        <f ca="1"/>
        <v>0.2739542046029988</v>
      </c>
      <c r="AH9139" s="2" t="str">
        <f ca="1"/>
        <v>OK</v>
      </c>
    </row>
    <row r="9140" spans="2:34" x14ac:dyDescent="0.2">
      <c r="B9140" s="2">
        <f ca="1"/>
        <v>0.6582251668013146</v>
      </c>
      <c r="O9140" s="2">
        <f ca="1"/>
        <v>-0.31550770776621839</v>
      </c>
      <c r="X9140" s="2">
        <f ca="1"/>
        <v>94.388564496138969</v>
      </c>
      <c r="AG9140" s="2">
        <f ca="1"/>
        <v>0.97215381798439537</v>
      </c>
      <c r="AH9140" s="2" t="str">
        <f ca="1"/>
        <v>Bad</v>
      </c>
    </row>
    <row r="9141" spans="2:34" x14ac:dyDescent="0.2">
      <c r="B9141" s="2">
        <f ca="1"/>
        <v>0.80649564059506362</v>
      </c>
      <c r="O9141" s="2">
        <f ca="1"/>
        <v>0.78143710613537409</v>
      </c>
      <c r="X9141" s="2">
        <f ca="1"/>
        <v>55.730276719101639</v>
      </c>
      <c r="AG9141" s="2">
        <f ca="1"/>
        <v>0.56667269276266619</v>
      </c>
      <c r="AH9141" s="2" t="str">
        <f ca="1"/>
        <v>Bad</v>
      </c>
    </row>
    <row r="9142" spans="2:34" x14ac:dyDescent="0.2">
      <c r="B9142" s="2">
        <f ca="1"/>
        <v>0.11644513786997845</v>
      </c>
      <c r="O9142" s="2">
        <f ca="1"/>
        <v>0.47815059917711927</v>
      </c>
      <c r="X9142" s="2">
        <f ca="1"/>
        <v>58.567894167358993</v>
      </c>
      <c r="AG9142" s="2">
        <f ca="1"/>
        <v>0.66483873189400144</v>
      </c>
      <c r="AH9142" s="2" t="str">
        <f ca="1"/>
        <v>Bad</v>
      </c>
    </row>
    <row r="9143" spans="2:34" x14ac:dyDescent="0.2">
      <c r="B9143" s="2">
        <f ca="1"/>
        <v>0.64223103086736</v>
      </c>
      <c r="O9143" s="2">
        <f ca="1"/>
        <v>0.83611614619043217</v>
      </c>
      <c r="X9143" s="2">
        <f ca="1"/>
        <v>36.242002405200338</v>
      </c>
      <c r="AG9143" s="2">
        <f ca="1"/>
        <v>0.75033922880141479</v>
      </c>
      <c r="AH9143" s="2" t="str">
        <f ca="1"/>
        <v>Bad</v>
      </c>
    </row>
    <row r="9144" spans="2:34" x14ac:dyDescent="0.2">
      <c r="B9144" s="2">
        <f ca="1"/>
        <v>0.39258762808963898</v>
      </c>
      <c r="O9144" s="2">
        <f ca="1"/>
        <v>-0.43560551381965767</v>
      </c>
      <c r="X9144" s="2">
        <f ca="1"/>
        <v>58.295201873218303</v>
      </c>
      <c r="AG9144" s="2">
        <f ca="1"/>
        <v>0.39223862182163827</v>
      </c>
      <c r="AH9144" s="2" t="str">
        <f ca="1"/>
        <v>OK</v>
      </c>
    </row>
    <row r="9145" spans="2:34" x14ac:dyDescent="0.2">
      <c r="B9145" s="2">
        <f ca="1"/>
        <v>0.31966571453095294</v>
      </c>
      <c r="O9145" s="2">
        <f ca="1"/>
        <v>0.76140839902558399</v>
      </c>
      <c r="X9145" s="2">
        <f ca="1"/>
        <v>37.790085237422794</v>
      </c>
      <c r="AG9145" s="2">
        <f ca="1"/>
        <v>0.35581167945833014</v>
      </c>
      <c r="AH9145" s="2" t="str">
        <f ca="1"/>
        <v>OK</v>
      </c>
    </row>
    <row r="9146" spans="2:34" x14ac:dyDescent="0.2">
      <c r="B9146" s="2">
        <f ca="1"/>
        <v>0.21086272007057927</v>
      </c>
      <c r="O9146" s="2">
        <f ca="1"/>
        <v>0.35191095882654738</v>
      </c>
      <c r="X9146" s="2">
        <f ca="1"/>
        <v>56.451405276127744</v>
      </c>
      <c r="AG9146" s="2">
        <f ca="1"/>
        <v>0.72987299420756013</v>
      </c>
      <c r="AH9146" s="2" t="str">
        <f ca="1"/>
        <v>Bad</v>
      </c>
    </row>
    <row r="9147" spans="2:34" x14ac:dyDescent="0.2">
      <c r="B9147" s="2">
        <f ca="1"/>
        <v>9.2457603579940262E-2</v>
      </c>
      <c r="O9147" s="2">
        <f ca="1"/>
        <v>0.10962675903019332</v>
      </c>
      <c r="X9147" s="2">
        <f ca="1"/>
        <v>52.300524706326428</v>
      </c>
      <c r="AG9147" s="2">
        <f ca="1"/>
        <v>0.25811219635100802</v>
      </c>
      <c r="AH9147" s="2" t="str">
        <f ca="1"/>
        <v>OK</v>
      </c>
    </row>
    <row r="9148" spans="2:34" x14ac:dyDescent="0.2">
      <c r="B9148" s="2">
        <f ca="1"/>
        <v>0.56839099156314998</v>
      </c>
      <c r="O9148" s="2">
        <f ca="1"/>
        <v>-1.1503317239761688</v>
      </c>
      <c r="X9148" s="2">
        <f ca="1"/>
        <v>67.558102078416468</v>
      </c>
      <c r="AG9148" s="2">
        <f ca="1"/>
        <v>8.4587212707971204E-2</v>
      </c>
      <c r="AH9148" s="2" t="str">
        <f ca="1"/>
        <v>OK</v>
      </c>
    </row>
    <row r="9149" spans="2:34" x14ac:dyDescent="0.2">
      <c r="B9149" s="2">
        <f ca="1"/>
        <v>0.83884081540433764</v>
      </c>
      <c r="O9149" s="2">
        <f ca="1"/>
        <v>-0.89564035339015924</v>
      </c>
      <c r="X9149" s="2">
        <f ca="1"/>
        <v>58.469830894646719</v>
      </c>
      <c r="AG9149" s="2">
        <f ca="1"/>
        <v>0.45989406922312126</v>
      </c>
      <c r="AH9149" s="2" t="str">
        <f ca="1"/>
        <v>Bad</v>
      </c>
    </row>
    <row r="9150" spans="2:34" x14ac:dyDescent="0.2">
      <c r="B9150" s="2">
        <f ca="1"/>
        <v>0.28229962882334525</v>
      </c>
      <c r="O9150" s="2">
        <f ca="1"/>
        <v>-2.4333328369879013</v>
      </c>
      <c r="X9150" s="2">
        <f ca="1"/>
        <v>50.841873683471292</v>
      </c>
      <c r="AG9150" s="2">
        <f ca="1"/>
        <v>0.44730950714996331</v>
      </c>
      <c r="AH9150" s="2" t="str">
        <f ca="1"/>
        <v>Bad</v>
      </c>
    </row>
    <row r="9151" spans="2:34" x14ac:dyDescent="0.2">
      <c r="B9151" s="2">
        <f ca="1"/>
        <v>0.93790019158924687</v>
      </c>
      <c r="O9151" s="2">
        <f ca="1"/>
        <v>0.3087826721434711</v>
      </c>
      <c r="X9151" s="2">
        <f ca="1"/>
        <v>50.321429682473529</v>
      </c>
      <c r="AG9151" s="2">
        <f ca="1"/>
        <v>0.5485256825809055</v>
      </c>
      <c r="AH9151" s="2" t="str">
        <f ca="1"/>
        <v>Bad</v>
      </c>
    </row>
    <row r="9152" spans="2:34" x14ac:dyDescent="0.2">
      <c r="B9152" s="2">
        <f ca="1"/>
        <v>0.8346976841113094</v>
      </c>
      <c r="O9152" s="2">
        <f ca="1"/>
        <v>-1.0158111788563895</v>
      </c>
      <c r="X9152" s="2">
        <f ca="1"/>
        <v>72.233130963209589</v>
      </c>
      <c r="AG9152" s="2">
        <f ca="1"/>
        <v>0.88362824633835446</v>
      </c>
      <c r="AH9152" s="2" t="str">
        <f ca="1"/>
        <v>Bad</v>
      </c>
    </row>
    <row r="9153" spans="2:34" x14ac:dyDescent="0.2">
      <c r="B9153" s="2">
        <f ca="1"/>
        <v>0.99654530877754954</v>
      </c>
      <c r="O9153" s="2">
        <f ca="1"/>
        <v>2.4421798077326993</v>
      </c>
      <c r="X9153" s="2">
        <f ca="1"/>
        <v>47.57935497661709</v>
      </c>
      <c r="AG9153" s="2">
        <f ca="1"/>
        <v>0.82725272306823494</v>
      </c>
      <c r="AH9153" s="2" t="str">
        <f ca="1"/>
        <v>Bad</v>
      </c>
    </row>
    <row r="9154" spans="2:34" x14ac:dyDescent="0.2">
      <c r="B9154" s="2">
        <f ca="1"/>
        <v>0.11902735672526688</v>
      </c>
      <c r="O9154" s="2">
        <f ca="1"/>
        <v>8.9264000413184108E-2</v>
      </c>
      <c r="X9154" s="2">
        <f ca="1"/>
        <v>41.773621153252279</v>
      </c>
      <c r="AG9154" s="2">
        <f ca="1"/>
        <v>0.82055670827840044</v>
      </c>
      <c r="AH9154" s="2" t="str">
        <f ca="1"/>
        <v>Bad</v>
      </c>
    </row>
    <row r="9155" spans="2:34" x14ac:dyDescent="0.2">
      <c r="B9155" s="2">
        <f ca="1"/>
        <v>0.6534877342502845</v>
      </c>
      <c r="O9155" s="2">
        <f ca="1"/>
        <v>1.4144731757788171</v>
      </c>
      <c r="X9155" s="2">
        <f ca="1"/>
        <v>16.76330844669414</v>
      </c>
      <c r="AG9155" s="2">
        <f ca="1"/>
        <v>0.4166016708260265</v>
      </c>
      <c r="AH9155" s="2" t="str">
        <f ca="1"/>
        <v>Bad</v>
      </c>
    </row>
    <row r="9156" spans="2:34" x14ac:dyDescent="0.2">
      <c r="B9156" s="2">
        <f ca="1"/>
        <v>2.0436642839428476E-2</v>
      </c>
      <c r="O9156" s="2">
        <f ca="1"/>
        <v>-0.44941181341506281</v>
      </c>
      <c r="X9156" s="2">
        <f ca="1"/>
        <v>51.536538472310468</v>
      </c>
      <c r="AG9156" s="2">
        <f ca="1"/>
        <v>0.9900165373187122</v>
      </c>
      <c r="AH9156" s="2" t="str">
        <f ca="1"/>
        <v>Bad</v>
      </c>
    </row>
    <row r="9157" spans="2:34" x14ac:dyDescent="0.2">
      <c r="B9157" s="2">
        <f ca="1"/>
        <v>0.56564269741092721</v>
      </c>
      <c r="O9157" s="2">
        <f ca="1"/>
        <v>1.0598939889480457</v>
      </c>
      <c r="X9157" s="2">
        <f ca="1"/>
        <v>56.514738280862176</v>
      </c>
      <c r="AG9157" s="2">
        <f ca="1"/>
        <v>0.56136769355641269</v>
      </c>
      <c r="AH9157" s="2" t="str">
        <f ca="1"/>
        <v>Bad</v>
      </c>
    </row>
    <row r="9158" spans="2:34" x14ac:dyDescent="0.2">
      <c r="B9158" s="2">
        <f ca="1"/>
        <v>0.42149108687411752</v>
      </c>
      <c r="O9158" s="2">
        <f ca="1"/>
        <v>-0.45880466917051788</v>
      </c>
      <c r="X9158" s="2">
        <f ca="1"/>
        <v>57.937313050187818</v>
      </c>
      <c r="AG9158" s="2">
        <f ca="1"/>
        <v>0.25189676248692394</v>
      </c>
      <c r="AH9158" s="2" t="str">
        <f ca="1"/>
        <v>OK</v>
      </c>
    </row>
    <row r="9159" spans="2:34" x14ac:dyDescent="0.2">
      <c r="B9159" s="2">
        <f ca="1"/>
        <v>0.72057814216986116</v>
      </c>
      <c r="O9159" s="2">
        <f ca="1"/>
        <v>0.50432494981690335</v>
      </c>
      <c r="X9159" s="2">
        <f ca="1"/>
        <v>76.603374697695969</v>
      </c>
      <c r="AG9159" s="2">
        <f ca="1"/>
        <v>0.27700544405568861</v>
      </c>
      <c r="AH9159" s="2" t="str">
        <f ca="1"/>
        <v>OK</v>
      </c>
    </row>
    <row r="9160" spans="2:34" x14ac:dyDescent="0.2">
      <c r="B9160" s="2">
        <f ca="1"/>
        <v>0.36455736856315579</v>
      </c>
      <c r="O9160" s="2">
        <f ca="1"/>
        <v>0.52219927367755881</v>
      </c>
      <c r="X9160" s="2">
        <f ca="1"/>
        <v>55.533753009239</v>
      </c>
      <c r="AG9160" s="2">
        <f ca="1"/>
        <v>0.52883706426579069</v>
      </c>
      <c r="AH9160" s="2" t="str">
        <f ca="1"/>
        <v>Bad</v>
      </c>
    </row>
    <row r="9161" spans="2:34" x14ac:dyDescent="0.2">
      <c r="B9161" s="2">
        <f ca="1"/>
        <v>0.48835539541780393</v>
      </c>
      <c r="O9161" s="2">
        <f ca="1"/>
        <v>1.2102414837237521</v>
      </c>
      <c r="X9161" s="2">
        <f ca="1"/>
        <v>23.244046074664773</v>
      </c>
      <c r="AG9161" s="2">
        <f ca="1"/>
        <v>0.66202366573727445</v>
      </c>
      <c r="AH9161" s="2" t="str">
        <f ca="1"/>
        <v>Bad</v>
      </c>
    </row>
    <row r="9162" spans="2:34" x14ac:dyDescent="0.2">
      <c r="B9162" s="2">
        <f ca="1"/>
        <v>0.31088497968410356</v>
      </c>
      <c r="O9162" s="2">
        <f ca="1"/>
        <v>-0.24792382286704001</v>
      </c>
      <c r="X9162" s="2">
        <f ca="1"/>
        <v>36.597764793551974</v>
      </c>
      <c r="AG9162" s="2">
        <f ca="1"/>
        <v>3.5368552976421386E-2</v>
      </c>
      <c r="AH9162" s="2" t="str">
        <f ca="1"/>
        <v>Good</v>
      </c>
    </row>
    <row r="9163" spans="2:34" x14ac:dyDescent="0.2">
      <c r="B9163" s="2">
        <f ca="1"/>
        <v>0.27628722568853603</v>
      </c>
      <c r="O9163" s="2">
        <f ca="1"/>
        <v>-0.40643354769940954</v>
      </c>
      <c r="X9163" s="2">
        <f ca="1"/>
        <v>57.009751706741916</v>
      </c>
      <c r="AG9163" s="2">
        <f ca="1"/>
        <v>0.84900333097703862</v>
      </c>
      <c r="AH9163" s="2" t="str">
        <f ca="1"/>
        <v>Bad</v>
      </c>
    </row>
    <row r="9164" spans="2:34" x14ac:dyDescent="0.2">
      <c r="B9164" s="2">
        <f ca="1"/>
        <v>0.31992178082133438</v>
      </c>
      <c r="O9164" s="2">
        <f ca="1"/>
        <v>0.89409735325171458</v>
      </c>
      <c r="X9164" s="2">
        <f ca="1"/>
        <v>64.215228713236399</v>
      </c>
      <c r="AG9164" s="2">
        <f ca="1"/>
        <v>0.50436324562519586</v>
      </c>
      <c r="AH9164" s="2" t="str">
        <f ca="1"/>
        <v>Bad</v>
      </c>
    </row>
    <row r="9165" spans="2:34" x14ac:dyDescent="0.2">
      <c r="B9165" s="2">
        <f ca="1"/>
        <v>0.96510450450019802</v>
      </c>
      <c r="O9165" s="2">
        <f ca="1"/>
        <v>5.9151374687236316E-2</v>
      </c>
      <c r="X9165" s="2">
        <f ca="1"/>
        <v>59.314876295847839</v>
      </c>
      <c r="AG9165" s="2">
        <f ca="1"/>
        <v>0.66620049145165772</v>
      </c>
      <c r="AH9165" s="2" t="str">
        <f ca="1"/>
        <v>Bad</v>
      </c>
    </row>
    <row r="9166" spans="2:34" x14ac:dyDescent="0.2">
      <c r="B9166" s="2">
        <f ca="1"/>
        <v>0.41334423073834059</v>
      </c>
      <c r="O9166" s="2">
        <f ca="1"/>
        <v>-0.73233122481448332</v>
      </c>
      <c r="X9166" s="2">
        <f ca="1"/>
        <v>42.442082036431501</v>
      </c>
      <c r="AG9166" s="2">
        <f ca="1"/>
        <v>0.95842433661547877</v>
      </c>
      <c r="AH9166" s="2" t="str">
        <f ca="1"/>
        <v>Bad</v>
      </c>
    </row>
    <row r="9167" spans="2:34" x14ac:dyDescent="0.2">
      <c r="B9167" s="2">
        <f ca="1"/>
        <v>0.85603642748675401</v>
      </c>
      <c r="O9167" s="2">
        <f ca="1"/>
        <v>-0.61088726933153992</v>
      </c>
      <c r="X9167" s="2">
        <f ca="1"/>
        <v>40.526552642880169</v>
      </c>
      <c r="AG9167" s="2">
        <f ca="1"/>
        <v>0.35202087637622403</v>
      </c>
      <c r="AH9167" s="2" t="str">
        <f ca="1"/>
        <v>OK</v>
      </c>
    </row>
    <row r="9168" spans="2:34" x14ac:dyDescent="0.2">
      <c r="B9168" s="2">
        <f ca="1"/>
        <v>0.58914909073032296</v>
      </c>
      <c r="O9168" s="2">
        <f ca="1"/>
        <v>-0.24650914741289884</v>
      </c>
      <c r="X9168" s="2">
        <f ca="1"/>
        <v>31.529199569669437</v>
      </c>
      <c r="AG9168" s="2">
        <f ca="1"/>
        <v>3.004113568206912E-2</v>
      </c>
      <c r="AH9168" s="2" t="str">
        <f ca="1"/>
        <v>Good</v>
      </c>
    </row>
    <row r="9169" spans="2:34" x14ac:dyDescent="0.2">
      <c r="B9169" s="2">
        <f ca="1"/>
        <v>0.43117577396513718</v>
      </c>
      <c r="O9169" s="2">
        <f ca="1"/>
        <v>0.63839755782843355</v>
      </c>
      <c r="X9169" s="2">
        <f ca="1"/>
        <v>50.99319382316466</v>
      </c>
      <c r="AG9169" s="2">
        <f ca="1"/>
        <v>0.58570980654135485</v>
      </c>
      <c r="AH9169" s="2" t="str">
        <f ca="1"/>
        <v>Bad</v>
      </c>
    </row>
    <row r="9170" spans="2:34" x14ac:dyDescent="0.2">
      <c r="B9170" s="2">
        <f ca="1"/>
        <v>0.17073649451281203</v>
      </c>
      <c r="O9170" s="2">
        <f ca="1"/>
        <v>0.80918138367815773</v>
      </c>
      <c r="X9170" s="2">
        <f ca="1"/>
        <v>57.689291446854732</v>
      </c>
      <c r="AG9170" s="2">
        <f ca="1"/>
        <v>0.35650859364077769</v>
      </c>
      <c r="AH9170" s="2" t="str">
        <f ca="1"/>
        <v>OK</v>
      </c>
    </row>
    <row r="9171" spans="2:34" x14ac:dyDescent="0.2">
      <c r="B9171" s="2">
        <f ca="1"/>
        <v>0.54985414022312074</v>
      </c>
      <c r="O9171" s="2">
        <f ca="1"/>
        <v>1.3618219997067</v>
      </c>
      <c r="X9171" s="2">
        <f ca="1"/>
        <v>27.890179497045491</v>
      </c>
      <c r="AG9171" s="2">
        <f ca="1"/>
        <v>0.66323062469063165</v>
      </c>
      <c r="AH9171" s="2" t="str">
        <f ca="1"/>
        <v>Bad</v>
      </c>
    </row>
    <row r="9172" spans="2:34" x14ac:dyDescent="0.2">
      <c r="B9172" s="2">
        <f ca="1"/>
        <v>0.91144603678517799</v>
      </c>
      <c r="O9172" s="2">
        <f ca="1"/>
        <v>1.1942300227842817</v>
      </c>
      <c r="X9172" s="2">
        <f ca="1"/>
        <v>53.860274816534826</v>
      </c>
      <c r="AG9172" s="2">
        <f ca="1"/>
        <v>0.26529045323546119</v>
      </c>
      <c r="AH9172" s="2" t="str">
        <f ca="1"/>
        <v>OK</v>
      </c>
    </row>
    <row r="9173" spans="2:34" x14ac:dyDescent="0.2">
      <c r="B9173" s="2">
        <f ca="1"/>
        <v>0.33141007508561282</v>
      </c>
      <c r="O9173" s="2">
        <f ca="1"/>
        <v>-0.80533113283313984</v>
      </c>
      <c r="X9173" s="2">
        <f ca="1"/>
        <v>51.276365090745905</v>
      </c>
      <c r="AG9173" s="2">
        <f ca="1"/>
        <v>0.93236714201810478</v>
      </c>
      <c r="AH9173" s="2" t="str">
        <f ca="1"/>
        <v>Bad</v>
      </c>
    </row>
    <row r="9174" spans="2:34" x14ac:dyDescent="0.2">
      <c r="B9174" s="2">
        <f ca="1"/>
        <v>0.91111305592390979</v>
      </c>
      <c r="O9174" s="2">
        <f ca="1"/>
        <v>0.44343646787015079</v>
      </c>
      <c r="X9174" s="2">
        <f ca="1"/>
        <v>39.839184527735235</v>
      </c>
      <c r="AG9174" s="2">
        <f ca="1"/>
        <v>0.81469127280760634</v>
      </c>
      <c r="AH9174" s="2" t="str">
        <f ca="1"/>
        <v>Bad</v>
      </c>
    </row>
    <row r="9175" spans="2:34" x14ac:dyDescent="0.2">
      <c r="B9175" s="2">
        <f ca="1"/>
        <v>0.84418746708994097</v>
      </c>
      <c r="O9175" s="2">
        <f ca="1"/>
        <v>1.1021574095777209</v>
      </c>
      <c r="X9175" s="2">
        <f ca="1"/>
        <v>48.195304090777299</v>
      </c>
      <c r="AG9175" s="2">
        <f ca="1"/>
        <v>0.49857109523262277</v>
      </c>
      <c r="AH9175" s="2" t="str">
        <f ca="1"/>
        <v>Bad</v>
      </c>
    </row>
    <row r="9176" spans="2:34" x14ac:dyDescent="0.2">
      <c r="B9176" s="2">
        <f ca="1"/>
        <v>0.75661411450870841</v>
      </c>
      <c r="O9176" s="2">
        <f ca="1"/>
        <v>3.6380812455797149E-2</v>
      </c>
      <c r="X9176" s="2">
        <f ca="1"/>
        <v>43.399240100247702</v>
      </c>
      <c r="AG9176" s="2">
        <f ca="1"/>
        <v>0.26303337395854332</v>
      </c>
      <c r="AH9176" s="2" t="str">
        <f ca="1"/>
        <v>OK</v>
      </c>
    </row>
    <row r="9177" spans="2:34" x14ac:dyDescent="0.2">
      <c r="B9177" s="2">
        <f ca="1"/>
        <v>0.68794911597521513</v>
      </c>
      <c r="O9177" s="2">
        <f ca="1"/>
        <v>0.67410030048707437</v>
      </c>
      <c r="X9177" s="2">
        <f ca="1"/>
        <v>23.820420307162131</v>
      </c>
      <c r="AG9177" s="2">
        <f ca="1"/>
        <v>0.91948163746566558</v>
      </c>
      <c r="AH9177" s="2" t="str">
        <f ca="1"/>
        <v>Bad</v>
      </c>
    </row>
    <row r="9178" spans="2:34" x14ac:dyDescent="0.2">
      <c r="B9178" s="2">
        <f ca="1"/>
        <v>0.98172867698932076</v>
      </c>
      <c r="O9178" s="2">
        <f ca="1"/>
        <v>-0.66167648499479159</v>
      </c>
      <c r="X9178" s="2">
        <f ca="1"/>
        <v>47.905370471058589</v>
      </c>
      <c r="AG9178" s="2">
        <f ca="1"/>
        <v>0.33789542163634412</v>
      </c>
      <c r="AH9178" s="2" t="str">
        <f ca="1"/>
        <v>OK</v>
      </c>
    </row>
    <row r="9179" spans="2:34" x14ac:dyDescent="0.2">
      <c r="B9179" s="2">
        <f ca="1"/>
        <v>0.19492893263105771</v>
      </c>
      <c r="O9179" s="2">
        <f ca="1"/>
        <v>0.16714669649192301</v>
      </c>
      <c r="X9179" s="2">
        <f ca="1"/>
        <v>47.390280422967265</v>
      </c>
      <c r="AG9179" s="2">
        <f ca="1"/>
        <v>5.4622877898653943E-2</v>
      </c>
      <c r="AH9179" s="2" t="str">
        <f ca="1"/>
        <v>OK</v>
      </c>
    </row>
    <row r="9180" spans="2:34" x14ac:dyDescent="0.2">
      <c r="B9180" s="2">
        <f ca="1"/>
        <v>0.26656952627673025</v>
      </c>
      <c r="O9180" s="2">
        <f ca="1"/>
        <v>1.8199821755763022</v>
      </c>
      <c r="X9180" s="2">
        <f ca="1"/>
        <v>43.056380636255291</v>
      </c>
      <c r="AG9180" s="2">
        <f ca="1"/>
        <v>2.6952962138033998E-2</v>
      </c>
      <c r="AH9180" s="2" t="str">
        <f ca="1"/>
        <v>Good</v>
      </c>
    </row>
    <row r="9181" spans="2:34" x14ac:dyDescent="0.2">
      <c r="B9181" s="2">
        <f ca="1"/>
        <v>0.83817076267933532</v>
      </c>
      <c r="O9181" s="2">
        <f ca="1"/>
        <v>-0.354942118573424</v>
      </c>
      <c r="X9181" s="2">
        <f ca="1"/>
        <v>54.860429601982645</v>
      </c>
      <c r="AG9181" s="2">
        <f ca="1"/>
        <v>1.0389528933323344E-2</v>
      </c>
      <c r="AH9181" s="2" t="str">
        <f ca="1"/>
        <v>Good</v>
      </c>
    </row>
    <row r="9182" spans="2:34" x14ac:dyDescent="0.2">
      <c r="B9182" s="2">
        <f ca="1"/>
        <v>0.44220485874285398</v>
      </c>
      <c r="O9182" s="2">
        <f ca="1"/>
        <v>1.8161691102769342</v>
      </c>
      <c r="X9182" s="2">
        <f ca="1"/>
        <v>79.368839939944209</v>
      </c>
      <c r="AG9182" s="2">
        <f ca="1"/>
        <v>0.1499060117455282</v>
      </c>
      <c r="AH9182" s="2" t="str">
        <f ca="1"/>
        <v>OK</v>
      </c>
    </row>
    <row r="9183" spans="2:34" x14ac:dyDescent="0.2">
      <c r="B9183" s="2">
        <f ca="1"/>
        <v>0.71760642259625973</v>
      </c>
      <c r="O9183" s="2">
        <f ca="1"/>
        <v>0.2159183243805792</v>
      </c>
      <c r="X9183" s="2">
        <f ca="1"/>
        <v>43.843569948918187</v>
      </c>
      <c r="AG9183" s="2">
        <f ca="1"/>
        <v>0.54116598162589247</v>
      </c>
      <c r="AH9183" s="2" t="str">
        <f ca="1"/>
        <v>Bad</v>
      </c>
    </row>
    <row r="9184" spans="2:34" x14ac:dyDescent="0.2">
      <c r="B9184" s="2">
        <f ca="1"/>
        <v>0.60287612716753625</v>
      </c>
      <c r="O9184" s="2">
        <f ca="1"/>
        <v>-2.9366930299205944E-3</v>
      </c>
      <c r="X9184" s="2">
        <f ca="1"/>
        <v>54.295552089169483</v>
      </c>
      <c r="AG9184" s="2">
        <f ca="1"/>
        <v>0.76800204025767682</v>
      </c>
      <c r="AH9184" s="2" t="str">
        <f ca="1"/>
        <v>Bad</v>
      </c>
    </row>
    <row r="9185" spans="2:34" x14ac:dyDescent="0.2">
      <c r="B9185" s="2">
        <f ca="1"/>
        <v>9.5538459009910204E-2</v>
      </c>
      <c r="O9185" s="2">
        <f ca="1"/>
        <v>-0.63270647887118803</v>
      </c>
      <c r="X9185" s="2">
        <f ca="1"/>
        <v>50.870615935884459</v>
      </c>
      <c r="AG9185" s="2">
        <f ca="1"/>
        <v>0.35786736193773816</v>
      </c>
      <c r="AH9185" s="2" t="str">
        <f ca="1"/>
        <v>OK</v>
      </c>
    </row>
    <row r="9186" spans="2:34" x14ac:dyDescent="0.2">
      <c r="B9186" s="2">
        <f ca="1"/>
        <v>0.21237661280581532</v>
      </c>
      <c r="O9186" s="2">
        <f ca="1"/>
        <v>-0.42550294499169966</v>
      </c>
      <c r="X9186" s="2">
        <f ca="1"/>
        <v>50.512649012577029</v>
      </c>
      <c r="AG9186" s="2">
        <f ca="1"/>
        <v>0.32990387185437875</v>
      </c>
      <c r="AH9186" s="2" t="str">
        <f ca="1"/>
        <v>OK</v>
      </c>
    </row>
    <row r="9187" spans="2:34" x14ac:dyDescent="0.2">
      <c r="B9187" s="2">
        <f ca="1"/>
        <v>0.64804809284557718</v>
      </c>
      <c r="O9187" s="2">
        <f ca="1"/>
        <v>0.81208425425283093</v>
      </c>
      <c r="X9187" s="2">
        <f ca="1"/>
        <v>38.140018557184327</v>
      </c>
      <c r="AG9187" s="2">
        <f ca="1"/>
        <v>0.82671587337037367</v>
      </c>
      <c r="AH9187" s="2" t="str">
        <f ca="1"/>
        <v>Bad</v>
      </c>
    </row>
    <row r="9188" spans="2:34" x14ac:dyDescent="0.2">
      <c r="B9188" s="2">
        <f ca="1"/>
        <v>0.42146904961671328</v>
      </c>
      <c r="O9188" s="2">
        <f ca="1"/>
        <v>-0.26313911779752341</v>
      </c>
      <c r="X9188" s="2">
        <f ca="1"/>
        <v>35.380010269084195</v>
      </c>
      <c r="AG9188" s="2">
        <f ca="1"/>
        <v>0.45566109099369001</v>
      </c>
      <c r="AH9188" s="2" t="str">
        <f ca="1"/>
        <v>Bad</v>
      </c>
    </row>
    <row r="9189" spans="2:34" x14ac:dyDescent="0.2">
      <c r="B9189" s="2">
        <f ca="1"/>
        <v>0.1821875678688758</v>
      </c>
      <c r="O9189" s="2">
        <f ca="1"/>
        <v>0.67593769867875531</v>
      </c>
      <c r="X9189" s="2">
        <f ca="1"/>
        <v>57.762400861056889</v>
      </c>
      <c r="AG9189" s="2">
        <f ca="1"/>
        <v>0.46574298271549841</v>
      </c>
      <c r="AH9189" s="2" t="str">
        <f ca="1"/>
        <v>Bad</v>
      </c>
    </row>
    <row r="9190" spans="2:34" x14ac:dyDescent="0.2">
      <c r="B9190" s="2">
        <f ca="1"/>
        <v>0.83598923887476828</v>
      </c>
      <c r="O9190" s="2">
        <f ca="1"/>
        <v>-0.40503593525447595</v>
      </c>
      <c r="X9190" s="2">
        <f ca="1"/>
        <v>28.19840659506572</v>
      </c>
      <c r="AG9190" s="2">
        <f ca="1"/>
        <v>0.39274339655198998</v>
      </c>
      <c r="AH9190" s="2" t="str">
        <f ca="1"/>
        <v>OK</v>
      </c>
    </row>
    <row r="9191" spans="2:34" x14ac:dyDescent="0.2">
      <c r="B9191" s="2">
        <f ca="1"/>
        <v>0.65261967207864213</v>
      </c>
      <c r="O9191" s="2">
        <f ca="1"/>
        <v>-0.82237280380899669</v>
      </c>
      <c r="X9191" s="2">
        <f ca="1"/>
        <v>81.533430657075627</v>
      </c>
      <c r="AG9191" s="2">
        <f ca="1"/>
        <v>0.51764256600231695</v>
      </c>
      <c r="AH9191" s="2" t="str">
        <f ca="1"/>
        <v>Bad</v>
      </c>
    </row>
    <row r="9192" spans="2:34" x14ac:dyDescent="0.2">
      <c r="B9192" s="2">
        <f ca="1"/>
        <v>0.54165618286713957</v>
      </c>
      <c r="O9192" s="2">
        <f ca="1"/>
        <v>-0.28011053229184318</v>
      </c>
      <c r="X9192" s="2">
        <f ca="1"/>
        <v>42.403822482757469</v>
      </c>
      <c r="AG9192" s="2">
        <f ca="1"/>
        <v>0.27849150809603151</v>
      </c>
      <c r="AH9192" s="2" t="str">
        <f ca="1"/>
        <v>OK</v>
      </c>
    </row>
    <row r="9193" spans="2:34" x14ac:dyDescent="0.2">
      <c r="B9193" s="2">
        <f ca="1"/>
        <v>0.72464470779738632</v>
      </c>
      <c r="O9193" s="2">
        <f ca="1"/>
        <v>-1.7949725980916453</v>
      </c>
      <c r="X9193" s="2">
        <f ca="1"/>
        <v>44.524598070615717</v>
      </c>
      <c r="AG9193" s="2">
        <f ca="1"/>
        <v>0.76449044562567425</v>
      </c>
      <c r="AH9193" s="2" t="str">
        <f ca="1"/>
        <v>Bad</v>
      </c>
    </row>
    <row r="9194" spans="2:34" x14ac:dyDescent="0.2">
      <c r="B9194" s="2">
        <f ca="1"/>
        <v>0.65371036348453404</v>
      </c>
      <c r="O9194" s="2">
        <f ca="1"/>
        <v>1.4263783430301584</v>
      </c>
      <c r="X9194" s="2">
        <f ca="1"/>
        <v>52.74147466918911</v>
      </c>
      <c r="AG9194" s="2">
        <f ca="1"/>
        <v>0.93704604164720973</v>
      </c>
      <c r="AH9194" s="2" t="str">
        <f ca="1"/>
        <v>Bad</v>
      </c>
    </row>
    <row r="9195" spans="2:34" x14ac:dyDescent="0.2">
      <c r="B9195" s="2">
        <f ca="1"/>
        <v>0.23778089034264083</v>
      </c>
      <c r="O9195" s="2">
        <f ca="1"/>
        <v>1.1048596669586102</v>
      </c>
      <c r="X9195" s="2">
        <f ca="1"/>
        <v>54.728985520042102</v>
      </c>
      <c r="AG9195" s="2">
        <f ca="1"/>
        <v>0.58385911647709254</v>
      </c>
      <c r="AH9195" s="2" t="str">
        <f ca="1"/>
        <v>Bad</v>
      </c>
    </row>
    <row r="9196" spans="2:34" x14ac:dyDescent="0.2">
      <c r="B9196" s="2">
        <f ca="1"/>
        <v>0.1822079270034338</v>
      </c>
      <c r="O9196" s="2">
        <f ca="1"/>
        <v>0.15320507170718711</v>
      </c>
      <c r="X9196" s="2">
        <f ca="1"/>
        <v>56.096963043340637</v>
      </c>
      <c r="AG9196" s="2">
        <f ca="1"/>
        <v>3.6188361467332619E-2</v>
      </c>
      <c r="AH9196" s="2" t="str">
        <f ca="1"/>
        <v>Good</v>
      </c>
    </row>
    <row r="9197" spans="2:34" x14ac:dyDescent="0.2">
      <c r="B9197" s="2">
        <f ca="1"/>
        <v>0.13889285045002775</v>
      </c>
      <c r="O9197" s="2">
        <f ca="1"/>
        <v>1.4356295642969725</v>
      </c>
      <c r="X9197" s="2">
        <f ca="1"/>
        <v>65.79891070658033</v>
      </c>
      <c r="AG9197" s="2">
        <f ca="1"/>
        <v>0.88420484809043054</v>
      </c>
      <c r="AH9197" s="2" t="str">
        <f ca="1"/>
        <v>Bad</v>
      </c>
    </row>
    <row r="9198" spans="2:34" x14ac:dyDescent="0.2">
      <c r="B9198" s="2">
        <f ca="1"/>
        <v>0.58474506656566305</v>
      </c>
      <c r="O9198" s="2">
        <f ca="1"/>
        <v>1.3028502974353684</v>
      </c>
      <c r="X9198" s="2">
        <f ca="1"/>
        <v>28.917148203324473</v>
      </c>
      <c r="AG9198" s="2">
        <f ca="1"/>
        <v>0.22971015509785242</v>
      </c>
      <c r="AH9198" s="2" t="str">
        <f ca="1"/>
        <v>OK</v>
      </c>
    </row>
    <row r="9199" spans="2:34" x14ac:dyDescent="0.2">
      <c r="B9199" s="2">
        <f ca="1"/>
        <v>0.88790631426553213</v>
      </c>
      <c r="O9199" s="2">
        <f ca="1"/>
        <v>9.0337111262763947E-2</v>
      </c>
      <c r="X9199" s="2">
        <f ca="1"/>
        <v>40.185644172165276</v>
      </c>
      <c r="AG9199" s="2">
        <f ca="1"/>
        <v>0.7981206702704553</v>
      </c>
      <c r="AH9199" s="2" t="str">
        <f ca="1"/>
        <v>Bad</v>
      </c>
    </row>
    <row r="9200" spans="2:34" x14ac:dyDescent="0.2">
      <c r="B9200" s="2">
        <f ca="1"/>
        <v>0.62278928485533225</v>
      </c>
      <c r="O9200" s="2">
        <f ca="1"/>
        <v>-0.40646439565875686</v>
      </c>
      <c r="X9200" s="2">
        <f ca="1"/>
        <v>48.413303877231769</v>
      </c>
      <c r="AG9200" s="2">
        <f ca="1"/>
        <v>0.85516017642899533</v>
      </c>
      <c r="AH9200" s="2" t="str">
        <f ca="1"/>
        <v>Bad</v>
      </c>
    </row>
    <row r="9201" spans="2:34" x14ac:dyDescent="0.2">
      <c r="B9201" s="2">
        <f ca="1"/>
        <v>0.74099074666323417</v>
      </c>
      <c r="O9201" s="2">
        <f ca="1"/>
        <v>0.53740275239052715</v>
      </c>
      <c r="X9201" s="2">
        <f ca="1"/>
        <v>65.877598801356058</v>
      </c>
      <c r="AG9201" s="2">
        <f ca="1"/>
        <v>0.43925901776619858</v>
      </c>
      <c r="AH9201" s="2" t="str">
        <f ca="1"/>
        <v>Bad</v>
      </c>
    </row>
    <row r="9202" spans="2:34" x14ac:dyDescent="0.2">
      <c r="B9202" s="2">
        <f ca="1"/>
        <v>0.27312211284197696</v>
      </c>
      <c r="O9202" s="2">
        <f ca="1"/>
        <v>-0.69119694570784007</v>
      </c>
      <c r="X9202" s="2">
        <f ca="1"/>
        <v>30.288304948763102</v>
      </c>
      <c r="AG9202" s="2">
        <f ca="1"/>
        <v>0.31097106705091693</v>
      </c>
      <c r="AH9202" s="2" t="str">
        <f ca="1"/>
        <v>OK</v>
      </c>
    </row>
    <row r="9203" spans="2:34" x14ac:dyDescent="0.2">
      <c r="B9203" s="2">
        <f ca="1"/>
        <v>0.57700473930165508</v>
      </c>
      <c r="O9203" s="2">
        <f ca="1"/>
        <v>0.59502244260890802</v>
      </c>
      <c r="X9203" s="2">
        <f ca="1"/>
        <v>32.041686329531615</v>
      </c>
      <c r="AG9203" s="2">
        <f ca="1"/>
        <v>0.45654118815386968</v>
      </c>
      <c r="AH9203" s="2" t="str">
        <f ca="1"/>
        <v>Bad</v>
      </c>
    </row>
    <row r="9204" spans="2:34" x14ac:dyDescent="0.2">
      <c r="B9204" s="2">
        <f ca="1"/>
        <v>0.33561619664629183</v>
      </c>
      <c r="O9204" s="2">
        <f ca="1"/>
        <v>0.35024179704849417</v>
      </c>
      <c r="X9204" s="2">
        <f ca="1"/>
        <v>52.850572223877634</v>
      </c>
      <c r="AG9204" s="2">
        <f ca="1"/>
        <v>0.91626052620614673</v>
      </c>
      <c r="AH9204" s="2" t="str">
        <f ca="1"/>
        <v>Bad</v>
      </c>
    </row>
    <row r="9205" spans="2:34" x14ac:dyDescent="0.2">
      <c r="B9205" s="2">
        <f ca="1"/>
        <v>0.87394123093462284</v>
      </c>
      <c r="O9205" s="2">
        <f ca="1"/>
        <v>-0.18387265553971952</v>
      </c>
      <c r="X9205" s="2">
        <f ca="1"/>
        <v>61.206581622067674</v>
      </c>
      <c r="AG9205" s="2">
        <f ca="1"/>
        <v>0.22504499877855788</v>
      </c>
      <c r="AH9205" s="2" t="str">
        <f ca="1"/>
        <v>OK</v>
      </c>
    </row>
    <row r="9206" spans="2:34" x14ac:dyDescent="0.2">
      <c r="B9206" s="2">
        <f ca="1"/>
        <v>0.44044155643038252</v>
      </c>
      <c r="O9206" s="2">
        <f ca="1"/>
        <v>0.13194953065922455</v>
      </c>
      <c r="X9206" s="2">
        <f ca="1"/>
        <v>55.604398231907183</v>
      </c>
      <c r="AG9206" s="2">
        <f ca="1"/>
        <v>0.76332536913478299</v>
      </c>
      <c r="AH9206" s="2" t="str">
        <f ca="1"/>
        <v>Bad</v>
      </c>
    </row>
    <row r="9207" spans="2:34" x14ac:dyDescent="0.2">
      <c r="B9207" s="2">
        <f ca="1"/>
        <v>8.9644087934039662E-2</v>
      </c>
      <c r="O9207" s="2">
        <f ca="1"/>
        <v>0.16887100474672886</v>
      </c>
      <c r="X9207" s="2">
        <f ca="1"/>
        <v>31.397363734253783</v>
      </c>
      <c r="AG9207" s="2">
        <f ca="1"/>
        <v>0.60932860232266606</v>
      </c>
      <c r="AH9207" s="2" t="str">
        <f ca="1"/>
        <v>Bad</v>
      </c>
    </row>
    <row r="9208" spans="2:34" x14ac:dyDescent="0.2">
      <c r="B9208" s="2">
        <f ca="1"/>
        <v>0.95792738462270655</v>
      </c>
      <c r="O9208" s="2">
        <f ca="1"/>
        <v>0.64777705115252027</v>
      </c>
      <c r="X9208" s="2">
        <f ca="1"/>
        <v>35.877211465764873</v>
      </c>
      <c r="AG9208" s="2">
        <f ca="1"/>
        <v>0.64471841374636529</v>
      </c>
      <c r="AH9208" s="2" t="str">
        <f ca="1"/>
        <v>Bad</v>
      </c>
    </row>
    <row r="9209" spans="2:34" x14ac:dyDescent="0.2">
      <c r="B9209" s="2">
        <f ca="1"/>
        <v>0.76132773480802896</v>
      </c>
      <c r="O9209" s="2">
        <f ca="1"/>
        <v>-0.7514330609116896</v>
      </c>
      <c r="X9209" s="2">
        <f ca="1"/>
        <v>76.550975413834237</v>
      </c>
      <c r="AG9209" s="2">
        <f ca="1"/>
        <v>0.76421136082405261</v>
      </c>
      <c r="AH9209" s="2" t="str">
        <f ca="1"/>
        <v>Bad</v>
      </c>
    </row>
    <row r="9210" spans="2:34" x14ac:dyDescent="0.2">
      <c r="B9210" s="2">
        <f ca="1"/>
        <v>0.69378857885705103</v>
      </c>
      <c r="O9210" s="2">
        <f ca="1"/>
        <v>2.9198364353372304</v>
      </c>
      <c r="X9210" s="2">
        <f ca="1"/>
        <v>63.285631584095668</v>
      </c>
      <c r="AG9210" s="2">
        <f ca="1"/>
        <v>0.30740020667437706</v>
      </c>
      <c r="AH9210" s="2" t="str">
        <f ca="1"/>
        <v>OK</v>
      </c>
    </row>
    <row r="9211" spans="2:34" x14ac:dyDescent="0.2">
      <c r="B9211" s="2">
        <f ca="1"/>
        <v>0.4115180898218882</v>
      </c>
      <c r="O9211" s="2">
        <f ca="1"/>
        <v>-0.7677409357347792</v>
      </c>
      <c r="X9211" s="2">
        <f ca="1"/>
        <v>46.615947117606915</v>
      </c>
      <c r="AG9211" s="2">
        <f ca="1"/>
        <v>0.69199720641920703</v>
      </c>
      <c r="AH9211" s="2" t="str">
        <f ca="1"/>
        <v>Bad</v>
      </c>
    </row>
    <row r="9212" spans="2:34" x14ac:dyDescent="0.2">
      <c r="B9212" s="2">
        <f ca="1"/>
        <v>4.831608058736081E-2</v>
      </c>
      <c r="O9212" s="2">
        <f ca="1"/>
        <v>3.2029000853655433E-2</v>
      </c>
      <c r="X9212" s="2">
        <f ca="1"/>
        <v>41.645191228222458</v>
      </c>
      <c r="AG9212" s="2">
        <f ca="1"/>
        <v>0.82866657872543859</v>
      </c>
      <c r="AH9212" s="2" t="str">
        <f ca="1"/>
        <v>Bad</v>
      </c>
    </row>
    <row r="9213" spans="2:34" x14ac:dyDescent="0.2">
      <c r="B9213" s="2">
        <f ca="1"/>
        <v>0.61131469437591224</v>
      </c>
      <c r="O9213" s="2">
        <f ca="1"/>
        <v>1.718208268285758</v>
      </c>
      <c r="X9213" s="2">
        <f ca="1"/>
        <v>38.295811256053781</v>
      </c>
      <c r="AG9213" s="2">
        <f ca="1"/>
        <v>0.37354298907430028</v>
      </c>
      <c r="AH9213" s="2" t="str">
        <f ca="1"/>
        <v>OK</v>
      </c>
    </row>
    <row r="9214" spans="2:34" x14ac:dyDescent="0.2">
      <c r="B9214" s="2">
        <f ca="1"/>
        <v>0.36563618638868722</v>
      </c>
      <c r="O9214" s="2">
        <f ca="1"/>
        <v>-1.0548344155232054</v>
      </c>
      <c r="X9214" s="2">
        <f ca="1"/>
        <v>50.862673421561979</v>
      </c>
      <c r="AG9214" s="2">
        <f ca="1"/>
        <v>0.27960909071763762</v>
      </c>
      <c r="AH9214" s="2" t="str">
        <f ca="1"/>
        <v>OK</v>
      </c>
    </row>
    <row r="9215" spans="2:34" x14ac:dyDescent="0.2">
      <c r="B9215" s="2">
        <f ca="1"/>
        <v>0.37074226969208168</v>
      </c>
      <c r="O9215" s="2">
        <f ca="1"/>
        <v>-0.66634745010038421</v>
      </c>
      <c r="X9215" s="2">
        <f ca="1"/>
        <v>43.297293755216813</v>
      </c>
      <c r="AG9215" s="2">
        <f ca="1"/>
        <v>0.84531207032867539</v>
      </c>
      <c r="AH9215" s="2" t="str">
        <f ca="1"/>
        <v>Bad</v>
      </c>
    </row>
    <row r="9216" spans="2:34" x14ac:dyDescent="0.2">
      <c r="B9216" s="2">
        <f ca="1"/>
        <v>3.0018821524866457E-2</v>
      </c>
      <c r="O9216" s="2">
        <f ca="1"/>
        <v>-0.44257823991858997</v>
      </c>
      <c r="X9216" s="2">
        <f ca="1"/>
        <v>45.243672526235379</v>
      </c>
      <c r="AG9216" s="2">
        <f ca="1"/>
        <v>0.68361496094909535</v>
      </c>
      <c r="AH9216" s="2" t="str">
        <f ca="1"/>
        <v>Bad</v>
      </c>
    </row>
    <row r="9217" spans="2:34" x14ac:dyDescent="0.2">
      <c r="B9217" s="2">
        <f ca="1"/>
        <v>0.78459879789152143</v>
      </c>
      <c r="O9217" s="2">
        <f ca="1"/>
        <v>-0.40806692259960781</v>
      </c>
      <c r="X9217" s="2">
        <f ca="1"/>
        <v>53.233660816139846</v>
      </c>
      <c r="AG9217" s="2">
        <f ca="1"/>
        <v>0.56791037405881473</v>
      </c>
      <c r="AH9217" s="2" t="str">
        <f ca="1"/>
        <v>Bad</v>
      </c>
    </row>
    <row r="9218" spans="2:34" x14ac:dyDescent="0.2">
      <c r="B9218" s="2">
        <f ca="1"/>
        <v>0.56756166774463757</v>
      </c>
      <c r="O9218" s="2">
        <f ca="1"/>
        <v>-1.9682580453571119</v>
      </c>
      <c r="X9218" s="2">
        <f ca="1"/>
        <v>57.801935897332115</v>
      </c>
      <c r="AG9218" s="2">
        <f ca="1"/>
        <v>0.40714894196219054</v>
      </c>
      <c r="AH9218" s="2" t="str">
        <f ca="1"/>
        <v>Bad</v>
      </c>
    </row>
    <row r="9219" spans="2:34" x14ac:dyDescent="0.2">
      <c r="B9219" s="2">
        <f ca="1"/>
        <v>0.52466236256094323</v>
      </c>
      <c r="O9219" s="2">
        <f ca="1"/>
        <v>-0.46512192515108641</v>
      </c>
      <c r="X9219" s="2">
        <f ca="1"/>
        <v>71.75678659959965</v>
      </c>
      <c r="AG9219" s="2">
        <f ca="1"/>
        <v>0.26562196609777255</v>
      </c>
      <c r="AH9219" s="2" t="str">
        <f ca="1"/>
        <v>OK</v>
      </c>
    </row>
    <row r="9220" spans="2:34" x14ac:dyDescent="0.2">
      <c r="B9220" s="2">
        <f ca="1"/>
        <v>0.73905031961354162</v>
      </c>
      <c r="O9220" s="2">
        <f ca="1"/>
        <v>1.4467485210319082</v>
      </c>
      <c r="X9220" s="2">
        <f ca="1"/>
        <v>44.145570882645828</v>
      </c>
      <c r="AG9220" s="2">
        <f ca="1"/>
        <v>0.83415298699754703</v>
      </c>
      <c r="AH9220" s="2" t="str">
        <f ca="1"/>
        <v>Bad</v>
      </c>
    </row>
    <row r="9221" spans="2:34" x14ac:dyDescent="0.2">
      <c r="B9221" s="2">
        <f ca="1"/>
        <v>0.41925379722829526</v>
      </c>
      <c r="O9221" s="2">
        <f ca="1"/>
        <v>0.89999058084303996</v>
      </c>
      <c r="X9221" s="2">
        <f ca="1"/>
        <v>53.686035328427607</v>
      </c>
      <c r="AG9221" s="2">
        <f ca="1"/>
        <v>0.75698428176158683</v>
      </c>
      <c r="AH9221" s="2" t="str">
        <f ca="1"/>
        <v>Bad</v>
      </c>
    </row>
    <row r="9222" spans="2:34" x14ac:dyDescent="0.2">
      <c r="B9222" s="2">
        <f ca="1"/>
        <v>0.19670868189189195</v>
      </c>
      <c r="O9222" s="2">
        <f ca="1"/>
        <v>-1.5949170105584571</v>
      </c>
      <c r="X9222" s="2">
        <f ca="1"/>
        <v>47.391739556219086</v>
      </c>
      <c r="AG9222" s="2">
        <f ca="1"/>
        <v>6.8415952645169531E-2</v>
      </c>
      <c r="AH9222" s="2" t="str">
        <f ca="1"/>
        <v>OK</v>
      </c>
    </row>
    <row r="9223" spans="2:34" x14ac:dyDescent="0.2">
      <c r="B9223" s="2">
        <f ca="1"/>
        <v>0.12477403694464817</v>
      </c>
      <c r="O9223" s="2">
        <f ca="1"/>
        <v>-0.82815308454270731</v>
      </c>
      <c r="X9223" s="2">
        <f ca="1"/>
        <v>53.031194133376587</v>
      </c>
      <c r="AG9223" s="2">
        <f ca="1"/>
        <v>0.92210373923758326</v>
      </c>
      <c r="AH9223" s="2" t="str">
        <f ca="1"/>
        <v>Bad</v>
      </c>
    </row>
    <row r="9224" spans="2:34" x14ac:dyDescent="0.2">
      <c r="B9224" s="2">
        <f ca="1"/>
        <v>6.2883235420641226E-2</v>
      </c>
      <c r="O9224" s="2">
        <f ca="1"/>
        <v>0.28459176524678215</v>
      </c>
      <c r="X9224" s="2">
        <f ca="1"/>
        <v>41.9920069270879</v>
      </c>
      <c r="AG9224" s="2">
        <f ca="1"/>
        <v>0.98860147359032213</v>
      </c>
      <c r="AH9224" s="2" t="str">
        <f ca="1"/>
        <v>Bad</v>
      </c>
    </row>
    <row r="9225" spans="2:34" x14ac:dyDescent="0.2">
      <c r="B9225" s="2">
        <f ca="1"/>
        <v>0.12396604199916039</v>
      </c>
      <c r="O9225" s="2">
        <f ca="1"/>
        <v>-0.11483815707558889</v>
      </c>
      <c r="X9225" s="2">
        <f ca="1"/>
        <v>26.244452461584356</v>
      </c>
      <c r="AG9225" s="2">
        <f ca="1"/>
        <v>0.4048749271632972</v>
      </c>
      <c r="AH9225" s="2" t="str">
        <f ca="1"/>
        <v>Bad</v>
      </c>
    </row>
    <row r="9226" spans="2:34" x14ac:dyDescent="0.2">
      <c r="B9226" s="2">
        <f ca="1"/>
        <v>0.49536228629360202</v>
      </c>
      <c r="O9226" s="2">
        <f ca="1"/>
        <v>1.5660543876909421</v>
      </c>
      <c r="X9226" s="2">
        <f ca="1"/>
        <v>26.917037840507149</v>
      </c>
      <c r="AG9226" s="2">
        <f ca="1"/>
        <v>3.2896112385529808E-3</v>
      </c>
      <c r="AH9226" s="2" t="str">
        <f ca="1"/>
        <v>Good</v>
      </c>
    </row>
    <row r="9227" spans="2:34" x14ac:dyDescent="0.2">
      <c r="B9227" s="2">
        <f ca="1"/>
        <v>0.14080217149609675</v>
      </c>
      <c r="O9227" s="2">
        <f ca="1"/>
        <v>-1.2792503389333527</v>
      </c>
      <c r="X9227" s="2">
        <f ca="1"/>
        <v>49.024811902851752</v>
      </c>
      <c r="AG9227" s="2">
        <f ca="1"/>
        <v>0.27870596050212715</v>
      </c>
      <c r="AH9227" s="2" t="str">
        <f ca="1"/>
        <v>OK</v>
      </c>
    </row>
    <row r="9228" spans="2:34" x14ac:dyDescent="0.2">
      <c r="B9228" s="2">
        <f ca="1"/>
        <v>0.76558016284670094</v>
      </c>
      <c r="O9228" s="2">
        <f ca="1"/>
        <v>0.35455962759408366</v>
      </c>
      <c r="X9228" s="2">
        <f ca="1"/>
        <v>35.132648068072548</v>
      </c>
      <c r="AG9228" s="2">
        <f ca="1"/>
        <v>0.15304589189102158</v>
      </c>
      <c r="AH9228" s="2" t="str">
        <f ca="1"/>
        <v>OK</v>
      </c>
    </row>
    <row r="9229" spans="2:34" x14ac:dyDescent="0.2">
      <c r="B9229" s="2">
        <f ca="1"/>
        <v>5.7506173020354323E-2</v>
      </c>
      <c r="O9229" s="2">
        <f ca="1"/>
        <v>-0.84030799387892963</v>
      </c>
      <c r="X9229" s="2">
        <f ca="1"/>
        <v>46.854790270038862</v>
      </c>
      <c r="AG9229" s="2">
        <f ca="1"/>
        <v>0.22233720436465854</v>
      </c>
      <c r="AH9229" s="2" t="str">
        <f ca="1"/>
        <v>OK</v>
      </c>
    </row>
    <row r="9230" spans="2:34" x14ac:dyDescent="0.2">
      <c r="B9230" s="2">
        <f ca="1"/>
        <v>0.60586915486720705</v>
      </c>
      <c r="O9230" s="2">
        <f ca="1"/>
        <v>0.63516158850371685</v>
      </c>
      <c r="X9230" s="2">
        <f ca="1"/>
        <v>54.277190814085287</v>
      </c>
      <c r="AG9230" s="2">
        <f ca="1"/>
        <v>0.50661690621159017</v>
      </c>
      <c r="AH9230" s="2" t="str">
        <f ca="1"/>
        <v>Bad</v>
      </c>
    </row>
    <row r="9231" spans="2:34" x14ac:dyDescent="0.2">
      <c r="B9231" s="2">
        <f ca="1"/>
        <v>0.77098039013923825</v>
      </c>
      <c r="O9231" s="2">
        <f ca="1"/>
        <v>-2.0183184157962983E-2</v>
      </c>
      <c r="X9231" s="2">
        <f ca="1"/>
        <v>34.139972224952693</v>
      </c>
      <c r="AG9231" s="2">
        <f ca="1"/>
        <v>0.77472088759674484</v>
      </c>
      <c r="AH9231" s="2" t="str">
        <f ca="1"/>
        <v>Bad</v>
      </c>
    </row>
    <row r="9232" spans="2:34" x14ac:dyDescent="0.2">
      <c r="B9232" s="2">
        <f ca="1"/>
        <v>0.70029613913870481</v>
      </c>
      <c r="O9232" s="2">
        <f ca="1"/>
        <v>-0.10041190441998062</v>
      </c>
      <c r="X9232" s="2">
        <f ca="1"/>
        <v>54.468620264117156</v>
      </c>
      <c r="AG9232" s="2">
        <f ca="1"/>
        <v>0.80483569461562943</v>
      </c>
      <c r="AH9232" s="2" t="str">
        <f ca="1"/>
        <v>Bad</v>
      </c>
    </row>
    <row r="9233" spans="2:34" x14ac:dyDescent="0.2">
      <c r="B9233" s="2">
        <f ca="1"/>
        <v>3.9239698884019347E-4</v>
      </c>
      <c r="O9233" s="2">
        <f ca="1"/>
        <v>0.70928038515949487</v>
      </c>
      <c r="X9233" s="2">
        <f ca="1"/>
        <v>35.743441372978928</v>
      </c>
      <c r="AG9233" s="2">
        <f ca="1"/>
        <v>0.45070608840124171</v>
      </c>
      <c r="AH9233" s="2" t="str">
        <f ca="1"/>
        <v>Bad</v>
      </c>
    </row>
    <row r="9234" spans="2:34" x14ac:dyDescent="0.2">
      <c r="B9234" s="2">
        <f ca="1"/>
        <v>0.3411015412684133</v>
      </c>
      <c r="O9234" s="2">
        <f ca="1"/>
        <v>0.95523320733594508</v>
      </c>
      <c r="X9234" s="2">
        <f ca="1"/>
        <v>79.030225458310909</v>
      </c>
      <c r="AG9234" s="2">
        <f ca="1"/>
        <v>0.8298991208340889</v>
      </c>
      <c r="AH9234" s="2" t="str">
        <f ca="1"/>
        <v>Bad</v>
      </c>
    </row>
    <row r="9235" spans="2:34" x14ac:dyDescent="0.2">
      <c r="B9235" s="2">
        <f ca="1"/>
        <v>0.43515099597453211</v>
      </c>
      <c r="O9235" s="2">
        <f ca="1"/>
        <v>2.6625272125160633</v>
      </c>
      <c r="X9235" s="2">
        <f ca="1"/>
        <v>39.200281183347158</v>
      </c>
      <c r="AG9235" s="2">
        <f ca="1"/>
        <v>0.526856556711774</v>
      </c>
      <c r="AH9235" s="2" t="str">
        <f ca="1"/>
        <v>Bad</v>
      </c>
    </row>
    <row r="9236" spans="2:34" x14ac:dyDescent="0.2">
      <c r="B9236" s="2">
        <f ca="1"/>
        <v>0.4262609853922199</v>
      </c>
      <c r="O9236" s="2">
        <f ca="1"/>
        <v>-0.84309629768501859</v>
      </c>
      <c r="X9236" s="2">
        <f ca="1"/>
        <v>38.927782250507541</v>
      </c>
      <c r="AG9236" s="2">
        <f ca="1"/>
        <v>0.67501641056983175</v>
      </c>
      <c r="AH9236" s="2" t="str">
        <f ca="1"/>
        <v>Bad</v>
      </c>
    </row>
    <row r="9237" spans="2:34" x14ac:dyDescent="0.2">
      <c r="B9237" s="2">
        <f ca="1"/>
        <v>8.1330608772899327E-2</v>
      </c>
      <c r="O9237" s="2">
        <f ca="1"/>
        <v>0.9561057655345887</v>
      </c>
      <c r="X9237" s="2">
        <f ca="1"/>
        <v>42.163503073689448</v>
      </c>
      <c r="AG9237" s="2">
        <f ca="1"/>
        <v>0.65145964102183251</v>
      </c>
      <c r="AH9237" s="2" t="str">
        <f ca="1"/>
        <v>Bad</v>
      </c>
    </row>
    <row r="9238" spans="2:34" x14ac:dyDescent="0.2">
      <c r="B9238" s="2">
        <f ca="1"/>
        <v>0.80973213662748145</v>
      </c>
      <c r="O9238" s="2">
        <f ca="1"/>
        <v>1.7736634914120577</v>
      </c>
      <c r="X9238" s="2">
        <f ca="1"/>
        <v>71.991362719081167</v>
      </c>
      <c r="AG9238" s="2">
        <f ca="1"/>
        <v>0.45529290529458355</v>
      </c>
      <c r="AH9238" s="2" t="str">
        <f ca="1"/>
        <v>Bad</v>
      </c>
    </row>
    <row r="9239" spans="2:34" x14ac:dyDescent="0.2">
      <c r="B9239" s="2">
        <f ca="1"/>
        <v>0.25166094812489725</v>
      </c>
      <c r="O9239" s="2">
        <f ca="1"/>
        <v>-0.75272163779486922</v>
      </c>
      <c r="X9239" s="2">
        <f ca="1"/>
        <v>44.644325845329469</v>
      </c>
      <c r="AG9239" s="2">
        <f ca="1"/>
        <v>0.7592832340346598</v>
      </c>
      <c r="AH9239" s="2" t="str">
        <f ca="1"/>
        <v>Bad</v>
      </c>
    </row>
    <row r="9240" spans="2:34" x14ac:dyDescent="0.2">
      <c r="B9240" s="2">
        <f ca="1"/>
        <v>0.69417507160077907</v>
      </c>
      <c r="O9240" s="2">
        <f ca="1"/>
        <v>0.18231455684153572</v>
      </c>
      <c r="X9240" s="2">
        <f ca="1"/>
        <v>40.192277753016398</v>
      </c>
      <c r="AG9240" s="2">
        <f ca="1"/>
        <v>0.5235130572700224</v>
      </c>
      <c r="AH9240" s="2" t="str">
        <f ca="1"/>
        <v>Bad</v>
      </c>
    </row>
    <row r="9241" spans="2:34" x14ac:dyDescent="0.2">
      <c r="B9241" s="2">
        <f ca="1"/>
        <v>0.25626109960560628</v>
      </c>
      <c r="O9241" s="2">
        <f ca="1"/>
        <v>0.29422057804960711</v>
      </c>
      <c r="X9241" s="2">
        <f ca="1"/>
        <v>46.219841922537142</v>
      </c>
      <c r="AG9241" s="2">
        <f ca="1"/>
        <v>0.19163330448450133</v>
      </c>
      <c r="AH9241" s="2" t="str">
        <f ca="1"/>
        <v>OK</v>
      </c>
    </row>
    <row r="9242" spans="2:34" x14ac:dyDescent="0.2">
      <c r="B9242" s="2">
        <f ca="1"/>
        <v>0.87538988677224028</v>
      </c>
      <c r="O9242" s="2">
        <f ca="1"/>
        <v>1.8699516038630006</v>
      </c>
      <c r="X9242" s="2">
        <f ca="1"/>
        <v>43.168814099412252</v>
      </c>
      <c r="AG9242" s="2">
        <f ca="1"/>
        <v>0.41530232285359969</v>
      </c>
      <c r="AH9242" s="2" t="str">
        <f ca="1"/>
        <v>Bad</v>
      </c>
    </row>
    <row r="9243" spans="2:34" x14ac:dyDescent="0.2">
      <c r="B9243" s="2">
        <f ca="1"/>
        <v>0.3677503872956922</v>
      </c>
      <c r="O9243" s="2">
        <f ca="1"/>
        <v>-9.3385899125749031E-2</v>
      </c>
      <c r="X9243" s="2">
        <f ca="1"/>
        <v>42.602086194498554</v>
      </c>
      <c r="AG9243" s="2">
        <f ca="1"/>
        <v>0.34483301247035847</v>
      </c>
      <c r="AH9243" s="2" t="str">
        <f ca="1"/>
        <v>OK</v>
      </c>
    </row>
    <row r="9244" spans="2:34" x14ac:dyDescent="0.2">
      <c r="B9244" s="2">
        <f ca="1"/>
        <v>0.65371276257661615</v>
      </c>
      <c r="O9244" s="2">
        <f ca="1"/>
        <v>1.8994529576283987</v>
      </c>
      <c r="X9244" s="2">
        <f ca="1"/>
        <v>75.906076286051956</v>
      </c>
      <c r="AG9244" s="2">
        <f ca="1"/>
        <v>0.66917338228092316</v>
      </c>
      <c r="AH9244" s="2" t="str">
        <f ca="1"/>
        <v>Bad</v>
      </c>
    </row>
    <row r="9245" spans="2:34" x14ac:dyDescent="0.2">
      <c r="B9245" s="2">
        <f ca="1"/>
        <v>0.44299618242205696</v>
      </c>
      <c r="O9245" s="2">
        <f ca="1"/>
        <v>0.59511849509981085</v>
      </c>
      <c r="X9245" s="2">
        <f ca="1"/>
        <v>93.750828756235791</v>
      </c>
      <c r="AG9245" s="2">
        <f ca="1"/>
        <v>0.84887279967325591</v>
      </c>
      <c r="AH9245" s="2" t="str">
        <f ca="1"/>
        <v>Bad</v>
      </c>
    </row>
    <row r="9246" spans="2:34" x14ac:dyDescent="0.2">
      <c r="B9246" s="2">
        <f ca="1"/>
        <v>0.72593154334951415</v>
      </c>
      <c r="O9246" s="2">
        <f ca="1"/>
        <v>-0.14479593215555067</v>
      </c>
      <c r="X9246" s="2">
        <f ca="1"/>
        <v>63.169770278745005</v>
      </c>
      <c r="AG9246" s="2">
        <f ca="1"/>
        <v>0.31167579938450829</v>
      </c>
      <c r="AH9246" s="2" t="str">
        <f ca="1"/>
        <v>OK</v>
      </c>
    </row>
    <row r="9247" spans="2:34" x14ac:dyDescent="0.2">
      <c r="B9247" s="2">
        <f ca="1"/>
        <v>1.0920284888211729E-2</v>
      </c>
      <c r="O9247" s="2">
        <f ca="1"/>
        <v>1.0171605230260934</v>
      </c>
      <c r="X9247" s="2">
        <f ca="1"/>
        <v>42.849507652237016</v>
      </c>
      <c r="AG9247" s="2">
        <f ca="1"/>
        <v>8.9619789484486123E-2</v>
      </c>
      <c r="AH9247" s="2" t="str">
        <f ca="1"/>
        <v>OK</v>
      </c>
    </row>
    <row r="9248" spans="2:34" x14ac:dyDescent="0.2">
      <c r="B9248" s="2">
        <f ca="1"/>
        <v>8.9954064968080782E-3</v>
      </c>
      <c r="O9248" s="2">
        <f ca="1"/>
        <v>-4.9994741600907404E-3</v>
      </c>
      <c r="X9248" s="2">
        <f ca="1"/>
        <v>42.139174575611889</v>
      </c>
      <c r="AG9248" s="2">
        <f ca="1"/>
        <v>0.67816437069025093</v>
      </c>
      <c r="AH9248" s="2" t="str">
        <f ca="1"/>
        <v>Bad</v>
      </c>
    </row>
    <row r="9249" spans="2:34" x14ac:dyDescent="0.2">
      <c r="B9249" s="2">
        <f ca="1"/>
        <v>0.73356252678896472</v>
      </c>
      <c r="O9249" s="2">
        <f ca="1"/>
        <v>8.9476437085368052E-2</v>
      </c>
      <c r="X9249" s="2">
        <f ca="1"/>
        <v>56.728309298662438</v>
      </c>
      <c r="AG9249" s="2">
        <f ca="1"/>
        <v>0.48811821329152072</v>
      </c>
      <c r="AH9249" s="2" t="str">
        <f ca="1"/>
        <v>Bad</v>
      </c>
    </row>
    <row r="9250" spans="2:34" x14ac:dyDescent="0.2">
      <c r="B9250" s="2">
        <f ca="1"/>
        <v>0.30148351102568216</v>
      </c>
      <c r="O9250" s="2">
        <f ca="1"/>
        <v>-0.8160883330497205</v>
      </c>
      <c r="X9250" s="2">
        <f ca="1"/>
        <v>24.367355660464554</v>
      </c>
      <c r="AG9250" s="2">
        <f ca="1"/>
        <v>0.18530379598249858</v>
      </c>
      <c r="AH9250" s="2" t="str">
        <f ca="1"/>
        <v>OK</v>
      </c>
    </row>
    <row r="9251" spans="2:34" x14ac:dyDescent="0.2">
      <c r="B9251" s="2">
        <f ca="1"/>
        <v>0.69829635289981873</v>
      </c>
      <c r="O9251" s="2">
        <f ca="1"/>
        <v>0.12968194529977095</v>
      </c>
      <c r="X9251" s="2">
        <f ca="1"/>
        <v>32.494816735075517</v>
      </c>
      <c r="AG9251" s="2">
        <f ca="1"/>
        <v>0.24440850323607255</v>
      </c>
      <c r="AH9251" s="2" t="str">
        <f ca="1"/>
        <v>OK</v>
      </c>
    </row>
    <row r="9252" spans="2:34" x14ac:dyDescent="0.2">
      <c r="B9252" s="2">
        <f ca="1"/>
        <v>0.82635978396757026</v>
      </c>
      <c r="O9252" s="2">
        <f ca="1"/>
        <v>-0.98476177821446509</v>
      </c>
      <c r="X9252" s="2">
        <f ca="1"/>
        <v>45.373439627526757</v>
      </c>
      <c r="AG9252" s="2">
        <f ca="1"/>
        <v>0.57184417436713875</v>
      </c>
      <c r="AH9252" s="2" t="str">
        <f ca="1"/>
        <v>Bad</v>
      </c>
    </row>
    <row r="9253" spans="2:34" x14ac:dyDescent="0.2">
      <c r="B9253" s="2">
        <f ca="1"/>
        <v>0.96557515741865396</v>
      </c>
      <c r="O9253" s="2">
        <f ca="1"/>
        <v>-1.6422278707755102</v>
      </c>
      <c r="X9253" s="2">
        <f ca="1"/>
        <v>39.710231634862922</v>
      </c>
      <c r="AG9253" s="2">
        <f ca="1"/>
        <v>0.33396087181620393</v>
      </c>
      <c r="AH9253" s="2" t="str">
        <f ca="1"/>
        <v>OK</v>
      </c>
    </row>
    <row r="9254" spans="2:34" x14ac:dyDescent="0.2">
      <c r="B9254" s="2">
        <f ca="1"/>
        <v>0.51569201455525282</v>
      </c>
      <c r="O9254" s="2">
        <f ca="1"/>
        <v>1.0222763353184368</v>
      </c>
      <c r="X9254" s="2">
        <f ca="1"/>
        <v>37.265822473333017</v>
      </c>
      <c r="AG9254" s="2">
        <f ca="1"/>
        <v>0.88180042569346906</v>
      </c>
      <c r="AH9254" s="2" t="str">
        <f ca="1"/>
        <v>Bad</v>
      </c>
    </row>
    <row r="9255" spans="2:34" x14ac:dyDescent="0.2">
      <c r="B9255" s="2">
        <f ca="1"/>
        <v>0.99146515414411707</v>
      </c>
      <c r="O9255" s="2">
        <f ca="1"/>
        <v>0.72226086093791741</v>
      </c>
      <c r="X9255" s="2">
        <f ca="1"/>
        <v>67.645333793776928</v>
      </c>
      <c r="AG9255" s="2">
        <f ca="1"/>
        <v>0.41682970813008469</v>
      </c>
      <c r="AH9255" s="2" t="str">
        <f ca="1"/>
        <v>Bad</v>
      </c>
    </row>
    <row r="9256" spans="2:34" x14ac:dyDescent="0.2">
      <c r="B9256" s="2">
        <f ca="1"/>
        <v>0.32384728864834256</v>
      </c>
      <c r="O9256" s="2">
        <f ca="1"/>
        <v>-0.6969882144316546</v>
      </c>
      <c r="X9256" s="2">
        <f ca="1"/>
        <v>88.205722061854829</v>
      </c>
      <c r="AG9256" s="2">
        <f ca="1"/>
        <v>0.2612065999944404</v>
      </c>
      <c r="AH9256" s="2" t="str">
        <f ca="1"/>
        <v>OK</v>
      </c>
    </row>
    <row r="9257" spans="2:34" x14ac:dyDescent="0.2">
      <c r="B9257" s="2">
        <f ca="1"/>
        <v>0.4345221598802127</v>
      </c>
      <c r="O9257" s="2">
        <f ca="1"/>
        <v>0.76727973773330294</v>
      </c>
      <c r="X9257" s="2">
        <f ca="1"/>
        <v>45.709059637871619</v>
      </c>
      <c r="AG9257" s="2">
        <f ca="1"/>
        <v>0.58322685815279107</v>
      </c>
      <c r="AH9257" s="2" t="str">
        <f ca="1"/>
        <v>Bad</v>
      </c>
    </row>
    <row r="9258" spans="2:34" x14ac:dyDescent="0.2">
      <c r="B9258" s="2">
        <f ca="1"/>
        <v>0.46527014004779366</v>
      </c>
      <c r="O9258" s="2">
        <f ca="1"/>
        <v>-0.81463137222850301</v>
      </c>
      <c r="X9258" s="2">
        <f ca="1"/>
        <v>71.735765084238096</v>
      </c>
      <c r="AG9258" s="2">
        <f ca="1"/>
        <v>0.57338651589846501</v>
      </c>
      <c r="AH9258" s="2" t="str">
        <f ca="1"/>
        <v>Bad</v>
      </c>
    </row>
    <row r="9259" spans="2:34" x14ac:dyDescent="0.2">
      <c r="B9259" s="2">
        <f ca="1"/>
        <v>0.39510872898286742</v>
      </c>
      <c r="O9259" s="2">
        <f ca="1"/>
        <v>-1.8775333093352466</v>
      </c>
      <c r="X9259" s="2">
        <f ca="1"/>
        <v>97.807939416615639</v>
      </c>
      <c r="AG9259" s="2">
        <f ca="1"/>
        <v>0.1093791994635267</v>
      </c>
      <c r="AH9259" s="2" t="str">
        <f ca="1"/>
        <v>OK</v>
      </c>
    </row>
    <row r="9260" spans="2:34" x14ac:dyDescent="0.2">
      <c r="B9260" s="2">
        <f ca="1"/>
        <v>0.27435858085553266</v>
      </c>
      <c r="O9260" s="2">
        <f ca="1"/>
        <v>-1.3009545970086485</v>
      </c>
      <c r="X9260" s="2">
        <f ca="1"/>
        <v>49.703012643235667</v>
      </c>
      <c r="AG9260" s="2">
        <f ca="1"/>
        <v>0.45163235080922526</v>
      </c>
      <c r="AH9260" s="2" t="str">
        <f ca="1"/>
        <v>Bad</v>
      </c>
    </row>
    <row r="9261" spans="2:34" x14ac:dyDescent="0.2">
      <c r="B9261" s="2">
        <f ca="1"/>
        <v>0.92312160923596531</v>
      </c>
      <c r="O9261" s="2">
        <f ca="1"/>
        <v>-0.98703207397952653</v>
      </c>
      <c r="X9261" s="2">
        <f ca="1"/>
        <v>52.886462574438859</v>
      </c>
      <c r="AG9261" s="2">
        <f ca="1"/>
        <v>0.66907321192386693</v>
      </c>
      <c r="AH9261" s="2" t="str">
        <f ca="1"/>
        <v>Bad</v>
      </c>
    </row>
    <row r="9262" spans="2:34" x14ac:dyDescent="0.2">
      <c r="B9262" s="2">
        <f ca="1"/>
        <v>0.37424356163265515</v>
      </c>
      <c r="O9262" s="2">
        <f ca="1"/>
        <v>-0.89059435884526539</v>
      </c>
      <c r="X9262" s="2">
        <f ca="1"/>
        <v>35.651084301122197</v>
      </c>
      <c r="AG9262" s="2">
        <f ca="1"/>
        <v>0.20035369132733405</v>
      </c>
      <c r="AH9262" s="2" t="str">
        <f ca="1"/>
        <v>OK</v>
      </c>
    </row>
    <row r="9263" spans="2:34" x14ac:dyDescent="0.2">
      <c r="B9263" s="2">
        <f ca="1"/>
        <v>0.27164559292698898</v>
      </c>
      <c r="O9263" s="2">
        <f ca="1"/>
        <v>0.92934550582836783</v>
      </c>
      <c r="X9263" s="2">
        <f ca="1"/>
        <v>80.447612844566521</v>
      </c>
      <c r="AG9263" s="2">
        <f ca="1"/>
        <v>0.16133099530622208</v>
      </c>
      <c r="AH9263" s="2" t="str">
        <f ca="1"/>
        <v>OK</v>
      </c>
    </row>
    <row r="9264" spans="2:34" x14ac:dyDescent="0.2">
      <c r="B9264" s="2">
        <f ca="1"/>
        <v>0.73264091848120949</v>
      </c>
      <c r="O9264" s="2">
        <f ca="1"/>
        <v>-1.6881346483232895</v>
      </c>
      <c r="X9264" s="2">
        <f ca="1"/>
        <v>57.328831074557172</v>
      </c>
      <c r="AG9264" s="2">
        <f ca="1"/>
        <v>0.97442178773745258</v>
      </c>
      <c r="AH9264" s="2" t="str">
        <f ca="1"/>
        <v>Bad</v>
      </c>
    </row>
    <row r="9265" spans="2:34" x14ac:dyDescent="0.2">
      <c r="B9265" s="2">
        <f ca="1"/>
        <v>2.1119957103701958E-2</v>
      </c>
      <c r="O9265" s="2">
        <f ca="1"/>
        <v>-0.53925986416923255</v>
      </c>
      <c r="X9265" s="2">
        <f ca="1"/>
        <v>25.279808470702815</v>
      </c>
      <c r="AG9265" s="2">
        <f ca="1"/>
        <v>0.74328618092170928</v>
      </c>
      <c r="AH9265" s="2" t="str">
        <f ca="1"/>
        <v>Bad</v>
      </c>
    </row>
    <row r="9266" spans="2:34" x14ac:dyDescent="0.2">
      <c r="B9266" s="2">
        <f ca="1"/>
        <v>0.5145216390049252</v>
      </c>
      <c r="O9266" s="2">
        <f ca="1"/>
        <v>-0.23884635045898461</v>
      </c>
      <c r="X9266" s="2">
        <f ca="1"/>
        <v>36.714416699551457</v>
      </c>
      <c r="AG9266" s="2">
        <f ca="1"/>
        <v>0.62894289387259072</v>
      </c>
      <c r="AH9266" s="2" t="str">
        <f ca="1"/>
        <v>Bad</v>
      </c>
    </row>
    <row r="9267" spans="2:34" x14ac:dyDescent="0.2">
      <c r="B9267" s="2">
        <f ca="1"/>
        <v>0.75263090139869959</v>
      </c>
      <c r="O9267" s="2">
        <f ca="1"/>
        <v>-0.19744186305239966</v>
      </c>
      <c r="X9267" s="2">
        <f ca="1"/>
        <v>37.020080095154121</v>
      </c>
      <c r="AG9267" s="2">
        <f ca="1"/>
        <v>0.4379214266610858</v>
      </c>
      <c r="AH9267" s="2" t="str">
        <f ca="1"/>
        <v>Bad</v>
      </c>
    </row>
    <row r="9268" spans="2:34" x14ac:dyDescent="0.2">
      <c r="B9268" s="2">
        <f ca="1"/>
        <v>0.25910419322104739</v>
      </c>
      <c r="O9268" s="2">
        <f ca="1"/>
        <v>1.2429716916378002</v>
      </c>
      <c r="X9268" s="2">
        <f ca="1"/>
        <v>47.875470085377401</v>
      </c>
      <c r="AG9268" s="2">
        <f ca="1"/>
        <v>1.3282158678384004E-2</v>
      </c>
      <c r="AH9268" s="2" t="str">
        <f ca="1"/>
        <v>Good</v>
      </c>
    </row>
    <row r="9269" spans="2:34" x14ac:dyDescent="0.2">
      <c r="B9269" s="2">
        <f ca="1"/>
        <v>0.4288656253186085</v>
      </c>
      <c r="O9269" s="2">
        <f ca="1"/>
        <v>-2.0384612748570872</v>
      </c>
      <c r="X9269" s="2">
        <f ca="1"/>
        <v>55.262479488334144</v>
      </c>
      <c r="AG9269" s="2">
        <f ca="1"/>
        <v>0.33337759317077365</v>
      </c>
      <c r="AH9269" s="2" t="str">
        <f ca="1"/>
        <v>OK</v>
      </c>
    </row>
    <row r="9270" spans="2:34" x14ac:dyDescent="0.2">
      <c r="B9270" s="2">
        <f ca="1"/>
        <v>0.72210108124021088</v>
      </c>
      <c r="O9270" s="2">
        <f ca="1"/>
        <v>0.124460797474542</v>
      </c>
      <c r="X9270" s="2">
        <f ca="1"/>
        <v>45.008896226600477</v>
      </c>
      <c r="AG9270" s="2">
        <f ca="1"/>
        <v>2.9916686503468792E-2</v>
      </c>
      <c r="AH9270" s="2" t="str">
        <f ca="1"/>
        <v>Good</v>
      </c>
    </row>
    <row r="9271" spans="2:34" x14ac:dyDescent="0.2">
      <c r="B9271" s="2">
        <f ca="1"/>
        <v>0.69343383829436767</v>
      </c>
      <c r="O9271" s="2">
        <f ca="1"/>
        <v>-0.1621517356192762</v>
      </c>
      <c r="X9271" s="2">
        <f ca="1"/>
        <v>40.7732689031793</v>
      </c>
      <c r="AG9271" s="2">
        <f ca="1"/>
        <v>0.91849634497879395</v>
      </c>
      <c r="AH9271" s="2" t="str">
        <f ca="1"/>
        <v>Bad</v>
      </c>
    </row>
    <row r="9272" spans="2:34" x14ac:dyDescent="0.2">
      <c r="B9272" s="2">
        <f ca="1"/>
        <v>0.26751445331599677</v>
      </c>
      <c r="O9272" s="2">
        <f ca="1"/>
        <v>1.5168652376549572</v>
      </c>
      <c r="X9272" s="2">
        <f ca="1"/>
        <v>43.80527335213592</v>
      </c>
      <c r="AG9272" s="2">
        <f ca="1"/>
        <v>2.5248946470959766E-2</v>
      </c>
      <c r="AH9272" s="2" t="str">
        <f ca="1"/>
        <v>Good</v>
      </c>
    </row>
    <row r="9273" spans="2:34" x14ac:dyDescent="0.2">
      <c r="B9273" s="2">
        <f ca="1"/>
        <v>0.75798612547648214</v>
      </c>
      <c r="O9273" s="2">
        <f ca="1"/>
        <v>0.51873278844751436</v>
      </c>
      <c r="X9273" s="2">
        <f ca="1"/>
        <v>26.18376874991311</v>
      </c>
      <c r="AG9273" s="2">
        <f ca="1"/>
        <v>0.70982766525132579</v>
      </c>
      <c r="AH9273" s="2" t="str">
        <f ca="1"/>
        <v>Bad</v>
      </c>
    </row>
    <row r="9274" spans="2:34" x14ac:dyDescent="0.2">
      <c r="B9274" s="2">
        <f ca="1"/>
        <v>0.76330749684806221</v>
      </c>
      <c r="O9274" s="2">
        <f ca="1"/>
        <v>6.8037079523261212E-2</v>
      </c>
      <c r="X9274" s="2">
        <f ca="1"/>
        <v>57.114129352349323</v>
      </c>
      <c r="AG9274" s="2">
        <f ca="1"/>
        <v>0.76514831982599874</v>
      </c>
      <c r="AH9274" s="2" t="str">
        <f ca="1"/>
        <v>Bad</v>
      </c>
    </row>
    <row r="9275" spans="2:34" x14ac:dyDescent="0.2">
      <c r="B9275" s="2">
        <f ca="1"/>
        <v>0.77443593965173685</v>
      </c>
      <c r="O9275" s="2">
        <f ca="1"/>
        <v>-1.8674360689938907</v>
      </c>
      <c r="X9275" s="2">
        <f ca="1"/>
        <v>69.660292069723511</v>
      </c>
      <c r="AG9275" s="2">
        <f ca="1"/>
        <v>5.4443975551200285E-2</v>
      </c>
      <c r="AH9275" s="2" t="str">
        <f ca="1"/>
        <v>OK</v>
      </c>
    </row>
    <row r="9276" spans="2:34" x14ac:dyDescent="0.2">
      <c r="B9276" s="2">
        <f ca="1"/>
        <v>0.79166559571977246</v>
      </c>
      <c r="O9276" s="2">
        <f ca="1"/>
        <v>-0.99846422764266241</v>
      </c>
      <c r="X9276" s="2">
        <f ca="1"/>
        <v>25.077919216891139</v>
      </c>
      <c r="AG9276" s="2">
        <f ca="1"/>
        <v>0.12956395298120493</v>
      </c>
      <c r="AH9276" s="2" t="str">
        <f ca="1"/>
        <v>OK</v>
      </c>
    </row>
    <row r="9277" spans="2:34" x14ac:dyDescent="0.2">
      <c r="B9277" s="2">
        <f ca="1"/>
        <v>5.1345340538714757E-2</v>
      </c>
      <c r="O9277" s="2">
        <f ca="1"/>
        <v>-0.20664292371374918</v>
      </c>
      <c r="X9277" s="2">
        <f ca="1"/>
        <v>50.358677029181749</v>
      </c>
      <c r="AG9277" s="2">
        <f ca="1"/>
        <v>0.82764807566225751</v>
      </c>
      <c r="AH9277" s="2" t="str">
        <f ca="1"/>
        <v>Bad</v>
      </c>
    </row>
    <row r="9278" spans="2:34" x14ac:dyDescent="0.2">
      <c r="B9278" s="2">
        <f ca="1"/>
        <v>0.89842345196299478</v>
      </c>
      <c r="O9278" s="2">
        <f ca="1"/>
        <v>-0.77022759544612485</v>
      </c>
      <c r="X9278" s="2">
        <f ca="1"/>
        <v>50.934694860449603</v>
      </c>
      <c r="AG9278" s="2">
        <f ca="1"/>
        <v>0.88130384201912548</v>
      </c>
      <c r="AH9278" s="2" t="str">
        <f ca="1"/>
        <v>Bad</v>
      </c>
    </row>
    <row r="9279" spans="2:34" x14ac:dyDescent="0.2">
      <c r="B9279" s="2">
        <f ca="1"/>
        <v>0.32957218643566333</v>
      </c>
      <c r="O9279" s="2">
        <f ca="1"/>
        <v>0.77882815085079649</v>
      </c>
      <c r="X9279" s="2">
        <f ca="1"/>
        <v>53.124990665379499</v>
      </c>
      <c r="AG9279" s="2">
        <f ca="1"/>
        <v>0.76413883356762446</v>
      </c>
      <c r="AH9279" s="2" t="str">
        <f ca="1"/>
        <v>Bad</v>
      </c>
    </row>
    <row r="9280" spans="2:34" x14ac:dyDescent="0.2">
      <c r="B9280" s="2">
        <f ca="1"/>
        <v>0.48389431290892615</v>
      </c>
      <c r="O9280" s="2">
        <f ca="1"/>
        <v>1.2940606682858191</v>
      </c>
      <c r="X9280" s="2">
        <f ca="1"/>
        <v>66.920694373496218</v>
      </c>
      <c r="AG9280" s="2">
        <f ca="1"/>
        <v>0.67754768530505993</v>
      </c>
      <c r="AH9280" s="2" t="str">
        <f ca="1"/>
        <v>Bad</v>
      </c>
    </row>
    <row r="9281" spans="2:34" x14ac:dyDescent="0.2">
      <c r="B9281" s="2">
        <f ca="1"/>
        <v>0.72338175172442876</v>
      </c>
      <c r="O9281" s="2">
        <f ca="1"/>
        <v>-9.7778138652334104E-2</v>
      </c>
      <c r="X9281" s="2">
        <f ca="1"/>
        <v>34.444500643923583</v>
      </c>
      <c r="AG9281" s="2">
        <f ca="1"/>
        <v>0.3356129634468914</v>
      </c>
      <c r="AH9281" s="2" t="str">
        <f ca="1"/>
        <v>OK</v>
      </c>
    </row>
    <row r="9282" spans="2:34" x14ac:dyDescent="0.2">
      <c r="B9282" s="2">
        <f ca="1"/>
        <v>0.45638030176056588</v>
      </c>
      <c r="O9282" s="2">
        <f ca="1"/>
        <v>-1.3018588567003184</v>
      </c>
      <c r="X9282" s="2">
        <f ca="1"/>
        <v>53.630818523461777</v>
      </c>
      <c r="AG9282" s="2">
        <f ca="1"/>
        <v>0.62330983020222019</v>
      </c>
      <c r="AH9282" s="2" t="str">
        <f ca="1"/>
        <v>Bad</v>
      </c>
    </row>
    <row r="9283" spans="2:34" x14ac:dyDescent="0.2">
      <c r="B9283" s="2">
        <f ca="1"/>
        <v>0.70552858200026303</v>
      </c>
      <c r="O9283" s="2">
        <f ca="1"/>
        <v>0.72420430253772705</v>
      </c>
      <c r="X9283" s="2">
        <f ca="1"/>
        <v>45.035587037709568</v>
      </c>
      <c r="AG9283" s="2">
        <f ca="1"/>
        <v>0.62203626601487683</v>
      </c>
      <c r="AH9283" s="2" t="str">
        <f ca="1"/>
        <v>Bad</v>
      </c>
    </row>
    <row r="9284" spans="2:34" x14ac:dyDescent="0.2">
      <c r="B9284" s="2">
        <f ca="1"/>
        <v>0.49740566308704737</v>
      </c>
      <c r="O9284" s="2">
        <f ca="1"/>
        <v>0.57261430133912428</v>
      </c>
      <c r="X9284" s="2">
        <f ca="1"/>
        <v>56.266580766901157</v>
      </c>
      <c r="AG9284" s="2">
        <f ca="1"/>
        <v>0.40603349048054582</v>
      </c>
      <c r="AH9284" s="2" t="str">
        <f ca="1"/>
        <v>Bad</v>
      </c>
    </row>
    <row r="9285" spans="2:34" x14ac:dyDescent="0.2">
      <c r="B9285" s="2">
        <f ca="1"/>
        <v>0.82001611684006348</v>
      </c>
      <c r="O9285" s="2">
        <f ca="1"/>
        <v>-0.43291787577613355</v>
      </c>
      <c r="X9285" s="2">
        <f ca="1"/>
        <v>57.193678533710411</v>
      </c>
      <c r="AG9285" s="2">
        <f ca="1"/>
        <v>0.89956204413555541</v>
      </c>
      <c r="AH9285" s="2" t="str">
        <f ca="1"/>
        <v>Bad</v>
      </c>
    </row>
    <row r="9286" spans="2:34" x14ac:dyDescent="0.2">
      <c r="B9286" s="2">
        <f ca="1"/>
        <v>0.95242112185443584</v>
      </c>
      <c r="O9286" s="2">
        <f ca="1"/>
        <v>2.1512360733757965</v>
      </c>
      <c r="X9286" s="2">
        <f ca="1"/>
        <v>25.663984977477583</v>
      </c>
      <c r="AG9286" s="2">
        <f ca="1"/>
        <v>0.57591024327015572</v>
      </c>
      <c r="AH9286" s="2" t="str">
        <f ca="1"/>
        <v>Bad</v>
      </c>
    </row>
    <row r="9287" spans="2:34" x14ac:dyDescent="0.2">
      <c r="B9287" s="2">
        <f ca="1"/>
        <v>0.24596084101306714</v>
      </c>
      <c r="O9287" s="2">
        <f ca="1"/>
        <v>1.8507022787074847</v>
      </c>
      <c r="X9287" s="2">
        <f ca="1"/>
        <v>35.829173147075998</v>
      </c>
      <c r="AG9287" s="2">
        <f ca="1"/>
        <v>7.6433959526753803E-2</v>
      </c>
      <c r="AH9287" s="2" t="str">
        <f ca="1"/>
        <v>OK</v>
      </c>
    </row>
    <row r="9288" spans="2:34" x14ac:dyDescent="0.2">
      <c r="B9288" s="2">
        <f ca="1"/>
        <v>0.58745443979083789</v>
      </c>
      <c r="O9288" s="2">
        <f ca="1"/>
        <v>-0.54499028906099767</v>
      </c>
      <c r="X9288" s="2">
        <f ca="1"/>
        <v>55.715350939023068</v>
      </c>
      <c r="AG9288" s="2">
        <f ca="1"/>
        <v>0.1135416329326755</v>
      </c>
      <c r="AH9288" s="2" t="str">
        <f ca="1"/>
        <v>OK</v>
      </c>
    </row>
    <row r="9289" spans="2:34" x14ac:dyDescent="0.2">
      <c r="B9289" s="2">
        <f ca="1"/>
        <v>0.58399586254665437</v>
      </c>
      <c r="O9289" s="2">
        <f ca="1"/>
        <v>0.62479317124416278</v>
      </c>
      <c r="X9289" s="2">
        <f ca="1"/>
        <v>41.108529078336772</v>
      </c>
      <c r="AG9289" s="2">
        <f ca="1"/>
        <v>6.6721157323309521E-2</v>
      </c>
      <c r="AH9289" s="2" t="str">
        <f ca="1"/>
        <v>OK</v>
      </c>
    </row>
    <row r="9290" spans="2:34" x14ac:dyDescent="0.2">
      <c r="B9290" s="2">
        <f ca="1"/>
        <v>0.6145654146111077</v>
      </c>
      <c r="O9290" s="2">
        <f ca="1"/>
        <v>-0.14862053430355018</v>
      </c>
      <c r="X9290" s="2">
        <f ca="1"/>
        <v>90.908325112779593</v>
      </c>
      <c r="AG9290" s="2">
        <f ca="1"/>
        <v>0.24997449843279185</v>
      </c>
      <c r="AH9290" s="2" t="str">
        <f ca="1"/>
        <v>OK</v>
      </c>
    </row>
    <row r="9291" spans="2:34" x14ac:dyDescent="0.2">
      <c r="B9291" s="2">
        <f ca="1"/>
        <v>0.2101638649496993</v>
      </c>
      <c r="O9291" s="2">
        <f ca="1"/>
        <v>1.0067372189843649</v>
      </c>
      <c r="X9291" s="2">
        <f ca="1"/>
        <v>42.638370637372518</v>
      </c>
      <c r="AG9291" s="2">
        <f ca="1"/>
        <v>0.94857758485678412</v>
      </c>
      <c r="AH9291" s="2" t="str">
        <f ca="1"/>
        <v>Bad</v>
      </c>
    </row>
    <row r="9292" spans="2:34" x14ac:dyDescent="0.2">
      <c r="B9292" s="2">
        <f ca="1"/>
        <v>0.80226820599647453</v>
      </c>
      <c r="O9292" s="2">
        <f ca="1"/>
        <v>-0.57499024865521431</v>
      </c>
      <c r="X9292" s="2">
        <f ca="1"/>
        <v>32.700488903820641</v>
      </c>
      <c r="AG9292" s="2">
        <f ca="1"/>
        <v>0.79972922464966301</v>
      </c>
      <c r="AH9292" s="2" t="str">
        <f ca="1"/>
        <v>Bad</v>
      </c>
    </row>
    <row r="9293" spans="2:34" x14ac:dyDescent="0.2">
      <c r="B9293" s="2">
        <f ca="1"/>
        <v>0.42289911852856843</v>
      </c>
      <c r="O9293" s="2">
        <f ca="1"/>
        <v>-0.38068980897704929</v>
      </c>
      <c r="X9293" s="2">
        <f ca="1"/>
        <v>56.109265352656969</v>
      </c>
      <c r="AG9293" s="2">
        <f ca="1"/>
        <v>0.15657524606177065</v>
      </c>
      <c r="AH9293" s="2" t="str">
        <f ca="1"/>
        <v>OK</v>
      </c>
    </row>
    <row r="9294" spans="2:34" x14ac:dyDescent="0.2">
      <c r="B9294" s="2">
        <f ca="1"/>
        <v>0.97617255339920717</v>
      </c>
      <c r="O9294" s="2">
        <f ca="1"/>
        <v>-1.0085352498282822</v>
      </c>
      <c r="X9294" s="2">
        <f ca="1"/>
        <v>59.722952707278168</v>
      </c>
      <c r="AG9294" s="2">
        <f ca="1"/>
        <v>0.50174905234096046</v>
      </c>
      <c r="AH9294" s="2" t="str">
        <f ca="1"/>
        <v>Bad</v>
      </c>
    </row>
    <row r="9295" spans="2:34" x14ac:dyDescent="0.2">
      <c r="B9295" s="2">
        <f ca="1"/>
        <v>0.52975296097835423</v>
      </c>
      <c r="O9295" s="2">
        <f ca="1"/>
        <v>1.7287005985148278</v>
      </c>
      <c r="X9295" s="2">
        <f ca="1"/>
        <v>43.548771311126998</v>
      </c>
      <c r="AG9295" s="2">
        <f ca="1"/>
        <v>0.83275930201831616</v>
      </c>
      <c r="AH9295" s="2" t="str">
        <f ca="1"/>
        <v>Bad</v>
      </c>
    </row>
    <row r="9296" spans="2:34" x14ac:dyDescent="0.2">
      <c r="B9296" s="2">
        <f ca="1"/>
        <v>0.81560439454269074</v>
      </c>
      <c r="O9296" s="2">
        <f ca="1"/>
        <v>1.6089151608613816</v>
      </c>
      <c r="X9296" s="2">
        <f ca="1"/>
        <v>35.081882754274538</v>
      </c>
      <c r="AG9296" s="2">
        <f ca="1"/>
        <v>0.71728555294719532</v>
      </c>
      <c r="AH9296" s="2" t="str">
        <f ca="1"/>
        <v>Bad</v>
      </c>
    </row>
    <row r="9297" spans="2:34" x14ac:dyDescent="0.2">
      <c r="B9297" s="2">
        <f ca="1"/>
        <v>0.37405093849018245</v>
      </c>
      <c r="O9297" s="2">
        <f ca="1"/>
        <v>0.75560360415816297</v>
      </c>
      <c r="X9297" s="2">
        <f ca="1"/>
        <v>51.925502866439359</v>
      </c>
      <c r="AG9297" s="2">
        <f ca="1"/>
        <v>0.32403107736394388</v>
      </c>
      <c r="AH9297" s="2" t="str">
        <f ca="1"/>
        <v>OK</v>
      </c>
    </row>
    <row r="9298" spans="2:34" x14ac:dyDescent="0.2">
      <c r="B9298" s="2">
        <f ca="1"/>
        <v>0.58016968660160417</v>
      </c>
      <c r="O9298" s="2">
        <f ca="1"/>
        <v>0.38111395260597036</v>
      </c>
      <c r="X9298" s="2">
        <f ca="1"/>
        <v>50.945978663792737</v>
      </c>
      <c r="AG9298" s="2">
        <f ca="1"/>
        <v>3.5557039958300507E-4</v>
      </c>
      <c r="AH9298" s="2" t="str">
        <f ca="1"/>
        <v>Good</v>
      </c>
    </row>
    <row r="9299" spans="2:34" x14ac:dyDescent="0.2">
      <c r="B9299" s="2">
        <f ca="1"/>
        <v>0.22056473949746858</v>
      </c>
      <c r="O9299" s="2">
        <f ca="1"/>
        <v>0.7680324259364858</v>
      </c>
      <c r="X9299" s="2">
        <f ca="1"/>
        <v>26.180668998116165</v>
      </c>
      <c r="AG9299" s="2">
        <f ca="1"/>
        <v>0.19307934856904363</v>
      </c>
      <c r="AH9299" s="2" t="str">
        <f ca="1"/>
        <v>OK</v>
      </c>
    </row>
    <row r="9300" spans="2:34" x14ac:dyDescent="0.2">
      <c r="B9300" s="2">
        <f ca="1"/>
        <v>0.73161437243059901</v>
      </c>
      <c r="O9300" s="2">
        <f ca="1"/>
        <v>-0.64285680909192788</v>
      </c>
      <c r="X9300" s="2">
        <f ca="1"/>
        <v>48.243555044521983</v>
      </c>
      <c r="AG9300" s="2">
        <f ca="1"/>
        <v>4.4444135134750429E-2</v>
      </c>
      <c r="AH9300" s="2" t="str">
        <f ca="1"/>
        <v>Good</v>
      </c>
    </row>
    <row r="9301" spans="2:34" x14ac:dyDescent="0.2">
      <c r="B9301" s="2">
        <f ca="1"/>
        <v>0.34642308464575922</v>
      </c>
      <c r="O9301" s="2">
        <f ca="1"/>
        <v>-4.0588341858105031E-2</v>
      </c>
      <c r="X9301" s="2">
        <f ca="1"/>
        <v>47.28663853783172</v>
      </c>
      <c r="AG9301" s="2">
        <f ca="1"/>
        <v>0.12885241625131139</v>
      </c>
      <c r="AH9301" s="2" t="str">
        <f ca="1"/>
        <v>OK</v>
      </c>
    </row>
    <row r="9302" spans="2:34" x14ac:dyDescent="0.2">
      <c r="B9302" s="2">
        <f ca="1"/>
        <v>2.587089213254945E-2</v>
      </c>
      <c r="O9302" s="2">
        <f ca="1"/>
        <v>-0.21517884362996376</v>
      </c>
      <c r="X9302" s="2">
        <f ca="1"/>
        <v>61.652806154073659</v>
      </c>
      <c r="AG9302" s="2">
        <f ca="1"/>
        <v>0.21096080731632405</v>
      </c>
      <c r="AH9302" s="2" t="str">
        <f ca="1"/>
        <v>OK</v>
      </c>
    </row>
    <row r="9303" spans="2:34" x14ac:dyDescent="0.2">
      <c r="B9303" s="2">
        <f ca="1"/>
        <v>0.40569392219044831</v>
      </c>
      <c r="O9303" s="2">
        <f ca="1"/>
        <v>0.62773322531845732</v>
      </c>
      <c r="X9303" s="2">
        <f ca="1"/>
        <v>57.395146294943146</v>
      </c>
      <c r="AG9303" s="2">
        <f ca="1"/>
        <v>0.78121509677957124</v>
      </c>
      <c r="AH9303" s="2" t="str">
        <f ca="1"/>
        <v>Bad</v>
      </c>
    </row>
    <row r="9304" spans="2:34" x14ac:dyDescent="0.2">
      <c r="B9304" s="2">
        <f ca="1"/>
        <v>0.81039490019915172</v>
      </c>
      <c r="O9304" s="2">
        <f ca="1"/>
        <v>-0.1881004973433581</v>
      </c>
      <c r="X9304" s="2">
        <f ca="1"/>
        <v>86.675798377360564</v>
      </c>
      <c r="AG9304" s="2">
        <f ca="1"/>
        <v>0.44424707813083697</v>
      </c>
      <c r="AH9304" s="2" t="str">
        <f ca="1"/>
        <v>Bad</v>
      </c>
    </row>
    <row r="9305" spans="2:34" x14ac:dyDescent="0.2">
      <c r="B9305" s="2">
        <f ca="1"/>
        <v>0.62641343877147038</v>
      </c>
      <c r="O9305" s="2">
        <f ca="1"/>
        <v>0.13110921266201242</v>
      </c>
      <c r="X9305" s="2">
        <f ca="1"/>
        <v>65.144846774415669</v>
      </c>
      <c r="AG9305" s="2">
        <f ca="1"/>
        <v>0.42940056577877694</v>
      </c>
      <c r="AH9305" s="2" t="str">
        <f ca="1"/>
        <v>Bad</v>
      </c>
    </row>
    <row r="9306" spans="2:34" x14ac:dyDescent="0.2">
      <c r="B9306" s="2">
        <f ca="1"/>
        <v>0.15880714792946482</v>
      </c>
      <c r="O9306" s="2">
        <f ca="1"/>
        <v>-1.1093532984858012</v>
      </c>
      <c r="X9306" s="2">
        <f ca="1"/>
        <v>36.171638332004832</v>
      </c>
      <c r="AG9306" s="2">
        <f ca="1"/>
        <v>0.48361907162001794</v>
      </c>
      <c r="AH9306" s="2" t="str">
        <f ca="1"/>
        <v>Bad</v>
      </c>
    </row>
    <row r="9307" spans="2:34" x14ac:dyDescent="0.2">
      <c r="B9307" s="2">
        <f ca="1"/>
        <v>0.39664889640151935</v>
      </c>
      <c r="O9307" s="2">
        <f ca="1"/>
        <v>-0.29131213461927447</v>
      </c>
      <c r="X9307" s="2">
        <f ca="1"/>
        <v>48.319043244180477</v>
      </c>
      <c r="AG9307" s="2">
        <f ca="1"/>
        <v>0.37811070206448516</v>
      </c>
      <c r="AH9307" s="2" t="str">
        <f ca="1"/>
        <v>OK</v>
      </c>
    </row>
    <row r="9308" spans="2:34" x14ac:dyDescent="0.2">
      <c r="B9308" s="2">
        <f ca="1"/>
        <v>3.7246829775179569E-2</v>
      </c>
      <c r="O9308" s="2">
        <f ca="1"/>
        <v>-0.4289716471285841</v>
      </c>
      <c r="X9308" s="2">
        <f ca="1"/>
        <v>32.802301826150014</v>
      </c>
      <c r="AG9308" s="2">
        <f ca="1"/>
        <v>7.7185679403299456E-2</v>
      </c>
      <c r="AH9308" s="2" t="str">
        <f ca="1"/>
        <v>OK</v>
      </c>
    </row>
    <row r="9309" spans="2:34" x14ac:dyDescent="0.2">
      <c r="B9309" s="2">
        <f ca="1"/>
        <v>0.74413557327892743</v>
      </c>
      <c r="O9309" s="2">
        <f ca="1"/>
        <v>0.66303482923166024</v>
      </c>
      <c r="X9309" s="2">
        <f ca="1"/>
        <v>39.182026539877654</v>
      </c>
      <c r="AG9309" s="2">
        <f ca="1"/>
        <v>9.3642826094309628E-2</v>
      </c>
      <c r="AH9309" s="2" t="str">
        <f ca="1"/>
        <v>OK</v>
      </c>
    </row>
    <row r="9310" spans="2:34" x14ac:dyDescent="0.2">
      <c r="B9310" s="2">
        <f ca="1"/>
        <v>0.27708148790122089</v>
      </c>
      <c r="O9310" s="2">
        <f ca="1"/>
        <v>-0.41412943330774982</v>
      </c>
      <c r="X9310" s="2">
        <f ca="1"/>
        <v>53.95319290870313</v>
      </c>
      <c r="AG9310" s="2">
        <f ca="1"/>
        <v>0.6537098535132968</v>
      </c>
      <c r="AH9310" s="2" t="str">
        <f ca="1"/>
        <v>Bad</v>
      </c>
    </row>
    <row r="9311" spans="2:34" x14ac:dyDescent="0.2">
      <c r="B9311" s="2">
        <f ca="1"/>
        <v>0.58924815901903238</v>
      </c>
      <c r="O9311" s="2">
        <f ca="1"/>
        <v>1.3395841875848382</v>
      </c>
      <c r="X9311" s="2">
        <f ca="1"/>
        <v>32.250625822268503</v>
      </c>
      <c r="AG9311" s="2">
        <f ca="1"/>
        <v>0.48936563996782967</v>
      </c>
      <c r="AH9311" s="2" t="str">
        <f ca="1"/>
        <v>Bad</v>
      </c>
    </row>
    <row r="9312" spans="2:34" x14ac:dyDescent="0.2">
      <c r="B9312" s="2">
        <f ca="1"/>
        <v>0.53986213958864315</v>
      </c>
      <c r="O9312" s="2">
        <f ca="1"/>
        <v>-1.2315470684502443</v>
      </c>
      <c r="X9312" s="2">
        <f ca="1"/>
        <v>38.664211786883456</v>
      </c>
      <c r="AG9312" s="2">
        <f ca="1"/>
        <v>0.78113992409943922</v>
      </c>
      <c r="AH9312" s="2" t="str">
        <f ca="1"/>
        <v>Bad</v>
      </c>
    </row>
    <row r="9313" spans="2:34" x14ac:dyDescent="0.2">
      <c r="B9313" s="2">
        <f ca="1"/>
        <v>0.15576558842992916</v>
      </c>
      <c r="O9313" s="2">
        <f ca="1"/>
        <v>1.6019845919615316</v>
      </c>
      <c r="X9313" s="2">
        <f ca="1"/>
        <v>29.912707550642633</v>
      </c>
      <c r="AG9313" s="2">
        <f ca="1"/>
        <v>0.14841874592166482</v>
      </c>
      <c r="AH9313" s="2" t="str">
        <f ca="1"/>
        <v>OK</v>
      </c>
    </row>
    <row r="9314" spans="2:34" x14ac:dyDescent="0.2">
      <c r="B9314" s="2">
        <f ca="1"/>
        <v>0.75557107483020358</v>
      </c>
      <c r="O9314" s="2">
        <f ca="1"/>
        <v>1.1815545276337871</v>
      </c>
      <c r="X9314" s="2">
        <f ca="1"/>
        <v>56.030294137886337</v>
      </c>
      <c r="AG9314" s="2">
        <f ca="1"/>
        <v>0.91892869867048343</v>
      </c>
      <c r="AH9314" s="2" t="str">
        <f ca="1"/>
        <v>Bad</v>
      </c>
    </row>
    <row r="9315" spans="2:34" x14ac:dyDescent="0.2">
      <c r="B9315" s="2">
        <f ca="1"/>
        <v>0.52211507469181129</v>
      </c>
      <c r="O9315" s="2">
        <f ca="1"/>
        <v>-0.41092047142970967</v>
      </c>
      <c r="X9315" s="2">
        <f ca="1"/>
        <v>37.120528963428029</v>
      </c>
      <c r="AG9315" s="2">
        <f ca="1"/>
        <v>0.66052761807042226</v>
      </c>
      <c r="AH9315" s="2" t="str">
        <f ca="1"/>
        <v>Bad</v>
      </c>
    </row>
    <row r="9316" spans="2:34" x14ac:dyDescent="0.2">
      <c r="B9316" s="2">
        <f ca="1"/>
        <v>2.9287398518647034E-3</v>
      </c>
      <c r="O9316" s="2">
        <f ca="1"/>
        <v>-0.19258239354906553</v>
      </c>
      <c r="X9316" s="2">
        <f ca="1"/>
        <v>56.786577253926609</v>
      </c>
      <c r="AG9316" s="2">
        <f ca="1"/>
        <v>0.88297114636703355</v>
      </c>
      <c r="AH9316" s="2" t="str">
        <f ca="1"/>
        <v>Bad</v>
      </c>
    </row>
    <row r="9317" spans="2:34" x14ac:dyDescent="0.2">
      <c r="B9317" s="2">
        <f ca="1"/>
        <v>0.73638746811298739</v>
      </c>
      <c r="O9317" s="2">
        <f ca="1"/>
        <v>0.88556035369710528</v>
      </c>
      <c r="X9317" s="2">
        <f ca="1"/>
        <v>75.752006735138067</v>
      </c>
      <c r="AG9317" s="2">
        <f ca="1"/>
        <v>0.16237304748826031</v>
      </c>
      <c r="AH9317" s="2" t="str">
        <f ca="1"/>
        <v>OK</v>
      </c>
    </row>
    <row r="9318" spans="2:34" x14ac:dyDescent="0.2">
      <c r="B9318" s="2">
        <f ca="1"/>
        <v>0.12371584699423988</v>
      </c>
      <c r="O9318" s="2">
        <f ca="1"/>
        <v>-0.94983915324258761</v>
      </c>
      <c r="X9318" s="2">
        <f ca="1"/>
        <v>93.991562650655212</v>
      </c>
      <c r="AG9318" s="2">
        <f ca="1"/>
        <v>0.24416097906334833</v>
      </c>
      <c r="AH9318" s="2" t="str">
        <f ca="1"/>
        <v>OK</v>
      </c>
    </row>
    <row r="9319" spans="2:34" x14ac:dyDescent="0.2">
      <c r="B9319" s="2">
        <f ca="1"/>
        <v>0.66920395966131307</v>
      </c>
      <c r="O9319" s="2">
        <f ca="1"/>
        <v>0.40237561660204457</v>
      </c>
      <c r="X9319" s="2">
        <f ca="1"/>
        <v>52.641447701396331</v>
      </c>
      <c r="AG9319" s="2">
        <f ca="1"/>
        <v>0.95994703030384798</v>
      </c>
      <c r="AH9319" s="2" t="str">
        <f ca="1"/>
        <v>Bad</v>
      </c>
    </row>
    <row r="9320" spans="2:34" x14ac:dyDescent="0.2">
      <c r="B9320" s="2">
        <f ca="1"/>
        <v>0.88282505414290324</v>
      </c>
      <c r="O9320" s="2">
        <f ca="1"/>
        <v>-0.71214997119322532</v>
      </c>
      <c r="X9320" s="2">
        <f ca="1"/>
        <v>44.560415621011487</v>
      </c>
      <c r="AG9320" s="2">
        <f ca="1"/>
        <v>0.93516577008795054</v>
      </c>
      <c r="AH9320" s="2" t="str">
        <f ca="1"/>
        <v>Bad</v>
      </c>
    </row>
    <row r="9321" spans="2:34" x14ac:dyDescent="0.2">
      <c r="B9321" s="2">
        <f ca="1"/>
        <v>0.82437297055620795</v>
      </c>
      <c r="O9321" s="2">
        <f ca="1"/>
        <v>-1.6240842295473852</v>
      </c>
      <c r="X9321" s="2">
        <f ca="1"/>
        <v>35.771250839786923</v>
      </c>
      <c r="AG9321" s="2">
        <f ca="1"/>
        <v>1.0662478401143094E-2</v>
      </c>
      <c r="AH9321" s="2" t="str">
        <f ca="1"/>
        <v>Good</v>
      </c>
    </row>
    <row r="9322" spans="2:34" x14ac:dyDescent="0.2">
      <c r="B9322" s="2">
        <f ca="1"/>
        <v>4.1770101045008889E-3</v>
      </c>
      <c r="O9322" s="2">
        <f ca="1"/>
        <v>1.091166233329663</v>
      </c>
      <c r="X9322" s="2">
        <f ca="1"/>
        <v>48.617030327425901</v>
      </c>
      <c r="AG9322" s="2">
        <f ca="1"/>
        <v>0.94381779985829128</v>
      </c>
      <c r="AH9322" s="2" t="str">
        <f ca="1"/>
        <v>Bad</v>
      </c>
    </row>
    <row r="9323" spans="2:34" x14ac:dyDescent="0.2">
      <c r="B9323" s="2">
        <f ca="1"/>
        <v>0.57252792429378707</v>
      </c>
      <c r="O9323" s="2">
        <f ca="1"/>
        <v>-1.9235909563296978</v>
      </c>
      <c r="X9323" s="2">
        <f ca="1"/>
        <v>46.629773613298667</v>
      </c>
      <c r="AG9323" s="2">
        <f ca="1"/>
        <v>0.61972136722172344</v>
      </c>
      <c r="AH9323" s="2" t="str">
        <f ca="1"/>
        <v>Bad</v>
      </c>
    </row>
    <row r="9324" spans="2:34" x14ac:dyDescent="0.2">
      <c r="B9324" s="2">
        <f ca="1"/>
        <v>0.65468525138993017</v>
      </c>
      <c r="O9324" s="2">
        <f ca="1"/>
        <v>0.55399927802977667</v>
      </c>
      <c r="X9324" s="2">
        <f ca="1"/>
        <v>57.464047453523328</v>
      </c>
      <c r="AG9324" s="2">
        <f ca="1"/>
        <v>0.90145336922972552</v>
      </c>
      <c r="AH9324" s="2" t="str">
        <f ca="1"/>
        <v>Bad</v>
      </c>
    </row>
    <row r="9325" spans="2:34" x14ac:dyDescent="0.2">
      <c r="B9325" s="2">
        <f ca="1"/>
        <v>0.91354067381357584</v>
      </c>
      <c r="O9325" s="2">
        <f ca="1"/>
        <v>-0.11208976452491762</v>
      </c>
      <c r="X9325" s="2">
        <f ca="1"/>
        <v>59.04166494222445</v>
      </c>
      <c r="AG9325" s="2">
        <f ca="1"/>
        <v>0.94281305224734768</v>
      </c>
      <c r="AH9325" s="2" t="str">
        <f ca="1"/>
        <v>Bad</v>
      </c>
    </row>
    <row r="9326" spans="2:34" x14ac:dyDescent="0.2">
      <c r="B9326" s="2">
        <f ca="1"/>
        <v>0.36628417144718184</v>
      </c>
      <c r="O9326" s="2">
        <f ca="1"/>
        <v>0.24972388653555211</v>
      </c>
      <c r="X9326" s="2">
        <f ca="1"/>
        <v>20.183013592186342</v>
      </c>
      <c r="AG9326" s="2">
        <f ca="1"/>
        <v>0.60394541199358009</v>
      </c>
      <c r="AH9326" s="2" t="str">
        <f ca="1"/>
        <v>Bad</v>
      </c>
    </row>
    <row r="9327" spans="2:34" x14ac:dyDescent="0.2">
      <c r="B9327" s="2">
        <f ca="1"/>
        <v>0.49379458159894085</v>
      </c>
      <c r="O9327" s="2">
        <f ca="1"/>
        <v>0.66962926752538354</v>
      </c>
      <c r="X9327" s="2">
        <f ca="1"/>
        <v>62.0286934506683</v>
      </c>
      <c r="AG9327" s="2">
        <f ca="1"/>
        <v>0.73217610038037351</v>
      </c>
      <c r="AH9327" s="2" t="str">
        <f ca="1"/>
        <v>Bad</v>
      </c>
    </row>
    <row r="9328" spans="2:34" x14ac:dyDescent="0.2">
      <c r="B9328" s="2">
        <f ca="1"/>
        <v>0.12245492760877918</v>
      </c>
      <c r="O9328" s="2">
        <f ca="1"/>
        <v>-1.2502851868620908</v>
      </c>
      <c r="X9328" s="2">
        <f ca="1"/>
        <v>44.430931269803999</v>
      </c>
      <c r="AG9328" s="2">
        <f ca="1"/>
        <v>0.43052990757497089</v>
      </c>
      <c r="AH9328" s="2" t="str">
        <f ca="1"/>
        <v>Bad</v>
      </c>
    </row>
    <row r="9329" spans="2:34" x14ac:dyDescent="0.2">
      <c r="B9329" s="2">
        <f ca="1"/>
        <v>0.74047038181414204</v>
      </c>
      <c r="O9329" s="2">
        <f ca="1"/>
        <v>0.89840180070916054</v>
      </c>
      <c r="X9329" s="2">
        <f ca="1"/>
        <v>46.67181549775016</v>
      </c>
      <c r="AG9329" s="2">
        <f ca="1"/>
        <v>5.3045943860488665E-2</v>
      </c>
      <c r="AH9329" s="2" t="str">
        <f ca="1"/>
        <v>OK</v>
      </c>
    </row>
    <row r="9330" spans="2:34" x14ac:dyDescent="0.2">
      <c r="B9330" s="2">
        <f ca="1"/>
        <v>0.38981575265749346</v>
      </c>
      <c r="O9330" s="2">
        <f ca="1"/>
        <v>-0.13063731347418606</v>
      </c>
      <c r="X9330" s="2">
        <f ca="1"/>
        <v>61.774938055409152</v>
      </c>
      <c r="AG9330" s="2">
        <f ca="1"/>
        <v>0.79755465343256038</v>
      </c>
      <c r="AH9330" s="2" t="str">
        <f ca="1"/>
        <v>Bad</v>
      </c>
    </row>
    <row r="9331" spans="2:34" x14ac:dyDescent="0.2">
      <c r="B9331" s="2">
        <f ca="1"/>
        <v>0.15536603038925323</v>
      </c>
      <c r="O9331" s="2">
        <f ca="1"/>
        <v>2.3149570760100557</v>
      </c>
      <c r="X9331" s="2">
        <f ca="1"/>
        <v>80.915627632975031</v>
      </c>
      <c r="AG9331" s="2">
        <f ca="1"/>
        <v>3.999818725629134E-2</v>
      </c>
      <c r="AH9331" s="2" t="str">
        <f ca="1"/>
        <v>Good</v>
      </c>
    </row>
    <row r="9332" spans="2:34" x14ac:dyDescent="0.2">
      <c r="B9332" s="2">
        <f ca="1"/>
        <v>0.31202653495047961</v>
      </c>
      <c r="O9332" s="2">
        <f ca="1"/>
        <v>-1.6903597245672288</v>
      </c>
      <c r="X9332" s="2">
        <f ca="1"/>
        <v>47.753791385395573</v>
      </c>
      <c r="AG9332" s="2">
        <f ca="1"/>
        <v>0.22176362987451492</v>
      </c>
      <c r="AH9332" s="2" t="str">
        <f ca="1"/>
        <v>OK</v>
      </c>
    </row>
    <row r="9333" spans="2:34" x14ac:dyDescent="0.2">
      <c r="B9333" s="2">
        <f ca="1"/>
        <v>0.37556180237407077</v>
      </c>
      <c r="O9333" s="2">
        <f ca="1"/>
        <v>1.2847612781657509</v>
      </c>
      <c r="X9333" s="2">
        <f ca="1"/>
        <v>37.295849318302771</v>
      </c>
      <c r="AG9333" s="2">
        <f ca="1"/>
        <v>0.90032080211966492</v>
      </c>
      <c r="AH9333" s="2" t="str">
        <f ca="1"/>
        <v>Bad</v>
      </c>
    </row>
    <row r="9334" spans="2:34" x14ac:dyDescent="0.2">
      <c r="B9334" s="2">
        <f ca="1"/>
        <v>0.19454648147967935</v>
      </c>
      <c r="O9334" s="2">
        <f ca="1"/>
        <v>-1.0036240301270893</v>
      </c>
      <c r="X9334" s="2">
        <f ca="1"/>
        <v>78.420943971408818</v>
      </c>
      <c r="AG9334" s="2">
        <f ca="1"/>
        <v>0.18406733227211003</v>
      </c>
      <c r="AH9334" s="2" t="str">
        <f ca="1"/>
        <v>OK</v>
      </c>
    </row>
    <row r="9335" spans="2:34" x14ac:dyDescent="0.2">
      <c r="B9335" s="2">
        <f ca="1"/>
        <v>0.79982421825545669</v>
      </c>
      <c r="O9335" s="2">
        <f ca="1"/>
        <v>-1.0209362198859619</v>
      </c>
      <c r="X9335" s="2">
        <f ca="1"/>
        <v>49.278358714810878</v>
      </c>
      <c r="AG9335" s="2">
        <f ca="1"/>
        <v>0.27629200216934202</v>
      </c>
      <c r="AH9335" s="2" t="str">
        <f ca="1"/>
        <v>OK</v>
      </c>
    </row>
    <row r="9336" spans="2:34" x14ac:dyDescent="0.2">
      <c r="B9336" s="2">
        <f ca="1"/>
        <v>0.83617113400771514</v>
      </c>
      <c r="O9336" s="2">
        <f ca="1"/>
        <v>1.1274176973255854</v>
      </c>
      <c r="X9336" s="2">
        <f ca="1"/>
        <v>53.440214555427943</v>
      </c>
      <c r="AG9336" s="2">
        <f ca="1"/>
        <v>0.46852902856265621</v>
      </c>
      <c r="AH9336" s="2" t="str">
        <f ca="1"/>
        <v>Bad</v>
      </c>
    </row>
    <row r="9337" spans="2:34" x14ac:dyDescent="0.2">
      <c r="B9337" s="2">
        <f ca="1"/>
        <v>0.13883934165710121</v>
      </c>
      <c r="O9337" s="2">
        <f ca="1"/>
        <v>-0.24509155112149952</v>
      </c>
      <c r="X9337" s="2">
        <f ca="1"/>
        <v>34.484993842369761</v>
      </c>
      <c r="AG9337" s="2">
        <f ca="1"/>
        <v>0.64852655404151816</v>
      </c>
      <c r="AH9337" s="2" t="str">
        <f ca="1"/>
        <v>Bad</v>
      </c>
    </row>
    <row r="9338" spans="2:34" x14ac:dyDescent="0.2">
      <c r="B9338" s="2">
        <f ca="1"/>
        <v>0.33329882536847699</v>
      </c>
      <c r="O9338" s="2">
        <f ca="1"/>
        <v>1.288386710106292</v>
      </c>
      <c r="X9338" s="2">
        <f ca="1"/>
        <v>57.699584676811753</v>
      </c>
      <c r="AG9338" s="2">
        <f ca="1"/>
        <v>0.8563397791144427</v>
      </c>
      <c r="AH9338" s="2" t="str">
        <f ca="1"/>
        <v>Bad</v>
      </c>
    </row>
    <row r="9339" spans="2:34" x14ac:dyDescent="0.2">
      <c r="B9339" s="2">
        <f ca="1"/>
        <v>0.71493031481499214</v>
      </c>
      <c r="O9339" s="2">
        <f ca="1"/>
        <v>0.93600876295103008</v>
      </c>
      <c r="X9339" s="2">
        <f ca="1"/>
        <v>43.522029086477403</v>
      </c>
      <c r="AG9339" s="2">
        <f ca="1"/>
        <v>0.27521284631063869</v>
      </c>
      <c r="AH9339" s="2" t="str">
        <f ca="1"/>
        <v>OK</v>
      </c>
    </row>
    <row r="9340" spans="2:34" x14ac:dyDescent="0.2">
      <c r="B9340" s="2">
        <f ca="1"/>
        <v>0.19424271196603127</v>
      </c>
      <c r="O9340" s="2">
        <f ca="1"/>
        <v>-1.3184314830030313</v>
      </c>
      <c r="X9340" s="2">
        <f ca="1"/>
        <v>69.237888374727106</v>
      </c>
      <c r="AG9340" s="2">
        <f ca="1"/>
        <v>0.89253635175938251</v>
      </c>
      <c r="AH9340" s="2" t="str">
        <f ca="1"/>
        <v>Bad</v>
      </c>
    </row>
    <row r="9341" spans="2:34" x14ac:dyDescent="0.2">
      <c r="B9341" s="2">
        <f ca="1"/>
        <v>0.58824456109147794</v>
      </c>
      <c r="O9341" s="2">
        <f ca="1"/>
        <v>-0.99664780683940357</v>
      </c>
      <c r="X9341" s="2">
        <f ca="1"/>
        <v>33.397349449769933</v>
      </c>
      <c r="AG9341" s="2">
        <f ca="1"/>
        <v>7.5592713182648597E-2</v>
      </c>
      <c r="AH9341" s="2" t="str">
        <f ca="1"/>
        <v>OK</v>
      </c>
    </row>
    <row r="9342" spans="2:34" x14ac:dyDescent="0.2">
      <c r="B9342" s="2">
        <f ca="1"/>
        <v>0.64736429379568183</v>
      </c>
      <c r="O9342" s="2">
        <f ca="1"/>
        <v>-1.3867576375064177</v>
      </c>
      <c r="X9342" s="2">
        <f ca="1"/>
        <v>40.537573716694183</v>
      </c>
      <c r="AG9342" s="2">
        <f ca="1"/>
        <v>0.69770724816248753</v>
      </c>
      <c r="AH9342" s="2" t="str">
        <f ca="1"/>
        <v>Bad</v>
      </c>
    </row>
    <row r="9343" spans="2:34" x14ac:dyDescent="0.2">
      <c r="B9343" s="2">
        <f ca="1"/>
        <v>0.86949634701172807</v>
      </c>
      <c r="O9343" s="2">
        <f ca="1"/>
        <v>0.96514962280627348</v>
      </c>
      <c r="X9343" s="2">
        <f ca="1"/>
        <v>69.228446755468951</v>
      </c>
      <c r="AG9343" s="2">
        <f ca="1"/>
        <v>0.60102313321022716</v>
      </c>
      <c r="AH9343" s="2" t="str">
        <f ca="1"/>
        <v>Bad</v>
      </c>
    </row>
    <row r="9344" spans="2:34" x14ac:dyDescent="0.2">
      <c r="B9344" s="2">
        <f ca="1"/>
        <v>0.78749365220663603</v>
      </c>
      <c r="O9344" s="2">
        <f ca="1"/>
        <v>1.1460526780893106</v>
      </c>
      <c r="X9344" s="2">
        <f ca="1"/>
        <v>30.906684446561513</v>
      </c>
      <c r="AG9344" s="2">
        <f ca="1"/>
        <v>0.62725011903449723</v>
      </c>
      <c r="AH9344" s="2" t="str">
        <f ca="1"/>
        <v>Bad</v>
      </c>
    </row>
    <row r="9345" spans="2:34" x14ac:dyDescent="0.2">
      <c r="B9345" s="2">
        <f ca="1"/>
        <v>0.85190076580179896</v>
      </c>
      <c r="O9345" s="2">
        <f ca="1"/>
        <v>-0.63832298618148675</v>
      </c>
      <c r="X9345" s="2">
        <f ca="1"/>
        <v>46.096827876751732</v>
      </c>
      <c r="AG9345" s="2">
        <f ca="1"/>
        <v>0.98662187844752069</v>
      </c>
      <c r="AH9345" s="2" t="str">
        <f ca="1"/>
        <v>Bad</v>
      </c>
    </row>
    <row r="9346" spans="2:34" x14ac:dyDescent="0.2">
      <c r="B9346" s="2">
        <f ca="1"/>
        <v>0.99744184139578107</v>
      </c>
      <c r="O9346" s="2">
        <f ca="1"/>
        <v>0.44815920663560932</v>
      </c>
      <c r="X9346" s="2">
        <f ca="1"/>
        <v>41.086490083988359</v>
      </c>
      <c r="AG9346" s="2">
        <f ca="1"/>
        <v>0.9453806128895943</v>
      </c>
      <c r="AH9346" s="2" t="str">
        <f ca="1"/>
        <v>Bad</v>
      </c>
    </row>
    <row r="9347" spans="2:34" x14ac:dyDescent="0.2">
      <c r="B9347" s="2">
        <f ca="1"/>
        <v>0.46974956038180871</v>
      </c>
      <c r="O9347" s="2">
        <f ca="1"/>
        <v>-1.2670048939245713</v>
      </c>
      <c r="X9347" s="2">
        <f ca="1"/>
        <v>68.850655977465863</v>
      </c>
      <c r="AG9347" s="2">
        <f ca="1"/>
        <v>0.72350174682480017</v>
      </c>
      <c r="AH9347" s="2" t="str">
        <f ca="1"/>
        <v>Bad</v>
      </c>
    </row>
    <row r="9348" spans="2:34" x14ac:dyDescent="0.2">
      <c r="B9348" s="2">
        <f ca="1"/>
        <v>0.23504494923527619</v>
      </c>
      <c r="O9348" s="2">
        <f ca="1"/>
        <v>-2.4552969332705676</v>
      </c>
      <c r="X9348" s="2">
        <f ca="1"/>
        <v>49.158726734704594</v>
      </c>
      <c r="AG9348" s="2">
        <f ca="1"/>
        <v>0.51485391925949142</v>
      </c>
      <c r="AH9348" s="2" t="str">
        <f ca="1"/>
        <v>Bad</v>
      </c>
    </row>
    <row r="9349" spans="2:34" x14ac:dyDescent="0.2">
      <c r="B9349" s="2">
        <f ca="1"/>
        <v>1.6253518001658085E-2</v>
      </c>
      <c r="O9349" s="2">
        <f ca="1"/>
        <v>0.72707838568543093</v>
      </c>
      <c r="X9349" s="2">
        <f ca="1"/>
        <v>26.872162810553277</v>
      </c>
      <c r="AG9349" s="2">
        <f ca="1"/>
        <v>0.20773586795483845</v>
      </c>
      <c r="AH9349" s="2" t="str">
        <f ca="1"/>
        <v>OK</v>
      </c>
    </row>
    <row r="9350" spans="2:34" x14ac:dyDescent="0.2">
      <c r="B9350" s="2">
        <f ca="1"/>
        <v>0.68965451632645114</v>
      </c>
      <c r="O9350" s="2">
        <f ca="1"/>
        <v>0.37461650456042539</v>
      </c>
      <c r="X9350" s="2">
        <f ca="1"/>
        <v>79.313596729413419</v>
      </c>
      <c r="AG9350" s="2">
        <f ca="1"/>
        <v>0.31901141299808344</v>
      </c>
      <c r="AH9350" s="2" t="str">
        <f ca="1"/>
        <v>OK</v>
      </c>
    </row>
    <row r="9351" spans="2:34" x14ac:dyDescent="0.2">
      <c r="B9351" s="2">
        <f ca="1"/>
        <v>0.51770954101937505</v>
      </c>
      <c r="O9351" s="2">
        <f ca="1"/>
        <v>1.1023886069901345</v>
      </c>
      <c r="X9351" s="2">
        <f ca="1"/>
        <v>44.904953994973695</v>
      </c>
      <c r="AG9351" s="2">
        <f ca="1"/>
        <v>0.95441607293696729</v>
      </c>
      <c r="AH9351" s="2" t="str">
        <f ca="1"/>
        <v>Bad</v>
      </c>
    </row>
    <row r="9352" spans="2:34" x14ac:dyDescent="0.2">
      <c r="B9352" s="2">
        <f ca="1"/>
        <v>0.15082261865294377</v>
      </c>
      <c r="O9352" s="2">
        <f ca="1"/>
        <v>7.0530344415511278E-3</v>
      </c>
      <c r="X9352" s="2">
        <f ca="1"/>
        <v>42.647923976435997</v>
      </c>
      <c r="AG9352" s="2">
        <f ca="1"/>
        <v>0.69763211569823125</v>
      </c>
      <c r="AH9352" s="2" t="str">
        <f ca="1"/>
        <v>Bad</v>
      </c>
    </row>
    <row r="9353" spans="2:34" x14ac:dyDescent="0.2">
      <c r="B9353" s="2">
        <f ca="1"/>
        <v>0.24616701983435552</v>
      </c>
      <c r="O9353" s="2">
        <f ca="1"/>
        <v>-9.9474924614845736E-2</v>
      </c>
      <c r="X9353" s="2">
        <f ca="1"/>
        <v>30.003760872752171</v>
      </c>
      <c r="AG9353" s="2">
        <f ca="1"/>
        <v>0.14293271963057408</v>
      </c>
      <c r="AH9353" s="2" t="str">
        <f ca="1"/>
        <v>OK</v>
      </c>
    </row>
    <row r="9354" spans="2:34" x14ac:dyDescent="0.2">
      <c r="B9354" s="2">
        <f ca="1"/>
        <v>0.91808926069081398</v>
      </c>
      <c r="O9354" s="2">
        <f ca="1"/>
        <v>-0.5722410194579195</v>
      </c>
      <c r="X9354" s="2">
        <f ca="1"/>
        <v>49.660724877443279</v>
      </c>
      <c r="AG9354" s="2">
        <f ca="1"/>
        <v>0.39887720097902668</v>
      </c>
      <c r="AH9354" s="2" t="str">
        <f ca="1"/>
        <v>OK</v>
      </c>
    </row>
    <row r="9355" spans="2:34" x14ac:dyDescent="0.2">
      <c r="B9355" s="2">
        <f ca="1"/>
        <v>0.79602047642963325</v>
      </c>
      <c r="O9355" s="2">
        <f ca="1"/>
        <v>-0.28528344962264307</v>
      </c>
      <c r="X9355" s="2">
        <f ca="1"/>
        <v>40.363080484829752</v>
      </c>
      <c r="AG9355" s="2">
        <f ca="1"/>
        <v>0.11712781070274558</v>
      </c>
      <c r="AH9355" s="2" t="str">
        <f ca="1"/>
        <v>OK</v>
      </c>
    </row>
    <row r="9356" spans="2:34" x14ac:dyDescent="0.2">
      <c r="B9356" s="2">
        <f ca="1"/>
        <v>0.6205970436788506</v>
      </c>
      <c r="O9356" s="2">
        <f ca="1"/>
        <v>-1.2989697378479914</v>
      </c>
      <c r="X9356" s="2">
        <f ca="1"/>
        <v>51.550564754132139</v>
      </c>
      <c r="AG9356" s="2">
        <f ca="1"/>
        <v>0.47798386875464893</v>
      </c>
      <c r="AH9356" s="2" t="str">
        <f ca="1"/>
        <v>Bad</v>
      </c>
    </row>
    <row r="9357" spans="2:34" x14ac:dyDescent="0.2">
      <c r="B9357" s="2">
        <f ca="1"/>
        <v>0.29401893994397188</v>
      </c>
      <c r="O9357" s="2">
        <f ca="1"/>
        <v>-1.5019928037594721</v>
      </c>
      <c r="X9357" s="2">
        <f ca="1"/>
        <v>53.898814592831187</v>
      </c>
      <c r="AG9357" s="2">
        <f ca="1"/>
        <v>0.87224925241661921</v>
      </c>
      <c r="AH9357" s="2" t="str">
        <f ca="1"/>
        <v>Bad</v>
      </c>
    </row>
    <row r="9358" spans="2:34" x14ac:dyDescent="0.2">
      <c r="B9358" s="2">
        <f ca="1"/>
        <v>0.54198882404332482</v>
      </c>
      <c r="O9358" s="2">
        <f ca="1"/>
        <v>9.0075915130482881E-2</v>
      </c>
      <c r="X9358" s="2">
        <f ca="1"/>
        <v>32.160878493998688</v>
      </c>
      <c r="AG9358" s="2">
        <f ca="1"/>
        <v>0.15084413423523468</v>
      </c>
      <c r="AH9358" s="2" t="str">
        <f ca="1"/>
        <v>OK</v>
      </c>
    </row>
    <row r="9359" spans="2:34" x14ac:dyDescent="0.2">
      <c r="B9359" s="2">
        <f ca="1"/>
        <v>0.8182737977031278</v>
      </c>
      <c r="O9359" s="2">
        <f ca="1"/>
        <v>-0.96727657182740967</v>
      </c>
      <c r="X9359" s="2">
        <f ca="1"/>
        <v>40.615913249354435</v>
      </c>
      <c r="AG9359" s="2">
        <f ca="1"/>
        <v>0.76306767135506925</v>
      </c>
      <c r="AH9359" s="2" t="str">
        <f ca="1"/>
        <v>Bad</v>
      </c>
    </row>
    <row r="9360" spans="2:34" x14ac:dyDescent="0.2">
      <c r="B9360" s="2">
        <f ca="1"/>
        <v>0.74049762506046113</v>
      </c>
      <c r="O9360" s="2">
        <f ca="1"/>
        <v>0.57795808093285761</v>
      </c>
      <c r="X9360" s="2">
        <f ca="1"/>
        <v>53.326981772021128</v>
      </c>
      <c r="AG9360" s="2">
        <f ca="1"/>
        <v>0.85545164463134782</v>
      </c>
      <c r="AH9360" s="2" t="str">
        <f ca="1"/>
        <v>Bad</v>
      </c>
    </row>
    <row r="9361" spans="2:34" x14ac:dyDescent="0.2">
      <c r="B9361" s="2">
        <f ca="1"/>
        <v>0.52155108413044315</v>
      </c>
      <c r="O9361" s="2">
        <f ca="1"/>
        <v>0.6963270788833833</v>
      </c>
      <c r="X9361" s="2">
        <f ca="1"/>
        <v>24.601294482034159</v>
      </c>
      <c r="AG9361" s="2">
        <f ca="1"/>
        <v>0.52496747529490118</v>
      </c>
      <c r="AH9361" s="2" t="str">
        <f ca="1"/>
        <v>Bad</v>
      </c>
    </row>
    <row r="9362" spans="2:34" x14ac:dyDescent="0.2">
      <c r="B9362" s="2">
        <f ca="1"/>
        <v>0.45509248196473262</v>
      </c>
      <c r="O9362" s="2">
        <f ca="1"/>
        <v>-4.0110420916325579E-2</v>
      </c>
      <c r="X9362" s="2">
        <f ca="1"/>
        <v>57.280960483625563</v>
      </c>
      <c r="AG9362" s="2">
        <f ca="1"/>
        <v>0.66875556334234121</v>
      </c>
      <c r="AH9362" s="2" t="str">
        <f ca="1"/>
        <v>Bad</v>
      </c>
    </row>
    <row r="9363" spans="2:34" x14ac:dyDescent="0.2">
      <c r="B9363" s="2">
        <f ca="1"/>
        <v>0.70575675446404862</v>
      </c>
      <c r="O9363" s="2">
        <f ca="1"/>
        <v>-6.8836689889767558E-2</v>
      </c>
      <c r="X9363" s="2">
        <f ca="1"/>
        <v>55.818561348298317</v>
      </c>
      <c r="AG9363" s="2">
        <f ca="1"/>
        <v>0.92868661384908702</v>
      </c>
      <c r="AH9363" s="2" t="str">
        <f ca="1"/>
        <v>Bad</v>
      </c>
    </row>
    <row r="9364" spans="2:34" x14ac:dyDescent="0.2">
      <c r="B9364" s="2">
        <f ca="1"/>
        <v>0.84895550946825371</v>
      </c>
      <c r="O9364" s="2">
        <f ca="1"/>
        <v>2.1691307165208138</v>
      </c>
      <c r="X9364" s="2">
        <f ca="1"/>
        <v>81.610626357186845</v>
      </c>
      <c r="AG9364" s="2">
        <f ca="1"/>
        <v>0.79844822450895103</v>
      </c>
      <c r="AH9364" s="2" t="str">
        <f ca="1"/>
        <v>Bad</v>
      </c>
    </row>
    <row r="9365" spans="2:34" x14ac:dyDescent="0.2">
      <c r="B9365" s="2">
        <f ca="1"/>
        <v>0.81646789042592993</v>
      </c>
      <c r="O9365" s="2">
        <f ca="1"/>
        <v>-0.88703879558376675</v>
      </c>
      <c r="X9365" s="2">
        <f ca="1"/>
        <v>63.274089166175614</v>
      </c>
      <c r="AG9365" s="2">
        <f ca="1"/>
        <v>0.21220571611583128</v>
      </c>
      <c r="AH9365" s="2" t="str">
        <f ca="1"/>
        <v>OK</v>
      </c>
    </row>
    <row r="9366" spans="2:34" x14ac:dyDescent="0.2">
      <c r="B9366" s="2">
        <f ca="1"/>
        <v>0.11929921939622656</v>
      </c>
      <c r="O9366" s="2">
        <f ca="1"/>
        <v>1.5117085023172392</v>
      </c>
      <c r="X9366" s="2">
        <f ca="1"/>
        <v>42.679718624676177</v>
      </c>
      <c r="AG9366" s="2">
        <f ca="1"/>
        <v>0.1283121566117984</v>
      </c>
      <c r="AH9366" s="2" t="str">
        <f ca="1"/>
        <v>OK</v>
      </c>
    </row>
    <row r="9367" spans="2:34" x14ac:dyDescent="0.2">
      <c r="B9367" s="2">
        <f ca="1"/>
        <v>2.739310636504344E-3</v>
      </c>
      <c r="O9367" s="2">
        <f ca="1"/>
        <v>-0.86831481439177327</v>
      </c>
      <c r="X9367" s="2">
        <f ca="1"/>
        <v>65.674725277008619</v>
      </c>
      <c r="AG9367" s="2">
        <f ca="1"/>
        <v>0.61714807431583463</v>
      </c>
      <c r="AH9367" s="2" t="str">
        <f ca="1"/>
        <v>Bad</v>
      </c>
    </row>
    <row r="9368" spans="2:34" x14ac:dyDescent="0.2">
      <c r="B9368" s="2">
        <f ca="1"/>
        <v>0.64028768649115309</v>
      </c>
      <c r="O9368" s="2">
        <f ca="1"/>
        <v>0.74165820512815372</v>
      </c>
      <c r="X9368" s="2">
        <f ca="1"/>
        <v>100.97989532678017</v>
      </c>
      <c r="AG9368" s="2">
        <f ca="1"/>
        <v>0.56884049162500205</v>
      </c>
      <c r="AH9368" s="2" t="str">
        <f ca="1"/>
        <v>Bad</v>
      </c>
    </row>
    <row r="9369" spans="2:34" x14ac:dyDescent="0.2">
      <c r="B9369" s="2">
        <f ca="1"/>
        <v>0.41575133553057531</v>
      </c>
      <c r="O9369" s="2">
        <f ca="1"/>
        <v>2.0287332395726909</v>
      </c>
      <c r="X9369" s="2">
        <f ca="1"/>
        <v>61.510977932809475</v>
      </c>
      <c r="AG9369" s="2">
        <f ca="1"/>
        <v>1.6136993857782667E-3</v>
      </c>
      <c r="AH9369" s="2" t="str">
        <f ca="1"/>
        <v>Good</v>
      </c>
    </row>
    <row r="9370" spans="2:34" x14ac:dyDescent="0.2">
      <c r="B9370" s="2">
        <f ca="1"/>
        <v>0.65053326516447174</v>
      </c>
      <c r="O9370" s="2">
        <f ca="1"/>
        <v>-0.45830929844658547</v>
      </c>
      <c r="X9370" s="2">
        <f ca="1"/>
        <v>73.706617449561222</v>
      </c>
      <c r="AG9370" s="2">
        <f ca="1"/>
        <v>0.59131283374961763</v>
      </c>
      <c r="AH9370" s="2" t="str">
        <f ca="1"/>
        <v>Bad</v>
      </c>
    </row>
    <row r="9371" spans="2:34" x14ac:dyDescent="0.2">
      <c r="B9371" s="2">
        <f ca="1"/>
        <v>0.21213413984795348</v>
      </c>
      <c r="O9371" s="2">
        <f ca="1"/>
        <v>0.15637601787284813</v>
      </c>
      <c r="X9371" s="2">
        <f ca="1"/>
        <v>80.934777822311347</v>
      </c>
      <c r="AG9371" s="2">
        <f ca="1"/>
        <v>0.52271380858930061</v>
      </c>
      <c r="AH9371" s="2" t="str">
        <f ca="1"/>
        <v>Bad</v>
      </c>
    </row>
    <row r="9372" spans="2:34" x14ac:dyDescent="0.2">
      <c r="B9372" s="2">
        <f ca="1"/>
        <v>0.65256856030565946</v>
      </c>
      <c r="O9372" s="2">
        <f ca="1"/>
        <v>1.1872444130239006</v>
      </c>
      <c r="X9372" s="2">
        <f ca="1"/>
        <v>41.269927574707872</v>
      </c>
      <c r="AG9372" s="2">
        <f ca="1"/>
        <v>0.29972308239259293</v>
      </c>
      <c r="AH9372" s="2" t="str">
        <f ca="1"/>
        <v>OK</v>
      </c>
    </row>
    <row r="9373" spans="2:34" x14ac:dyDescent="0.2">
      <c r="B9373" s="2">
        <f ca="1"/>
        <v>0.40887874079812603</v>
      </c>
      <c r="O9373" s="2">
        <f ca="1"/>
        <v>-0.82355024495100282</v>
      </c>
      <c r="X9373" s="2">
        <f ca="1"/>
        <v>78.851338580808942</v>
      </c>
      <c r="AG9373" s="2">
        <f ca="1"/>
        <v>0.41284452906580182</v>
      </c>
      <c r="AH9373" s="2" t="str">
        <f ca="1"/>
        <v>Bad</v>
      </c>
    </row>
    <row r="9374" spans="2:34" x14ac:dyDescent="0.2">
      <c r="B9374" s="2">
        <f ca="1"/>
        <v>0.10448874762759996</v>
      </c>
      <c r="O9374" s="2">
        <f ca="1"/>
        <v>-0.31824356208638815</v>
      </c>
      <c r="X9374" s="2">
        <f ca="1"/>
        <v>49.722518432259164</v>
      </c>
      <c r="AG9374" s="2">
        <f ca="1"/>
        <v>0.50360991772869323</v>
      </c>
      <c r="AH9374" s="2" t="str">
        <f ca="1"/>
        <v>Bad</v>
      </c>
    </row>
    <row r="9375" spans="2:34" x14ac:dyDescent="0.2">
      <c r="B9375" s="2">
        <f ca="1"/>
        <v>0.49571441358137802</v>
      </c>
      <c r="O9375" s="2">
        <f ca="1"/>
        <v>-0.48196078185856389</v>
      </c>
      <c r="X9375" s="2">
        <f ca="1"/>
        <v>79.124219966364407</v>
      </c>
      <c r="AG9375" s="2">
        <f ca="1"/>
        <v>0.796931190275177</v>
      </c>
      <c r="AH9375" s="2" t="str">
        <f ca="1"/>
        <v>Bad</v>
      </c>
    </row>
    <row r="9376" spans="2:34" x14ac:dyDescent="0.2">
      <c r="B9376" s="2">
        <f ca="1"/>
        <v>0.37127871807518642</v>
      </c>
      <c r="O9376" s="2">
        <f ca="1"/>
        <v>-0.26548634561353124</v>
      </c>
      <c r="X9376" s="2">
        <f ca="1"/>
        <v>38.781639165514832</v>
      </c>
      <c r="AG9376" s="2">
        <f ca="1"/>
        <v>0.40824128649939206</v>
      </c>
      <c r="AH9376" s="2" t="str">
        <f ca="1"/>
        <v>Bad</v>
      </c>
    </row>
    <row r="9377" spans="2:34" x14ac:dyDescent="0.2">
      <c r="B9377" s="2">
        <f ca="1"/>
        <v>0.36705342283172304</v>
      </c>
      <c r="O9377" s="2">
        <f ca="1"/>
        <v>0.46589587033435548</v>
      </c>
      <c r="X9377" s="2">
        <f ca="1"/>
        <v>42.318739703741144</v>
      </c>
      <c r="AG9377" s="2">
        <f ca="1"/>
        <v>0.23589751257329605</v>
      </c>
      <c r="AH9377" s="2" t="str">
        <f ca="1"/>
        <v>OK</v>
      </c>
    </row>
    <row r="9378" spans="2:34" x14ac:dyDescent="0.2">
      <c r="B9378" s="2">
        <f ca="1"/>
        <v>0.22182018975478712</v>
      </c>
      <c r="O9378" s="2">
        <f ca="1"/>
        <v>-0.76145649892026268</v>
      </c>
      <c r="X9378" s="2">
        <f ca="1"/>
        <v>44.283522312828438</v>
      </c>
      <c r="AG9378" s="2">
        <f ca="1"/>
        <v>0.33259751568689211</v>
      </c>
      <c r="AH9378" s="2" t="str">
        <f ca="1"/>
        <v>OK</v>
      </c>
    </row>
    <row r="9379" spans="2:34" x14ac:dyDescent="0.2">
      <c r="B9379" s="2">
        <f ca="1"/>
        <v>0.4134453944230787</v>
      </c>
      <c r="O9379" s="2">
        <f ca="1"/>
        <v>-5.2720184791142218E-2</v>
      </c>
      <c r="X9379" s="2">
        <f ca="1"/>
        <v>43.036906012238909</v>
      </c>
      <c r="AG9379" s="2">
        <f ca="1"/>
        <v>0.58989887529960416</v>
      </c>
      <c r="AH9379" s="2" t="str">
        <f ca="1"/>
        <v>Bad</v>
      </c>
    </row>
    <row r="9380" spans="2:34" x14ac:dyDescent="0.2">
      <c r="B9380" s="2">
        <f ca="1"/>
        <v>0.50670446593565099</v>
      </c>
      <c r="O9380" s="2">
        <f ca="1"/>
        <v>2.485605958810384</v>
      </c>
      <c r="X9380" s="2">
        <f ca="1"/>
        <v>39.413907941033187</v>
      </c>
      <c r="AG9380" s="2">
        <f ca="1"/>
        <v>0.98664620347885568</v>
      </c>
      <c r="AH9380" s="2" t="str">
        <f ca="1"/>
        <v>Bad</v>
      </c>
    </row>
    <row r="9381" spans="2:34" x14ac:dyDescent="0.2">
      <c r="B9381" s="2">
        <f ca="1"/>
        <v>9.0052195299339388E-4</v>
      </c>
      <c r="O9381" s="2">
        <f ca="1"/>
        <v>0.4856209951055645</v>
      </c>
      <c r="X9381" s="2">
        <f ca="1"/>
        <v>49.391854515622377</v>
      </c>
      <c r="AG9381" s="2">
        <f ca="1"/>
        <v>0.55412252896416203</v>
      </c>
      <c r="AH9381" s="2" t="str">
        <f ca="1"/>
        <v>Bad</v>
      </c>
    </row>
    <row r="9382" spans="2:34" x14ac:dyDescent="0.2">
      <c r="B9382" s="2">
        <f ca="1"/>
        <v>0.41650784356167425</v>
      </c>
      <c r="O9382" s="2">
        <f ca="1"/>
        <v>-0.40902535226095099</v>
      </c>
      <c r="X9382" s="2">
        <f ca="1"/>
        <v>37.145885035110894</v>
      </c>
      <c r="AG9382" s="2">
        <f ca="1"/>
        <v>0.72328795041008442</v>
      </c>
      <c r="AH9382" s="2" t="str">
        <f ca="1"/>
        <v>Bad</v>
      </c>
    </row>
    <row r="9383" spans="2:34" x14ac:dyDescent="0.2">
      <c r="B9383" s="2">
        <f ca="1"/>
        <v>0.71192875607267969</v>
      </c>
      <c r="O9383" s="2">
        <f ca="1"/>
        <v>5.5755021419561061E-3</v>
      </c>
      <c r="X9383" s="2">
        <f ca="1"/>
        <v>60.341229715646925</v>
      </c>
      <c r="AG9383" s="2">
        <f ca="1"/>
        <v>0.57158476814546422</v>
      </c>
      <c r="AH9383" s="2" t="str">
        <f ca="1"/>
        <v>Bad</v>
      </c>
    </row>
    <row r="9384" spans="2:34" x14ac:dyDescent="0.2">
      <c r="B9384" s="2">
        <f ca="1"/>
        <v>0.41133565473900391</v>
      </c>
      <c r="O9384" s="2">
        <f ca="1"/>
        <v>-0.37324192887325564</v>
      </c>
      <c r="X9384" s="2">
        <f ca="1"/>
        <v>48.946395306677289</v>
      </c>
      <c r="AG9384" s="2">
        <f ca="1"/>
        <v>0.90359988622142251</v>
      </c>
      <c r="AH9384" s="2" t="str">
        <f ca="1"/>
        <v>Bad</v>
      </c>
    </row>
    <row r="9385" spans="2:34" x14ac:dyDescent="0.2">
      <c r="B9385" s="2">
        <f ca="1"/>
        <v>0.35160743826496832</v>
      </c>
      <c r="O9385" s="2">
        <f ca="1"/>
        <v>-0.35085406135492447</v>
      </c>
      <c r="X9385" s="2">
        <f ca="1"/>
        <v>78.396212733936167</v>
      </c>
      <c r="AG9385" s="2">
        <f ca="1"/>
        <v>0.45826198045029543</v>
      </c>
      <c r="AH9385" s="2" t="str">
        <f ca="1"/>
        <v>Bad</v>
      </c>
    </row>
    <row r="9386" spans="2:34" x14ac:dyDescent="0.2">
      <c r="B9386" s="2">
        <f ca="1"/>
        <v>0.8072737605356719</v>
      </c>
      <c r="O9386" s="2">
        <f ca="1"/>
        <v>0.89966410096924543</v>
      </c>
      <c r="X9386" s="2">
        <f ca="1"/>
        <v>40.897987070484241</v>
      </c>
      <c r="AG9386" s="2">
        <f ca="1"/>
        <v>0.53107014014257881</v>
      </c>
      <c r="AH9386" s="2" t="str">
        <f ca="1"/>
        <v>Bad</v>
      </c>
    </row>
    <row r="9387" spans="2:34" x14ac:dyDescent="0.2">
      <c r="B9387" s="2">
        <f ca="1"/>
        <v>0.86636974073028927</v>
      </c>
      <c r="O9387" s="2">
        <f ca="1"/>
        <v>1.4828176305226879</v>
      </c>
      <c r="X9387" s="2">
        <f ca="1"/>
        <v>54.011115517958572</v>
      </c>
      <c r="AG9387" s="2">
        <f ca="1"/>
        <v>0.8705316981446769</v>
      </c>
      <c r="AH9387" s="2" t="str">
        <f ca="1"/>
        <v>Bad</v>
      </c>
    </row>
    <row r="9388" spans="2:34" x14ac:dyDescent="0.2">
      <c r="B9388" s="2">
        <f ca="1"/>
        <v>0.48178212923803265</v>
      </c>
      <c r="O9388" s="2">
        <f ca="1"/>
        <v>-1.0354136755365511</v>
      </c>
      <c r="X9388" s="2">
        <f ca="1"/>
        <v>43.957301458232756</v>
      </c>
      <c r="AG9388" s="2">
        <f ca="1"/>
        <v>0.59012958479033961</v>
      </c>
      <c r="AH9388" s="2" t="str">
        <f ca="1"/>
        <v>Bad</v>
      </c>
    </row>
    <row r="9389" spans="2:34" x14ac:dyDescent="0.2">
      <c r="B9389" s="2">
        <f ca="1"/>
        <v>0.24911490527595115</v>
      </c>
      <c r="O9389" s="2">
        <f ca="1"/>
        <v>1.8501359459516169</v>
      </c>
      <c r="X9389" s="2">
        <f ca="1"/>
        <v>32.546891169242137</v>
      </c>
      <c r="AG9389" s="2">
        <f ca="1"/>
        <v>0.16090456950208964</v>
      </c>
      <c r="AH9389" s="2" t="str">
        <f ca="1"/>
        <v>OK</v>
      </c>
    </row>
    <row r="9390" spans="2:34" x14ac:dyDescent="0.2">
      <c r="B9390" s="2">
        <f ca="1"/>
        <v>0.65909160784859711</v>
      </c>
      <c r="O9390" s="2">
        <f ca="1"/>
        <v>1.2230084128509133</v>
      </c>
      <c r="X9390" s="2">
        <f ca="1"/>
        <v>60.630302704757248</v>
      </c>
      <c r="AG9390" s="2">
        <f ca="1"/>
        <v>0.71804939096518439</v>
      </c>
      <c r="AH9390" s="2" t="str">
        <f ca="1"/>
        <v>Bad</v>
      </c>
    </row>
    <row r="9391" spans="2:34" x14ac:dyDescent="0.2">
      <c r="B9391" s="2">
        <f ca="1"/>
        <v>0.63031631584289727</v>
      </c>
      <c r="O9391" s="2">
        <f ca="1"/>
        <v>0.2115154088487935</v>
      </c>
      <c r="X9391" s="2">
        <f ca="1"/>
        <v>52.863129865463009</v>
      </c>
      <c r="AG9391" s="2">
        <f ca="1"/>
        <v>0.17871323897332347</v>
      </c>
      <c r="AH9391" s="2" t="str">
        <f ca="1"/>
        <v>OK</v>
      </c>
    </row>
    <row r="9392" spans="2:34" x14ac:dyDescent="0.2">
      <c r="B9392" s="2">
        <f ca="1"/>
        <v>0.43739246987571545</v>
      </c>
      <c r="O9392" s="2">
        <f ca="1"/>
        <v>0.65296895929887322</v>
      </c>
      <c r="X9392" s="2">
        <f ca="1"/>
        <v>45.433801566602412</v>
      </c>
      <c r="AG9392" s="2">
        <f ca="1"/>
        <v>0.53830932888209593</v>
      </c>
      <c r="AH9392" s="2" t="str">
        <f ca="1"/>
        <v>Bad</v>
      </c>
    </row>
    <row r="9393" spans="2:34" x14ac:dyDescent="0.2">
      <c r="B9393" s="2">
        <f ca="1"/>
        <v>2.7303895594565475E-2</v>
      </c>
      <c r="O9393" s="2">
        <f ca="1"/>
        <v>0.40348495382093436</v>
      </c>
      <c r="X9393" s="2">
        <f ca="1"/>
        <v>32.447132622267496</v>
      </c>
      <c r="AG9393" s="2">
        <f ca="1"/>
        <v>0.45448927133222572</v>
      </c>
      <c r="AH9393" s="2" t="str">
        <f ca="1"/>
        <v>Bad</v>
      </c>
    </row>
    <row r="9394" spans="2:34" x14ac:dyDescent="0.2">
      <c r="B9394" s="2">
        <f ca="1"/>
        <v>0.39907239125446958</v>
      </c>
      <c r="O9394" s="2">
        <f ca="1"/>
        <v>-7.5974093651714689E-2</v>
      </c>
      <c r="X9394" s="2">
        <f ca="1"/>
        <v>39.143647470419729</v>
      </c>
      <c r="AG9394" s="2">
        <f ca="1"/>
        <v>0.12879876719666905</v>
      </c>
      <c r="AH9394" s="2" t="str">
        <f ca="1"/>
        <v>OK</v>
      </c>
    </row>
    <row r="9395" spans="2:34" x14ac:dyDescent="0.2">
      <c r="B9395" s="2">
        <f ca="1"/>
        <v>0.2412322842380934</v>
      </c>
      <c r="O9395" s="2">
        <f ca="1"/>
        <v>0.13835488678405697</v>
      </c>
      <c r="X9395" s="2">
        <f ca="1"/>
        <v>57.494398903470312</v>
      </c>
      <c r="AG9395" s="2">
        <f ca="1"/>
        <v>5.3868202780907204E-2</v>
      </c>
      <c r="AH9395" s="2" t="str">
        <f ca="1"/>
        <v>OK</v>
      </c>
    </row>
    <row r="9396" spans="2:34" x14ac:dyDescent="0.2">
      <c r="B9396" s="2">
        <f ca="1"/>
        <v>0.5091656871049175</v>
      </c>
      <c r="O9396" s="2">
        <f ca="1"/>
        <v>0.53695474828893364</v>
      </c>
      <c r="X9396" s="2">
        <f ca="1"/>
        <v>73.863423235153661</v>
      </c>
      <c r="AG9396" s="2">
        <f ca="1"/>
        <v>0.33063492938388328</v>
      </c>
      <c r="AH9396" s="2" t="str">
        <f ca="1"/>
        <v>OK</v>
      </c>
    </row>
    <row r="9397" spans="2:34" x14ac:dyDescent="0.2">
      <c r="B9397" s="2">
        <f ca="1"/>
        <v>0.38148872072067941</v>
      </c>
      <c r="O9397" s="2">
        <f ca="1"/>
        <v>1.7057166827147305</v>
      </c>
      <c r="X9397" s="2">
        <f ca="1"/>
        <v>47.555767248791135</v>
      </c>
      <c r="AG9397" s="2">
        <f ca="1"/>
        <v>0.84640067236648275</v>
      </c>
      <c r="AH9397" s="2" t="str">
        <f ca="1"/>
        <v>Bad</v>
      </c>
    </row>
    <row r="9398" spans="2:34" x14ac:dyDescent="0.2">
      <c r="B9398" s="2">
        <f ca="1"/>
        <v>0.3970572781906212</v>
      </c>
      <c r="O9398" s="2">
        <f ca="1"/>
        <v>1.6681138610829584</v>
      </c>
      <c r="X9398" s="2">
        <f ca="1"/>
        <v>36.420290024967457</v>
      </c>
      <c r="AG9398" s="2">
        <f ca="1"/>
        <v>0.26857113515893372</v>
      </c>
      <c r="AH9398" s="2" t="str">
        <f ca="1"/>
        <v>OK</v>
      </c>
    </row>
    <row r="9399" spans="2:34" x14ac:dyDescent="0.2">
      <c r="B9399" s="2">
        <f ca="1"/>
        <v>0.37919681073148448</v>
      </c>
      <c r="O9399" s="2">
        <f ca="1"/>
        <v>3.9599955988278361E-2</v>
      </c>
      <c r="X9399" s="2">
        <f ca="1"/>
        <v>35.734777583433825</v>
      </c>
      <c r="AG9399" s="2">
        <f ca="1"/>
        <v>9.0384390826000915E-2</v>
      </c>
      <c r="AH9399" s="2" t="str">
        <f ca="1"/>
        <v>OK</v>
      </c>
    </row>
    <row r="9400" spans="2:34" x14ac:dyDescent="0.2">
      <c r="B9400" s="2">
        <f ca="1"/>
        <v>0.66471810534598119</v>
      </c>
      <c r="O9400" s="2">
        <f ca="1"/>
        <v>-0.32582860927564194</v>
      </c>
      <c r="X9400" s="2">
        <f ca="1"/>
        <v>38.325527001690872</v>
      </c>
      <c r="AG9400" s="2">
        <f ca="1"/>
        <v>0.98975362001219835</v>
      </c>
      <c r="AH9400" s="2" t="str">
        <f ca="1"/>
        <v>Bad</v>
      </c>
    </row>
    <row r="9401" spans="2:34" x14ac:dyDescent="0.2">
      <c r="B9401" s="2">
        <f ca="1"/>
        <v>0.21773787006436307</v>
      </c>
      <c r="O9401" s="2">
        <f ca="1"/>
        <v>-0.43053595041698983</v>
      </c>
      <c r="X9401" s="2">
        <f ca="1"/>
        <v>35.920115899291723</v>
      </c>
      <c r="AG9401" s="2">
        <f ca="1"/>
        <v>0.51137589746297785</v>
      </c>
      <c r="AH9401" s="2" t="str">
        <f ca="1"/>
        <v>Bad</v>
      </c>
    </row>
    <row r="9402" spans="2:34" x14ac:dyDescent="0.2">
      <c r="B9402" s="2">
        <f ca="1"/>
        <v>0.48065546957550764</v>
      </c>
      <c r="O9402" s="2">
        <f ca="1"/>
        <v>1.3281826696613199</v>
      </c>
      <c r="X9402" s="2">
        <f ca="1"/>
        <v>48.976799322832967</v>
      </c>
      <c r="AG9402" s="2">
        <f ca="1"/>
        <v>3.5112230175160519E-2</v>
      </c>
      <c r="AH9402" s="2" t="str">
        <f ca="1"/>
        <v>Good</v>
      </c>
    </row>
    <row r="9403" spans="2:34" x14ac:dyDescent="0.2">
      <c r="B9403" s="2">
        <f ca="1"/>
        <v>0.4184059891780143</v>
      </c>
      <c r="O9403" s="2">
        <f ca="1"/>
        <v>1.5416163261476141</v>
      </c>
      <c r="X9403" s="2">
        <f ca="1"/>
        <v>52.279294099128393</v>
      </c>
      <c r="AG9403" s="2">
        <f ca="1"/>
        <v>2.1670205809989351E-3</v>
      </c>
      <c r="AH9403" s="2" t="str">
        <f ca="1"/>
        <v>Good</v>
      </c>
    </row>
    <row r="9404" spans="2:34" x14ac:dyDescent="0.2">
      <c r="B9404" s="2">
        <f ca="1"/>
        <v>0.7736221050321459</v>
      </c>
      <c r="O9404" s="2">
        <f ca="1"/>
        <v>-0.60986375163129691</v>
      </c>
      <c r="X9404" s="2">
        <f ca="1"/>
        <v>52.923701470059001</v>
      </c>
      <c r="AG9404" s="2">
        <f ca="1"/>
        <v>0.33015327268027939</v>
      </c>
      <c r="AH9404" s="2" t="str">
        <f ca="1"/>
        <v>OK</v>
      </c>
    </row>
    <row r="9405" spans="2:34" x14ac:dyDescent="0.2">
      <c r="B9405" s="2">
        <f ca="1"/>
        <v>0.42092643576906053</v>
      </c>
      <c r="O9405" s="2">
        <f ca="1"/>
        <v>-0.31900720738380822</v>
      </c>
      <c r="X9405" s="2">
        <f ca="1"/>
        <v>34.224113664324221</v>
      </c>
      <c r="AG9405" s="2">
        <f ca="1"/>
        <v>0.36853774983636489</v>
      </c>
      <c r="AH9405" s="2" t="str">
        <f ca="1"/>
        <v>OK</v>
      </c>
    </row>
    <row r="9406" spans="2:34" x14ac:dyDescent="0.2">
      <c r="B9406" s="2">
        <f ca="1"/>
        <v>0.5260409542526836</v>
      </c>
      <c r="O9406" s="2">
        <f ca="1"/>
        <v>1.8799029510347267</v>
      </c>
      <c r="X9406" s="2">
        <f ca="1"/>
        <v>18.032067263228321</v>
      </c>
      <c r="AG9406" s="2">
        <f ca="1"/>
        <v>0.64817644809407926</v>
      </c>
      <c r="AH9406" s="2" t="str">
        <f ca="1"/>
        <v>Bad</v>
      </c>
    </row>
    <row r="9407" spans="2:34" x14ac:dyDescent="0.2">
      <c r="B9407" s="2">
        <f ca="1"/>
        <v>2.6668751556708781E-3</v>
      </c>
      <c r="O9407" s="2">
        <f ca="1"/>
        <v>0.54519593729790794</v>
      </c>
      <c r="X9407" s="2">
        <f ca="1"/>
        <v>44.43218483628381</v>
      </c>
      <c r="AG9407" s="2">
        <f ca="1"/>
        <v>0.97914451187912155</v>
      </c>
      <c r="AH9407" s="2" t="str">
        <f ca="1"/>
        <v>Bad</v>
      </c>
    </row>
    <row r="9408" spans="2:34" x14ac:dyDescent="0.2">
      <c r="B9408" s="2">
        <f ca="1"/>
        <v>0.65067466348900305</v>
      </c>
      <c r="O9408" s="2">
        <f ca="1"/>
        <v>-1.9021915798521669</v>
      </c>
      <c r="X9408" s="2">
        <f ca="1"/>
        <v>56.54607735809455</v>
      </c>
      <c r="AG9408" s="2">
        <f ca="1"/>
        <v>0.33270971531873816</v>
      </c>
      <c r="AH9408" s="2" t="str">
        <f ca="1"/>
        <v>OK</v>
      </c>
    </row>
    <row r="9409" spans="2:34" x14ac:dyDescent="0.2">
      <c r="B9409" s="2">
        <f ca="1"/>
        <v>0.20362021470256919</v>
      </c>
      <c r="O9409" s="2">
        <f ca="1"/>
        <v>-0.11562475086489038</v>
      </c>
      <c r="X9409" s="2">
        <f ca="1"/>
        <v>51.911630745649973</v>
      </c>
      <c r="AG9409" s="2">
        <f ca="1"/>
        <v>0.47096910391812052</v>
      </c>
      <c r="AH9409" s="2" t="str">
        <f ca="1"/>
        <v>Bad</v>
      </c>
    </row>
    <row r="9410" spans="2:34" x14ac:dyDescent="0.2">
      <c r="B9410" s="2">
        <f ca="1"/>
        <v>3.2470621778008191E-2</v>
      </c>
      <c r="O9410" s="2">
        <f ca="1"/>
        <v>0.30916195930718837</v>
      </c>
      <c r="X9410" s="2">
        <f ca="1"/>
        <v>46.254365238018522</v>
      </c>
      <c r="AG9410" s="2">
        <f ca="1"/>
        <v>0.85497761797875582</v>
      </c>
      <c r="AH9410" s="2" t="str">
        <f ca="1"/>
        <v>Bad</v>
      </c>
    </row>
    <row r="9411" spans="2:34" x14ac:dyDescent="0.2">
      <c r="B9411" s="2">
        <f ca="1"/>
        <v>0.67201324874324464</v>
      </c>
      <c r="O9411" s="2">
        <f ca="1"/>
        <v>-0.19402119943678173</v>
      </c>
      <c r="X9411" s="2">
        <f ca="1"/>
        <v>84.500334147998785</v>
      </c>
      <c r="AG9411" s="2">
        <f ca="1"/>
        <v>0.63553976029214421</v>
      </c>
      <c r="AH9411" s="2" t="str">
        <f ca="1"/>
        <v>Bad</v>
      </c>
    </row>
    <row r="9412" spans="2:34" x14ac:dyDescent="0.2">
      <c r="B9412" s="2">
        <f ca="1"/>
        <v>3.1707453829225685E-2</v>
      </c>
      <c r="O9412" s="2">
        <f ca="1"/>
        <v>0.84634483900321611</v>
      </c>
      <c r="X9412" s="2">
        <f ca="1"/>
        <v>41.42949322728942</v>
      </c>
      <c r="AG9412" s="2">
        <f ca="1"/>
        <v>0.30200071482123225</v>
      </c>
      <c r="AH9412" s="2" t="str">
        <f ca="1"/>
        <v>OK</v>
      </c>
    </row>
    <row r="9413" spans="2:34" x14ac:dyDescent="0.2">
      <c r="B9413" s="2">
        <f ca="1"/>
        <v>0.94767510609908356</v>
      </c>
      <c r="O9413" s="2">
        <f ca="1"/>
        <v>-0.19467068159103323</v>
      </c>
      <c r="X9413" s="2">
        <f ca="1"/>
        <v>80.475336482754457</v>
      </c>
      <c r="AG9413" s="2">
        <f ca="1"/>
        <v>0.26088016772681133</v>
      </c>
      <c r="AH9413" s="2" t="str">
        <f ca="1"/>
        <v>OK</v>
      </c>
    </row>
    <row r="9414" spans="2:34" x14ac:dyDescent="0.2">
      <c r="B9414" s="2">
        <f ca="1"/>
        <v>5.279470293090438E-2</v>
      </c>
      <c r="O9414" s="2">
        <f ca="1"/>
        <v>-0.38213036275648882</v>
      </c>
      <c r="X9414" s="2">
        <f ca="1"/>
        <v>30.870323024702145</v>
      </c>
      <c r="AG9414" s="2">
        <f ca="1"/>
        <v>0.58443449431223438</v>
      </c>
      <c r="AH9414" s="2" t="str">
        <f ca="1"/>
        <v>Bad</v>
      </c>
    </row>
    <row r="9415" spans="2:34" x14ac:dyDescent="0.2">
      <c r="B9415" s="2">
        <f ca="1"/>
        <v>7.4956934729418112E-2</v>
      </c>
      <c r="O9415" s="2">
        <f ca="1"/>
        <v>-1.1672292871019458</v>
      </c>
      <c r="X9415" s="2">
        <f ca="1"/>
        <v>59.207075319498585</v>
      </c>
      <c r="AG9415" s="2">
        <f ca="1"/>
        <v>0.85863289302060175</v>
      </c>
      <c r="AH9415" s="2" t="str">
        <f ca="1"/>
        <v>Bad</v>
      </c>
    </row>
    <row r="9416" spans="2:34" x14ac:dyDescent="0.2">
      <c r="B9416" s="2">
        <f ca="1"/>
        <v>0.38657119096646109</v>
      </c>
      <c r="O9416" s="2">
        <f ca="1"/>
        <v>-1.2095944456922743</v>
      </c>
      <c r="X9416" s="2">
        <f ca="1"/>
        <v>48.142805797220404</v>
      </c>
      <c r="AG9416" s="2">
        <f ca="1"/>
        <v>0.57859501454508133</v>
      </c>
      <c r="AH9416" s="2" t="str">
        <f ca="1"/>
        <v>Bad</v>
      </c>
    </row>
    <row r="9417" spans="2:34" x14ac:dyDescent="0.2">
      <c r="B9417" s="2">
        <f ca="1"/>
        <v>0.88351032793602968</v>
      </c>
      <c r="O9417" s="2">
        <f ca="1"/>
        <v>0.56042100992823929</v>
      </c>
      <c r="X9417" s="2">
        <f ca="1"/>
        <v>45.510701617128852</v>
      </c>
      <c r="AG9417" s="2">
        <f ca="1"/>
        <v>0.78637988822501814</v>
      </c>
      <c r="AH9417" s="2" t="str">
        <f ca="1"/>
        <v>Bad</v>
      </c>
    </row>
    <row r="9418" spans="2:34" x14ac:dyDescent="0.2">
      <c r="B9418" s="2">
        <f ca="1"/>
        <v>0.30453213357922859</v>
      </c>
      <c r="O9418" s="2">
        <f ca="1"/>
        <v>-0.44061638693167954</v>
      </c>
      <c r="X9418" s="2">
        <f ca="1"/>
        <v>43.023323992170724</v>
      </c>
      <c r="AG9418" s="2">
        <f ca="1"/>
        <v>0.88711154382906532</v>
      </c>
      <c r="AH9418" s="2" t="str">
        <f ca="1"/>
        <v>Bad</v>
      </c>
    </row>
    <row r="9419" spans="2:34" x14ac:dyDescent="0.2">
      <c r="B9419" s="2">
        <f ca="1"/>
        <v>0.28046990404355832</v>
      </c>
      <c r="O9419" s="2">
        <f ca="1"/>
        <v>-0.57338495747753015</v>
      </c>
      <c r="X9419" s="2">
        <f ca="1"/>
        <v>33.489832364625521</v>
      </c>
      <c r="AG9419" s="2">
        <f ca="1"/>
        <v>0.51559039173875276</v>
      </c>
      <c r="AH9419" s="2" t="str">
        <f ca="1"/>
        <v>Bad</v>
      </c>
    </row>
    <row r="9420" spans="2:34" x14ac:dyDescent="0.2">
      <c r="B9420" s="2">
        <f ca="1"/>
        <v>0.84497271042301936</v>
      </c>
      <c r="O9420" s="2">
        <f ca="1"/>
        <v>-0.86357417333400099</v>
      </c>
      <c r="X9420" s="2">
        <f ca="1"/>
        <v>48.698017187975466</v>
      </c>
      <c r="AG9420" s="2">
        <f ca="1"/>
        <v>0.74739262690357466</v>
      </c>
      <c r="AH9420" s="2" t="str">
        <f ca="1"/>
        <v>Bad</v>
      </c>
    </row>
    <row r="9421" spans="2:34" x14ac:dyDescent="0.2">
      <c r="B9421" s="2">
        <f ca="1"/>
        <v>0.63197359431323585</v>
      </c>
      <c r="O9421" s="2">
        <f ca="1"/>
        <v>0.148874898147275</v>
      </c>
      <c r="X9421" s="2">
        <f ca="1"/>
        <v>47.366980831807375</v>
      </c>
      <c r="AG9421" s="2">
        <f ca="1"/>
        <v>0.13882043578578895</v>
      </c>
      <c r="AH9421" s="2" t="str">
        <f ca="1"/>
        <v>OK</v>
      </c>
    </row>
    <row r="9422" spans="2:34" x14ac:dyDescent="0.2">
      <c r="B9422" s="2">
        <f ca="1"/>
        <v>0.83391290894370496</v>
      </c>
      <c r="O9422" s="2">
        <f ca="1"/>
        <v>-6.7615518098492408E-2</v>
      </c>
      <c r="X9422" s="2">
        <f ca="1"/>
        <v>47.973902388941134</v>
      </c>
      <c r="AG9422" s="2">
        <f ca="1"/>
        <v>0.29015410749288684</v>
      </c>
      <c r="AH9422" s="2" t="str">
        <f ca="1"/>
        <v>OK</v>
      </c>
    </row>
    <row r="9423" spans="2:34" x14ac:dyDescent="0.2">
      <c r="B9423" s="2">
        <f ca="1"/>
        <v>8.2393119954418337E-2</v>
      </c>
      <c r="O9423" s="2">
        <f ca="1"/>
        <v>0.31883519399218785</v>
      </c>
      <c r="X9423" s="2">
        <f ca="1"/>
        <v>58.925053227389199</v>
      </c>
      <c r="AG9423" s="2">
        <f ca="1"/>
        <v>0.32596984312057908</v>
      </c>
      <c r="AH9423" s="2" t="str">
        <f ca="1"/>
        <v>OK</v>
      </c>
    </row>
    <row r="9424" spans="2:34" x14ac:dyDescent="0.2">
      <c r="B9424" s="2">
        <f ca="1"/>
        <v>7.2593982844078919E-2</v>
      </c>
      <c r="O9424" s="2">
        <f ca="1"/>
        <v>2.1512318176003973</v>
      </c>
      <c r="X9424" s="2">
        <f ca="1"/>
        <v>41.090353534057733</v>
      </c>
      <c r="AG9424" s="2">
        <f ca="1"/>
        <v>0.82840293628727668</v>
      </c>
      <c r="AH9424" s="2" t="str">
        <f ca="1"/>
        <v>Bad</v>
      </c>
    </row>
    <row r="9425" spans="2:34" x14ac:dyDescent="0.2">
      <c r="B9425" s="2">
        <f ca="1"/>
        <v>3.8986684612827283E-2</v>
      </c>
      <c r="O9425" s="2">
        <f ca="1"/>
        <v>0.43233506217895384</v>
      </c>
      <c r="X9425" s="2">
        <f ca="1"/>
        <v>57.733561804877283</v>
      </c>
      <c r="AG9425" s="2">
        <f ca="1"/>
        <v>0.2679121923667962</v>
      </c>
      <c r="AH9425" s="2" t="str">
        <f ca="1"/>
        <v>OK</v>
      </c>
    </row>
    <row r="9426" spans="2:34" x14ac:dyDescent="0.2">
      <c r="B9426" s="2">
        <f ca="1"/>
        <v>0.88286827102773002</v>
      </c>
      <c r="O9426" s="2">
        <f ca="1"/>
        <v>8.987094420214839E-2</v>
      </c>
      <c r="X9426" s="2">
        <f ca="1"/>
        <v>43.145927510403453</v>
      </c>
      <c r="AG9426" s="2">
        <f ca="1"/>
        <v>0.46758744819644948</v>
      </c>
      <c r="AH9426" s="2" t="str">
        <f ca="1"/>
        <v>Bad</v>
      </c>
    </row>
    <row r="9427" spans="2:34" x14ac:dyDescent="0.2">
      <c r="B9427" s="2">
        <f ca="1"/>
        <v>0.52751003325442891</v>
      </c>
      <c r="O9427" s="2">
        <f ca="1"/>
        <v>2.0418492906763109E-2</v>
      </c>
      <c r="X9427" s="2">
        <f ca="1"/>
        <v>49.401089055028329</v>
      </c>
      <c r="AG9427" s="2">
        <f ca="1"/>
        <v>0.55161381480708616</v>
      </c>
      <c r="AH9427" s="2" t="str">
        <f ca="1"/>
        <v>Bad</v>
      </c>
    </row>
    <row r="9428" spans="2:34" x14ac:dyDescent="0.2">
      <c r="B9428" s="2">
        <f ca="1"/>
        <v>0.6772653476947148</v>
      </c>
      <c r="O9428" s="2">
        <f ca="1"/>
        <v>0.83239030659319313</v>
      </c>
      <c r="X9428" s="2">
        <f ca="1"/>
        <v>19.818118080469613</v>
      </c>
      <c r="AG9428" s="2">
        <f ca="1"/>
        <v>0.95900251555444194</v>
      </c>
      <c r="AH9428" s="2" t="str">
        <f ca="1"/>
        <v>Bad</v>
      </c>
    </row>
    <row r="9429" spans="2:34" x14ac:dyDescent="0.2">
      <c r="B9429" s="2">
        <f ca="1"/>
        <v>0.5499406645505911</v>
      </c>
      <c r="O9429" s="2">
        <f ca="1"/>
        <v>0.8227250644720403</v>
      </c>
      <c r="X9429" s="2">
        <f ca="1"/>
        <v>75.693785284190525</v>
      </c>
      <c r="AG9429" s="2">
        <f ca="1"/>
        <v>0.2354796697880428</v>
      </c>
      <c r="AH9429" s="2" t="str">
        <f ca="1"/>
        <v>OK</v>
      </c>
    </row>
    <row r="9430" spans="2:34" x14ac:dyDescent="0.2">
      <c r="B9430" s="2">
        <f ca="1"/>
        <v>0.67925275223980464</v>
      </c>
      <c r="O9430" s="2">
        <f ca="1"/>
        <v>-0.80728856373698232</v>
      </c>
      <c r="X9430" s="2">
        <f ca="1"/>
        <v>52.155867025538129</v>
      </c>
      <c r="AG9430" s="2">
        <f ca="1"/>
        <v>0.69783014346016792</v>
      </c>
      <c r="AH9430" s="2" t="str">
        <f ca="1"/>
        <v>Bad</v>
      </c>
    </row>
    <row r="9431" spans="2:34" x14ac:dyDescent="0.2">
      <c r="B9431" s="2">
        <f ca="1"/>
        <v>0.43741633894862719</v>
      </c>
      <c r="O9431" s="2">
        <f ca="1"/>
        <v>-0.15540183300560664</v>
      </c>
      <c r="X9431" s="2">
        <f ca="1"/>
        <v>43.982789452700914</v>
      </c>
      <c r="AG9431" s="2">
        <f ca="1"/>
        <v>0.63154977179601435</v>
      </c>
      <c r="AH9431" s="2" t="str">
        <f ca="1"/>
        <v>Bad</v>
      </c>
    </row>
    <row r="9432" spans="2:34" x14ac:dyDescent="0.2">
      <c r="B9432" s="2">
        <f ca="1"/>
        <v>0.33564707286546369</v>
      </c>
      <c r="O9432" s="2">
        <f ca="1"/>
        <v>2.1336708833497293</v>
      </c>
      <c r="X9432" s="2">
        <f ca="1"/>
        <v>54.930567736891334</v>
      </c>
      <c r="AG9432" s="2">
        <f ca="1"/>
        <v>0.86040216628460087</v>
      </c>
      <c r="AH9432" s="2" t="str">
        <f ca="1"/>
        <v>Bad</v>
      </c>
    </row>
    <row r="9433" spans="2:34" x14ac:dyDescent="0.2">
      <c r="B9433" s="2">
        <f ca="1"/>
        <v>0.69571225500577705</v>
      </c>
      <c r="O9433" s="2">
        <f ca="1"/>
        <v>1.9699647540238185</v>
      </c>
      <c r="X9433" s="2">
        <f ca="1"/>
        <v>58.289475965387012</v>
      </c>
      <c r="AG9433" s="2">
        <f ca="1"/>
        <v>0.56942313876422812</v>
      </c>
      <c r="AH9433" s="2" t="str">
        <f ca="1"/>
        <v>Bad</v>
      </c>
    </row>
    <row r="9434" spans="2:34" x14ac:dyDescent="0.2">
      <c r="B9434" s="2">
        <f ca="1"/>
        <v>0.74727774440235639</v>
      </c>
      <c r="O9434" s="2">
        <f ca="1"/>
        <v>0.3493514754343871</v>
      </c>
      <c r="X9434" s="2">
        <f ca="1"/>
        <v>50.912633504402123</v>
      </c>
      <c r="AG9434" s="2">
        <f ca="1"/>
        <v>0.69453448485256963</v>
      </c>
      <c r="AH9434" s="2" t="str">
        <f ca="1"/>
        <v>Bad</v>
      </c>
    </row>
    <row r="9435" spans="2:34" x14ac:dyDescent="0.2">
      <c r="B9435" s="2">
        <f ca="1"/>
        <v>0.24286111068297545</v>
      </c>
      <c r="O9435" s="2">
        <f ca="1"/>
        <v>1.9617648465757958</v>
      </c>
      <c r="X9435" s="2">
        <f ca="1"/>
        <v>77.45068568734348</v>
      </c>
      <c r="AG9435" s="2">
        <f ca="1"/>
        <v>0.61763918419772179</v>
      </c>
      <c r="AH9435" s="2" t="str">
        <f ca="1"/>
        <v>Bad</v>
      </c>
    </row>
    <row r="9436" spans="2:34" x14ac:dyDescent="0.2">
      <c r="B9436" s="2">
        <f ca="1"/>
        <v>0.14741521750030095</v>
      </c>
      <c r="O9436" s="2">
        <f ca="1"/>
        <v>-7.7770107932577784E-2</v>
      </c>
      <c r="X9436" s="2">
        <f ca="1"/>
        <v>67.320344609348069</v>
      </c>
      <c r="AG9436" s="2">
        <f ca="1"/>
        <v>0.91105204337118262</v>
      </c>
      <c r="AH9436" s="2" t="str">
        <f ca="1"/>
        <v>Bad</v>
      </c>
    </row>
    <row r="9437" spans="2:34" x14ac:dyDescent="0.2">
      <c r="B9437" s="2">
        <f ca="1"/>
        <v>0.23806210628964952</v>
      </c>
      <c r="O9437" s="2">
        <f ca="1"/>
        <v>-0.30874408500682843</v>
      </c>
      <c r="X9437" s="2">
        <f ca="1"/>
        <v>49.764831846888328</v>
      </c>
      <c r="AG9437" s="2">
        <f ca="1"/>
        <v>0.33745868391196043</v>
      </c>
      <c r="AH9437" s="2" t="str">
        <f ca="1"/>
        <v>OK</v>
      </c>
    </row>
    <row r="9438" spans="2:34" x14ac:dyDescent="0.2">
      <c r="B9438" s="2">
        <f ca="1"/>
        <v>0.9959883291184195</v>
      </c>
      <c r="O9438" s="2">
        <f ca="1"/>
        <v>-7.8816260197743626E-2</v>
      </c>
      <c r="X9438" s="2">
        <f ca="1"/>
        <v>63.976057855079134</v>
      </c>
      <c r="AG9438" s="2">
        <f ca="1"/>
        <v>9.6105488082996349E-2</v>
      </c>
      <c r="AH9438" s="2" t="str">
        <f ca="1"/>
        <v>OK</v>
      </c>
    </row>
    <row r="9439" spans="2:34" x14ac:dyDescent="0.2">
      <c r="B9439" s="2">
        <f ca="1"/>
        <v>0.83042389013121132</v>
      </c>
      <c r="O9439" s="2">
        <f ca="1"/>
        <v>-0.87095823689256657</v>
      </c>
      <c r="X9439" s="2">
        <f ca="1"/>
        <v>67.889083994798639</v>
      </c>
      <c r="AG9439" s="2">
        <f ca="1"/>
        <v>0.56205012872323468</v>
      </c>
      <c r="AH9439" s="2" t="str">
        <f ca="1"/>
        <v>Bad</v>
      </c>
    </row>
    <row r="9440" spans="2:34" x14ac:dyDescent="0.2">
      <c r="B9440" s="2">
        <f ca="1"/>
        <v>0.20787850167207167</v>
      </c>
      <c r="O9440" s="2">
        <f ca="1"/>
        <v>0.37600965396274072</v>
      </c>
      <c r="X9440" s="2">
        <f ca="1"/>
        <v>39.771635265628362</v>
      </c>
      <c r="AG9440" s="2">
        <f ca="1"/>
        <v>0.91867251425872642</v>
      </c>
      <c r="AH9440" s="2" t="str">
        <f ca="1"/>
        <v>Bad</v>
      </c>
    </row>
    <row r="9441" spans="2:34" x14ac:dyDescent="0.2">
      <c r="B9441" s="2">
        <f ca="1"/>
        <v>9.5942934654735135E-2</v>
      </c>
      <c r="O9441" s="2">
        <f ca="1"/>
        <v>-1.4588769630650402</v>
      </c>
      <c r="X9441" s="2">
        <f ca="1"/>
        <v>75.769511275339823</v>
      </c>
      <c r="AG9441" s="2">
        <f ca="1"/>
        <v>0.68705020534844663</v>
      </c>
      <c r="AH9441" s="2" t="str">
        <f ca="1"/>
        <v>Bad</v>
      </c>
    </row>
    <row r="9442" spans="2:34" x14ac:dyDescent="0.2">
      <c r="B9442" s="2">
        <f ca="1"/>
        <v>0.87796814651846655</v>
      </c>
      <c r="O9442" s="2">
        <f ca="1"/>
        <v>0.4335453960651624</v>
      </c>
      <c r="X9442" s="2">
        <f ca="1"/>
        <v>66.277469550921708</v>
      </c>
      <c r="AG9442" s="2">
        <f ca="1"/>
        <v>0.33138380426275527</v>
      </c>
      <c r="AH9442" s="2" t="str">
        <f ca="1"/>
        <v>OK</v>
      </c>
    </row>
    <row r="9443" spans="2:34" x14ac:dyDescent="0.2">
      <c r="B9443" s="2">
        <f ca="1"/>
        <v>0.13004524620066849</v>
      </c>
      <c r="O9443" s="2">
        <f ca="1"/>
        <v>-0.14868396044784346</v>
      </c>
      <c r="X9443" s="2">
        <f ca="1"/>
        <v>61.733200273630935</v>
      </c>
      <c r="AG9443" s="2">
        <f ca="1"/>
        <v>0.40767750276018844</v>
      </c>
      <c r="AH9443" s="2" t="str">
        <f ca="1"/>
        <v>Bad</v>
      </c>
    </row>
    <row r="9444" spans="2:34" x14ac:dyDescent="0.2">
      <c r="B9444" s="2">
        <f ca="1"/>
        <v>0.26029689831485103</v>
      </c>
      <c r="O9444" s="2">
        <f ca="1"/>
        <v>-0.56723084423206216</v>
      </c>
      <c r="X9444" s="2">
        <f ca="1"/>
        <v>36.545883698283554</v>
      </c>
      <c r="AG9444" s="2">
        <f ca="1"/>
        <v>0.42204058455962046</v>
      </c>
      <c r="AH9444" s="2" t="str">
        <f ca="1"/>
        <v>Bad</v>
      </c>
    </row>
    <row r="9445" spans="2:34" x14ac:dyDescent="0.2">
      <c r="B9445" s="2">
        <f ca="1"/>
        <v>2.2712402218234118E-2</v>
      </c>
      <c r="O9445" s="2">
        <f ca="1"/>
        <v>-2.0251129329810609</v>
      </c>
      <c r="X9445" s="2">
        <f ca="1"/>
        <v>33.338509075837926</v>
      </c>
      <c r="AG9445" s="2">
        <f ca="1"/>
        <v>0.68067360306988101</v>
      </c>
      <c r="AH9445" s="2" t="str">
        <f ca="1"/>
        <v>Bad</v>
      </c>
    </row>
    <row r="9446" spans="2:34" x14ac:dyDescent="0.2">
      <c r="B9446" s="2">
        <f ca="1"/>
        <v>0.5097612880727449</v>
      </c>
      <c r="O9446" s="2">
        <f ca="1"/>
        <v>0.29135147652170723</v>
      </c>
      <c r="X9446" s="2">
        <f ca="1"/>
        <v>46.048277327479468</v>
      </c>
      <c r="AG9446" s="2">
        <f ca="1"/>
        <v>0.53124479069016584</v>
      </c>
      <c r="AH9446" s="2" t="str">
        <f ca="1"/>
        <v>Bad</v>
      </c>
    </row>
    <row r="9447" spans="2:34" x14ac:dyDescent="0.2">
      <c r="B9447" s="2">
        <f ca="1"/>
        <v>0.23884761451384096</v>
      </c>
      <c r="O9447" s="2">
        <f ca="1"/>
        <v>0.67020326240519201</v>
      </c>
      <c r="X9447" s="2">
        <f ca="1"/>
        <v>29.587804167944292</v>
      </c>
      <c r="AG9447" s="2">
        <f ca="1"/>
        <v>0.40002143268569368</v>
      </c>
      <c r="AH9447" s="2" t="str">
        <f ca="1"/>
        <v>Bad</v>
      </c>
    </row>
    <row r="9448" spans="2:34" x14ac:dyDescent="0.2">
      <c r="B9448" s="2">
        <f ca="1"/>
        <v>7.3334523107247529E-2</v>
      </c>
      <c r="O9448" s="2">
        <f ca="1"/>
        <v>-0.81710577986404009</v>
      </c>
      <c r="X9448" s="2">
        <f ca="1"/>
        <v>34.801754321044605</v>
      </c>
      <c r="AG9448" s="2">
        <f ca="1"/>
        <v>0.21176862464845114</v>
      </c>
      <c r="AH9448" s="2" t="str">
        <f ca="1"/>
        <v>OK</v>
      </c>
    </row>
    <row r="9449" spans="2:34" x14ac:dyDescent="0.2">
      <c r="B9449" s="2">
        <f ca="1"/>
        <v>0.61762608586821433</v>
      </c>
      <c r="O9449" s="2">
        <f ca="1"/>
        <v>0.71573411939681164</v>
      </c>
      <c r="X9449" s="2">
        <f ca="1"/>
        <v>61.461971877607823</v>
      </c>
      <c r="AG9449" s="2">
        <f ca="1"/>
        <v>0.44070824748540027</v>
      </c>
      <c r="AH9449" s="2" t="str">
        <f ca="1"/>
        <v>Bad</v>
      </c>
    </row>
    <row r="9450" spans="2:34" x14ac:dyDescent="0.2">
      <c r="B9450" s="2">
        <f ca="1"/>
        <v>0.28428092602514266</v>
      </c>
      <c r="O9450" s="2">
        <f ca="1"/>
        <v>-1.1838738201415884</v>
      </c>
      <c r="X9450" s="2">
        <f ca="1"/>
        <v>42.00954436162236</v>
      </c>
      <c r="AG9450" s="2">
        <f ca="1"/>
        <v>0.88791493345920181</v>
      </c>
      <c r="AH9450" s="2" t="str">
        <f ca="1"/>
        <v>Bad</v>
      </c>
    </row>
    <row r="9451" spans="2:34" x14ac:dyDescent="0.2">
      <c r="B9451" s="2">
        <f ca="1"/>
        <v>0.53416138975882421</v>
      </c>
      <c r="O9451" s="2">
        <f ca="1"/>
        <v>7.551728385207572E-2</v>
      </c>
      <c r="X9451" s="2">
        <f ca="1"/>
        <v>37.8160278114769</v>
      </c>
      <c r="AG9451" s="2">
        <f ca="1"/>
        <v>0.52259983074359306</v>
      </c>
      <c r="AH9451" s="2" t="str">
        <f ca="1"/>
        <v>Bad</v>
      </c>
    </row>
    <row r="9452" spans="2:34" x14ac:dyDescent="0.2">
      <c r="B9452" s="2">
        <f ca="1"/>
        <v>0.43459928918960333</v>
      </c>
      <c r="O9452" s="2">
        <f ca="1"/>
        <v>-1.6660714645301897</v>
      </c>
      <c r="X9452" s="2">
        <f ca="1"/>
        <v>44.627334857903534</v>
      </c>
      <c r="AG9452" s="2">
        <f ca="1"/>
        <v>0.34357358608805977</v>
      </c>
      <c r="AH9452" s="2" t="str">
        <f ca="1"/>
        <v>OK</v>
      </c>
    </row>
    <row r="9453" spans="2:34" x14ac:dyDescent="0.2">
      <c r="B9453" s="2">
        <f ca="1"/>
        <v>0.23062402668328175</v>
      </c>
      <c r="O9453" s="2">
        <f ca="1"/>
        <v>0.35055787832966517</v>
      </c>
      <c r="X9453" s="2">
        <f ca="1"/>
        <v>34.169387019500604</v>
      </c>
      <c r="AG9453" s="2">
        <f ca="1"/>
        <v>0.63771685710512016</v>
      </c>
      <c r="AH9453" s="2" t="str">
        <f ca="1"/>
        <v>Bad</v>
      </c>
    </row>
    <row r="9454" spans="2:34" x14ac:dyDescent="0.2">
      <c r="B9454" s="2">
        <f ca="1"/>
        <v>0.88849573118919545</v>
      </c>
      <c r="O9454" s="2">
        <f ca="1"/>
        <v>3.0762341328505758</v>
      </c>
      <c r="X9454" s="2">
        <f ca="1"/>
        <v>79.021309769664441</v>
      </c>
      <c r="AG9454" s="2">
        <f ca="1"/>
        <v>4.6547394503839046E-2</v>
      </c>
      <c r="AH9454" s="2" t="str">
        <f ca="1"/>
        <v>Good</v>
      </c>
    </row>
    <row r="9455" spans="2:34" x14ac:dyDescent="0.2">
      <c r="B9455" s="2">
        <f ca="1"/>
        <v>0.44528224911254766</v>
      </c>
      <c r="O9455" s="2">
        <f ca="1"/>
        <v>0.21495243210182904</v>
      </c>
      <c r="X9455" s="2">
        <f ca="1"/>
        <v>18.808121665401035</v>
      </c>
      <c r="AG9455" s="2">
        <f ca="1"/>
        <v>0.23316477598961094</v>
      </c>
      <c r="AH9455" s="2" t="str">
        <f ca="1"/>
        <v>OK</v>
      </c>
    </row>
    <row r="9456" spans="2:34" x14ac:dyDescent="0.2">
      <c r="B9456" s="2">
        <f ca="1"/>
        <v>0.21483343542394606</v>
      </c>
      <c r="O9456" s="2">
        <f ca="1"/>
        <v>0.32719937006535377</v>
      </c>
      <c r="X9456" s="2">
        <f ca="1"/>
        <v>46.060110720882363</v>
      </c>
      <c r="AG9456" s="2">
        <f ca="1"/>
        <v>0.31417959814145813</v>
      </c>
      <c r="AH9456" s="2" t="str">
        <f ca="1"/>
        <v>OK</v>
      </c>
    </row>
    <row r="9457" spans="2:34" x14ac:dyDescent="0.2">
      <c r="B9457" s="2">
        <f ca="1"/>
        <v>0.2859974635307887</v>
      </c>
      <c r="O9457" s="2">
        <f ca="1"/>
        <v>1.0638394206342412</v>
      </c>
      <c r="X9457" s="2">
        <f ca="1"/>
        <v>69.791161427436464</v>
      </c>
      <c r="AG9457" s="2">
        <f ca="1"/>
        <v>5.8643985629483364E-2</v>
      </c>
      <c r="AH9457" s="2" t="str">
        <f ca="1"/>
        <v>OK</v>
      </c>
    </row>
    <row r="9458" spans="2:34" x14ac:dyDescent="0.2">
      <c r="B9458" s="2">
        <f ca="1"/>
        <v>0.60451817055363466</v>
      </c>
      <c r="O9458" s="2">
        <f ca="1"/>
        <v>1.0544280658233058</v>
      </c>
      <c r="X9458" s="2">
        <f ca="1"/>
        <v>27.938218458873646</v>
      </c>
      <c r="AG9458" s="2">
        <f ca="1"/>
        <v>0.772843792883811</v>
      </c>
      <c r="AH9458" s="2" t="str">
        <f ca="1"/>
        <v>Bad</v>
      </c>
    </row>
    <row r="9459" spans="2:34" x14ac:dyDescent="0.2">
      <c r="B9459" s="2">
        <f ca="1"/>
        <v>0.42131778148836641</v>
      </c>
      <c r="O9459" s="2">
        <f ca="1"/>
        <v>0.41888469450886151</v>
      </c>
      <c r="X9459" s="2">
        <f ca="1"/>
        <v>54.262792512508824</v>
      </c>
      <c r="AG9459" s="2">
        <f ca="1"/>
        <v>0.8601016685913474</v>
      </c>
      <c r="AH9459" s="2" t="str">
        <f ca="1"/>
        <v>Bad</v>
      </c>
    </row>
    <row r="9460" spans="2:34" x14ac:dyDescent="0.2">
      <c r="B9460" s="2">
        <f ca="1"/>
        <v>0.4964271228387962</v>
      </c>
      <c r="O9460" s="2">
        <f ca="1"/>
        <v>0.16159763042043168</v>
      </c>
      <c r="X9460" s="2">
        <f ca="1"/>
        <v>53.664215015498478</v>
      </c>
      <c r="AG9460" s="2">
        <f ca="1"/>
        <v>0.49863684348171189</v>
      </c>
      <c r="AH9460" s="2" t="str">
        <f ca="1"/>
        <v>Bad</v>
      </c>
    </row>
    <row r="9461" spans="2:34" x14ac:dyDescent="0.2">
      <c r="B9461" s="2">
        <f ca="1"/>
        <v>5.9326017958885924E-2</v>
      </c>
      <c r="O9461" s="2">
        <f ca="1"/>
        <v>0.65004698220353008</v>
      </c>
      <c r="X9461" s="2">
        <f ca="1"/>
        <v>25.672790852961832</v>
      </c>
      <c r="AG9461" s="2">
        <f ca="1"/>
        <v>0.70116073624871733</v>
      </c>
      <c r="AH9461" s="2" t="str">
        <f ca="1"/>
        <v>Bad</v>
      </c>
    </row>
    <row r="9462" spans="2:34" x14ac:dyDescent="0.2">
      <c r="B9462" s="2">
        <f ca="1"/>
        <v>0.43836669225947023</v>
      </c>
      <c r="O9462" s="2">
        <f ca="1"/>
        <v>0.33230073107514913</v>
      </c>
      <c r="X9462" s="2">
        <f ca="1"/>
        <v>58.57899377673229</v>
      </c>
      <c r="AG9462" s="2">
        <f ca="1"/>
        <v>0.10331966701671891</v>
      </c>
      <c r="AH9462" s="2" t="str">
        <f ca="1"/>
        <v>OK</v>
      </c>
    </row>
    <row r="9463" spans="2:34" x14ac:dyDescent="0.2">
      <c r="B9463" s="2">
        <f ca="1"/>
        <v>0.17280345724466883</v>
      </c>
      <c r="O9463" s="2">
        <f ca="1"/>
        <v>-0.82375185866959677</v>
      </c>
      <c r="X9463" s="2">
        <f ca="1"/>
        <v>34.167163352620364</v>
      </c>
      <c r="AG9463" s="2">
        <f ca="1"/>
        <v>0.61062963520015501</v>
      </c>
      <c r="AH9463" s="2" t="str">
        <f ca="1"/>
        <v>Bad</v>
      </c>
    </row>
    <row r="9464" spans="2:34" x14ac:dyDescent="0.2">
      <c r="B9464" s="2">
        <f ca="1"/>
        <v>0.73810134353369583</v>
      </c>
      <c r="O9464" s="2">
        <f ca="1"/>
        <v>-6.1798363661204246E-2</v>
      </c>
      <c r="X9464" s="2">
        <f ca="1"/>
        <v>31.950510613096625</v>
      </c>
      <c r="AG9464" s="2">
        <f ca="1"/>
        <v>3.2265337145982675E-2</v>
      </c>
      <c r="AH9464" s="2" t="str">
        <f ca="1"/>
        <v>Good</v>
      </c>
    </row>
    <row r="9465" spans="2:34" x14ac:dyDescent="0.2">
      <c r="B9465" s="2">
        <f ca="1"/>
        <v>0.31188383314185386</v>
      </c>
      <c r="O9465" s="2">
        <f ca="1"/>
        <v>1.6518798004447952</v>
      </c>
      <c r="X9465" s="2">
        <f ca="1"/>
        <v>85.122842043035376</v>
      </c>
      <c r="AG9465" s="2">
        <f ca="1"/>
        <v>0.81383796271540709</v>
      </c>
      <c r="AH9465" s="2" t="str">
        <f ca="1"/>
        <v>Bad</v>
      </c>
    </row>
    <row r="9466" spans="2:34" x14ac:dyDescent="0.2">
      <c r="B9466" s="2">
        <f ca="1"/>
        <v>0.71769874063118744</v>
      </c>
      <c r="O9466" s="2">
        <f ca="1"/>
        <v>-1.5230364668559528</v>
      </c>
      <c r="X9466" s="2">
        <f ca="1"/>
        <v>76.996692393252189</v>
      </c>
      <c r="AG9466" s="2">
        <f ca="1"/>
        <v>0.18204417825373076</v>
      </c>
      <c r="AH9466" s="2" t="str">
        <f ca="1"/>
        <v>OK</v>
      </c>
    </row>
    <row r="9467" spans="2:34" x14ac:dyDescent="0.2">
      <c r="B9467" s="2">
        <f ca="1"/>
        <v>0.94224140841223414</v>
      </c>
      <c r="O9467" s="2">
        <f ca="1"/>
        <v>4.1623253814298121E-2</v>
      </c>
      <c r="X9467" s="2">
        <f ca="1"/>
        <v>65.475479128172864</v>
      </c>
      <c r="AG9467" s="2">
        <f ca="1"/>
        <v>0.89297451964947494</v>
      </c>
      <c r="AH9467" s="2" t="str">
        <f ca="1"/>
        <v>Bad</v>
      </c>
    </row>
    <row r="9468" spans="2:34" x14ac:dyDescent="0.2">
      <c r="B9468" s="2">
        <f ca="1"/>
        <v>0.71667895786700542</v>
      </c>
      <c r="O9468" s="2">
        <f ca="1"/>
        <v>1.4721701737136965</v>
      </c>
      <c r="X9468" s="2">
        <f ca="1"/>
        <v>47.408640125409384</v>
      </c>
      <c r="AG9468" s="2">
        <f ca="1"/>
        <v>0.69642871519155447</v>
      </c>
      <c r="AH9468" s="2" t="str">
        <f ca="1"/>
        <v>Bad</v>
      </c>
    </row>
    <row r="9469" spans="2:34" x14ac:dyDescent="0.2">
      <c r="B9469" s="2">
        <f ca="1"/>
        <v>0.81456600234342336</v>
      </c>
      <c r="O9469" s="2">
        <f ca="1"/>
        <v>0.11537334956124655</v>
      </c>
      <c r="X9469" s="2">
        <f ca="1"/>
        <v>37.864854317030904</v>
      </c>
      <c r="AG9469" s="2">
        <f ca="1"/>
        <v>0.46925359745614204</v>
      </c>
      <c r="AH9469" s="2" t="str">
        <f ca="1"/>
        <v>Bad</v>
      </c>
    </row>
    <row r="9470" spans="2:34" x14ac:dyDescent="0.2">
      <c r="B9470" s="2">
        <f ca="1"/>
        <v>0.2820385279961799</v>
      </c>
      <c r="O9470" s="2">
        <f ca="1"/>
        <v>-0.95582964656679381</v>
      </c>
      <c r="X9470" s="2">
        <f ca="1"/>
        <v>39.766583886535308</v>
      </c>
      <c r="AG9470" s="2">
        <f ca="1"/>
        <v>0.3363533725696799</v>
      </c>
      <c r="AH9470" s="2" t="str">
        <f ca="1"/>
        <v>OK</v>
      </c>
    </row>
    <row r="9471" spans="2:34" x14ac:dyDescent="0.2">
      <c r="B9471" s="2">
        <f ca="1"/>
        <v>0.78891404102697194</v>
      </c>
      <c r="O9471" s="2">
        <f ca="1"/>
        <v>0.73358833606613238</v>
      </c>
      <c r="X9471" s="2">
        <f ca="1"/>
        <v>34.131414825625974</v>
      </c>
      <c r="AG9471" s="2">
        <f ca="1"/>
        <v>0.69134286726093275</v>
      </c>
      <c r="AH9471" s="2" t="str">
        <f ca="1"/>
        <v>Bad</v>
      </c>
    </row>
    <row r="9472" spans="2:34" x14ac:dyDescent="0.2">
      <c r="B9472" s="2">
        <f ca="1"/>
        <v>0.97826918486207726</v>
      </c>
      <c r="O9472" s="2">
        <f ca="1"/>
        <v>-0.39714180920939707</v>
      </c>
      <c r="X9472" s="2">
        <f ca="1"/>
        <v>60.179728106892668</v>
      </c>
      <c r="AG9472" s="2">
        <f ca="1"/>
        <v>0.4771994051595978</v>
      </c>
      <c r="AH9472" s="2" t="str">
        <f ca="1"/>
        <v>Bad</v>
      </c>
    </row>
    <row r="9473" spans="2:34" x14ac:dyDescent="0.2">
      <c r="B9473" s="2">
        <f ca="1"/>
        <v>6.3747489127084389E-2</v>
      </c>
      <c r="O9473" s="2">
        <f ca="1"/>
        <v>1.0251309917501041</v>
      </c>
      <c r="X9473" s="2">
        <f ca="1"/>
        <v>47.18257144111633</v>
      </c>
      <c r="AG9473" s="2">
        <f ca="1"/>
        <v>0.51062876949869418</v>
      </c>
      <c r="AH9473" s="2" t="str">
        <f ca="1"/>
        <v>Bad</v>
      </c>
    </row>
    <row r="9474" spans="2:34" x14ac:dyDescent="0.2">
      <c r="B9474" s="2">
        <f ca="1"/>
        <v>0.43957022544998048</v>
      </c>
      <c r="O9474" s="2">
        <f ca="1"/>
        <v>-5.509067838255477E-2</v>
      </c>
      <c r="X9474" s="2">
        <f ca="1"/>
        <v>58.629086128054588</v>
      </c>
      <c r="AG9474" s="2">
        <f ca="1"/>
        <v>0.2004544096402916</v>
      </c>
      <c r="AH9474" s="2" t="str">
        <f ca="1"/>
        <v>OK</v>
      </c>
    </row>
    <row r="9475" spans="2:34" x14ac:dyDescent="0.2">
      <c r="B9475" s="2">
        <f ca="1"/>
        <v>0.947162119253256</v>
      </c>
      <c r="O9475" s="2">
        <f ca="1"/>
        <v>-1.1263859847674242</v>
      </c>
      <c r="X9475" s="2">
        <f ca="1"/>
        <v>29.938332051967347</v>
      </c>
      <c r="AG9475" s="2">
        <f ca="1"/>
        <v>4.0146490895734521E-2</v>
      </c>
      <c r="AH9475" s="2" t="str">
        <f ca="1"/>
        <v>Good</v>
      </c>
    </row>
    <row r="9476" spans="2:34" x14ac:dyDescent="0.2">
      <c r="B9476" s="2">
        <f ca="1"/>
        <v>0.45661750070041141</v>
      </c>
      <c r="O9476" s="2">
        <f ca="1"/>
        <v>-0.22713807754655549</v>
      </c>
      <c r="X9476" s="2">
        <f ca="1"/>
        <v>50.437374391646436</v>
      </c>
      <c r="AG9476" s="2">
        <f ca="1"/>
        <v>0.4017556519658354</v>
      </c>
      <c r="AH9476" s="2" t="str">
        <f ca="1"/>
        <v>Bad</v>
      </c>
    </row>
    <row r="9477" spans="2:34" x14ac:dyDescent="0.2">
      <c r="B9477" s="2">
        <f ca="1"/>
        <v>0.28798895100623856</v>
      </c>
      <c r="O9477" s="2">
        <f ca="1"/>
        <v>-6.8683954509051556E-2</v>
      </c>
      <c r="X9477" s="2">
        <f ca="1"/>
        <v>52.195427710923681</v>
      </c>
      <c r="AG9477" s="2">
        <f ca="1"/>
        <v>0.5768878801512376</v>
      </c>
      <c r="AH9477" s="2" t="str">
        <f ca="1"/>
        <v>Bad</v>
      </c>
    </row>
    <row r="9478" spans="2:34" x14ac:dyDescent="0.2">
      <c r="B9478" s="2">
        <f ca="1"/>
        <v>0.1984001121432275</v>
      </c>
      <c r="O9478" s="2">
        <f ca="1"/>
        <v>2.1574432595356687</v>
      </c>
      <c r="X9478" s="2">
        <f ca="1"/>
        <v>58.077104986837533</v>
      </c>
      <c r="AG9478" s="2">
        <f ca="1"/>
        <v>0.24732733175652188</v>
      </c>
      <c r="AH9478" s="2" t="str">
        <f ca="1"/>
        <v>OK</v>
      </c>
    </row>
    <row r="9479" spans="2:34" x14ac:dyDescent="0.2">
      <c r="B9479" s="2">
        <f ca="1"/>
        <v>0.93790190273365037</v>
      </c>
      <c r="O9479" s="2">
        <f ca="1"/>
        <v>0.5734801727499772</v>
      </c>
      <c r="X9479" s="2">
        <f ca="1"/>
        <v>50.609869000103195</v>
      </c>
      <c r="AG9479" s="2">
        <f ca="1"/>
        <v>0.97568690210894271</v>
      </c>
      <c r="AH9479" s="2" t="str">
        <f ca="1"/>
        <v>Bad</v>
      </c>
    </row>
    <row r="9480" spans="2:34" x14ac:dyDescent="0.2">
      <c r="B9480" s="2">
        <f ca="1"/>
        <v>0.26094388865668927</v>
      </c>
      <c r="O9480" s="2">
        <f ca="1"/>
        <v>-1.3806675622345366</v>
      </c>
      <c r="X9480" s="2">
        <f ca="1"/>
        <v>31.165724816108273</v>
      </c>
      <c r="AG9480" s="2">
        <f ca="1"/>
        <v>0.9721925926921593</v>
      </c>
      <c r="AH9480" s="2" t="str">
        <f ca="1"/>
        <v>Bad</v>
      </c>
    </row>
    <row r="9481" spans="2:34" x14ac:dyDescent="0.2">
      <c r="B9481" s="2">
        <f ca="1"/>
        <v>0.23040356969214981</v>
      </c>
      <c r="O9481" s="2">
        <f ca="1"/>
        <v>-1.53237355372532</v>
      </c>
      <c r="X9481" s="2">
        <f ca="1"/>
        <v>75.935671537609906</v>
      </c>
      <c r="AG9481" s="2">
        <f ca="1"/>
        <v>0.34947752366413765</v>
      </c>
      <c r="AH9481" s="2" t="str">
        <f ca="1"/>
        <v>OK</v>
      </c>
    </row>
    <row r="9482" spans="2:34" x14ac:dyDescent="0.2">
      <c r="B9482" s="2">
        <f ca="1"/>
        <v>0.61166533182525762</v>
      </c>
      <c r="O9482" s="2">
        <f ca="1"/>
        <v>-1.7237193174955818</v>
      </c>
      <c r="X9482" s="2">
        <f ca="1"/>
        <v>59.827341255979221</v>
      </c>
      <c r="AG9482" s="2">
        <f ca="1"/>
        <v>0.52019111775617066</v>
      </c>
      <c r="AH9482" s="2" t="str">
        <f ca="1"/>
        <v>Bad</v>
      </c>
    </row>
    <row r="9483" spans="2:34" x14ac:dyDescent="0.2">
      <c r="B9483" s="2">
        <f ca="1"/>
        <v>0.93359694523203762</v>
      </c>
      <c r="O9483" s="2">
        <f ca="1"/>
        <v>-1.121151126684824</v>
      </c>
      <c r="X9483" s="2">
        <f ca="1"/>
        <v>37.085545710625681</v>
      </c>
      <c r="AG9483" s="2">
        <f ca="1"/>
        <v>0.92064052597667723</v>
      </c>
      <c r="AH9483" s="2" t="str">
        <f ca="1"/>
        <v>Bad</v>
      </c>
    </row>
    <row r="9484" spans="2:34" x14ac:dyDescent="0.2">
      <c r="B9484" s="2">
        <f ca="1"/>
        <v>0.7792345799326561</v>
      </c>
      <c r="O9484" s="2">
        <f ca="1"/>
        <v>-0.39419096731325387</v>
      </c>
      <c r="X9484" s="2">
        <f ca="1"/>
        <v>63.907966398444643</v>
      </c>
      <c r="AG9484" s="2">
        <f ca="1"/>
        <v>0.81223219791767076</v>
      </c>
      <c r="AH9484" s="2" t="str">
        <f ca="1"/>
        <v>Bad</v>
      </c>
    </row>
    <row r="9485" spans="2:34" x14ac:dyDescent="0.2">
      <c r="B9485" s="2">
        <f ca="1"/>
        <v>0.61011987721609651</v>
      </c>
      <c r="O9485" s="2">
        <f ca="1"/>
        <v>-1.5848031807256202</v>
      </c>
      <c r="X9485" s="2">
        <f ca="1"/>
        <v>53.835064944575137</v>
      </c>
      <c r="AG9485" s="2">
        <f ca="1"/>
        <v>0.32191824785148659</v>
      </c>
      <c r="AH9485" s="2" t="str">
        <f ca="1"/>
        <v>OK</v>
      </c>
    </row>
    <row r="9486" spans="2:34" x14ac:dyDescent="0.2">
      <c r="B9486" s="2">
        <f ca="1"/>
        <v>0.39553658905457723</v>
      </c>
      <c r="O9486" s="2">
        <f ca="1"/>
        <v>-0.28895837069583813</v>
      </c>
      <c r="X9486" s="2">
        <f ca="1"/>
        <v>60.198461615700339</v>
      </c>
      <c r="AG9486" s="2">
        <f ca="1"/>
        <v>0.75008597709278968</v>
      </c>
      <c r="AH9486" s="2" t="str">
        <f ca="1"/>
        <v>Bad</v>
      </c>
    </row>
    <row r="9487" spans="2:34" x14ac:dyDescent="0.2">
      <c r="B9487" s="2">
        <f ca="1"/>
        <v>0.64997907909567521</v>
      </c>
      <c r="O9487" s="2">
        <f ca="1"/>
        <v>-6.0646718558995928E-2</v>
      </c>
      <c r="X9487" s="2">
        <f ca="1"/>
        <v>46.59120243484351</v>
      </c>
      <c r="AG9487" s="2">
        <f ca="1"/>
        <v>0.46346043484220423</v>
      </c>
      <c r="AH9487" s="2" t="str">
        <f ca="1"/>
        <v>Bad</v>
      </c>
    </row>
    <row r="9488" spans="2:34" x14ac:dyDescent="0.2">
      <c r="B9488" s="2">
        <f ca="1"/>
        <v>0.78680461897262877</v>
      </c>
      <c r="O9488" s="2">
        <f ca="1"/>
        <v>-0.77646274594052667</v>
      </c>
      <c r="X9488" s="2">
        <f ca="1"/>
        <v>64.8602946289448</v>
      </c>
      <c r="AG9488" s="2">
        <f ca="1"/>
        <v>0.86439051461491156</v>
      </c>
      <c r="AH9488" s="2" t="str">
        <f ca="1"/>
        <v>Bad</v>
      </c>
    </row>
    <row r="9489" spans="2:34" x14ac:dyDescent="0.2">
      <c r="B9489" s="2">
        <f ca="1"/>
        <v>0.3596886927117553</v>
      </c>
      <c r="O9489" s="2">
        <f ca="1"/>
        <v>0.91386062829604586</v>
      </c>
      <c r="X9489" s="2">
        <f ca="1"/>
        <v>70.785374890528146</v>
      </c>
      <c r="AG9489" s="2">
        <f ca="1"/>
        <v>0.92889191428043016</v>
      </c>
      <c r="AH9489" s="2" t="str">
        <f ca="1"/>
        <v>Bad</v>
      </c>
    </row>
    <row r="9490" spans="2:34" x14ac:dyDescent="0.2">
      <c r="B9490" s="2">
        <f ca="1"/>
        <v>0.28977845087087695</v>
      </c>
      <c r="O9490" s="2">
        <f ca="1"/>
        <v>-1.2488507250174854</v>
      </c>
      <c r="X9490" s="2">
        <f ca="1"/>
        <v>48.876660543473669</v>
      </c>
      <c r="AG9490" s="2">
        <f ca="1"/>
        <v>4.3663716100470928E-2</v>
      </c>
      <c r="AH9490" s="2" t="str">
        <f ca="1"/>
        <v>Good</v>
      </c>
    </row>
    <row r="9491" spans="2:34" x14ac:dyDescent="0.2">
      <c r="B9491" s="2">
        <f ca="1"/>
        <v>0.45408141409118108</v>
      </c>
      <c r="O9491" s="2">
        <f ca="1"/>
        <v>0.43679739536448264</v>
      </c>
      <c r="X9491" s="2">
        <f ca="1"/>
        <v>49.684564794607894</v>
      </c>
      <c r="AG9491" s="2">
        <f ca="1"/>
        <v>8.4071210373348748E-6</v>
      </c>
      <c r="AH9491" s="2" t="str">
        <f ca="1"/>
        <v>Good</v>
      </c>
    </row>
    <row r="9492" spans="2:34" x14ac:dyDescent="0.2">
      <c r="B9492" s="2">
        <f ca="1"/>
        <v>0.90949413766928466</v>
      </c>
      <c r="O9492" s="2">
        <f ca="1"/>
        <v>0.27801469826807923</v>
      </c>
      <c r="X9492" s="2">
        <f ca="1"/>
        <v>37.456986906636793</v>
      </c>
      <c r="AG9492" s="2">
        <f ca="1"/>
        <v>0.56687669707433996</v>
      </c>
      <c r="AH9492" s="2" t="str">
        <f ca="1"/>
        <v>Bad</v>
      </c>
    </row>
    <row r="9493" spans="2:34" x14ac:dyDescent="0.2">
      <c r="B9493" s="2">
        <f ca="1"/>
        <v>0.30754870500909637</v>
      </c>
      <c r="O9493" s="2">
        <f ca="1"/>
        <v>1.7211631685736903</v>
      </c>
      <c r="X9493" s="2">
        <f ca="1"/>
        <v>59.069107250485224</v>
      </c>
      <c r="AG9493" s="2">
        <f ca="1"/>
        <v>0.2694889959011233</v>
      </c>
      <c r="AH9493" s="2" t="str">
        <f ca="1"/>
        <v>OK</v>
      </c>
    </row>
    <row r="9494" spans="2:34" x14ac:dyDescent="0.2">
      <c r="B9494" s="2">
        <f ca="1"/>
        <v>1.0844541906640082E-2</v>
      </c>
      <c r="O9494" s="2">
        <f ca="1"/>
        <v>-2.1811158218481252</v>
      </c>
      <c r="X9494" s="2">
        <f ca="1"/>
        <v>77.60837784401717</v>
      </c>
      <c r="AG9494" s="2">
        <f ca="1"/>
        <v>0.55472182410469983</v>
      </c>
      <c r="AH9494" s="2" t="str">
        <f ca="1"/>
        <v>Bad</v>
      </c>
    </row>
    <row r="9495" spans="2:34" x14ac:dyDescent="0.2">
      <c r="B9495" s="2">
        <f ca="1"/>
        <v>0.62025175751780659</v>
      </c>
      <c r="O9495" s="2">
        <f ca="1"/>
        <v>0.57902275442079121</v>
      </c>
      <c r="X9495" s="2">
        <f ca="1"/>
        <v>36.309123020264721</v>
      </c>
      <c r="AG9495" s="2">
        <f ca="1"/>
        <v>0.37886379734663889</v>
      </c>
      <c r="AH9495" s="2" t="str">
        <f ca="1"/>
        <v>OK</v>
      </c>
    </row>
    <row r="9496" spans="2:34" x14ac:dyDescent="0.2">
      <c r="B9496" s="2">
        <f ca="1"/>
        <v>0.23929576388283125</v>
      </c>
      <c r="O9496" s="2">
        <f ca="1"/>
        <v>1.3282257762342631</v>
      </c>
      <c r="X9496" s="2">
        <f ca="1"/>
        <v>52.865340980191647</v>
      </c>
      <c r="AG9496" s="2">
        <f ca="1"/>
        <v>0.37862944416078426</v>
      </c>
      <c r="AH9496" s="2" t="str">
        <f ca="1"/>
        <v>OK</v>
      </c>
    </row>
    <row r="9497" spans="2:34" x14ac:dyDescent="0.2">
      <c r="B9497" s="2">
        <f ca="1"/>
        <v>0.54154509266260109</v>
      </c>
      <c r="O9497" s="2">
        <f ca="1"/>
        <v>-1.6327962157547116</v>
      </c>
      <c r="X9497" s="2">
        <f ca="1"/>
        <v>55.879212371756708</v>
      </c>
      <c r="AG9497" s="2">
        <f ca="1"/>
        <v>0.50639755349177396</v>
      </c>
      <c r="AH9497" s="2" t="str">
        <f ca="1"/>
        <v>Bad</v>
      </c>
    </row>
    <row r="9498" spans="2:34" x14ac:dyDescent="0.2">
      <c r="B9498" s="2">
        <f ca="1"/>
        <v>9.5527090685090021E-2</v>
      </c>
      <c r="O9498" s="2">
        <f ca="1"/>
        <v>2.2914991306754908</v>
      </c>
      <c r="X9498" s="2">
        <f ca="1"/>
        <v>47.863455521089911</v>
      </c>
      <c r="AG9498" s="2">
        <f ca="1"/>
        <v>2.5617235659061155E-3</v>
      </c>
      <c r="AH9498" s="2" t="str">
        <f ca="1"/>
        <v>Good</v>
      </c>
    </row>
    <row r="9499" spans="2:34" x14ac:dyDescent="0.2">
      <c r="B9499" s="2">
        <f ca="1"/>
        <v>0.3648321026626502</v>
      </c>
      <c r="O9499" s="2">
        <f ca="1"/>
        <v>-0.58165691785679741</v>
      </c>
      <c r="X9499" s="2">
        <f ca="1"/>
        <v>57.081201761445996</v>
      </c>
      <c r="AG9499" s="2">
        <f ca="1"/>
        <v>0.20735049478129164</v>
      </c>
      <c r="AH9499" s="2" t="str">
        <f ca="1"/>
        <v>OK</v>
      </c>
    </row>
    <row r="9500" spans="2:34" x14ac:dyDescent="0.2">
      <c r="B9500" s="2">
        <f ca="1"/>
        <v>0.80792299557369351</v>
      </c>
      <c r="O9500" s="2">
        <f ca="1"/>
        <v>0.44620391880580129</v>
      </c>
      <c r="X9500" s="2">
        <f ca="1"/>
        <v>55.99241307593676</v>
      </c>
      <c r="AG9500" s="2">
        <f ca="1"/>
        <v>9.7437539519953154E-2</v>
      </c>
      <c r="AH9500" s="2" t="str">
        <f ca="1"/>
        <v>OK</v>
      </c>
    </row>
    <row r="9501" spans="2:34" x14ac:dyDescent="0.2">
      <c r="B9501" s="2">
        <f ca="1"/>
        <v>0.81779397813686194</v>
      </c>
      <c r="O9501" s="2">
        <f ca="1"/>
        <v>-0.7862059051692798</v>
      </c>
      <c r="X9501" s="2">
        <f ca="1"/>
        <v>74.520283370710246</v>
      </c>
      <c r="AG9501" s="2">
        <f ca="1"/>
        <v>0.12869127440488404</v>
      </c>
      <c r="AH9501" s="2" t="str">
        <f ca="1"/>
        <v>OK</v>
      </c>
    </row>
    <row r="9502" spans="2:34" x14ac:dyDescent="0.2">
      <c r="B9502" s="2">
        <f ca="1"/>
        <v>0.5377225722477994</v>
      </c>
      <c r="O9502" s="2">
        <f ca="1"/>
        <v>-0.45368962719762868</v>
      </c>
      <c r="X9502" s="2">
        <f ca="1"/>
        <v>54.783131257629975</v>
      </c>
      <c r="AG9502" s="2">
        <f ca="1"/>
        <v>0.80706113433234883</v>
      </c>
      <c r="AH9502" s="2" t="str">
        <f ca="1"/>
        <v>Bad</v>
      </c>
    </row>
    <row r="9503" spans="2:34" x14ac:dyDescent="0.2">
      <c r="B9503" s="2">
        <f ca="1"/>
        <v>0.16299625965919207</v>
      </c>
      <c r="O9503" s="2">
        <f ca="1"/>
        <v>0.93845459815763266</v>
      </c>
      <c r="X9503" s="2">
        <f ca="1"/>
        <v>46.458107824836709</v>
      </c>
      <c r="AG9503" s="2">
        <f ca="1"/>
        <v>0.63207964928831117</v>
      </c>
      <c r="AH9503" s="2" t="str">
        <f ca="1"/>
        <v>Bad</v>
      </c>
    </row>
    <row r="9504" spans="2:34" x14ac:dyDescent="0.2">
      <c r="B9504" s="2">
        <f ca="1"/>
        <v>0.83388573843675862</v>
      </c>
      <c r="O9504" s="2">
        <f ca="1"/>
        <v>0.43277671891864938</v>
      </c>
      <c r="X9504" s="2">
        <f ca="1"/>
        <v>43.370555511331723</v>
      </c>
      <c r="AG9504" s="2">
        <f ca="1"/>
        <v>0.28310496826201614</v>
      </c>
      <c r="AH9504" s="2" t="str">
        <f ca="1"/>
        <v>OK</v>
      </c>
    </row>
    <row r="9505" spans="2:34" x14ac:dyDescent="0.2">
      <c r="B9505" s="2">
        <f ca="1"/>
        <v>2.7644847722977151E-2</v>
      </c>
      <c r="O9505" s="2">
        <f ca="1"/>
        <v>0.68212554091702127</v>
      </c>
      <c r="X9505" s="2">
        <f ca="1"/>
        <v>53.880843148038345</v>
      </c>
      <c r="AG9505" s="2">
        <f ca="1"/>
        <v>0.30078017114110134</v>
      </c>
      <c r="AH9505" s="2" t="str">
        <f ca="1"/>
        <v>OK</v>
      </c>
    </row>
    <row r="9506" spans="2:34" x14ac:dyDescent="0.2">
      <c r="B9506" s="2">
        <f ca="1"/>
        <v>0.58808155718710742</v>
      </c>
      <c r="O9506" s="2">
        <f ca="1"/>
        <v>-1.2257547755624434</v>
      </c>
      <c r="X9506" s="2">
        <f ca="1"/>
        <v>63.653820839398207</v>
      </c>
      <c r="AG9506" s="2">
        <f ca="1"/>
        <v>0.71427880773204833</v>
      </c>
      <c r="AH9506" s="2" t="str">
        <f ca="1"/>
        <v>Bad</v>
      </c>
    </row>
    <row r="9507" spans="2:34" x14ac:dyDescent="0.2">
      <c r="B9507" s="2">
        <f ca="1"/>
        <v>0.17698866308155781</v>
      </c>
      <c r="O9507" s="2">
        <f ca="1"/>
        <v>1.6478872793853048</v>
      </c>
      <c r="X9507" s="2">
        <f ca="1"/>
        <v>55.263456878295337</v>
      </c>
      <c r="AG9507" s="2">
        <f ca="1"/>
        <v>0.18380657585301852</v>
      </c>
      <c r="AH9507" s="2" t="str">
        <f ca="1"/>
        <v>OK</v>
      </c>
    </row>
    <row r="9508" spans="2:34" x14ac:dyDescent="0.2">
      <c r="B9508" s="2">
        <f ca="1"/>
        <v>0.14098802055258419</v>
      </c>
      <c r="O9508" s="2">
        <f ca="1"/>
        <v>-0.12162920008106382</v>
      </c>
      <c r="X9508" s="2">
        <f ca="1"/>
        <v>37.781105111506854</v>
      </c>
      <c r="AG9508" s="2">
        <f ca="1"/>
        <v>0.96722592309349587</v>
      </c>
      <c r="AH9508" s="2" t="str">
        <f ca="1"/>
        <v>Bad</v>
      </c>
    </row>
    <row r="9509" spans="2:34" x14ac:dyDescent="0.2">
      <c r="B9509" s="2">
        <f ca="1"/>
        <v>0.74755103492913499</v>
      </c>
      <c r="O9509" s="2">
        <f ca="1"/>
        <v>0.2222542308573939</v>
      </c>
      <c r="X9509" s="2">
        <f ca="1"/>
        <v>76.436019026117691</v>
      </c>
      <c r="AG9509" s="2">
        <f ca="1"/>
        <v>0.58257438462495914</v>
      </c>
      <c r="AH9509" s="2" t="str">
        <f ca="1"/>
        <v>Bad</v>
      </c>
    </row>
    <row r="9510" spans="2:34" x14ac:dyDescent="0.2">
      <c r="B9510" s="2">
        <f ca="1"/>
        <v>0.68463130711893272</v>
      </c>
      <c r="O9510" s="2">
        <f ca="1"/>
        <v>1.3836818734798881</v>
      </c>
      <c r="X9510" s="2">
        <f ca="1"/>
        <v>42.226520469261011</v>
      </c>
      <c r="AG9510" s="2">
        <f ca="1"/>
        <v>0.51915044534086663</v>
      </c>
      <c r="AH9510" s="2" t="str">
        <f ca="1"/>
        <v>Bad</v>
      </c>
    </row>
    <row r="9511" spans="2:34" x14ac:dyDescent="0.2">
      <c r="B9511" s="2">
        <f ca="1"/>
        <v>1.9569053003233527E-2</v>
      </c>
      <c r="O9511" s="2">
        <f ca="1"/>
        <v>0.7091059275867041</v>
      </c>
      <c r="X9511" s="2">
        <f ca="1"/>
        <v>40.871234165128278</v>
      </c>
      <c r="AG9511" s="2">
        <f ca="1"/>
        <v>5.6250361234756685E-2</v>
      </c>
      <c r="AH9511" s="2" t="str">
        <f ca="1"/>
        <v>OK</v>
      </c>
    </row>
    <row r="9512" spans="2:34" x14ac:dyDescent="0.2">
      <c r="B9512" s="2">
        <f ca="1"/>
        <v>0.29369092462908708</v>
      </c>
      <c r="O9512" s="2">
        <f ca="1"/>
        <v>1.3469768448758934</v>
      </c>
      <c r="X9512" s="2">
        <f ca="1"/>
        <v>46.675677026721168</v>
      </c>
      <c r="AG9512" s="2">
        <f ca="1"/>
        <v>0.56723641790150392</v>
      </c>
      <c r="AH9512" s="2" t="str">
        <f ca="1"/>
        <v>Bad</v>
      </c>
    </row>
    <row r="9513" spans="2:34" x14ac:dyDescent="0.2">
      <c r="B9513" s="2">
        <f ca="1"/>
        <v>0.85040616550702586</v>
      </c>
      <c r="O9513" s="2">
        <f ca="1"/>
        <v>8.909640680680446E-2</v>
      </c>
      <c r="X9513" s="2">
        <f ca="1"/>
        <v>47.328491282797565</v>
      </c>
      <c r="AG9513" s="2">
        <f ca="1"/>
        <v>0.96181785034261336</v>
      </c>
      <c r="AH9513" s="2" t="str">
        <f ca="1"/>
        <v>Bad</v>
      </c>
    </row>
    <row r="9514" spans="2:34" x14ac:dyDescent="0.2">
      <c r="B9514" s="2">
        <f ca="1"/>
        <v>0.51551614004789936</v>
      </c>
      <c r="O9514" s="2">
        <f ca="1"/>
        <v>-0.19986900680115682</v>
      </c>
      <c r="X9514" s="2">
        <f ca="1"/>
        <v>40.543829359834334</v>
      </c>
      <c r="AG9514" s="2">
        <f ca="1"/>
        <v>0.3929617596892423</v>
      </c>
      <c r="AH9514" s="2" t="str">
        <f ca="1"/>
        <v>OK</v>
      </c>
    </row>
    <row r="9515" spans="2:34" x14ac:dyDescent="0.2">
      <c r="B9515" s="2">
        <f ca="1"/>
        <v>0.99920163771660753</v>
      </c>
      <c r="O9515" s="2">
        <f ca="1"/>
        <v>1.7845156772527353</v>
      </c>
      <c r="X9515" s="2">
        <f ca="1"/>
        <v>47.259326600255768</v>
      </c>
      <c r="AG9515" s="2">
        <f ca="1"/>
        <v>0.73546110749967131</v>
      </c>
      <c r="AH9515" s="2" t="str">
        <f ca="1"/>
        <v>Bad</v>
      </c>
    </row>
    <row r="9516" spans="2:34" x14ac:dyDescent="0.2">
      <c r="B9516" s="2">
        <f ca="1"/>
        <v>0.6699631115681941</v>
      </c>
      <c r="O9516" s="2">
        <f ca="1"/>
        <v>-0.34374383546274684</v>
      </c>
      <c r="X9516" s="2">
        <f ca="1"/>
        <v>41.262297230422348</v>
      </c>
      <c r="AG9516" s="2">
        <f ca="1"/>
        <v>0.48990216348493543</v>
      </c>
      <c r="AH9516" s="2" t="str">
        <f ca="1"/>
        <v>Bad</v>
      </c>
    </row>
    <row r="9517" spans="2:34" x14ac:dyDescent="0.2">
      <c r="B9517" s="2">
        <f ca="1"/>
        <v>0.99508546961822764</v>
      </c>
      <c r="O9517" s="2">
        <f ca="1"/>
        <v>-0.38205770315701204</v>
      </c>
      <c r="X9517" s="2">
        <f ca="1"/>
        <v>60.557531618252519</v>
      </c>
      <c r="AG9517" s="2">
        <f ca="1"/>
        <v>0.54968878511302988</v>
      </c>
      <c r="AH9517" s="2" t="str">
        <f ca="1"/>
        <v>Bad</v>
      </c>
    </row>
    <row r="9518" spans="2:34" x14ac:dyDescent="0.2">
      <c r="B9518" s="2">
        <f ca="1"/>
        <v>0.60590113814434998</v>
      </c>
      <c r="O9518" s="2">
        <f ca="1"/>
        <v>-0.83073068272779682</v>
      </c>
      <c r="X9518" s="2">
        <f ca="1"/>
        <v>72.121739770143989</v>
      </c>
      <c r="AG9518" s="2">
        <f ca="1"/>
        <v>0.44468216885377809</v>
      </c>
      <c r="AH9518" s="2" t="str">
        <f ca="1"/>
        <v>Bad</v>
      </c>
    </row>
    <row r="9519" spans="2:34" x14ac:dyDescent="0.2">
      <c r="B9519" s="2">
        <f ca="1"/>
        <v>0.72540390237357832</v>
      </c>
      <c r="O9519" s="2">
        <f ca="1"/>
        <v>8.62217909927087E-2</v>
      </c>
      <c r="X9519" s="2">
        <f ca="1"/>
        <v>55.962535481058381</v>
      </c>
      <c r="AG9519" s="2">
        <f ca="1"/>
        <v>0.11127377618480305</v>
      </c>
      <c r="AH9519" s="2" t="str">
        <f ca="1"/>
        <v>OK</v>
      </c>
    </row>
    <row r="9520" spans="2:34" x14ac:dyDescent="0.2">
      <c r="B9520" s="2">
        <f ca="1"/>
        <v>0.75124413142495916</v>
      </c>
      <c r="O9520" s="2">
        <f ca="1"/>
        <v>0.78599736555096622</v>
      </c>
      <c r="X9520" s="2">
        <f ca="1"/>
        <v>61.767017201303688</v>
      </c>
      <c r="AG9520" s="2">
        <f ca="1"/>
        <v>0.42560736228425222</v>
      </c>
      <c r="AH9520" s="2" t="str">
        <f ca="1"/>
        <v>Bad</v>
      </c>
    </row>
    <row r="9521" spans="2:34" x14ac:dyDescent="0.2">
      <c r="B9521" s="2">
        <f ca="1"/>
        <v>0.62942362752091707</v>
      </c>
      <c r="O9521" s="2">
        <f ca="1"/>
        <v>-0.4840287378489409</v>
      </c>
      <c r="X9521" s="2">
        <f ca="1"/>
        <v>55.901050537569546</v>
      </c>
      <c r="AG9521" s="2">
        <f ca="1"/>
        <v>0.52382187700472671</v>
      </c>
      <c r="AH9521" s="2" t="str">
        <f ca="1"/>
        <v>Bad</v>
      </c>
    </row>
    <row r="9522" spans="2:34" x14ac:dyDescent="0.2">
      <c r="B9522" s="2">
        <f ca="1"/>
        <v>0.75731064253749936</v>
      </c>
      <c r="O9522" s="2">
        <f ca="1"/>
        <v>-0.54576551011801255</v>
      </c>
      <c r="X9522" s="2">
        <f ca="1"/>
        <v>50.00757814963022</v>
      </c>
      <c r="AG9522" s="2">
        <f ca="1"/>
        <v>0.56163388985447971</v>
      </c>
      <c r="AH9522" s="2" t="str">
        <f ca="1"/>
        <v>Bad</v>
      </c>
    </row>
    <row r="9523" spans="2:34" x14ac:dyDescent="0.2">
      <c r="B9523" s="2">
        <f ca="1"/>
        <v>0.80057292124948076</v>
      </c>
      <c r="O9523" s="2">
        <f ca="1"/>
        <v>-0.72121794323878108</v>
      </c>
      <c r="X9523" s="2">
        <f ca="1"/>
        <v>51.029595732408772</v>
      </c>
      <c r="AG9523" s="2">
        <f ca="1"/>
        <v>0.59722863176481633</v>
      </c>
      <c r="AH9523" s="2" t="str">
        <f ca="1"/>
        <v>Bad</v>
      </c>
    </row>
    <row r="9524" spans="2:34" x14ac:dyDescent="0.2">
      <c r="B9524" s="2">
        <f ca="1"/>
        <v>0.56157641566026806</v>
      </c>
      <c r="O9524" s="2">
        <f ca="1"/>
        <v>-0.21069256568772335</v>
      </c>
      <c r="X9524" s="2">
        <f ca="1"/>
        <v>17.044079230154047</v>
      </c>
      <c r="AG9524" s="2">
        <f ca="1"/>
        <v>0.42075609063141739</v>
      </c>
      <c r="AH9524" s="2" t="str">
        <f ca="1"/>
        <v>Bad</v>
      </c>
    </row>
    <row r="9525" spans="2:34" x14ac:dyDescent="0.2">
      <c r="B9525" s="2">
        <f ca="1"/>
        <v>0.53452022220117756</v>
      </c>
      <c r="O9525" s="2">
        <f ca="1"/>
        <v>0.37200403649911784</v>
      </c>
      <c r="X9525" s="2">
        <f ca="1"/>
        <v>69.419779000283299</v>
      </c>
      <c r="AG9525" s="2">
        <f ca="1"/>
        <v>5.3165509180375103E-2</v>
      </c>
      <c r="AH9525" s="2" t="str">
        <f ca="1"/>
        <v>OK</v>
      </c>
    </row>
    <row r="9526" spans="2:34" x14ac:dyDescent="0.2">
      <c r="B9526" s="2">
        <f ca="1"/>
        <v>0.14608369798376941</v>
      </c>
      <c r="O9526" s="2">
        <f ca="1"/>
        <v>0.13853555095386252</v>
      </c>
      <c r="X9526" s="2">
        <f ca="1"/>
        <v>48.383062311029683</v>
      </c>
      <c r="AG9526" s="2">
        <f ca="1"/>
        <v>0.87566954861197566</v>
      </c>
      <c r="AH9526" s="2" t="str">
        <f ca="1"/>
        <v>Bad</v>
      </c>
    </row>
    <row r="9527" spans="2:34" x14ac:dyDescent="0.2">
      <c r="B9527" s="2">
        <f ca="1"/>
        <v>0.27991269754019554</v>
      </c>
      <c r="O9527" s="2">
        <f ca="1"/>
        <v>0.31030654511353101</v>
      </c>
      <c r="X9527" s="2">
        <f ca="1"/>
        <v>57.038438286044652</v>
      </c>
      <c r="AG9527" s="2">
        <f ca="1"/>
        <v>0.95917820213482785</v>
      </c>
      <c r="AH9527" s="2" t="str">
        <f ca="1"/>
        <v>Bad</v>
      </c>
    </row>
    <row r="9528" spans="2:34" x14ac:dyDescent="0.2">
      <c r="B9528" s="2">
        <f ca="1"/>
        <v>0.11954619412378631</v>
      </c>
      <c r="O9528" s="2">
        <f ca="1"/>
        <v>1.7387563132658028</v>
      </c>
      <c r="X9528" s="2">
        <f ca="1"/>
        <v>65.120705339685571</v>
      </c>
      <c r="AG9528" s="2">
        <f ca="1"/>
        <v>0.77148965004800329</v>
      </c>
      <c r="AH9528" s="2" t="str">
        <f ca="1"/>
        <v>Bad</v>
      </c>
    </row>
    <row r="9529" spans="2:34" x14ac:dyDescent="0.2">
      <c r="B9529" s="2">
        <f ca="1"/>
        <v>0.94375084862454495</v>
      </c>
      <c r="O9529" s="2">
        <f ca="1"/>
        <v>-0.31583968759433517</v>
      </c>
      <c r="X9529" s="2">
        <f ca="1"/>
        <v>42.510190700220527</v>
      </c>
      <c r="AG9529" s="2">
        <f ca="1"/>
        <v>0.85399208929561454</v>
      </c>
      <c r="AH9529" s="2" t="str">
        <f ca="1"/>
        <v>Bad</v>
      </c>
    </row>
    <row r="9530" spans="2:34" x14ac:dyDescent="0.2">
      <c r="B9530" s="2">
        <f ca="1"/>
        <v>0.81837261210129664</v>
      </c>
      <c r="O9530" s="2">
        <f ca="1"/>
        <v>-8.5722287313474019E-2</v>
      </c>
      <c r="X9530" s="2">
        <f ca="1"/>
        <v>34.373688216843888</v>
      </c>
      <c r="AG9530" s="2">
        <f ca="1"/>
        <v>0.24176267263518514</v>
      </c>
      <c r="AH9530" s="2" t="str">
        <f ca="1"/>
        <v>OK</v>
      </c>
    </row>
    <row r="9531" spans="2:34" x14ac:dyDescent="0.2">
      <c r="B9531" s="2">
        <f ca="1"/>
        <v>0.634924510320519</v>
      </c>
      <c r="O9531" s="2">
        <f ca="1"/>
        <v>0.42070525180675178</v>
      </c>
      <c r="X9531" s="2">
        <f ca="1"/>
        <v>19.622917462041396</v>
      </c>
      <c r="AG9531" s="2">
        <f ca="1"/>
        <v>0.18003131137576922</v>
      </c>
      <c r="AH9531" s="2" t="str">
        <f ca="1"/>
        <v>OK</v>
      </c>
    </row>
    <row r="9532" spans="2:34" x14ac:dyDescent="0.2">
      <c r="B9532" s="2">
        <f ca="1"/>
        <v>0.39971034171207265</v>
      </c>
      <c r="O9532" s="2">
        <f ca="1"/>
        <v>0.81185756611977589</v>
      </c>
      <c r="X9532" s="2">
        <f ca="1"/>
        <v>54.888415366575273</v>
      </c>
      <c r="AG9532" s="2">
        <f ca="1"/>
        <v>0.88607700735329264</v>
      </c>
      <c r="AH9532" s="2" t="str">
        <f ca="1"/>
        <v>Bad</v>
      </c>
    </row>
    <row r="9533" spans="2:34" x14ac:dyDescent="0.2">
      <c r="B9533" s="2">
        <f ca="1"/>
        <v>0.76558838599815515</v>
      </c>
      <c r="O9533" s="2">
        <f ca="1"/>
        <v>1.5444566802882342</v>
      </c>
      <c r="X9533" s="2">
        <f ca="1"/>
        <v>33.683218337845695</v>
      </c>
      <c r="AG9533" s="2">
        <f ca="1"/>
        <v>0.35070901845439284</v>
      </c>
      <c r="AH9533" s="2" t="str">
        <f ca="1"/>
        <v>OK</v>
      </c>
    </row>
    <row r="9534" spans="2:34" x14ac:dyDescent="0.2">
      <c r="B9534" s="2">
        <f ca="1"/>
        <v>0.14959965156673838</v>
      </c>
      <c r="O9534" s="2">
        <f ca="1"/>
        <v>-8.0706207196631852E-2</v>
      </c>
      <c r="X9534" s="2">
        <f ca="1"/>
        <v>48.114585817939847</v>
      </c>
      <c r="AG9534" s="2">
        <f ca="1"/>
        <v>0.84599194950041401</v>
      </c>
      <c r="AH9534" s="2" t="str">
        <f ca="1"/>
        <v>Bad</v>
      </c>
    </row>
    <row r="9535" spans="2:34" x14ac:dyDescent="0.2">
      <c r="B9535" s="2">
        <f ca="1"/>
        <v>0.51263371397298196</v>
      </c>
      <c r="O9535" s="2">
        <f ca="1"/>
        <v>-1.7853374080265765</v>
      </c>
      <c r="X9535" s="2">
        <f ca="1"/>
        <v>32.876497462918117</v>
      </c>
      <c r="AG9535" s="2">
        <f ca="1"/>
        <v>0.2551791206642835</v>
      </c>
      <c r="AH9535" s="2" t="str">
        <f ca="1"/>
        <v>OK</v>
      </c>
    </row>
    <row r="9536" spans="2:34" x14ac:dyDescent="0.2">
      <c r="B9536" s="2">
        <f ca="1"/>
        <v>0.32812484407830844</v>
      </c>
      <c r="O9536" s="2">
        <f ca="1"/>
        <v>-2.2519136989113129</v>
      </c>
      <c r="X9536" s="2">
        <f ca="1"/>
        <v>39.478480503636902</v>
      </c>
      <c r="AG9536" s="2">
        <f ca="1"/>
        <v>0.68963801242656952</v>
      </c>
      <c r="AH9536" s="2" t="str">
        <f ca="1"/>
        <v>Bad</v>
      </c>
    </row>
    <row r="9537" spans="2:34" x14ac:dyDescent="0.2">
      <c r="B9537" s="2">
        <f ca="1"/>
        <v>0.29540591729902155</v>
      </c>
      <c r="O9537" s="2">
        <f ca="1"/>
        <v>0.93211950239669406</v>
      </c>
      <c r="X9537" s="2">
        <f ca="1"/>
        <v>37.074939804663046</v>
      </c>
      <c r="AG9537" s="2">
        <f ca="1"/>
        <v>0.27595082150403205</v>
      </c>
      <c r="AH9537" s="2" t="str">
        <f ca="1"/>
        <v>OK</v>
      </c>
    </row>
    <row r="9538" spans="2:34" x14ac:dyDescent="0.2">
      <c r="B9538" s="2">
        <f ca="1"/>
        <v>0.31704231157668294</v>
      </c>
      <c r="O9538" s="2">
        <f ca="1"/>
        <v>-0.54093396128351434</v>
      </c>
      <c r="X9538" s="2">
        <f ca="1"/>
        <v>55.501989197137</v>
      </c>
      <c r="AG9538" s="2">
        <f ca="1"/>
        <v>0.90627645190367656</v>
      </c>
      <c r="AH9538" s="2" t="str">
        <f ca="1"/>
        <v>Bad</v>
      </c>
    </row>
    <row r="9539" spans="2:34" x14ac:dyDescent="0.2">
      <c r="B9539" s="2">
        <f ca="1"/>
        <v>0.44964768086095863</v>
      </c>
      <c r="O9539" s="2">
        <f ca="1"/>
        <v>0.95325459394595191</v>
      </c>
      <c r="X9539" s="2">
        <f ca="1"/>
        <v>27.739728174219955</v>
      </c>
      <c r="AG9539" s="2">
        <f ca="1"/>
        <v>0.5936425628851203</v>
      </c>
      <c r="AH9539" s="2" t="str">
        <f ca="1"/>
        <v>Bad</v>
      </c>
    </row>
    <row r="9540" spans="2:34" x14ac:dyDescent="0.2">
      <c r="B9540" s="2">
        <f ca="1"/>
        <v>0.26088517442638692</v>
      </c>
      <c r="O9540" s="2">
        <f ca="1"/>
        <v>-1.0654907429441283</v>
      </c>
      <c r="X9540" s="2">
        <f ca="1"/>
        <v>70.957167658214985</v>
      </c>
      <c r="AG9540" s="2">
        <f ca="1"/>
        <v>0.13358654956083349</v>
      </c>
      <c r="AH9540" s="2" t="str">
        <f ca="1"/>
        <v>OK</v>
      </c>
    </row>
    <row r="9541" spans="2:34" x14ac:dyDescent="0.2">
      <c r="B9541" s="2">
        <f ca="1"/>
        <v>0.54385040593416445</v>
      </c>
      <c r="O9541" s="2">
        <f ca="1"/>
        <v>-1.505332505922294</v>
      </c>
      <c r="X9541" s="2">
        <f ca="1"/>
        <v>69.906181102331459</v>
      </c>
      <c r="AG9541" s="2">
        <f ca="1"/>
        <v>6.723536664926355E-2</v>
      </c>
      <c r="AH9541" s="2" t="str">
        <f ca="1"/>
        <v>OK</v>
      </c>
    </row>
    <row r="9542" spans="2:34" x14ac:dyDescent="0.2">
      <c r="B9542" s="2">
        <f ca="1"/>
        <v>0.66129633960650969</v>
      </c>
      <c r="O9542" s="2">
        <f ca="1"/>
        <v>0.50737505253902748</v>
      </c>
      <c r="X9542" s="2">
        <f ca="1"/>
        <v>31.158000876245289</v>
      </c>
      <c r="AG9542" s="2">
        <f ca="1"/>
        <v>0.91564547281360054</v>
      </c>
      <c r="AH9542" s="2" t="str">
        <f ca="1"/>
        <v>Bad</v>
      </c>
    </row>
    <row r="9543" spans="2:34" x14ac:dyDescent="0.2">
      <c r="B9543" s="2">
        <f ca="1"/>
        <v>0.89777407986328606</v>
      </c>
      <c r="O9543" s="2">
        <f ca="1"/>
        <v>1.3843113742306938</v>
      </c>
      <c r="X9543" s="2">
        <f ca="1"/>
        <v>69.884970961252023</v>
      </c>
      <c r="AG9543" s="2">
        <f ca="1"/>
        <v>0.54194556177783615</v>
      </c>
      <c r="AH9543" s="2" t="str">
        <f ca="1"/>
        <v>Bad</v>
      </c>
    </row>
    <row r="9544" spans="2:34" x14ac:dyDescent="0.2">
      <c r="B9544" s="2">
        <f ca="1"/>
        <v>0.61300063444928998</v>
      </c>
      <c r="O9544" s="2">
        <f ca="1"/>
        <v>-1.1114530795521509</v>
      </c>
      <c r="X9544" s="2">
        <f ca="1"/>
        <v>48.500077942695526</v>
      </c>
      <c r="AG9544" s="2">
        <f ca="1"/>
        <v>0.31836571189560914</v>
      </c>
      <c r="AH9544" s="2" t="str">
        <f ca="1"/>
        <v>OK</v>
      </c>
    </row>
    <row r="9545" spans="2:34" x14ac:dyDescent="0.2">
      <c r="B9545" s="2">
        <f ca="1"/>
        <v>0.85066227158680996</v>
      </c>
      <c r="O9545" s="2">
        <f ca="1"/>
        <v>-1.0370783711060472</v>
      </c>
      <c r="X9545" s="2">
        <f ca="1"/>
        <v>46.588685897836157</v>
      </c>
      <c r="AG9545" s="2">
        <f ca="1"/>
        <v>0.40605439819283862</v>
      </c>
      <c r="AH9545" s="2" t="str">
        <f ca="1"/>
        <v>Bad</v>
      </c>
    </row>
    <row r="9546" spans="2:34" x14ac:dyDescent="0.2">
      <c r="B9546" s="2">
        <f ca="1"/>
        <v>0.19062645811684176</v>
      </c>
      <c r="O9546" s="2">
        <f ca="1"/>
        <v>1.8415701376356601</v>
      </c>
      <c r="X9546" s="2">
        <f ca="1"/>
        <v>89.206962256308074</v>
      </c>
      <c r="AG9546" s="2">
        <f ca="1"/>
        <v>0.19982821760619074</v>
      </c>
      <c r="AH9546" s="2" t="str">
        <f ca="1"/>
        <v>OK</v>
      </c>
    </row>
    <row r="9547" spans="2:34" x14ac:dyDescent="0.2">
      <c r="B9547" s="2">
        <f ca="1"/>
        <v>8.5946857327547255E-2</v>
      </c>
      <c r="O9547" s="2">
        <f ca="1"/>
        <v>-0.42752597395244885</v>
      </c>
      <c r="X9547" s="2">
        <f ca="1"/>
        <v>35.505530896495813</v>
      </c>
      <c r="AG9547" s="2">
        <f ca="1"/>
        <v>0.59757803692521594</v>
      </c>
      <c r="AH9547" s="2" t="str">
        <f ca="1"/>
        <v>Bad</v>
      </c>
    </row>
    <row r="9548" spans="2:34" x14ac:dyDescent="0.2">
      <c r="B9548" s="2">
        <f ca="1"/>
        <v>0.26007918741983316</v>
      </c>
      <c r="O9548" s="2">
        <f ca="1"/>
        <v>1.2744248064665431</v>
      </c>
      <c r="X9548" s="2">
        <f ca="1"/>
        <v>48.509157035058763</v>
      </c>
      <c r="AG9548" s="2">
        <f ca="1"/>
        <v>0.83859352173012458</v>
      </c>
      <c r="AH9548" s="2" t="str">
        <f ca="1"/>
        <v>Bad</v>
      </c>
    </row>
    <row r="9549" spans="2:34" x14ac:dyDescent="0.2">
      <c r="B9549" s="2">
        <f ca="1"/>
        <v>0.8896494421873451</v>
      </c>
      <c r="O9549" s="2">
        <f ca="1"/>
        <v>-0.82350509577731412</v>
      </c>
      <c r="X9549" s="2">
        <f ca="1"/>
        <v>37.521227478520338</v>
      </c>
      <c r="AG9549" s="2">
        <f ca="1"/>
        <v>0.60221004047389881</v>
      </c>
      <c r="AH9549" s="2" t="str">
        <f ca="1"/>
        <v>Bad</v>
      </c>
    </row>
    <row r="9550" spans="2:34" x14ac:dyDescent="0.2">
      <c r="B9550" s="2">
        <f ca="1"/>
        <v>0.1622522690050141</v>
      </c>
      <c r="O9550" s="2">
        <f ca="1"/>
        <v>-0.43667298368974466</v>
      </c>
      <c r="X9550" s="2">
        <f ca="1"/>
        <v>77.841169599629964</v>
      </c>
      <c r="AG9550" s="2">
        <f ca="1"/>
        <v>0.38588132104127881</v>
      </c>
      <c r="AH9550" s="2" t="str">
        <f ca="1"/>
        <v>OK</v>
      </c>
    </row>
    <row r="9551" spans="2:34" x14ac:dyDescent="0.2">
      <c r="B9551" s="2">
        <f ca="1"/>
        <v>0.30236187356001643</v>
      </c>
      <c r="O9551" s="2">
        <f ca="1"/>
        <v>-0.35632347794520647</v>
      </c>
      <c r="X9551" s="2">
        <f ca="1"/>
        <v>40.923614116335621</v>
      </c>
      <c r="AG9551" s="2">
        <f ca="1"/>
        <v>0.86809864739693077</v>
      </c>
      <c r="AH9551" s="2" t="str">
        <f ca="1"/>
        <v>Bad</v>
      </c>
    </row>
    <row r="9552" spans="2:34" x14ac:dyDescent="0.2">
      <c r="B9552" s="2">
        <f ca="1"/>
        <v>0.45074408017964607</v>
      </c>
      <c r="O9552" s="2">
        <f ca="1"/>
        <v>0.81802628545818468</v>
      </c>
      <c r="X9552" s="2">
        <f ca="1"/>
        <v>52.795336843663428</v>
      </c>
      <c r="AG9552" s="2">
        <f ca="1"/>
        <v>0.42823771608469485</v>
      </c>
      <c r="AH9552" s="2" t="str">
        <f ca="1"/>
        <v>Bad</v>
      </c>
    </row>
    <row r="9553" spans="2:34" x14ac:dyDescent="0.2">
      <c r="B9553" s="2">
        <f ca="1"/>
        <v>0.83020192738333987</v>
      </c>
      <c r="O9553" s="2">
        <f ca="1"/>
        <v>2.2114991407148392</v>
      </c>
      <c r="X9553" s="2">
        <f ca="1"/>
        <v>74.483275416739389</v>
      </c>
      <c r="AG9553" s="2">
        <f ca="1"/>
        <v>0.25059332721824368</v>
      </c>
      <c r="AH9553" s="2" t="str">
        <f ca="1"/>
        <v>OK</v>
      </c>
    </row>
    <row r="9554" spans="2:34" x14ac:dyDescent="0.2">
      <c r="B9554" s="2">
        <f ca="1"/>
        <v>0.3579012445036942</v>
      </c>
      <c r="O9554" s="2">
        <f ca="1"/>
        <v>-1.5174914809010862</v>
      </c>
      <c r="X9554" s="2">
        <f ca="1"/>
        <v>24.628269185657345</v>
      </c>
      <c r="AG9554" s="2">
        <f ca="1"/>
        <v>0.33877934214327809</v>
      </c>
      <c r="AH9554" s="2" t="str">
        <f ca="1"/>
        <v>OK</v>
      </c>
    </row>
    <row r="9555" spans="2:34" x14ac:dyDescent="0.2">
      <c r="B9555" s="2">
        <f ca="1"/>
        <v>0.72274587530970069</v>
      </c>
      <c r="O9555" s="2">
        <f ca="1"/>
        <v>-0.91354377469252523</v>
      </c>
      <c r="X9555" s="2">
        <f ca="1"/>
        <v>60.657063875375428</v>
      </c>
      <c r="AG9555" s="2">
        <f ca="1"/>
        <v>8.2599423264854144E-2</v>
      </c>
      <c r="AH9555" s="2" t="str">
        <f ca="1"/>
        <v>OK</v>
      </c>
    </row>
    <row r="9556" spans="2:34" x14ac:dyDescent="0.2">
      <c r="B9556" s="2">
        <f ca="1"/>
        <v>0.7449797811762422</v>
      </c>
      <c r="O9556" s="2">
        <f ca="1"/>
        <v>-1.7850863841841889</v>
      </c>
      <c r="X9556" s="2">
        <f ca="1"/>
        <v>45.598039081569006</v>
      </c>
      <c r="AG9556" s="2">
        <f ca="1"/>
        <v>0.52663457485738552</v>
      </c>
      <c r="AH9556" s="2" t="str">
        <f ca="1"/>
        <v>Bad</v>
      </c>
    </row>
    <row r="9557" spans="2:34" x14ac:dyDescent="0.2">
      <c r="B9557" s="2">
        <f ca="1"/>
        <v>0.62582585933512092</v>
      </c>
      <c r="O9557" s="2">
        <f ca="1"/>
        <v>0.65136682933181134</v>
      </c>
      <c r="X9557" s="2">
        <f ca="1"/>
        <v>61.931543669550273</v>
      </c>
      <c r="AG9557" s="2">
        <f ca="1"/>
        <v>0.18589767986127081</v>
      </c>
      <c r="AH9557" s="2" t="str">
        <f ca="1"/>
        <v>OK</v>
      </c>
    </row>
    <row r="9558" spans="2:34" x14ac:dyDescent="0.2">
      <c r="B9558" s="2">
        <f ca="1"/>
        <v>0.60501155338057466</v>
      </c>
      <c r="O9558" s="2">
        <f ca="1"/>
        <v>-1.1455259978600352</v>
      </c>
      <c r="X9558" s="2">
        <f ca="1"/>
        <v>41.275885023509069</v>
      </c>
      <c r="AG9558" s="2">
        <f ca="1"/>
        <v>0.98346295265439165</v>
      </c>
      <c r="AH9558" s="2" t="str">
        <f ca="1"/>
        <v>Bad</v>
      </c>
    </row>
    <row r="9559" spans="2:34" x14ac:dyDescent="0.2">
      <c r="B9559" s="2">
        <f ca="1"/>
        <v>0.14434887833847188</v>
      </c>
      <c r="O9559" s="2">
        <f ca="1"/>
        <v>-2.3115642167862616</v>
      </c>
      <c r="X9559" s="2">
        <f ca="1"/>
        <v>23.294885533265422</v>
      </c>
      <c r="AG9559" s="2">
        <f ca="1"/>
        <v>0.43567657367968859</v>
      </c>
      <c r="AH9559" s="2" t="str">
        <f ca="1"/>
        <v>Bad</v>
      </c>
    </row>
    <row r="9560" spans="2:34" x14ac:dyDescent="0.2">
      <c r="B9560" s="2">
        <f ca="1"/>
        <v>0.92476855590972762</v>
      </c>
      <c r="O9560" s="2">
        <f ca="1"/>
        <v>1.5023866779220612</v>
      </c>
      <c r="X9560" s="2">
        <f ca="1"/>
        <v>40.684433619254335</v>
      </c>
      <c r="AG9560" s="2">
        <f ca="1"/>
        <v>0.56294592800008059</v>
      </c>
      <c r="AH9560" s="2" t="str">
        <f ca="1"/>
        <v>Bad</v>
      </c>
    </row>
    <row r="9561" spans="2:34" x14ac:dyDescent="0.2">
      <c r="B9561" s="2">
        <f ca="1"/>
        <v>0.23005047723119887</v>
      </c>
      <c r="O9561" s="2">
        <f ca="1"/>
        <v>-0.68183931949608456</v>
      </c>
      <c r="X9561" s="2">
        <f ca="1"/>
        <v>47.407262219409283</v>
      </c>
      <c r="AG9561" s="2">
        <f ca="1"/>
        <v>0.76132204055661923</v>
      </c>
      <c r="AH9561" s="2" t="str">
        <f ca="1"/>
        <v>Bad</v>
      </c>
    </row>
    <row r="9562" spans="2:34" x14ac:dyDescent="0.2">
      <c r="B9562" s="2">
        <f ca="1"/>
        <v>0.85661099426422038</v>
      </c>
      <c r="O9562" s="2">
        <f ca="1"/>
        <v>-0.90673406538603418</v>
      </c>
      <c r="X9562" s="2">
        <f ca="1"/>
        <v>74.126003887954695</v>
      </c>
      <c r="AG9562" s="2">
        <f ca="1"/>
        <v>0.67456090036814276</v>
      </c>
      <c r="AH9562" s="2" t="str">
        <f ca="1"/>
        <v>Bad</v>
      </c>
    </row>
    <row r="9563" spans="2:34" x14ac:dyDescent="0.2">
      <c r="B9563" s="2">
        <f ca="1"/>
        <v>0.34366403135881374</v>
      </c>
      <c r="O9563" s="2">
        <f ca="1"/>
        <v>-0.2800022649785211</v>
      </c>
      <c r="X9563" s="2">
        <f ca="1"/>
        <v>71.51655744638532</v>
      </c>
      <c r="AG9563" s="2">
        <f ca="1"/>
        <v>0.81006216330660541</v>
      </c>
      <c r="AH9563" s="2" t="str">
        <f ca="1"/>
        <v>Bad</v>
      </c>
    </row>
    <row r="9564" spans="2:34" x14ac:dyDescent="0.2">
      <c r="B9564" s="2">
        <f ca="1"/>
        <v>0.65944201011865733</v>
      </c>
      <c r="O9564" s="2">
        <f ca="1"/>
        <v>0.62424901381840758</v>
      </c>
      <c r="X9564" s="2">
        <f ca="1"/>
        <v>40.899452966847704</v>
      </c>
      <c r="AG9564" s="2">
        <f ca="1"/>
        <v>0.42428484149011569</v>
      </c>
      <c r="AH9564" s="2" t="str">
        <f ca="1"/>
        <v>Bad</v>
      </c>
    </row>
    <row r="9565" spans="2:34" x14ac:dyDescent="0.2">
      <c r="B9565" s="2">
        <f ca="1"/>
        <v>0.21829340084522286</v>
      </c>
      <c r="O9565" s="2">
        <f ca="1"/>
        <v>1.2553707621560235</v>
      </c>
      <c r="X9565" s="2">
        <f ca="1"/>
        <v>74.372634142465898</v>
      </c>
      <c r="AG9565" s="2">
        <f ca="1"/>
        <v>0.13729044515031208</v>
      </c>
      <c r="AH9565" s="2" t="str">
        <f ca="1"/>
        <v>OK</v>
      </c>
    </row>
    <row r="9566" spans="2:34" x14ac:dyDescent="0.2">
      <c r="B9566" s="2">
        <f ca="1"/>
        <v>0.4902007851363579</v>
      </c>
      <c r="O9566" s="2">
        <f ca="1"/>
        <v>1.1751314294396262</v>
      </c>
      <c r="X9566" s="2">
        <f ca="1"/>
        <v>38.108849895269955</v>
      </c>
      <c r="AG9566" s="2">
        <f ca="1"/>
        <v>0.91728295466872867</v>
      </c>
      <c r="AH9566" s="2" t="str">
        <f ca="1"/>
        <v>Bad</v>
      </c>
    </row>
    <row r="9567" spans="2:34" x14ac:dyDescent="0.2">
      <c r="B9567" s="2">
        <f ca="1"/>
        <v>2.9194803645275158E-2</v>
      </c>
      <c r="O9567" s="2">
        <f ca="1"/>
        <v>-0.98028679474396785</v>
      </c>
      <c r="X9567" s="2">
        <f ca="1"/>
        <v>90.270134278424266</v>
      </c>
      <c r="AG9567" s="2">
        <f ca="1"/>
        <v>5.7150631259863083E-2</v>
      </c>
      <c r="AH9567" s="2" t="str">
        <f ca="1"/>
        <v>OK</v>
      </c>
    </row>
    <row r="9568" spans="2:34" x14ac:dyDescent="0.2">
      <c r="B9568" s="2">
        <f ca="1"/>
        <v>0.66934036434722377</v>
      </c>
      <c r="O9568" s="2">
        <f ca="1"/>
        <v>0.94512130293735708</v>
      </c>
      <c r="X9568" s="2">
        <f ca="1"/>
        <v>49.216741267679311</v>
      </c>
      <c r="AG9568" s="2">
        <f ca="1"/>
        <v>0.39190063210234904</v>
      </c>
      <c r="AH9568" s="2" t="str">
        <f ca="1"/>
        <v>OK</v>
      </c>
    </row>
    <row r="9569" spans="2:34" x14ac:dyDescent="0.2">
      <c r="B9569" s="2">
        <f ca="1"/>
        <v>0.76484333124254</v>
      </c>
      <c r="O9569" s="2">
        <f ca="1"/>
        <v>-1.1773328692632083</v>
      </c>
      <c r="X9569" s="2">
        <f ca="1"/>
        <v>35.844338116713608</v>
      </c>
      <c r="AG9569" s="2">
        <f ca="1"/>
        <v>0.35141172756581307</v>
      </c>
      <c r="AH9569" s="2" t="str">
        <f ca="1"/>
        <v>OK</v>
      </c>
    </row>
    <row r="9570" spans="2:34" x14ac:dyDescent="0.2">
      <c r="B9570" s="2">
        <f ca="1"/>
        <v>0.35405635934993263</v>
      </c>
      <c r="O9570" s="2">
        <f ca="1"/>
        <v>1.2171538665440613</v>
      </c>
      <c r="X9570" s="2">
        <f ca="1"/>
        <v>45.897645055556573</v>
      </c>
      <c r="AG9570" s="2">
        <f ca="1"/>
        <v>3.4145579594884623E-2</v>
      </c>
      <c r="AH9570" s="2" t="str">
        <f ca="1"/>
        <v>Good</v>
      </c>
    </row>
    <row r="9571" spans="2:34" x14ac:dyDescent="0.2">
      <c r="B9571" s="2">
        <f ca="1"/>
        <v>0.93573808076312792</v>
      </c>
      <c r="O9571" s="2">
        <f ca="1"/>
        <v>-0.11330206090907187</v>
      </c>
      <c r="X9571" s="2">
        <f ca="1"/>
        <v>58.336891846658389</v>
      </c>
      <c r="AG9571" s="2">
        <f ca="1"/>
        <v>0.9930183791238012</v>
      </c>
      <c r="AH9571" s="2" t="str">
        <f ca="1"/>
        <v>Bad</v>
      </c>
    </row>
    <row r="9572" spans="2:34" x14ac:dyDescent="0.2">
      <c r="B9572" s="2">
        <f ca="1"/>
        <v>0.94524069584902692</v>
      </c>
      <c r="O9572" s="2">
        <f ca="1"/>
        <v>-0.82481096238026874</v>
      </c>
      <c r="X9572" s="2">
        <f ca="1"/>
        <v>58.480505968286344</v>
      </c>
      <c r="AG9572" s="2">
        <f ca="1"/>
        <v>0.8862901316296703</v>
      </c>
      <c r="AH9572" s="2" t="str">
        <f ca="1"/>
        <v>Bad</v>
      </c>
    </row>
    <row r="9573" spans="2:34" x14ac:dyDescent="0.2">
      <c r="B9573" s="2">
        <f ca="1"/>
        <v>0.39790730616573233</v>
      </c>
      <c r="O9573" s="2">
        <f ca="1"/>
        <v>1.5392649894253529</v>
      </c>
      <c r="X9573" s="2">
        <f ca="1"/>
        <v>47.40110026108448</v>
      </c>
      <c r="AG9573" s="2">
        <f ca="1"/>
        <v>0.36431316212451659</v>
      </c>
      <c r="AH9573" s="2" t="str">
        <f ca="1"/>
        <v>OK</v>
      </c>
    </row>
    <row r="9574" spans="2:34" x14ac:dyDescent="0.2">
      <c r="B9574" s="2">
        <f ca="1"/>
        <v>0.36654898955660298</v>
      </c>
      <c r="O9574" s="2">
        <f ca="1"/>
        <v>-0.52116100901858975</v>
      </c>
      <c r="X9574" s="2">
        <f ca="1"/>
        <v>43.249827531122463</v>
      </c>
      <c r="AG9574" s="2">
        <f ca="1"/>
        <v>0.45467834262254425</v>
      </c>
      <c r="AH9574" s="2" t="str">
        <f ca="1"/>
        <v>Bad</v>
      </c>
    </row>
    <row r="9575" spans="2:34" x14ac:dyDescent="0.2">
      <c r="B9575" s="2">
        <f ca="1"/>
        <v>0.12747700406502882</v>
      </c>
      <c r="O9575" s="2">
        <f ca="1"/>
        <v>-1.6648658691412284</v>
      </c>
      <c r="X9575" s="2">
        <f ca="1"/>
        <v>76.303435937592411</v>
      </c>
      <c r="AG9575" s="2">
        <f ca="1"/>
        <v>2.9052227722228263E-2</v>
      </c>
      <c r="AH9575" s="2" t="str">
        <f ca="1"/>
        <v>Good</v>
      </c>
    </row>
    <row r="9576" spans="2:34" x14ac:dyDescent="0.2">
      <c r="B9576" s="2">
        <f ca="1"/>
        <v>0.33709440751975039</v>
      </c>
      <c r="O9576" s="2">
        <f ca="1"/>
        <v>-0.15814723990232765</v>
      </c>
      <c r="X9576" s="2">
        <f ca="1"/>
        <v>73.299240656543276</v>
      </c>
      <c r="AG9576" s="2">
        <f ca="1"/>
        <v>0.42292552962816177</v>
      </c>
      <c r="AH9576" s="2" t="str">
        <f ca="1"/>
        <v>Bad</v>
      </c>
    </row>
    <row r="9577" spans="2:34" x14ac:dyDescent="0.2">
      <c r="B9577" s="2">
        <f ca="1"/>
        <v>0.76264977403422329</v>
      </c>
      <c r="O9577" s="2">
        <f ca="1"/>
        <v>-2.933168420589603E-2</v>
      </c>
      <c r="X9577" s="2">
        <f ca="1"/>
        <v>47.182641225375065</v>
      </c>
      <c r="AG9577" s="2">
        <f ca="1"/>
        <v>0.92304165427887286</v>
      </c>
      <c r="AH9577" s="2" t="str">
        <f ca="1"/>
        <v>Bad</v>
      </c>
    </row>
    <row r="9578" spans="2:34" x14ac:dyDescent="0.2">
      <c r="B9578" s="2">
        <f ca="1"/>
        <v>0.28159762688141265</v>
      </c>
      <c r="O9578" s="2">
        <f ca="1"/>
        <v>-0.54554917021731686</v>
      </c>
      <c r="X9578" s="2">
        <f ca="1"/>
        <v>71.010794349686748</v>
      </c>
      <c r="AG9578" s="2">
        <f ca="1"/>
        <v>0.35109627656126219</v>
      </c>
      <c r="AH9578" s="2" t="str">
        <f ca="1"/>
        <v>OK</v>
      </c>
    </row>
    <row r="9579" spans="2:34" x14ac:dyDescent="0.2">
      <c r="B9579" s="2">
        <f ca="1"/>
        <v>0.16595836567014199</v>
      </c>
      <c r="O9579" s="2">
        <f ca="1"/>
        <v>-8.5709541223808153E-2</v>
      </c>
      <c r="X9579" s="2">
        <f ca="1"/>
        <v>50.637222597449281</v>
      </c>
      <c r="AG9579" s="2">
        <f ca="1"/>
        <v>0.68769197968802809</v>
      </c>
      <c r="AH9579" s="2" t="str">
        <f ca="1"/>
        <v>Bad</v>
      </c>
    </row>
    <row r="9580" spans="2:34" x14ac:dyDescent="0.2">
      <c r="B9580" s="2">
        <f ca="1"/>
        <v>0.26576748778082759</v>
      </c>
      <c r="O9580" s="2">
        <f ca="1"/>
        <v>2.0693612304289295</v>
      </c>
      <c r="X9580" s="2">
        <f ca="1"/>
        <v>63.970699901862531</v>
      </c>
      <c r="AG9580" s="2">
        <f ca="1"/>
        <v>0.19457744131822374</v>
      </c>
      <c r="AH9580" s="2" t="str">
        <f ca="1"/>
        <v>OK</v>
      </c>
    </row>
    <row r="9581" spans="2:34" x14ac:dyDescent="0.2">
      <c r="B9581" s="2">
        <f ca="1"/>
        <v>0.24402749531499812</v>
      </c>
      <c r="O9581" s="2">
        <f ca="1"/>
        <v>0.11261170489451888</v>
      </c>
      <c r="X9581" s="2">
        <f ca="1"/>
        <v>45.646927748983245</v>
      </c>
      <c r="AG9581" s="2">
        <f ca="1"/>
        <v>0.89483805513365544</v>
      </c>
      <c r="AH9581" s="2" t="str">
        <f ca="1"/>
        <v>Bad</v>
      </c>
    </row>
    <row r="9582" spans="2:34" x14ac:dyDescent="0.2">
      <c r="B9582" s="2">
        <f ca="1"/>
        <v>0.16936889973222913</v>
      </c>
      <c r="O9582" s="2">
        <f ca="1"/>
        <v>-0.36293988290921997</v>
      </c>
      <c r="X9582" s="2">
        <f ca="1"/>
        <v>42.054622439669359</v>
      </c>
      <c r="AG9582" s="2">
        <f ca="1"/>
        <v>0.89474675698227668</v>
      </c>
      <c r="AH9582" s="2" t="str">
        <f ca="1"/>
        <v>Bad</v>
      </c>
    </row>
    <row r="9583" spans="2:34" x14ac:dyDescent="0.2">
      <c r="B9583" s="2">
        <f ca="1"/>
        <v>0.43955705770156039</v>
      </c>
      <c r="O9583" s="2">
        <f ca="1"/>
        <v>0.26892922808585601</v>
      </c>
      <c r="X9583" s="2">
        <f ca="1"/>
        <v>54.825446020646432</v>
      </c>
      <c r="AG9583" s="2">
        <f ca="1"/>
        <v>9.1899135569744272E-2</v>
      </c>
      <c r="AH9583" s="2" t="str">
        <f ca="1"/>
        <v>OK</v>
      </c>
    </row>
    <row r="9584" spans="2:34" x14ac:dyDescent="0.2">
      <c r="B9584" s="2">
        <f ca="1"/>
        <v>0.10218358356398105</v>
      </c>
      <c r="O9584" s="2">
        <f ca="1"/>
        <v>-1.2771406815869406</v>
      </c>
      <c r="X9584" s="2">
        <f ca="1"/>
        <v>80.802008595428902</v>
      </c>
      <c r="AG9584" s="2">
        <f ca="1"/>
        <v>2.3024914873248647E-4</v>
      </c>
      <c r="AH9584" s="2" t="str">
        <f ca="1"/>
        <v>Good</v>
      </c>
    </row>
    <row r="9585" spans="2:34" x14ac:dyDescent="0.2">
      <c r="B9585" s="2">
        <f ca="1"/>
        <v>0.40840258073532576</v>
      </c>
      <c r="O9585" s="2">
        <f ca="1"/>
        <v>0.586893586751837</v>
      </c>
      <c r="X9585" s="2">
        <f ca="1"/>
        <v>39.868480338160268</v>
      </c>
      <c r="AG9585" s="2">
        <f ca="1"/>
        <v>0.30274358043062155</v>
      </c>
      <c r="AH9585" s="2" t="str">
        <f ca="1"/>
        <v>OK</v>
      </c>
    </row>
    <row r="9586" spans="2:34" x14ac:dyDescent="0.2">
      <c r="B9586" s="2">
        <f ca="1"/>
        <v>1.6438047542560286E-2</v>
      </c>
      <c r="O9586" s="2">
        <f ca="1"/>
        <v>-1.2064917398867867</v>
      </c>
      <c r="X9586" s="2">
        <f ca="1"/>
        <v>32.398159196320897</v>
      </c>
      <c r="AG9586" s="2">
        <f ca="1"/>
        <v>0.84805474606752673</v>
      </c>
      <c r="AH9586" s="2" t="str">
        <f ca="1"/>
        <v>Bad</v>
      </c>
    </row>
    <row r="9587" spans="2:34" x14ac:dyDescent="0.2">
      <c r="B9587" s="2">
        <f ca="1"/>
        <v>0.87935799939393</v>
      </c>
      <c r="O9587" s="2">
        <f ca="1"/>
        <v>-0.23614820802442607</v>
      </c>
      <c r="X9587" s="2">
        <f ca="1"/>
        <v>58.347036514830265</v>
      </c>
      <c r="AG9587" s="2">
        <f ca="1"/>
        <v>0.53060082558109789</v>
      </c>
      <c r="AH9587" s="2" t="str">
        <f ca="1"/>
        <v>Bad</v>
      </c>
    </row>
    <row r="9588" spans="2:34" x14ac:dyDescent="0.2">
      <c r="B9588" s="2">
        <f ca="1"/>
        <v>0.81164257929707628</v>
      </c>
      <c r="O9588" s="2">
        <f ca="1"/>
        <v>0.81245143061548686</v>
      </c>
      <c r="X9588" s="2">
        <f ca="1"/>
        <v>72.462881298462804</v>
      </c>
      <c r="AG9588" s="2">
        <f ca="1"/>
        <v>0.8069114025930515</v>
      </c>
      <c r="AH9588" s="2" t="str">
        <f ca="1"/>
        <v>Bad</v>
      </c>
    </row>
    <row r="9589" spans="2:34" x14ac:dyDescent="0.2">
      <c r="B9589" s="2">
        <f ca="1"/>
        <v>0.76837385511731382</v>
      </c>
      <c r="O9589" s="2">
        <f ca="1"/>
        <v>0.30673127906360248</v>
      </c>
      <c r="X9589" s="2">
        <f ca="1"/>
        <v>56.493532432562581</v>
      </c>
      <c r="AG9589" s="2">
        <f ca="1"/>
        <v>0.51818727790081276</v>
      </c>
      <c r="AH9589" s="2" t="str">
        <f ca="1"/>
        <v>Bad</v>
      </c>
    </row>
    <row r="9590" spans="2:34" x14ac:dyDescent="0.2">
      <c r="B9590" s="2">
        <f ca="1"/>
        <v>3.5597610707533978E-2</v>
      </c>
      <c r="O9590" s="2">
        <f ca="1"/>
        <v>-0.1265999487840383</v>
      </c>
      <c r="X9590" s="2">
        <f ca="1"/>
        <v>79.344890625312118</v>
      </c>
      <c r="AG9590" s="2">
        <f ca="1"/>
        <v>0.67813556267146957</v>
      </c>
      <c r="AH9590" s="2" t="str">
        <f ca="1"/>
        <v>Bad</v>
      </c>
    </row>
    <row r="9591" spans="2:34" x14ac:dyDescent="0.2">
      <c r="B9591" s="2">
        <f ca="1"/>
        <v>0.19805508512226511</v>
      </c>
      <c r="O9591" s="2">
        <f ca="1"/>
        <v>-0.7066992185780554</v>
      </c>
      <c r="X9591" s="2">
        <f ca="1"/>
        <v>66.652705973776577</v>
      </c>
      <c r="AG9591" s="2">
        <f ca="1"/>
        <v>0.95580221739904747</v>
      </c>
      <c r="AH9591" s="2" t="str">
        <f ca="1"/>
        <v>Bad</v>
      </c>
    </row>
    <row r="9592" spans="2:34" x14ac:dyDescent="0.2">
      <c r="B9592" s="2">
        <f ca="1"/>
        <v>0.94162771935328871</v>
      </c>
      <c r="O9592" s="2">
        <f ca="1"/>
        <v>-0.3443104765758645</v>
      </c>
      <c r="X9592" s="2">
        <f ca="1"/>
        <v>58.328748247227622</v>
      </c>
      <c r="AG9592" s="2">
        <f ca="1"/>
        <v>0.35489233985177604</v>
      </c>
      <c r="AH9592" s="2" t="str">
        <f ca="1"/>
        <v>OK</v>
      </c>
    </row>
    <row r="9593" spans="2:34" x14ac:dyDescent="0.2">
      <c r="B9593" s="2">
        <f ca="1"/>
        <v>1.9561752128967935E-2</v>
      </c>
      <c r="O9593" s="2">
        <f ca="1"/>
        <v>1.4359250091057296</v>
      </c>
      <c r="X9593" s="2">
        <f ca="1"/>
        <v>58.728552825516246</v>
      </c>
      <c r="AG9593" s="2">
        <f ca="1"/>
        <v>0.39196495411610588</v>
      </c>
      <c r="AH9593" s="2" t="str">
        <f ca="1"/>
        <v>OK</v>
      </c>
    </row>
    <row r="9594" spans="2:34" x14ac:dyDescent="0.2">
      <c r="B9594" s="2">
        <f ca="1"/>
        <v>0.61373844821960377</v>
      </c>
      <c r="O9594" s="2">
        <f ca="1"/>
        <v>0.70427157149349395</v>
      </c>
      <c r="X9594" s="2">
        <f ca="1"/>
        <v>63.678308237973134</v>
      </c>
      <c r="AG9594" s="2">
        <f ca="1"/>
        <v>0.20681129824802502</v>
      </c>
      <c r="AH9594" s="2" t="str">
        <f ca="1"/>
        <v>OK</v>
      </c>
    </row>
    <row r="9595" spans="2:34" x14ac:dyDescent="0.2">
      <c r="B9595" s="2">
        <f ca="1"/>
        <v>0.72785366723448708</v>
      </c>
      <c r="O9595" s="2">
        <f ca="1"/>
        <v>-3.1864567375739421</v>
      </c>
      <c r="X9595" s="2">
        <f ca="1"/>
        <v>66.576258262690658</v>
      </c>
      <c r="AG9595" s="2">
        <f ca="1"/>
        <v>0.69287746870549816</v>
      </c>
      <c r="AH9595" s="2" t="str">
        <f ca="1"/>
        <v>Bad</v>
      </c>
    </row>
    <row r="9596" spans="2:34" x14ac:dyDescent="0.2">
      <c r="B9596" s="2">
        <f ca="1"/>
        <v>0.37111031336461475</v>
      </c>
      <c r="O9596" s="2">
        <f ca="1"/>
        <v>0.5085574895223578</v>
      </c>
      <c r="X9596" s="2">
        <f ca="1"/>
        <v>25.11193956184243</v>
      </c>
      <c r="AG9596" s="2">
        <f ca="1"/>
        <v>0.56672866602782723</v>
      </c>
      <c r="AH9596" s="2" t="str">
        <f ca="1"/>
        <v>Bad</v>
      </c>
    </row>
    <row r="9597" spans="2:34" x14ac:dyDescent="0.2">
      <c r="B9597" s="2">
        <f ca="1"/>
        <v>0.81883069393121577</v>
      </c>
      <c r="O9597" s="2">
        <f ca="1"/>
        <v>-0.44905269104839673</v>
      </c>
      <c r="X9597" s="2">
        <f ca="1"/>
        <v>37.121149609506745</v>
      </c>
      <c r="AG9597" s="2">
        <f ca="1"/>
        <v>0.10120135383077211</v>
      </c>
      <c r="AH9597" s="2" t="str">
        <f ca="1"/>
        <v>OK</v>
      </c>
    </row>
    <row r="9598" spans="2:34" x14ac:dyDescent="0.2">
      <c r="B9598" s="2">
        <f ca="1"/>
        <v>0.89272377231375133</v>
      </c>
      <c r="O9598" s="2">
        <f ca="1"/>
        <v>1.34089737114731</v>
      </c>
      <c r="X9598" s="2">
        <f ca="1"/>
        <v>65.211896788665086</v>
      </c>
      <c r="AG9598" s="2">
        <f ca="1"/>
        <v>0.70209244502115209</v>
      </c>
      <c r="AH9598" s="2" t="str">
        <f ca="1"/>
        <v>Bad</v>
      </c>
    </row>
    <row r="9599" spans="2:34" x14ac:dyDescent="0.2">
      <c r="B9599" s="2">
        <f ca="1"/>
        <v>0.22676072003379999</v>
      </c>
      <c r="O9599" s="2">
        <f ca="1"/>
        <v>0.33049764422247441</v>
      </c>
      <c r="X9599" s="2">
        <f ca="1"/>
        <v>46.347784492827138</v>
      </c>
      <c r="AG9599" s="2">
        <f ca="1"/>
        <v>0.64551885793150032</v>
      </c>
      <c r="AH9599" s="2" t="str">
        <f ca="1"/>
        <v>Bad</v>
      </c>
    </row>
    <row r="9600" spans="2:34" x14ac:dyDescent="0.2">
      <c r="B9600" s="2">
        <f ca="1"/>
        <v>0.85028526152671491</v>
      </c>
      <c r="O9600" s="2">
        <f ca="1"/>
        <v>-0.186664142245035</v>
      </c>
      <c r="X9600" s="2">
        <f ca="1"/>
        <v>42.477557759848381</v>
      </c>
      <c r="AG9600" s="2">
        <f ca="1"/>
        <v>0.2171556142921931</v>
      </c>
      <c r="AH9600" s="2" t="str">
        <f ca="1"/>
        <v>OK</v>
      </c>
    </row>
    <row r="9601" spans="2:34" x14ac:dyDescent="0.2">
      <c r="B9601" s="2">
        <f ca="1"/>
        <v>0.15574269538354746</v>
      </c>
      <c r="O9601" s="2">
        <f ca="1"/>
        <v>0.78764291098760475</v>
      </c>
      <c r="X9601" s="2">
        <f ca="1"/>
        <v>50.730512994474246</v>
      </c>
      <c r="AG9601" s="2">
        <f ca="1"/>
        <v>0.15477459791454917</v>
      </c>
      <c r="AH9601" s="2" t="str">
        <f ca="1"/>
        <v>OK</v>
      </c>
    </row>
    <row r="9602" spans="2:34" x14ac:dyDescent="0.2">
      <c r="B9602" s="2">
        <f ca="1"/>
        <v>5.3246736931427563E-2</v>
      </c>
      <c r="O9602" s="2">
        <f ca="1"/>
        <v>1.1019946035507861E-2</v>
      </c>
      <c r="X9602" s="2">
        <f ca="1"/>
        <v>76.686295406996621</v>
      </c>
      <c r="AG9602" s="2">
        <f ca="1"/>
        <v>0.28388657274329088</v>
      </c>
      <c r="AH9602" s="2" t="str">
        <f ca="1"/>
        <v>OK</v>
      </c>
    </row>
    <row r="9603" spans="2:34" x14ac:dyDescent="0.2">
      <c r="B9603" s="2">
        <f ca="1"/>
        <v>0.23458076336859879</v>
      </c>
      <c r="O9603" s="2">
        <f ca="1"/>
        <v>-0.47848391814075997</v>
      </c>
      <c r="X9603" s="2">
        <f ca="1"/>
        <v>42.769759587272873</v>
      </c>
      <c r="AG9603" s="2">
        <f ca="1"/>
        <v>0.30351634643470926</v>
      </c>
      <c r="AH9603" s="2" t="str">
        <f ca="1"/>
        <v>OK</v>
      </c>
    </row>
    <row r="9604" spans="2:34" x14ac:dyDescent="0.2">
      <c r="B9604" s="2">
        <f ca="1"/>
        <v>0.18800964311975066</v>
      </c>
      <c r="O9604" s="2">
        <f ca="1"/>
        <v>0.94368609849823437</v>
      </c>
      <c r="X9604" s="2">
        <f ca="1"/>
        <v>58.046817140364375</v>
      </c>
      <c r="AG9604" s="2">
        <f ca="1"/>
        <v>0.60035575846457201</v>
      </c>
      <c r="AH9604" s="2" t="str">
        <f ca="1"/>
        <v>Bad</v>
      </c>
    </row>
    <row r="9605" spans="2:34" x14ac:dyDescent="0.2">
      <c r="B9605" s="2">
        <f ca="1"/>
        <v>6.8553518993524687E-2</v>
      </c>
      <c r="O9605" s="2">
        <f ca="1"/>
        <v>-0.26459366423379815</v>
      </c>
      <c r="X9605" s="2">
        <f ca="1"/>
        <v>56.111813985185144</v>
      </c>
      <c r="AG9605" s="2">
        <f ca="1"/>
        <v>0.72526050875985959</v>
      </c>
      <c r="AH9605" s="2" t="str">
        <f ca="1"/>
        <v>Bad</v>
      </c>
    </row>
    <row r="9606" spans="2:34" x14ac:dyDescent="0.2">
      <c r="B9606" s="2">
        <f ca="1"/>
        <v>0.32584057548862377</v>
      </c>
      <c r="O9606" s="2">
        <f ca="1"/>
        <v>-0.53282435869360545</v>
      </c>
      <c r="X9606" s="2">
        <f ca="1"/>
        <v>62.677593376935086</v>
      </c>
      <c r="AG9606" s="2">
        <f ca="1"/>
        <v>0.15438835328573042</v>
      </c>
      <c r="AH9606" s="2" t="str">
        <f ca="1"/>
        <v>OK</v>
      </c>
    </row>
    <row r="9607" spans="2:34" x14ac:dyDescent="0.2">
      <c r="B9607" s="2">
        <f ca="1"/>
        <v>0.74226661894815393</v>
      </c>
      <c r="O9607" s="2">
        <f ca="1"/>
        <v>-0.74685050866426317</v>
      </c>
      <c r="X9607" s="2">
        <f ca="1"/>
        <v>22.338710029829926</v>
      </c>
      <c r="AG9607" s="2">
        <f ca="1"/>
        <v>0.6742562878434295</v>
      </c>
      <c r="AH9607" s="2" t="str">
        <f ca="1"/>
        <v>Bad</v>
      </c>
    </row>
    <row r="9608" spans="2:34" x14ac:dyDescent="0.2">
      <c r="B9608" s="2">
        <f ca="1"/>
        <v>0.5745191638150895</v>
      </c>
      <c r="O9608" s="2">
        <f ca="1"/>
        <v>-1.4965025656432853</v>
      </c>
      <c r="X9608" s="2">
        <f ca="1"/>
        <v>24.788794237570471</v>
      </c>
      <c r="AG9608" s="2">
        <f ca="1"/>
        <v>0.60053923226597195</v>
      </c>
      <c r="AH9608" s="2" t="str">
        <f ca="1"/>
        <v>Bad</v>
      </c>
    </row>
    <row r="9609" spans="2:34" x14ac:dyDescent="0.2">
      <c r="B9609" s="2">
        <f ca="1"/>
        <v>0.36841487795613626</v>
      </c>
      <c r="O9609" s="2">
        <f ca="1"/>
        <v>-1.1862540559359422</v>
      </c>
      <c r="X9609" s="2">
        <f ca="1"/>
        <v>23.946969196511922</v>
      </c>
      <c r="AG9609" s="2">
        <f ca="1"/>
        <v>0.5885094209362518</v>
      </c>
      <c r="AH9609" s="2" t="str">
        <f ca="1"/>
        <v>Bad</v>
      </c>
    </row>
    <row r="9610" spans="2:34" x14ac:dyDescent="0.2">
      <c r="B9610" s="2">
        <f ca="1"/>
        <v>0.25533314605348845</v>
      </c>
      <c r="O9610" s="2">
        <f ca="1"/>
        <v>-0.19527310342543794</v>
      </c>
      <c r="X9610" s="2">
        <f ca="1"/>
        <v>24.198224501938931</v>
      </c>
      <c r="AG9610" s="2">
        <f ca="1"/>
        <v>0.98230014445155089</v>
      </c>
      <c r="AH9610" s="2" t="str">
        <f ca="1"/>
        <v>Bad</v>
      </c>
    </row>
    <row r="9611" spans="2:34" x14ac:dyDescent="0.2">
      <c r="B9611" s="2">
        <f ca="1"/>
        <v>0.3101767375345994</v>
      </c>
      <c r="O9611" s="2">
        <f ca="1"/>
        <v>-0.86303133323601855</v>
      </c>
      <c r="X9611" s="2">
        <f ca="1"/>
        <v>42.927844178635141</v>
      </c>
      <c r="AG9611" s="2">
        <f ca="1"/>
        <v>0.87133593570340895</v>
      </c>
      <c r="AH9611" s="2" t="str">
        <f ca="1"/>
        <v>Bad</v>
      </c>
    </row>
    <row r="9612" spans="2:34" x14ac:dyDescent="0.2">
      <c r="B9612" s="2">
        <f ca="1"/>
        <v>0.32048186674732193</v>
      </c>
      <c r="O9612" s="2">
        <f ca="1"/>
        <v>3.4265560538702791E-2</v>
      </c>
      <c r="X9612" s="2">
        <f ca="1"/>
        <v>43.813541117761659</v>
      </c>
      <c r="AG9612" s="2">
        <f ca="1"/>
        <v>0.32402901057727229</v>
      </c>
      <c r="AH9612" s="2" t="str">
        <f ca="1"/>
        <v>OK</v>
      </c>
    </row>
    <row r="9613" spans="2:34" x14ac:dyDescent="0.2">
      <c r="B9613" s="2">
        <f ca="1"/>
        <v>0.12185158958294928</v>
      </c>
      <c r="O9613" s="2">
        <f ca="1"/>
        <v>1.1864005970807927</v>
      </c>
      <c r="X9613" s="2">
        <f ca="1"/>
        <v>32.854438574707501</v>
      </c>
      <c r="AG9613" s="2">
        <f ca="1"/>
        <v>0.81493978967574532</v>
      </c>
      <c r="AH9613" s="2" t="str">
        <f ca="1"/>
        <v>Bad</v>
      </c>
    </row>
    <row r="9614" spans="2:34" x14ac:dyDescent="0.2">
      <c r="B9614" s="2">
        <f ca="1"/>
        <v>0.76071228950023495</v>
      </c>
      <c r="O9614" s="2">
        <f ca="1"/>
        <v>0.98090427477331221</v>
      </c>
      <c r="X9614" s="2">
        <f ca="1"/>
        <v>82.231632109143277</v>
      </c>
      <c r="AG9614" s="2">
        <f ca="1"/>
        <v>0.96692005526466218</v>
      </c>
      <c r="AH9614" s="2" t="str">
        <f ca="1"/>
        <v>Bad</v>
      </c>
    </row>
    <row r="9615" spans="2:34" x14ac:dyDescent="0.2">
      <c r="B9615" s="2">
        <f ca="1"/>
        <v>0.95370476809312921</v>
      </c>
      <c r="O9615" s="2">
        <f ca="1"/>
        <v>0.68703877369141719</v>
      </c>
      <c r="X9615" s="2">
        <f ca="1"/>
        <v>49.507101569946641</v>
      </c>
      <c r="AG9615" s="2">
        <f ca="1"/>
        <v>0.10797092727024959</v>
      </c>
      <c r="AH9615" s="2" t="str">
        <f ca="1"/>
        <v>OK</v>
      </c>
    </row>
    <row r="9616" spans="2:34" x14ac:dyDescent="0.2">
      <c r="B9616" s="2">
        <f ca="1"/>
        <v>0.43089590094377583</v>
      </c>
      <c r="O9616" s="2">
        <f ca="1"/>
        <v>-0.46104860158687166</v>
      </c>
      <c r="X9616" s="2">
        <f ca="1"/>
        <v>40.235675166551765</v>
      </c>
      <c r="AG9616" s="2">
        <f ca="1"/>
        <v>0.82384970698255655</v>
      </c>
      <c r="AH9616" s="2" t="str">
        <f ca="1"/>
        <v>Bad</v>
      </c>
    </row>
    <row r="9617" spans="2:34" x14ac:dyDescent="0.2">
      <c r="B9617" s="2">
        <f ca="1"/>
        <v>0.85195949068173027</v>
      </c>
      <c r="O9617" s="2">
        <f ca="1"/>
        <v>1.1347822897910353</v>
      </c>
      <c r="X9617" s="2">
        <f ca="1"/>
        <v>96.329184768255004</v>
      </c>
      <c r="AG9617" s="2">
        <f ca="1"/>
        <v>0.90959398891161802</v>
      </c>
      <c r="AH9617" s="2" t="str">
        <f ca="1"/>
        <v>Bad</v>
      </c>
    </row>
    <row r="9618" spans="2:34" x14ac:dyDescent="0.2">
      <c r="B9618" s="2">
        <f ca="1"/>
        <v>1.2665504196372135E-2</v>
      </c>
      <c r="O9618" s="2">
        <f ca="1"/>
        <v>-0.83396851617414303</v>
      </c>
      <c r="X9618" s="2">
        <f ca="1"/>
        <v>37.601579635976073</v>
      </c>
      <c r="AG9618" s="2">
        <f ca="1"/>
        <v>0.97175222361528268</v>
      </c>
      <c r="AH9618" s="2" t="str">
        <f ca="1"/>
        <v>Bad</v>
      </c>
    </row>
    <row r="9619" spans="2:34" x14ac:dyDescent="0.2">
      <c r="B9619" s="2">
        <f ca="1"/>
        <v>0.90387475824117347</v>
      </c>
      <c r="O9619" s="2">
        <f ca="1"/>
        <v>-0.54250913094433606</v>
      </c>
      <c r="X9619" s="2">
        <f ca="1"/>
        <v>28.558479375935207</v>
      </c>
      <c r="AG9619" s="2">
        <f ca="1"/>
        <v>0.99351416727379038</v>
      </c>
      <c r="AH9619" s="2" t="str">
        <f ca="1"/>
        <v>Bad</v>
      </c>
    </row>
    <row r="9620" spans="2:34" x14ac:dyDescent="0.2">
      <c r="B9620" s="2">
        <f ca="1"/>
        <v>0.95830483991788085</v>
      </c>
      <c r="O9620" s="2">
        <f ca="1"/>
        <v>-0.61016983547926384</v>
      </c>
      <c r="X9620" s="2">
        <f ca="1"/>
        <v>47.089628856436363</v>
      </c>
      <c r="AG9620" s="2">
        <f ca="1"/>
        <v>0.87734841998517732</v>
      </c>
      <c r="AH9620" s="2" t="str">
        <f ca="1"/>
        <v>Bad</v>
      </c>
    </row>
    <row r="9621" spans="2:34" x14ac:dyDescent="0.2">
      <c r="B9621" s="2">
        <f ca="1"/>
        <v>4.5454179991064603E-2</v>
      </c>
      <c r="O9621" s="2">
        <f ca="1"/>
        <v>-0.67799092337217304</v>
      </c>
      <c r="X9621" s="2">
        <f ca="1"/>
        <v>17.898933594616647</v>
      </c>
      <c r="AG9621" s="2">
        <f ca="1"/>
        <v>0.63894614670437244</v>
      </c>
      <c r="AH9621" s="2" t="str">
        <f ca="1"/>
        <v>Bad</v>
      </c>
    </row>
    <row r="9622" spans="2:34" x14ac:dyDescent="0.2">
      <c r="B9622" s="2">
        <f ca="1"/>
        <v>0.14783200158279297</v>
      </c>
      <c r="O9622" s="2">
        <f ca="1"/>
        <v>-0.2389459484472711</v>
      </c>
      <c r="X9622" s="2">
        <f ca="1"/>
        <v>51.869959546718356</v>
      </c>
      <c r="AG9622" s="2">
        <f ca="1"/>
        <v>0.53021933776689978</v>
      </c>
      <c r="AH9622" s="2" t="str">
        <f ca="1"/>
        <v>Bad</v>
      </c>
    </row>
    <row r="9623" spans="2:34" x14ac:dyDescent="0.2">
      <c r="B9623" s="2">
        <f ca="1"/>
        <v>0.43086576870635818</v>
      </c>
      <c r="O9623" s="2">
        <f ca="1"/>
        <v>3.4875128482164879</v>
      </c>
      <c r="X9623" s="2">
        <f ca="1"/>
        <v>69.005658986253508</v>
      </c>
      <c r="AG9623" s="2">
        <f ca="1"/>
        <v>1.4865336271668639E-2</v>
      </c>
      <c r="AH9623" s="2" t="str">
        <f ca="1"/>
        <v>Good</v>
      </c>
    </row>
    <row r="9624" spans="2:34" x14ac:dyDescent="0.2">
      <c r="B9624" s="2">
        <f ca="1"/>
        <v>0.34085234025402977</v>
      </c>
      <c r="O9624" s="2">
        <f ca="1"/>
        <v>1.8341603990762512</v>
      </c>
      <c r="X9624" s="2">
        <f ca="1"/>
        <v>45.695505711617585</v>
      </c>
      <c r="AG9624" s="2">
        <f ca="1"/>
        <v>0.57420956290805325</v>
      </c>
      <c r="AH9624" s="2" t="str">
        <f ca="1"/>
        <v>Bad</v>
      </c>
    </row>
    <row r="9625" spans="2:34" x14ac:dyDescent="0.2">
      <c r="B9625" s="2">
        <f ca="1"/>
        <v>0.7581600999809055</v>
      </c>
      <c r="O9625" s="2">
        <f ca="1"/>
        <v>-0.15290141448648584</v>
      </c>
      <c r="X9625" s="2">
        <f ca="1"/>
        <v>74.265264624439382</v>
      </c>
      <c r="AG9625" s="2">
        <f ca="1"/>
        <v>0.52167782081426584</v>
      </c>
      <c r="AH9625" s="2" t="str">
        <f ca="1"/>
        <v>Bad</v>
      </c>
    </row>
    <row r="9626" spans="2:34" x14ac:dyDescent="0.2">
      <c r="B9626" s="2">
        <f ca="1"/>
        <v>0.20854836866942161</v>
      </c>
      <c r="O9626" s="2">
        <f ca="1"/>
        <v>1.2439748734492218</v>
      </c>
      <c r="X9626" s="2">
        <f ca="1"/>
        <v>54.060754076398496</v>
      </c>
      <c r="AG9626" s="2">
        <f ca="1"/>
        <v>0.36948847394037831</v>
      </c>
      <c r="AH9626" s="2" t="str">
        <f ca="1"/>
        <v>OK</v>
      </c>
    </row>
    <row r="9627" spans="2:34" x14ac:dyDescent="0.2">
      <c r="B9627" s="2">
        <f ca="1"/>
        <v>0.58023870181442816</v>
      </c>
      <c r="O9627" s="2">
        <f ca="1"/>
        <v>-2.456609855434759E-2</v>
      </c>
      <c r="X9627" s="2">
        <f ca="1"/>
        <v>69.161655271631332</v>
      </c>
      <c r="AG9627" s="2">
        <f ca="1"/>
        <v>0.20800762970393682</v>
      </c>
      <c r="AH9627" s="2" t="str">
        <f ca="1"/>
        <v>OK</v>
      </c>
    </row>
    <row r="9628" spans="2:34" x14ac:dyDescent="0.2">
      <c r="B9628" s="2">
        <f ca="1"/>
        <v>2.45004027015574E-2</v>
      </c>
      <c r="O9628" s="2">
        <f ca="1"/>
        <v>1.4005837803478023</v>
      </c>
      <c r="X9628" s="2">
        <f ca="1"/>
        <v>62.411455994246936</v>
      </c>
      <c r="AG9628" s="2">
        <f ca="1"/>
        <v>0.97550241661939374</v>
      </c>
      <c r="AH9628" s="2" t="str">
        <f ca="1"/>
        <v>Bad</v>
      </c>
    </row>
    <row r="9629" spans="2:34" x14ac:dyDescent="0.2">
      <c r="B9629" s="2">
        <f ca="1"/>
        <v>0.17188338968463301</v>
      </c>
      <c r="O9629" s="2">
        <f ca="1"/>
        <v>0.78351043835038947</v>
      </c>
      <c r="X9629" s="2">
        <f ca="1"/>
        <v>80.989822049015743</v>
      </c>
      <c r="AG9629" s="2">
        <f ca="1"/>
        <v>0.75843349290938233</v>
      </c>
      <c r="AH9629" s="2" t="str">
        <f ca="1"/>
        <v>Bad</v>
      </c>
    </row>
    <row r="9630" spans="2:34" x14ac:dyDescent="0.2">
      <c r="B9630" s="2">
        <f ca="1"/>
        <v>0.42463545692874671</v>
      </c>
      <c r="O9630" s="2">
        <f ca="1"/>
        <v>-0.95118292841307117</v>
      </c>
      <c r="X9630" s="2">
        <f ca="1"/>
        <v>84.758159445367113</v>
      </c>
      <c r="AG9630" s="2">
        <f ca="1"/>
        <v>0.23226205359756147</v>
      </c>
      <c r="AH9630" s="2" t="str">
        <f ca="1"/>
        <v>OK</v>
      </c>
    </row>
    <row r="9631" spans="2:34" x14ac:dyDescent="0.2">
      <c r="B9631" s="2">
        <f ca="1"/>
        <v>2.514285969714658E-2</v>
      </c>
      <c r="O9631" s="2">
        <f ca="1"/>
        <v>1.7360485069885865</v>
      </c>
      <c r="X9631" s="2">
        <f ca="1"/>
        <v>54.810545388771629</v>
      </c>
      <c r="AG9631" s="2">
        <f ca="1"/>
        <v>0.46903040881093228</v>
      </c>
      <c r="AH9631" s="2" t="str">
        <f ca="1"/>
        <v>Bad</v>
      </c>
    </row>
    <row r="9632" spans="2:34" x14ac:dyDescent="0.2">
      <c r="B9632" s="2">
        <f ca="1"/>
        <v>0.87468287467862282</v>
      </c>
      <c r="O9632" s="2">
        <f ca="1"/>
        <v>0.28798451018882942</v>
      </c>
      <c r="X9632" s="2">
        <f ca="1"/>
        <v>100.82996127287025</v>
      </c>
      <c r="AG9632" s="2">
        <f ca="1"/>
        <v>0.10049890547799234</v>
      </c>
      <c r="AH9632" s="2" t="str">
        <f ca="1"/>
        <v>OK</v>
      </c>
    </row>
    <row r="9633" spans="2:34" x14ac:dyDescent="0.2">
      <c r="B9633" s="2">
        <f ca="1"/>
        <v>0.10123314685718565</v>
      </c>
      <c r="O9633" s="2">
        <f ca="1"/>
        <v>4.390891548351078E-2</v>
      </c>
      <c r="X9633" s="2">
        <f ca="1"/>
        <v>52.94135274275046</v>
      </c>
      <c r="AG9633" s="2">
        <f ca="1"/>
        <v>0.36192272188014796</v>
      </c>
      <c r="AH9633" s="2" t="str">
        <f ca="1"/>
        <v>OK</v>
      </c>
    </row>
    <row r="9634" spans="2:34" x14ac:dyDescent="0.2">
      <c r="B9634" s="2">
        <f ca="1"/>
        <v>0.57334835201685097</v>
      </c>
      <c r="O9634" s="2">
        <f ca="1"/>
        <v>2.0135666550094875</v>
      </c>
      <c r="X9634" s="2">
        <f ca="1"/>
        <v>56.860515211800042</v>
      </c>
      <c r="AG9634" s="2">
        <f ca="1"/>
        <v>0.47322327190229907</v>
      </c>
      <c r="AH9634" s="2" t="str">
        <f ca="1"/>
        <v>Bad</v>
      </c>
    </row>
    <row r="9635" spans="2:34" x14ac:dyDescent="0.2">
      <c r="B9635" s="2">
        <f ca="1"/>
        <v>0.72910190311642875</v>
      </c>
      <c r="O9635" s="2">
        <f ca="1"/>
        <v>-0.23972892913080099</v>
      </c>
      <c r="X9635" s="2">
        <f ca="1"/>
        <v>83.67389755239455</v>
      </c>
      <c r="AG9635" s="2">
        <f ca="1"/>
        <v>0.50176948612268713</v>
      </c>
      <c r="AH9635" s="2" t="str">
        <f ca="1"/>
        <v>Bad</v>
      </c>
    </row>
    <row r="9636" spans="2:34" x14ac:dyDescent="0.2">
      <c r="B9636" s="2">
        <f ca="1"/>
        <v>0.37983080924560197</v>
      </c>
      <c r="O9636" s="2">
        <f ca="1"/>
        <v>-0.2210456329413974</v>
      </c>
      <c r="X9636" s="2">
        <f ca="1"/>
        <v>40.628051475036543</v>
      </c>
      <c r="AG9636" s="2">
        <f ca="1"/>
        <v>0.92334164230846905</v>
      </c>
      <c r="AH9636" s="2" t="str">
        <f ca="1"/>
        <v>Bad</v>
      </c>
    </row>
    <row r="9637" spans="2:34" x14ac:dyDescent="0.2">
      <c r="B9637" s="2">
        <f ca="1"/>
        <v>1.7344199251580816E-2</v>
      </c>
      <c r="O9637" s="2">
        <f ca="1"/>
        <v>0.50871907268352823</v>
      </c>
      <c r="X9637" s="2">
        <f ca="1"/>
        <v>67.707820702825302</v>
      </c>
      <c r="AG9637" s="2">
        <f ca="1"/>
        <v>0.26075601028470152</v>
      </c>
      <c r="AH9637" s="2" t="str">
        <f ca="1"/>
        <v>OK</v>
      </c>
    </row>
    <row r="9638" spans="2:34" x14ac:dyDescent="0.2">
      <c r="B9638" s="2">
        <f ca="1"/>
        <v>0.43156679163894762</v>
      </c>
      <c r="O9638" s="2">
        <f ca="1"/>
        <v>1.0569413347381491</v>
      </c>
      <c r="X9638" s="2">
        <f ca="1"/>
        <v>54.965447933773433</v>
      </c>
      <c r="AG9638" s="2">
        <f ca="1"/>
        <v>0.32360973928011827</v>
      </c>
      <c r="AH9638" s="2" t="str">
        <f ca="1"/>
        <v>OK</v>
      </c>
    </row>
    <row r="9639" spans="2:34" x14ac:dyDescent="0.2">
      <c r="B9639" s="2">
        <f ca="1"/>
        <v>0.33885061891120971</v>
      </c>
      <c r="O9639" s="2">
        <f ca="1"/>
        <v>-0.90253764969409989</v>
      </c>
      <c r="X9639" s="2">
        <f ca="1"/>
        <v>71.017417467880875</v>
      </c>
      <c r="AG9639" s="2">
        <f ca="1"/>
        <v>0.2994645334090924</v>
      </c>
      <c r="AH9639" s="2" t="str">
        <f ca="1"/>
        <v>OK</v>
      </c>
    </row>
    <row r="9640" spans="2:34" x14ac:dyDescent="0.2">
      <c r="B9640" s="2">
        <f ca="1"/>
        <v>0.36314294438442962</v>
      </c>
      <c r="O9640" s="2">
        <f ca="1"/>
        <v>0.30753372033336041</v>
      </c>
      <c r="X9640" s="2">
        <f ca="1"/>
        <v>63.102374756089539</v>
      </c>
      <c r="AG9640" s="2">
        <f ca="1"/>
        <v>7.0768750965120475E-2</v>
      </c>
      <c r="AH9640" s="2" t="str">
        <f ca="1"/>
        <v>OK</v>
      </c>
    </row>
    <row r="9641" spans="2:34" x14ac:dyDescent="0.2">
      <c r="B9641" s="2">
        <f ca="1"/>
        <v>0.4298632908382678</v>
      </c>
      <c r="O9641" s="2">
        <f ca="1"/>
        <v>-0.97089119355409537</v>
      </c>
      <c r="X9641" s="2">
        <f ca="1"/>
        <v>38.035583641995046</v>
      </c>
      <c r="AG9641" s="2">
        <f ca="1"/>
        <v>0.80041300402070226</v>
      </c>
      <c r="AH9641" s="2" t="str">
        <f ca="1"/>
        <v>Bad</v>
      </c>
    </row>
    <row r="9642" spans="2:34" x14ac:dyDescent="0.2">
      <c r="B9642" s="2">
        <f ca="1"/>
        <v>0.79299839435961461</v>
      </c>
      <c r="O9642" s="2">
        <f ca="1"/>
        <v>-0.70549197007576114</v>
      </c>
      <c r="X9642" s="2">
        <f ca="1"/>
        <v>65.482544540246565</v>
      </c>
      <c r="AG9642" s="2">
        <f ca="1"/>
        <v>9.8265525781263907E-2</v>
      </c>
      <c r="AH9642" s="2" t="str">
        <f ca="1"/>
        <v>OK</v>
      </c>
    </row>
    <row r="9643" spans="2:34" x14ac:dyDescent="0.2">
      <c r="B9643" s="2">
        <f ca="1"/>
        <v>0.25061803993696907</v>
      </c>
      <c r="O9643" s="2">
        <f ca="1"/>
        <v>1.0262635134142402</v>
      </c>
      <c r="X9643" s="2">
        <f ca="1"/>
        <v>50.802805880903165</v>
      </c>
      <c r="AG9643" s="2">
        <f ca="1"/>
        <v>0.30915973329703439</v>
      </c>
      <c r="AH9643" s="2" t="str">
        <f ca="1"/>
        <v>OK</v>
      </c>
    </row>
    <row r="9644" spans="2:34" x14ac:dyDescent="0.2">
      <c r="B9644" s="2">
        <f ca="1"/>
        <v>0.69479311914607567</v>
      </c>
      <c r="O9644" s="2">
        <f ca="1"/>
        <v>-0.88000111732627451</v>
      </c>
      <c r="X9644" s="2">
        <f ca="1"/>
        <v>34.446966497348448</v>
      </c>
      <c r="AG9644" s="2">
        <f ca="1"/>
        <v>0.86127983390508889</v>
      </c>
      <c r="AH9644" s="2" t="str">
        <f ca="1"/>
        <v>Bad</v>
      </c>
    </row>
    <row r="9645" spans="2:34" x14ac:dyDescent="0.2">
      <c r="B9645" s="2">
        <f ca="1"/>
        <v>0.35110454247162504</v>
      </c>
      <c r="O9645" s="2">
        <f ca="1"/>
        <v>-2.0563552369234466</v>
      </c>
      <c r="X9645" s="2">
        <f ca="1"/>
        <v>33.966670041710749</v>
      </c>
      <c r="AG9645" s="2">
        <f ca="1"/>
        <v>4.366906472809684E-2</v>
      </c>
      <c r="AH9645" s="2" t="str">
        <f ca="1"/>
        <v>Good</v>
      </c>
    </row>
    <row r="9646" spans="2:34" x14ac:dyDescent="0.2">
      <c r="B9646" s="2">
        <f ca="1"/>
        <v>0.200877022970259</v>
      </c>
      <c r="O9646" s="2">
        <f ca="1"/>
        <v>-1.9965693674474523</v>
      </c>
      <c r="X9646" s="2">
        <f ca="1"/>
        <v>49.498107082152849</v>
      </c>
      <c r="AG9646" s="2">
        <f ca="1"/>
        <v>1.4267916990357676E-2</v>
      </c>
      <c r="AH9646" s="2" t="str">
        <f ca="1"/>
        <v>Good</v>
      </c>
    </row>
    <row r="9647" spans="2:34" x14ac:dyDescent="0.2">
      <c r="B9647" s="2">
        <f ca="1"/>
        <v>0.98954449765313757</v>
      </c>
      <c r="O9647" s="2">
        <f ca="1"/>
        <v>-0.82599771607346151</v>
      </c>
      <c r="X9647" s="2">
        <f ca="1"/>
        <v>47.954059191952965</v>
      </c>
      <c r="AG9647" s="2">
        <f ca="1"/>
        <v>0.82304293395585049</v>
      </c>
      <c r="AH9647" s="2" t="str">
        <f ca="1"/>
        <v>Bad</v>
      </c>
    </row>
    <row r="9648" spans="2:34" x14ac:dyDescent="0.2">
      <c r="B9648" s="2">
        <f ca="1"/>
        <v>9.663624414503369E-2</v>
      </c>
      <c r="O9648" s="2">
        <f ca="1"/>
        <v>0.4988659806315941</v>
      </c>
      <c r="X9648" s="2">
        <f ca="1"/>
        <v>49.574525299944867</v>
      </c>
      <c r="AG9648" s="2">
        <f ca="1"/>
        <v>0.45751134225540824</v>
      </c>
      <c r="AH9648" s="2" t="str">
        <f ca="1"/>
        <v>Bad</v>
      </c>
    </row>
    <row r="9649" spans="2:34" x14ac:dyDescent="0.2">
      <c r="B9649" s="2">
        <f ca="1"/>
        <v>0.93866308732817694</v>
      </c>
      <c r="O9649" s="2">
        <f ca="1"/>
        <v>1.3097071335551347</v>
      </c>
      <c r="X9649" s="2">
        <f ca="1"/>
        <v>83.785373318418479</v>
      </c>
      <c r="AG9649" s="2">
        <f ca="1"/>
        <v>0.14553339780745733</v>
      </c>
      <c r="AH9649" s="2" t="str">
        <f ca="1"/>
        <v>OK</v>
      </c>
    </row>
    <row r="9650" spans="2:34" x14ac:dyDescent="0.2">
      <c r="B9650" s="2">
        <f ca="1"/>
        <v>0.77323703375825925</v>
      </c>
      <c r="O9650" s="2">
        <f ca="1"/>
        <v>3.1016567817786411</v>
      </c>
      <c r="X9650" s="2">
        <f ca="1"/>
        <v>60.256272059567387</v>
      </c>
      <c r="AG9650" s="2">
        <f ca="1"/>
        <v>3.9704495631390113E-2</v>
      </c>
      <c r="AH9650" s="2" t="str">
        <f ca="1"/>
        <v>Good</v>
      </c>
    </row>
    <row r="9651" spans="2:34" x14ac:dyDescent="0.2">
      <c r="B9651" s="2">
        <f ca="1"/>
        <v>0.26418752997920714</v>
      </c>
      <c r="O9651" s="2">
        <f ca="1"/>
        <v>-0.56718769241009059</v>
      </c>
      <c r="X9651" s="2">
        <f ca="1"/>
        <v>24.484466130301136</v>
      </c>
      <c r="AG9651" s="2">
        <f ca="1"/>
        <v>0.113532800582969</v>
      </c>
      <c r="AH9651" s="2" t="str">
        <f ca="1"/>
        <v>OK</v>
      </c>
    </row>
    <row r="9652" spans="2:34" x14ac:dyDescent="0.2">
      <c r="B9652" s="2">
        <f ca="1"/>
        <v>0.35695008757077473</v>
      </c>
      <c r="O9652" s="2">
        <f ca="1"/>
        <v>-0.20727489737485852</v>
      </c>
      <c r="X9652" s="2">
        <f ca="1"/>
        <v>40.632687591782727</v>
      </c>
      <c r="AG9652" s="2">
        <f ca="1"/>
        <v>0.86123908087463286</v>
      </c>
      <c r="AH9652" s="2" t="str">
        <f ca="1"/>
        <v>Bad</v>
      </c>
    </row>
    <row r="9653" spans="2:34" x14ac:dyDescent="0.2">
      <c r="B9653" s="2">
        <f ca="1"/>
        <v>0.36948151661708395</v>
      </c>
      <c r="O9653" s="2">
        <f ca="1"/>
        <v>-4.2048091327907874E-3</v>
      </c>
      <c r="X9653" s="2">
        <f ca="1"/>
        <v>37.74968438391754</v>
      </c>
      <c r="AG9653" s="2">
        <f ca="1"/>
        <v>0.1537828504613894</v>
      </c>
      <c r="AH9653" s="2" t="str">
        <f ca="1"/>
        <v>OK</v>
      </c>
    </row>
    <row r="9654" spans="2:34" x14ac:dyDescent="0.2">
      <c r="B9654" s="2">
        <f ca="1"/>
        <v>7.3841987249017471E-2</v>
      </c>
      <c r="O9654" s="2">
        <f ca="1"/>
        <v>0.31224559939896729</v>
      </c>
      <c r="X9654" s="2">
        <f ca="1"/>
        <v>32.934368545781034</v>
      </c>
      <c r="AG9654" s="2">
        <f ca="1"/>
        <v>0.80950254141485956</v>
      </c>
      <c r="AH9654" s="2" t="str">
        <f ca="1"/>
        <v>Bad</v>
      </c>
    </row>
    <row r="9655" spans="2:34" x14ac:dyDescent="0.2">
      <c r="B9655" s="2">
        <f ca="1"/>
        <v>2.1937248474857007E-4</v>
      </c>
      <c r="O9655" s="2">
        <f ca="1"/>
        <v>-1.058902318509463</v>
      </c>
      <c r="X9655" s="2">
        <f ca="1"/>
        <v>27.806254825755889</v>
      </c>
      <c r="AG9655" s="2">
        <f ca="1"/>
        <v>0.75905830668908569</v>
      </c>
      <c r="AH9655" s="2" t="str">
        <f ca="1"/>
        <v>Bad</v>
      </c>
    </row>
    <row r="9656" spans="2:34" x14ac:dyDescent="0.2">
      <c r="B9656" s="2">
        <f ca="1"/>
        <v>0.9709866225433037</v>
      </c>
      <c r="O9656" s="2">
        <f ca="1"/>
        <v>3.5837851203916786</v>
      </c>
      <c r="X9656" s="2">
        <f ca="1"/>
        <v>89.695525145719799</v>
      </c>
      <c r="AG9656" s="2">
        <f ca="1"/>
        <v>0.65196008082586809</v>
      </c>
      <c r="AH9656" s="2" t="str">
        <f ca="1"/>
        <v>Bad</v>
      </c>
    </row>
    <row r="9657" spans="2:34" x14ac:dyDescent="0.2">
      <c r="B9657" s="2">
        <f ca="1"/>
        <v>0.67795359106287845</v>
      </c>
      <c r="O9657" s="2">
        <f ca="1"/>
        <v>0.42942677075374031</v>
      </c>
      <c r="X9657" s="2">
        <f ca="1"/>
        <v>51.539017337650314</v>
      </c>
      <c r="AG9657" s="2">
        <f ca="1"/>
        <v>0.89204778722097045</v>
      </c>
      <c r="AH9657" s="2" t="str">
        <f ca="1"/>
        <v>Bad</v>
      </c>
    </row>
    <row r="9658" spans="2:34" x14ac:dyDescent="0.2">
      <c r="B9658" s="2">
        <f ca="1"/>
        <v>0.83369076381924279</v>
      </c>
      <c r="O9658" s="2">
        <f ca="1"/>
        <v>0.23895759162254301</v>
      </c>
      <c r="X9658" s="2">
        <f ca="1"/>
        <v>63.166634973884328</v>
      </c>
      <c r="AG9658" s="2">
        <f ca="1"/>
        <v>0.82028761767090819</v>
      </c>
      <c r="AH9658" s="2" t="str">
        <f ca="1"/>
        <v>Bad</v>
      </c>
    </row>
    <row r="9659" spans="2:34" x14ac:dyDescent="0.2">
      <c r="B9659" s="2">
        <f ca="1"/>
        <v>1.8024300328075782E-2</v>
      </c>
      <c r="O9659" s="2">
        <f ca="1"/>
        <v>-0.86222216438727362</v>
      </c>
      <c r="X9659" s="2">
        <f ca="1"/>
        <v>61.489992464227242</v>
      </c>
      <c r="AG9659" s="2">
        <f ca="1"/>
        <v>9.7673734399002843E-2</v>
      </c>
      <c r="AH9659" s="2" t="str">
        <f ca="1"/>
        <v>OK</v>
      </c>
    </row>
    <row r="9660" spans="2:34" x14ac:dyDescent="0.2">
      <c r="B9660" s="2">
        <f ca="1"/>
        <v>0.84733860111134218</v>
      </c>
      <c r="O9660" s="2">
        <f ca="1"/>
        <v>0.1105600451252835</v>
      </c>
      <c r="X9660" s="2">
        <f ca="1"/>
        <v>68.388631046739164</v>
      </c>
      <c r="AG9660" s="2">
        <f ca="1"/>
        <v>0.78010442987860462</v>
      </c>
      <c r="AH9660" s="2" t="str">
        <f ca="1"/>
        <v>Bad</v>
      </c>
    </row>
    <row r="9661" spans="2:34" x14ac:dyDescent="0.2">
      <c r="B9661" s="2">
        <f ca="1"/>
        <v>3.6473256021650524E-2</v>
      </c>
      <c r="O9661" s="2">
        <f ca="1"/>
        <v>-1.4887287668934872</v>
      </c>
      <c r="X9661" s="2">
        <f ca="1"/>
        <v>37.322696273516804</v>
      </c>
      <c r="AG9661" s="2">
        <f ca="1"/>
        <v>0.32490364055772392</v>
      </c>
      <c r="AH9661" s="2" t="str">
        <f ca="1"/>
        <v>OK</v>
      </c>
    </row>
    <row r="9662" spans="2:34" x14ac:dyDescent="0.2">
      <c r="B9662" s="2">
        <f ca="1"/>
        <v>0.55344421729084692</v>
      </c>
      <c r="O9662" s="2">
        <f ca="1"/>
        <v>-0.78773739648953778</v>
      </c>
      <c r="X9662" s="2">
        <f ca="1"/>
        <v>30.945766242533793</v>
      </c>
      <c r="AG9662" s="2">
        <f ca="1"/>
        <v>0.29858601962131304</v>
      </c>
      <c r="AH9662" s="2" t="str">
        <f ca="1"/>
        <v>OK</v>
      </c>
    </row>
    <row r="9663" spans="2:34" x14ac:dyDescent="0.2">
      <c r="B9663" s="2">
        <f ca="1"/>
        <v>0.64768359091444583</v>
      </c>
      <c r="O9663" s="2">
        <f ca="1"/>
        <v>-0.85418606035564815</v>
      </c>
      <c r="X9663" s="2">
        <f ca="1"/>
        <v>60.341304831329211</v>
      </c>
      <c r="AG9663" s="2">
        <f ca="1"/>
        <v>0.4555394026934656</v>
      </c>
      <c r="AH9663" s="2" t="str">
        <f ca="1"/>
        <v>Bad</v>
      </c>
    </row>
    <row r="9664" spans="2:34" x14ac:dyDescent="0.2">
      <c r="B9664" s="2">
        <f ca="1"/>
        <v>9.6031040310087024E-2</v>
      </c>
      <c r="O9664" s="2">
        <f ca="1"/>
        <v>1.7631230004563649</v>
      </c>
      <c r="X9664" s="2">
        <f ca="1"/>
        <v>31.71040231577944</v>
      </c>
      <c r="AG9664" s="2">
        <f ca="1"/>
        <v>0.32944918204969631</v>
      </c>
      <c r="AH9664" s="2" t="str">
        <f ca="1"/>
        <v>OK</v>
      </c>
    </row>
    <row r="9665" spans="2:34" x14ac:dyDescent="0.2">
      <c r="B9665" s="2">
        <f ca="1"/>
        <v>0.12241952493255948</v>
      </c>
      <c r="O9665" s="2">
        <f ca="1"/>
        <v>-1.662682576409682</v>
      </c>
      <c r="X9665" s="2">
        <f ca="1"/>
        <v>57.803055756473185</v>
      </c>
      <c r="AG9665" s="2">
        <f ca="1"/>
        <v>0.7386526460718974</v>
      </c>
      <c r="AH9665" s="2" t="str">
        <f ca="1"/>
        <v>Bad</v>
      </c>
    </row>
    <row r="9666" spans="2:34" x14ac:dyDescent="0.2">
      <c r="B9666" s="2">
        <f ca="1"/>
        <v>5.9865539235971932E-2</v>
      </c>
      <c r="O9666" s="2">
        <f ca="1"/>
        <v>0.21405590897214641</v>
      </c>
      <c r="X9666" s="2">
        <f ca="1"/>
        <v>94.110960156987204</v>
      </c>
      <c r="AG9666" s="2">
        <f ca="1"/>
        <v>0.86683671312937638</v>
      </c>
      <c r="AH9666" s="2" t="str">
        <f ca="1"/>
        <v>Bad</v>
      </c>
    </row>
    <row r="9667" spans="2:34" x14ac:dyDescent="0.2">
      <c r="B9667" s="2">
        <f ca="1"/>
        <v>7.9910879515656008E-2</v>
      </c>
      <c r="O9667" s="2">
        <f ca="1"/>
        <v>0.37609214600956697</v>
      </c>
      <c r="X9667" s="2">
        <f ca="1"/>
        <v>44.063302699714612</v>
      </c>
      <c r="AG9667" s="2">
        <f ca="1"/>
        <v>0.62726788505986764</v>
      </c>
      <c r="AH9667" s="2" t="str">
        <f ca="1"/>
        <v>Bad</v>
      </c>
    </row>
    <row r="9668" spans="2:34" x14ac:dyDescent="0.2">
      <c r="B9668" s="2">
        <f ca="1"/>
        <v>0.27531084847932297</v>
      </c>
      <c r="O9668" s="2">
        <f ca="1"/>
        <v>-4.1305047461370731E-2</v>
      </c>
      <c r="X9668" s="2">
        <f ca="1"/>
        <v>50.46217288260614</v>
      </c>
      <c r="AG9668" s="2">
        <f ca="1"/>
        <v>0.54277593068125074</v>
      </c>
      <c r="AH9668" s="2" t="str">
        <f ca="1"/>
        <v>Bad</v>
      </c>
    </row>
    <row r="9669" spans="2:34" x14ac:dyDescent="0.2">
      <c r="B9669" s="2">
        <f ca="1"/>
        <v>0.99570225763205045</v>
      </c>
      <c r="O9669" s="2">
        <f ca="1"/>
        <v>-2.2825189474766421</v>
      </c>
      <c r="X9669" s="2">
        <f ca="1"/>
        <v>56.840283493837006</v>
      </c>
      <c r="AG9669" s="2">
        <f ca="1"/>
        <v>0.35608243208335777</v>
      </c>
      <c r="AH9669" s="2" t="str">
        <f ca="1"/>
        <v>OK</v>
      </c>
    </row>
    <row r="9670" spans="2:34" x14ac:dyDescent="0.2">
      <c r="B9670" s="2">
        <f ca="1"/>
        <v>0.64220224868800901</v>
      </c>
      <c r="O9670" s="2">
        <f ca="1"/>
        <v>-1.1709837194880626</v>
      </c>
      <c r="X9670" s="2">
        <f ca="1"/>
        <v>53.977134458065017</v>
      </c>
      <c r="AG9670" s="2">
        <f ca="1"/>
        <v>0.81241161878736645</v>
      </c>
      <c r="AH9670" s="2" t="str">
        <f ca="1"/>
        <v>Bad</v>
      </c>
    </row>
    <row r="9671" spans="2:34" x14ac:dyDescent="0.2">
      <c r="B9671" s="2">
        <f ca="1"/>
        <v>0.61160758465519427</v>
      </c>
      <c r="O9671" s="2">
        <f ca="1"/>
        <v>1.1672278828259284</v>
      </c>
      <c r="X9671" s="2">
        <f ca="1"/>
        <v>51.857741372366405</v>
      </c>
      <c r="AG9671" s="2">
        <f ca="1"/>
        <v>0.58825118354752148</v>
      </c>
      <c r="AH9671" s="2" t="str">
        <f ca="1"/>
        <v>Bad</v>
      </c>
    </row>
    <row r="9672" spans="2:34" x14ac:dyDescent="0.2">
      <c r="B9672" s="2">
        <f ca="1"/>
        <v>0.67607046849207597</v>
      </c>
      <c r="O9672" s="2">
        <f ca="1"/>
        <v>0.11345538075626352</v>
      </c>
      <c r="X9672" s="2">
        <f ca="1"/>
        <v>29.372766943508012</v>
      </c>
      <c r="AG9672" s="2">
        <f ca="1"/>
        <v>0.81052718273513458</v>
      </c>
      <c r="AH9672" s="2" t="str">
        <f ca="1"/>
        <v>Bad</v>
      </c>
    </row>
    <row r="9673" spans="2:34" x14ac:dyDescent="0.2">
      <c r="B9673" s="2">
        <f ca="1"/>
        <v>0.56665538200254084</v>
      </c>
      <c r="O9673" s="2">
        <f ca="1"/>
        <v>0.93213250201448417</v>
      </c>
      <c r="X9673" s="2">
        <f ca="1"/>
        <v>44.25120309807366</v>
      </c>
      <c r="AG9673" s="2">
        <f ca="1"/>
        <v>8.7588952658262498E-2</v>
      </c>
      <c r="AH9673" s="2" t="str">
        <f ca="1"/>
        <v>OK</v>
      </c>
    </row>
    <row r="9674" spans="2:34" x14ac:dyDescent="0.2">
      <c r="B9674" s="2">
        <f ca="1"/>
        <v>0.82629234057102474</v>
      </c>
      <c r="O9674" s="2">
        <f ca="1"/>
        <v>-1.2857605210865222</v>
      </c>
      <c r="X9674" s="2">
        <f ca="1"/>
        <v>62.432705119010549</v>
      </c>
      <c r="AG9674" s="2">
        <f ca="1"/>
        <v>0.8896822605572714</v>
      </c>
      <c r="AH9674" s="2" t="str">
        <f ca="1"/>
        <v>Bad</v>
      </c>
    </row>
    <row r="9675" spans="2:34" x14ac:dyDescent="0.2">
      <c r="B9675" s="2">
        <f ca="1"/>
        <v>0.97765278456223204</v>
      </c>
      <c r="O9675" s="2">
        <f ca="1"/>
        <v>-0.50954509898177891</v>
      </c>
      <c r="X9675" s="2">
        <f ca="1"/>
        <v>48.840169571248865</v>
      </c>
      <c r="AG9675" s="2">
        <f ca="1"/>
        <v>0.48224283539924562</v>
      </c>
      <c r="AH9675" s="2" t="str">
        <f ca="1"/>
        <v>Bad</v>
      </c>
    </row>
    <row r="9676" spans="2:34" x14ac:dyDescent="0.2">
      <c r="B9676" s="2">
        <f ca="1"/>
        <v>0.9853747859407429</v>
      </c>
      <c r="O9676" s="2">
        <f ca="1"/>
        <v>0.31158023649612721</v>
      </c>
      <c r="X9676" s="2">
        <f ca="1"/>
        <v>42.439956156745076</v>
      </c>
      <c r="AG9676" s="2">
        <f ca="1"/>
        <v>0.876388913973146</v>
      </c>
      <c r="AH9676" s="2" t="str">
        <f ca="1"/>
        <v>Bad</v>
      </c>
    </row>
    <row r="9677" spans="2:34" x14ac:dyDescent="0.2">
      <c r="B9677" s="2">
        <f ca="1"/>
        <v>0.84100657722185868</v>
      </c>
      <c r="O9677" s="2">
        <f ca="1"/>
        <v>-1.5678606761547973</v>
      </c>
      <c r="X9677" s="2">
        <f ca="1"/>
        <v>36.037794590536457</v>
      </c>
      <c r="AG9677" s="2">
        <f ca="1"/>
        <v>0.83654793730781196</v>
      </c>
      <c r="AH9677" s="2" t="str">
        <f ca="1"/>
        <v>Bad</v>
      </c>
    </row>
    <row r="9678" spans="2:34" x14ac:dyDescent="0.2">
      <c r="B9678" s="2">
        <f ca="1"/>
        <v>0.62238420757714552</v>
      </c>
      <c r="O9678" s="2">
        <f ca="1"/>
        <v>-1.4650766799646584</v>
      </c>
      <c r="X9678" s="2">
        <f ca="1"/>
        <v>53.778398479801382</v>
      </c>
      <c r="AG9678" s="2">
        <f ca="1"/>
        <v>0.23820961287961184</v>
      </c>
      <c r="AH9678" s="2" t="str">
        <f ca="1"/>
        <v>OK</v>
      </c>
    </row>
    <row r="9679" spans="2:34" x14ac:dyDescent="0.2">
      <c r="B9679" s="2">
        <f ca="1"/>
        <v>0.92876901479748075</v>
      </c>
      <c r="O9679" s="2">
        <f ca="1"/>
        <v>-1.121052906937219</v>
      </c>
      <c r="X9679" s="2">
        <f ca="1"/>
        <v>75.711779817371223</v>
      </c>
      <c r="AG9679" s="2">
        <f ca="1"/>
        <v>0.91119424851985187</v>
      </c>
      <c r="AH9679" s="2" t="str">
        <f ca="1"/>
        <v>Bad</v>
      </c>
    </row>
    <row r="9680" spans="2:34" x14ac:dyDescent="0.2">
      <c r="B9680" s="2">
        <f ca="1"/>
        <v>0.20978523647304548</v>
      </c>
      <c r="O9680" s="2">
        <f ca="1"/>
        <v>1.1631895317551659</v>
      </c>
      <c r="X9680" s="2">
        <f ca="1"/>
        <v>66.629754794435271</v>
      </c>
      <c r="AG9680" s="2">
        <f ca="1"/>
        <v>0.41800552130903368</v>
      </c>
      <c r="AH9680" s="2" t="str">
        <f ca="1"/>
        <v>Bad</v>
      </c>
    </row>
    <row r="9681" spans="2:34" x14ac:dyDescent="0.2">
      <c r="B9681" s="2">
        <f ca="1"/>
        <v>0.33222854442980987</v>
      </c>
      <c r="O9681" s="2">
        <f ca="1"/>
        <v>4.8245960919392422E-3</v>
      </c>
      <c r="X9681" s="2">
        <f ca="1"/>
        <v>53.382764991941414</v>
      </c>
      <c r="AG9681" s="2">
        <f ca="1"/>
        <v>0.7520819721586478</v>
      </c>
      <c r="AH9681" s="2" t="str">
        <f ca="1"/>
        <v>Bad</v>
      </c>
    </row>
    <row r="9682" spans="2:34" x14ac:dyDescent="0.2">
      <c r="B9682" s="2">
        <f ca="1"/>
        <v>5.6818260239464013E-3</v>
      </c>
      <c r="O9682" s="2">
        <f ca="1"/>
        <v>0.56359321679499808</v>
      </c>
      <c r="X9682" s="2">
        <f ca="1"/>
        <v>52.342256420428015</v>
      </c>
      <c r="AG9682" s="2">
        <f ca="1"/>
        <v>0.37311939256598281</v>
      </c>
      <c r="AH9682" s="2" t="str">
        <f ca="1"/>
        <v>OK</v>
      </c>
    </row>
    <row r="9683" spans="2:34" x14ac:dyDescent="0.2">
      <c r="B9683" s="2">
        <f ca="1"/>
        <v>0.65476125433161858</v>
      </c>
      <c r="O9683" s="2">
        <f ca="1"/>
        <v>-0.61196287655540405</v>
      </c>
      <c r="X9683" s="2">
        <f ca="1"/>
        <v>46.109678684469259</v>
      </c>
      <c r="AG9683" s="2">
        <f ca="1"/>
        <v>0.45292656043512936</v>
      </c>
      <c r="AH9683" s="2" t="str">
        <f ca="1"/>
        <v>Bad</v>
      </c>
    </row>
    <row r="9684" spans="2:34" x14ac:dyDescent="0.2">
      <c r="B9684" s="2">
        <f ca="1"/>
        <v>0.12015856965193072</v>
      </c>
      <c r="O9684" s="2">
        <f ca="1"/>
        <v>2.6285795058204928</v>
      </c>
      <c r="X9684" s="2">
        <f ca="1"/>
        <v>35.776948412505888</v>
      </c>
      <c r="AG9684" s="2">
        <f ca="1"/>
        <v>0.54060968811125965</v>
      </c>
      <c r="AH9684" s="2" t="str">
        <f ca="1"/>
        <v>Bad</v>
      </c>
    </row>
    <row r="9685" spans="2:34" x14ac:dyDescent="0.2">
      <c r="B9685" s="2">
        <f ca="1"/>
        <v>0.30471854785970875</v>
      </c>
      <c r="O9685" s="2">
        <f ca="1"/>
        <v>0.2500390383615877</v>
      </c>
      <c r="X9685" s="2">
        <f ca="1"/>
        <v>39.111116547176991</v>
      </c>
      <c r="AG9685" s="2">
        <f ca="1"/>
        <v>0.2596606548008733</v>
      </c>
      <c r="AH9685" s="2" t="str">
        <f ca="1"/>
        <v>OK</v>
      </c>
    </row>
    <row r="9686" spans="2:34" x14ac:dyDescent="0.2">
      <c r="B9686" s="2">
        <f ca="1"/>
        <v>0.51653080645325655</v>
      </c>
      <c r="O9686" s="2">
        <f ca="1"/>
        <v>-0.50742018154508173</v>
      </c>
      <c r="X9686" s="2">
        <f ca="1"/>
        <v>60.491993435923973</v>
      </c>
      <c r="AG9686" s="2">
        <f ca="1"/>
        <v>0.35963801670636997</v>
      </c>
      <c r="AH9686" s="2" t="str">
        <f ca="1"/>
        <v>OK</v>
      </c>
    </row>
    <row r="9687" spans="2:34" x14ac:dyDescent="0.2">
      <c r="B9687" s="2">
        <f ca="1"/>
        <v>0.30672754225802867</v>
      </c>
      <c r="O9687" s="2">
        <f ca="1"/>
        <v>0.56171996460276963</v>
      </c>
      <c r="X9687" s="2">
        <f ca="1"/>
        <v>37.738765409078361</v>
      </c>
      <c r="AG9687" s="2">
        <f ca="1"/>
        <v>0.28816533905312269</v>
      </c>
      <c r="AH9687" s="2" t="str">
        <f ca="1"/>
        <v>OK</v>
      </c>
    </row>
    <row r="9688" spans="2:34" x14ac:dyDescent="0.2">
      <c r="B9688" s="2">
        <f ca="1"/>
        <v>0.74203465438276672</v>
      </c>
      <c r="O9688" s="2">
        <f ca="1"/>
        <v>-0.94973033148881791</v>
      </c>
      <c r="X9688" s="2">
        <f ca="1"/>
        <v>27.826219104487073</v>
      </c>
      <c r="AG9688" s="2">
        <f ca="1"/>
        <v>0.97070000894982122</v>
      </c>
      <c r="AH9688" s="2" t="str">
        <f ca="1"/>
        <v>Bad</v>
      </c>
    </row>
    <row r="9689" spans="2:34" x14ac:dyDescent="0.2">
      <c r="B9689" s="2">
        <f ca="1"/>
        <v>0.85791752700438262</v>
      </c>
      <c r="O9689" s="2">
        <f ca="1"/>
        <v>0.13754302381598846</v>
      </c>
      <c r="X9689" s="2">
        <f ca="1"/>
        <v>50.177067984893029</v>
      </c>
      <c r="AG9689" s="2">
        <f ca="1"/>
        <v>0.57752624519585138</v>
      </c>
      <c r="AH9689" s="2" t="str">
        <f ca="1"/>
        <v>Bad</v>
      </c>
    </row>
    <row r="9690" spans="2:34" x14ac:dyDescent="0.2">
      <c r="B9690" s="2">
        <f ca="1"/>
        <v>0.80926355832182639</v>
      </c>
      <c r="O9690" s="2">
        <f ca="1"/>
        <v>-1.4299997041563204</v>
      </c>
      <c r="X9690" s="2">
        <f ca="1"/>
        <v>54.272377751316498</v>
      </c>
      <c r="AG9690" s="2">
        <f ca="1"/>
        <v>0.93873409296301702</v>
      </c>
      <c r="AH9690" s="2" t="str">
        <f ca="1"/>
        <v>Bad</v>
      </c>
    </row>
    <row r="9691" spans="2:34" x14ac:dyDescent="0.2">
      <c r="B9691" s="2">
        <f ca="1"/>
        <v>0.47613135157357833</v>
      </c>
      <c r="O9691" s="2">
        <f ca="1"/>
        <v>-8.8749739123195837E-2</v>
      </c>
      <c r="X9691" s="2">
        <f ca="1"/>
        <v>55.507286352444503</v>
      </c>
      <c r="AG9691" s="2">
        <f ca="1"/>
        <v>0.24732197906691944</v>
      </c>
      <c r="AH9691" s="2" t="str">
        <f ca="1"/>
        <v>OK</v>
      </c>
    </row>
    <row r="9692" spans="2:34" x14ac:dyDescent="0.2">
      <c r="B9692" s="2">
        <f ca="1"/>
        <v>0.31216713891925596</v>
      </c>
      <c r="O9692" s="2">
        <f ca="1"/>
        <v>-1.4879535846625733</v>
      </c>
      <c r="X9692" s="2">
        <f ca="1"/>
        <v>50.931303549796347</v>
      </c>
      <c r="AG9692" s="2">
        <f ca="1"/>
        <v>0.9128696800931666</v>
      </c>
      <c r="AH9692" s="2" t="str">
        <f ca="1"/>
        <v>Bad</v>
      </c>
    </row>
    <row r="9693" spans="2:34" x14ac:dyDescent="0.2">
      <c r="B9693" s="2">
        <f ca="1"/>
        <v>0.51440890300577791</v>
      </c>
      <c r="O9693" s="2">
        <f ca="1"/>
        <v>1.1480482526374245</v>
      </c>
      <c r="X9693" s="2">
        <f ca="1"/>
        <v>39.730480095060948</v>
      </c>
      <c r="AG9693" s="2">
        <f ca="1"/>
        <v>0.68333433002176225</v>
      </c>
      <c r="AH9693" s="2" t="str">
        <f ca="1"/>
        <v>Bad</v>
      </c>
    </row>
    <row r="9694" spans="2:34" x14ac:dyDescent="0.2">
      <c r="B9694" s="2">
        <f ca="1"/>
        <v>0.21489884558763195</v>
      </c>
      <c r="O9694" s="2">
        <f ca="1"/>
        <v>0.7626475269862345</v>
      </c>
      <c r="X9694" s="2">
        <f ca="1"/>
        <v>38.19751309768305</v>
      </c>
      <c r="AG9694" s="2">
        <f ca="1"/>
        <v>0.49806753530908265</v>
      </c>
      <c r="AH9694" s="2" t="str">
        <f ca="1"/>
        <v>Bad</v>
      </c>
    </row>
    <row r="9695" spans="2:34" x14ac:dyDescent="0.2">
      <c r="B9695" s="2">
        <f ca="1"/>
        <v>0.7917798708166004</v>
      </c>
      <c r="O9695" s="2">
        <f ca="1"/>
        <v>0.55447503683493193</v>
      </c>
      <c r="X9695" s="2">
        <f ca="1"/>
        <v>39.874851374088912</v>
      </c>
      <c r="AG9695" s="2">
        <f ca="1"/>
        <v>0.78212598803393796</v>
      </c>
      <c r="AH9695" s="2" t="str">
        <f ca="1"/>
        <v>Bad</v>
      </c>
    </row>
    <row r="9696" spans="2:34" x14ac:dyDescent="0.2">
      <c r="B9696" s="2">
        <f ca="1"/>
        <v>0.8043039554659166</v>
      </c>
      <c r="O9696" s="2">
        <f ca="1"/>
        <v>0.25122516184779847</v>
      </c>
      <c r="X9696" s="2">
        <f ca="1"/>
        <v>49.367654255036548</v>
      </c>
      <c r="AG9696" s="2">
        <f ca="1"/>
        <v>0.96994568208949627</v>
      </c>
      <c r="AH9696" s="2" t="str">
        <f ca="1"/>
        <v>Bad</v>
      </c>
    </row>
    <row r="9697" spans="2:34" x14ac:dyDescent="0.2">
      <c r="B9697" s="2">
        <f ca="1"/>
        <v>0.84929442760233798</v>
      </c>
      <c r="O9697" s="2">
        <f ca="1"/>
        <v>-0.79948773752456703</v>
      </c>
      <c r="X9697" s="2">
        <f ca="1"/>
        <v>41.692427751022542</v>
      </c>
      <c r="AG9697" s="2">
        <f ca="1"/>
        <v>0.50133962618898309</v>
      </c>
      <c r="AH9697" s="2" t="str">
        <f ca="1"/>
        <v>Bad</v>
      </c>
    </row>
    <row r="9698" spans="2:34" x14ac:dyDescent="0.2">
      <c r="B9698" s="2">
        <f ca="1"/>
        <v>0.10139675561535721</v>
      </c>
      <c r="O9698" s="2">
        <f ca="1"/>
        <v>0.6554499005049661</v>
      </c>
      <c r="X9698" s="2">
        <f ca="1"/>
        <v>59.379536152934769</v>
      </c>
      <c r="AG9698" s="2">
        <f ca="1"/>
        <v>8.6224144854759821E-2</v>
      </c>
      <c r="AH9698" s="2" t="str">
        <f ca="1"/>
        <v>OK</v>
      </c>
    </row>
    <row r="9699" spans="2:34" x14ac:dyDescent="0.2">
      <c r="B9699" s="2">
        <f ca="1"/>
        <v>0.30705872383731703</v>
      </c>
      <c r="O9699" s="2">
        <f ca="1"/>
        <v>-0.48328749964846579</v>
      </c>
      <c r="X9699" s="2">
        <f ca="1"/>
        <v>27.944785114651303</v>
      </c>
      <c r="AG9699" s="2">
        <f ca="1"/>
        <v>0.36570819934422416</v>
      </c>
      <c r="AH9699" s="2" t="str">
        <f ca="1"/>
        <v>OK</v>
      </c>
    </row>
    <row r="9700" spans="2:34" x14ac:dyDescent="0.2">
      <c r="B9700" s="2">
        <f ca="1"/>
        <v>0.6496305189418865</v>
      </c>
      <c r="O9700" s="2">
        <f ca="1"/>
        <v>1.1432822723107108</v>
      </c>
      <c r="X9700" s="2">
        <f ca="1"/>
        <v>34.747469431206596</v>
      </c>
      <c r="AG9700" s="2">
        <f ca="1"/>
        <v>0.23194055860050344</v>
      </c>
      <c r="AH9700" s="2" t="str">
        <f ca="1"/>
        <v>OK</v>
      </c>
    </row>
    <row r="9701" spans="2:34" x14ac:dyDescent="0.2">
      <c r="B9701" s="2">
        <f ca="1"/>
        <v>0.3796586991277271</v>
      </c>
      <c r="O9701" s="2">
        <f ca="1"/>
        <v>0.75884149401703849</v>
      </c>
      <c r="X9701" s="2">
        <f ca="1"/>
        <v>71.746878117359415</v>
      </c>
      <c r="AG9701" s="2">
        <f ca="1"/>
        <v>0.81275313323809528</v>
      </c>
      <c r="AH9701" s="2" t="str">
        <f ca="1"/>
        <v>Bad</v>
      </c>
    </row>
    <row r="9702" spans="2:34" x14ac:dyDescent="0.2">
      <c r="B9702" s="2">
        <f ca="1"/>
        <v>0.49630831741172754</v>
      </c>
      <c r="O9702" s="2">
        <f ca="1"/>
        <v>-0.31485913195690468</v>
      </c>
      <c r="X9702" s="2">
        <f ca="1"/>
        <v>71.086862610055107</v>
      </c>
      <c r="AG9702" s="2">
        <f ca="1"/>
        <v>9.0468314650427928E-2</v>
      </c>
      <c r="AH9702" s="2" t="str">
        <f ca="1"/>
        <v>OK</v>
      </c>
    </row>
    <row r="9703" spans="2:34" x14ac:dyDescent="0.2">
      <c r="B9703" s="2">
        <f ca="1"/>
        <v>2.0856000621527926E-2</v>
      </c>
      <c r="O9703" s="2">
        <f ca="1"/>
        <v>-2.662060818231835</v>
      </c>
      <c r="X9703" s="2">
        <f ca="1"/>
        <v>31.548947370301956</v>
      </c>
      <c r="AG9703" s="2">
        <f ca="1"/>
        <v>4.8160596763686669E-2</v>
      </c>
      <c r="AH9703" s="2" t="str">
        <f ca="1"/>
        <v>Good</v>
      </c>
    </row>
    <row r="9704" spans="2:34" x14ac:dyDescent="0.2">
      <c r="B9704" s="2">
        <f ca="1"/>
        <v>0.26017493548663628</v>
      </c>
      <c r="O9704" s="2">
        <f ca="1"/>
        <v>1.0332725878388187</v>
      </c>
      <c r="X9704" s="2">
        <f ca="1"/>
        <v>51.314999824471414</v>
      </c>
      <c r="AG9704" s="2">
        <f ca="1"/>
        <v>0.85808569329357964</v>
      </c>
      <c r="AH9704" s="2" t="str">
        <f ca="1"/>
        <v>Bad</v>
      </c>
    </row>
    <row r="9705" spans="2:34" x14ac:dyDescent="0.2">
      <c r="B9705" s="2">
        <f ca="1"/>
        <v>0.34702716962216051</v>
      </c>
      <c r="O9705" s="2">
        <f ca="1"/>
        <v>-1.1961070414086152</v>
      </c>
      <c r="X9705" s="2">
        <f ca="1"/>
        <v>59.485483855685018</v>
      </c>
      <c r="AG9705" s="2">
        <f ca="1"/>
        <v>0.53359015611786731</v>
      </c>
      <c r="AH9705" s="2" t="str">
        <f ca="1"/>
        <v>Bad</v>
      </c>
    </row>
    <row r="9706" spans="2:34" x14ac:dyDescent="0.2">
      <c r="B9706" s="2">
        <f ca="1"/>
        <v>0.28462466407087872</v>
      </c>
      <c r="O9706" s="2">
        <f ca="1"/>
        <v>0.70623397117974551</v>
      </c>
      <c r="X9706" s="2">
        <f ca="1"/>
        <v>51.852481633509555</v>
      </c>
      <c r="AG9706" s="2">
        <f ca="1"/>
        <v>0.13577284157226832</v>
      </c>
      <c r="AH9706" s="2" t="str">
        <f ca="1"/>
        <v>OK</v>
      </c>
    </row>
    <row r="9707" spans="2:34" x14ac:dyDescent="0.2">
      <c r="B9707" s="2">
        <f ca="1"/>
        <v>0.98259218347893795</v>
      </c>
      <c r="O9707" s="2">
        <f ca="1"/>
        <v>0.99631528412992287</v>
      </c>
      <c r="X9707" s="2">
        <f ca="1"/>
        <v>56.65873751548709</v>
      </c>
      <c r="AG9707" s="2">
        <f ca="1"/>
        <v>5.1479695454766494E-2</v>
      </c>
      <c r="AH9707" s="2" t="str">
        <f ca="1"/>
        <v>OK</v>
      </c>
    </row>
    <row r="9708" spans="2:34" x14ac:dyDescent="0.2">
      <c r="B9708" s="2">
        <f ca="1"/>
        <v>0.50764225330450774</v>
      </c>
      <c r="O9708" s="2">
        <f ca="1"/>
        <v>-0.87628069479599202</v>
      </c>
      <c r="X9708" s="2">
        <f ca="1"/>
        <v>59.237894558651817</v>
      </c>
      <c r="AG9708" s="2">
        <f ca="1"/>
        <v>0.96394813127810464</v>
      </c>
      <c r="AH9708" s="2" t="str">
        <f ca="1"/>
        <v>Bad</v>
      </c>
    </row>
    <row r="9709" spans="2:34" x14ac:dyDescent="0.2">
      <c r="B9709" s="2">
        <f ca="1"/>
        <v>0.88918381728379026</v>
      </c>
      <c r="O9709" s="2">
        <f ca="1"/>
        <v>-0.79070635010066415</v>
      </c>
      <c r="X9709" s="2">
        <f ca="1"/>
        <v>40.104114996506866</v>
      </c>
      <c r="AG9709" s="2">
        <f ca="1"/>
        <v>0.67716218287511509</v>
      </c>
      <c r="AH9709" s="2" t="str">
        <f ca="1"/>
        <v>Bad</v>
      </c>
    </row>
    <row r="9710" spans="2:34" x14ac:dyDescent="0.2">
      <c r="B9710" s="2">
        <f ca="1"/>
        <v>0.55890978715455164</v>
      </c>
      <c r="O9710" s="2">
        <f ca="1"/>
        <v>-0.94369982524404228</v>
      </c>
      <c r="X9710" s="2">
        <f ca="1"/>
        <v>84.973300103414729</v>
      </c>
      <c r="AG9710" s="2">
        <f ca="1"/>
        <v>0.50379895589785328</v>
      </c>
      <c r="AH9710" s="2" t="str">
        <f ca="1"/>
        <v>Bad</v>
      </c>
    </row>
    <row r="9711" spans="2:34" x14ac:dyDescent="0.2">
      <c r="B9711" s="2">
        <f ca="1"/>
        <v>0.18477841436699483</v>
      </c>
      <c r="O9711" s="2">
        <f ca="1"/>
        <v>1.9556865153599341</v>
      </c>
      <c r="X9711" s="2">
        <f ca="1"/>
        <v>37.871041697426378</v>
      </c>
      <c r="AG9711" s="2">
        <f ca="1"/>
        <v>0.19847064414089255</v>
      </c>
      <c r="AH9711" s="2" t="str">
        <f ca="1"/>
        <v>OK</v>
      </c>
    </row>
    <row r="9712" spans="2:34" x14ac:dyDescent="0.2">
      <c r="B9712" s="2">
        <f ca="1"/>
        <v>0.81917521516185854</v>
      </c>
      <c r="O9712" s="2">
        <f ca="1"/>
        <v>-0.98149903630330182</v>
      </c>
      <c r="X9712" s="2">
        <f ca="1"/>
        <v>61.197533135027015</v>
      </c>
      <c r="AG9712" s="2">
        <f ca="1"/>
        <v>9.3873291419393601E-2</v>
      </c>
      <c r="AH9712" s="2" t="str">
        <f ca="1"/>
        <v>OK</v>
      </c>
    </row>
    <row r="9713" spans="2:34" x14ac:dyDescent="0.2">
      <c r="B9713" s="2">
        <f ca="1"/>
        <v>8.6672765525141804E-2</v>
      </c>
      <c r="O9713" s="2">
        <f ca="1"/>
        <v>0.14926468850023658</v>
      </c>
      <c r="X9713" s="2">
        <f ca="1"/>
        <v>67.438118687587391</v>
      </c>
      <c r="AG9713" s="2">
        <f ca="1"/>
        <v>6.9256771934493866E-3</v>
      </c>
      <c r="AH9713" s="2" t="str">
        <f ca="1"/>
        <v>Good</v>
      </c>
    </row>
    <row r="9714" spans="2:34" x14ac:dyDescent="0.2">
      <c r="B9714" s="2">
        <f ca="1"/>
        <v>0.78462262112539261</v>
      </c>
      <c r="O9714" s="2">
        <f ca="1"/>
        <v>-1.8835789597047643</v>
      </c>
      <c r="X9714" s="2">
        <f ca="1"/>
        <v>23.953179902603821</v>
      </c>
      <c r="AG9714" s="2">
        <f ca="1"/>
        <v>0.44970991001554861</v>
      </c>
      <c r="AH9714" s="2" t="str">
        <f ca="1"/>
        <v>Bad</v>
      </c>
    </row>
    <row r="9715" spans="2:34" x14ac:dyDescent="0.2">
      <c r="B9715" s="2">
        <f ca="1"/>
        <v>0.64290503647381869</v>
      </c>
      <c r="O9715" s="2">
        <f ca="1"/>
        <v>-0.80693094345949234</v>
      </c>
      <c r="X9715" s="2">
        <f ca="1"/>
        <v>88.690273250911218</v>
      </c>
      <c r="AG9715" s="2">
        <f ca="1"/>
        <v>0.10300787577836079</v>
      </c>
      <c r="AH9715" s="2" t="str">
        <f ca="1"/>
        <v>OK</v>
      </c>
    </row>
    <row r="9716" spans="2:34" x14ac:dyDescent="0.2">
      <c r="B9716" s="2">
        <f ca="1"/>
        <v>0.12336720010689128</v>
      </c>
      <c r="O9716" s="2">
        <f ca="1"/>
        <v>1.2207896384213139</v>
      </c>
      <c r="X9716" s="2">
        <f ca="1"/>
        <v>54.49241912288575</v>
      </c>
      <c r="AG9716" s="2">
        <f ca="1"/>
        <v>0.11348695964253497</v>
      </c>
      <c r="AH9716" s="2" t="str">
        <f ca="1"/>
        <v>OK</v>
      </c>
    </row>
    <row r="9717" spans="2:34" x14ac:dyDescent="0.2">
      <c r="B9717" s="2">
        <f ca="1"/>
        <v>0.32220927735160743</v>
      </c>
      <c r="O9717" s="2">
        <f ca="1"/>
        <v>-0.31646918317353029</v>
      </c>
      <c r="X9717" s="2">
        <f ca="1"/>
        <v>64.205779372086766</v>
      </c>
      <c r="AG9717" s="2">
        <f ca="1"/>
        <v>0.73654013598246637</v>
      </c>
      <c r="AH9717" s="2" t="str">
        <f ca="1"/>
        <v>Bad</v>
      </c>
    </row>
    <row r="9718" spans="2:34" x14ac:dyDescent="0.2">
      <c r="B9718" s="2">
        <f ca="1"/>
        <v>0.84562932446731431</v>
      </c>
      <c r="O9718" s="2">
        <f ca="1"/>
        <v>1.1692527847340461</v>
      </c>
      <c r="X9718" s="2">
        <f ca="1"/>
        <v>35.666929070121277</v>
      </c>
      <c r="AG9718" s="2">
        <f ca="1"/>
        <v>0.28399252911606898</v>
      </c>
      <c r="AH9718" s="2" t="str">
        <f ca="1"/>
        <v>OK</v>
      </c>
    </row>
    <row r="9719" spans="2:34" x14ac:dyDescent="0.2">
      <c r="B9719" s="2">
        <f ca="1"/>
        <v>0.17031083383714152</v>
      </c>
      <c r="O9719" s="2">
        <f ca="1"/>
        <v>-0.37828315771137888</v>
      </c>
      <c r="X9719" s="2">
        <f ca="1"/>
        <v>33.593222066578249</v>
      </c>
      <c r="AG9719" s="2">
        <f ca="1"/>
        <v>0.49555077113772428</v>
      </c>
      <c r="AH9719" s="2" t="str">
        <f ca="1"/>
        <v>Bad</v>
      </c>
    </row>
    <row r="9720" spans="2:34" x14ac:dyDescent="0.2">
      <c r="B9720" s="2">
        <f ca="1"/>
        <v>3.6004668608273782E-3</v>
      </c>
      <c r="O9720" s="2">
        <f ca="1"/>
        <v>0.83843216416598398</v>
      </c>
      <c r="X9720" s="2">
        <f ca="1"/>
        <v>30.615686607589208</v>
      </c>
      <c r="AG9720" s="2">
        <f ca="1"/>
        <v>0.57931604089559241</v>
      </c>
      <c r="AH9720" s="2" t="str">
        <f ca="1"/>
        <v>Bad</v>
      </c>
    </row>
    <row r="9721" spans="2:34" x14ac:dyDescent="0.2">
      <c r="B9721" s="2">
        <f ca="1"/>
        <v>0.76329452480408388</v>
      </c>
      <c r="O9721" s="2">
        <f ca="1"/>
        <v>1.5168744344147698</v>
      </c>
      <c r="X9721" s="2">
        <f ca="1"/>
        <v>58.060350855046714</v>
      </c>
      <c r="AG9721" s="2">
        <f ca="1"/>
        <v>0.51787355648793931</v>
      </c>
      <c r="AH9721" s="2" t="str">
        <f ca="1"/>
        <v>Bad</v>
      </c>
    </row>
    <row r="9722" spans="2:34" x14ac:dyDescent="0.2">
      <c r="B9722" s="2">
        <f ca="1"/>
        <v>0.15682231066662511</v>
      </c>
      <c r="O9722" s="2">
        <f ca="1"/>
        <v>-0.35020030246574568</v>
      </c>
      <c r="X9722" s="2">
        <f ca="1"/>
        <v>34.565206284904434</v>
      </c>
      <c r="AG9722" s="2">
        <f ca="1"/>
        <v>0.40235320319910017</v>
      </c>
      <c r="AH9722" s="2" t="str">
        <f ca="1"/>
        <v>Bad</v>
      </c>
    </row>
    <row r="9723" spans="2:34" x14ac:dyDescent="0.2">
      <c r="B9723" s="2">
        <f ca="1"/>
        <v>0.29201038900464193</v>
      </c>
      <c r="O9723" s="2">
        <f ca="1"/>
        <v>7.1137299742089183E-2</v>
      </c>
      <c r="X9723" s="2">
        <f ca="1"/>
        <v>28.345922676768915</v>
      </c>
      <c r="AG9723" s="2">
        <f ca="1"/>
        <v>0.23773594438656231</v>
      </c>
      <c r="AH9723" s="2" t="str">
        <f ca="1"/>
        <v>OK</v>
      </c>
    </row>
    <row r="9724" spans="2:34" x14ac:dyDescent="0.2">
      <c r="B9724" s="2">
        <f ca="1"/>
        <v>0.95237822531151473</v>
      </c>
      <c r="O9724" s="2">
        <f ca="1"/>
        <v>-0.80664380587649376</v>
      </c>
      <c r="X9724" s="2">
        <f ca="1"/>
        <v>42.001135411519776</v>
      </c>
      <c r="AG9724" s="2">
        <f ca="1"/>
        <v>0.26137769616794282</v>
      </c>
      <c r="AH9724" s="2" t="str">
        <f ca="1"/>
        <v>OK</v>
      </c>
    </row>
    <row r="9725" spans="2:34" x14ac:dyDescent="0.2">
      <c r="B9725" s="2">
        <f ca="1"/>
        <v>0.66511767635354269</v>
      </c>
      <c r="O9725" s="2">
        <f ca="1"/>
        <v>1.2263928225496861</v>
      </c>
      <c r="X9725" s="2">
        <f ca="1"/>
        <v>46.149125982425112</v>
      </c>
      <c r="AG9725" s="2">
        <f ca="1"/>
        <v>7.9258599073757541E-2</v>
      </c>
      <c r="AH9725" s="2" t="str">
        <f ca="1"/>
        <v>OK</v>
      </c>
    </row>
    <row r="9726" spans="2:34" x14ac:dyDescent="0.2">
      <c r="B9726" s="2">
        <f ca="1"/>
        <v>0.45011333524797559</v>
      </c>
      <c r="O9726" s="2">
        <f ca="1"/>
        <v>0.47340363269278657</v>
      </c>
      <c r="X9726" s="2">
        <f ca="1"/>
        <v>45.681800485194074</v>
      </c>
      <c r="AG9726" s="2">
        <f ca="1"/>
        <v>9.5884659677802908E-3</v>
      </c>
      <c r="AH9726" s="2" t="str">
        <f ca="1"/>
        <v>Good</v>
      </c>
    </row>
    <row r="9727" spans="2:34" x14ac:dyDescent="0.2">
      <c r="B9727" s="2">
        <f ca="1"/>
        <v>0.81963390481654352</v>
      </c>
      <c r="O9727" s="2">
        <f ca="1"/>
        <v>-0.8002062089202463</v>
      </c>
      <c r="X9727" s="2">
        <f ca="1"/>
        <v>51.787712064801582</v>
      </c>
      <c r="AG9727" s="2">
        <f ca="1"/>
        <v>0.39181253026875495</v>
      </c>
      <c r="AH9727" s="2" t="str">
        <f ca="1"/>
        <v>OK</v>
      </c>
    </row>
    <row r="9728" spans="2:34" x14ac:dyDescent="0.2">
      <c r="B9728" s="2">
        <f ca="1"/>
        <v>0.68335659987871078</v>
      </c>
      <c r="O9728" s="2">
        <f ca="1"/>
        <v>-7.2838637291997424E-2</v>
      </c>
      <c r="X9728" s="2">
        <f ca="1"/>
        <v>52.387233072245458</v>
      </c>
      <c r="AG9728" s="2">
        <f ca="1"/>
        <v>0.66899664819696669</v>
      </c>
      <c r="AH9728" s="2" t="str">
        <f ca="1"/>
        <v>Bad</v>
      </c>
    </row>
    <row r="9729" spans="2:34" x14ac:dyDescent="0.2">
      <c r="B9729" s="2">
        <f ca="1"/>
        <v>0.84904550633781573</v>
      </c>
      <c r="O9729" s="2">
        <f ca="1"/>
        <v>-0.51912727592770813</v>
      </c>
      <c r="X9729" s="2">
        <f ca="1"/>
        <v>44.658972380526983</v>
      </c>
      <c r="AG9729" s="2">
        <f ca="1"/>
        <v>0.28198770501191928</v>
      </c>
      <c r="AH9729" s="2" t="str">
        <f ca="1"/>
        <v>OK</v>
      </c>
    </row>
    <row r="9730" spans="2:34" x14ac:dyDescent="0.2">
      <c r="B9730" s="2">
        <f ca="1"/>
        <v>0.64344036643054592</v>
      </c>
      <c r="O9730" s="2">
        <f ca="1"/>
        <v>0.8285099713663896</v>
      </c>
      <c r="X9730" s="2">
        <f ca="1"/>
        <v>63.497758005661154</v>
      </c>
      <c r="AG9730" s="2">
        <f ca="1"/>
        <v>0.61305583959077103</v>
      </c>
      <c r="AH9730" s="2" t="str">
        <f ca="1"/>
        <v>Bad</v>
      </c>
    </row>
    <row r="9731" spans="2:34" x14ac:dyDescent="0.2">
      <c r="B9731" s="2">
        <f ca="1"/>
        <v>0.79766842411690431</v>
      </c>
      <c r="O9731" s="2">
        <f ca="1"/>
        <v>0.5696341921650383</v>
      </c>
      <c r="X9731" s="2">
        <f ca="1"/>
        <v>48.255395133858265</v>
      </c>
      <c r="AG9731" s="2">
        <f ca="1"/>
        <v>2.7405015850077374E-2</v>
      </c>
      <c r="AH9731" s="2" t="str">
        <f ca="1"/>
        <v>Good</v>
      </c>
    </row>
    <row r="9732" spans="2:34" x14ac:dyDescent="0.2">
      <c r="B9732" s="2">
        <f ca="1"/>
        <v>0.15560653542916092</v>
      </c>
      <c r="O9732" s="2">
        <f ca="1"/>
        <v>-0.71618664335953763</v>
      </c>
      <c r="X9732" s="2">
        <f ca="1"/>
        <v>50.678885025216481</v>
      </c>
      <c r="AG9732" s="2">
        <f ca="1"/>
        <v>0.50146125115406592</v>
      </c>
      <c r="AH9732" s="2" t="str">
        <f ca="1"/>
        <v>Bad</v>
      </c>
    </row>
    <row r="9733" spans="2:34" x14ac:dyDescent="0.2">
      <c r="B9733" s="2">
        <f ca="1"/>
        <v>0.89272755921101732</v>
      </c>
      <c r="O9733" s="2">
        <f ca="1"/>
        <v>0.47353044097371405</v>
      </c>
      <c r="X9733" s="2">
        <f ca="1"/>
        <v>43.322801434844735</v>
      </c>
      <c r="AG9733" s="2">
        <f ca="1"/>
        <v>0.66285121429302496</v>
      </c>
      <c r="AH9733" s="2" t="str">
        <f ca="1"/>
        <v>Bad</v>
      </c>
    </row>
    <row r="9734" spans="2:34" x14ac:dyDescent="0.2">
      <c r="B9734" s="2">
        <f ca="1"/>
        <v>0.85465407493606294</v>
      </c>
      <c r="O9734" s="2">
        <f ca="1"/>
        <v>-1.1143817091924222</v>
      </c>
      <c r="X9734" s="2">
        <f ca="1"/>
        <v>42.048337852872763</v>
      </c>
      <c r="AG9734" s="2">
        <f ca="1"/>
        <v>0.38825006620831504</v>
      </c>
      <c r="AH9734" s="2" t="str">
        <f ca="1"/>
        <v>OK</v>
      </c>
    </row>
    <row r="9735" spans="2:34" x14ac:dyDescent="0.2">
      <c r="B9735" s="2">
        <f ca="1"/>
        <v>4.3796084317651474E-2</v>
      </c>
      <c r="O9735" s="2">
        <f ca="1"/>
        <v>1.0674505199592015</v>
      </c>
      <c r="X9735" s="2">
        <f ca="1"/>
        <v>34.13070035242437</v>
      </c>
      <c r="AG9735" s="2">
        <f ca="1"/>
        <v>0.44698743097130778</v>
      </c>
      <c r="AH9735" s="2" t="str">
        <f ca="1"/>
        <v>Bad</v>
      </c>
    </row>
    <row r="9736" spans="2:34" x14ac:dyDescent="0.2">
      <c r="B9736" s="2">
        <f ca="1"/>
        <v>0.76659512960696441</v>
      </c>
      <c r="O9736" s="2">
        <f ca="1"/>
        <v>-0.63803268175486672</v>
      </c>
      <c r="X9736" s="2">
        <f ca="1"/>
        <v>60.523172012889276</v>
      </c>
      <c r="AG9736" s="2">
        <f ca="1"/>
        <v>1.7431950007888553E-2</v>
      </c>
      <c r="AH9736" s="2" t="str">
        <f ca="1"/>
        <v>Good</v>
      </c>
    </row>
    <row r="9737" spans="2:34" x14ac:dyDescent="0.2">
      <c r="B9737" s="2">
        <f ca="1"/>
        <v>0.69693710175391299</v>
      </c>
      <c r="O9737" s="2">
        <f ca="1"/>
        <v>-1.4659214991667975</v>
      </c>
      <c r="X9737" s="2">
        <f ca="1"/>
        <v>51.663277803886281</v>
      </c>
      <c r="AG9737" s="2">
        <f ca="1"/>
        <v>0.3442523830792974</v>
      </c>
      <c r="AH9737" s="2" t="str">
        <f ca="1"/>
        <v>OK</v>
      </c>
    </row>
    <row r="9738" spans="2:34" x14ac:dyDescent="0.2">
      <c r="B9738" s="2">
        <f ca="1"/>
        <v>0.75478800052525075</v>
      </c>
      <c r="O9738" s="2">
        <f ca="1"/>
        <v>0.88744707468010053</v>
      </c>
      <c r="X9738" s="2">
        <f ca="1"/>
        <v>59.854506051361732</v>
      </c>
      <c r="AG9738" s="2">
        <f ca="1"/>
        <v>0.49193605241121441</v>
      </c>
      <c r="AH9738" s="2" t="str">
        <f ca="1"/>
        <v>Bad</v>
      </c>
    </row>
    <row r="9739" spans="2:34" x14ac:dyDescent="0.2">
      <c r="B9739" s="2">
        <f ca="1"/>
        <v>0.42760330672152214</v>
      </c>
      <c r="O9739" s="2">
        <f ca="1"/>
        <v>0.84130403426475686</v>
      </c>
      <c r="X9739" s="2">
        <f ca="1"/>
        <v>39.159135577946373</v>
      </c>
      <c r="AG9739" s="2">
        <f ca="1"/>
        <v>0.81476488351296572</v>
      </c>
      <c r="AH9739" s="2" t="str">
        <f ca="1"/>
        <v>Bad</v>
      </c>
    </row>
    <row r="9740" spans="2:34" x14ac:dyDescent="0.2">
      <c r="B9740" s="2">
        <f ca="1"/>
        <v>0.72696999147080588</v>
      </c>
      <c r="O9740" s="2">
        <f ca="1"/>
        <v>0.52979771762518868</v>
      </c>
      <c r="X9740" s="2">
        <f ca="1"/>
        <v>42.846471109264918</v>
      </c>
      <c r="AG9740" s="2">
        <f ca="1"/>
        <v>0.38664078941293933</v>
      </c>
      <c r="AH9740" s="2" t="str">
        <f ca="1"/>
        <v>OK</v>
      </c>
    </row>
    <row r="9741" spans="2:34" x14ac:dyDescent="0.2">
      <c r="B9741" s="2">
        <f ca="1"/>
        <v>0.36262548601340261</v>
      </c>
      <c r="O9741" s="2">
        <f ca="1"/>
        <v>0.13199404910910761</v>
      </c>
      <c r="X9741" s="2">
        <f ca="1"/>
        <v>55.355746427846583</v>
      </c>
      <c r="AG9741" s="2">
        <f ca="1"/>
        <v>0.77701290271125623</v>
      </c>
      <c r="AH9741" s="2" t="str">
        <f ca="1"/>
        <v>Bad</v>
      </c>
    </row>
    <row r="9742" spans="2:34" x14ac:dyDescent="0.2">
      <c r="B9742" s="2">
        <f ca="1"/>
        <v>0.2809076953474634</v>
      </c>
      <c r="O9742" s="2">
        <f ca="1"/>
        <v>1.1462044585744553</v>
      </c>
      <c r="X9742" s="2">
        <f ca="1"/>
        <v>42.041021043232895</v>
      </c>
      <c r="AG9742" s="2">
        <f ca="1"/>
        <v>0.58274889622806314</v>
      </c>
      <c r="AH9742" s="2" t="str">
        <f ca="1"/>
        <v>Bad</v>
      </c>
    </row>
    <row r="9743" spans="2:34" x14ac:dyDescent="0.2">
      <c r="B9743" s="2">
        <f ca="1"/>
        <v>0.15837374024531536</v>
      </c>
      <c r="O9743" s="2">
        <f ca="1"/>
        <v>0.7926522919088157</v>
      </c>
      <c r="X9743" s="2">
        <f ca="1"/>
        <v>42.059294820468189</v>
      </c>
      <c r="AG9743" s="2">
        <f ca="1"/>
        <v>0.54710910540233582</v>
      </c>
      <c r="AH9743" s="2" t="str">
        <f ca="1"/>
        <v>Bad</v>
      </c>
    </row>
    <row r="9744" spans="2:34" x14ac:dyDescent="0.2">
      <c r="B9744" s="2">
        <f ca="1"/>
        <v>0.33368501154904995</v>
      </c>
      <c r="O9744" s="2">
        <f ca="1"/>
        <v>-0.20525069131210735</v>
      </c>
      <c r="X9744" s="2">
        <f ca="1"/>
        <v>64.158378141275122</v>
      </c>
      <c r="AG9744" s="2">
        <f ca="1"/>
        <v>0.53780447847542656</v>
      </c>
      <c r="AH9744" s="2" t="str">
        <f ca="1"/>
        <v>Bad</v>
      </c>
    </row>
    <row r="9745" spans="2:34" x14ac:dyDescent="0.2">
      <c r="B9745" s="2">
        <f ca="1"/>
        <v>0.64147823741774457</v>
      </c>
      <c r="O9745" s="2">
        <f ca="1"/>
        <v>-1.6003359486520143</v>
      </c>
      <c r="X9745" s="2">
        <f ca="1"/>
        <v>55.066193688420697</v>
      </c>
      <c r="AG9745" s="2">
        <f ca="1"/>
        <v>0.52180078908233729</v>
      </c>
      <c r="AH9745" s="2" t="str">
        <f ca="1"/>
        <v>Bad</v>
      </c>
    </row>
    <row r="9746" spans="2:34" x14ac:dyDescent="0.2">
      <c r="B9746" s="2">
        <f ca="1"/>
        <v>0.61361852076415735</v>
      </c>
      <c r="O9746" s="2">
        <f ca="1"/>
        <v>9.2920382418616748E-2</v>
      </c>
      <c r="X9746" s="2">
        <f ca="1"/>
        <v>43.133581427156955</v>
      </c>
      <c r="AG9746" s="2">
        <f ca="1"/>
        <v>0.98980224064990008</v>
      </c>
      <c r="AH9746" s="2" t="str">
        <f ca="1"/>
        <v>Bad</v>
      </c>
    </row>
    <row r="9747" spans="2:34" x14ac:dyDescent="0.2">
      <c r="B9747" s="2">
        <f ca="1"/>
        <v>0.30436243667082619</v>
      </c>
      <c r="O9747" s="2">
        <f ca="1"/>
        <v>1.038806627141948</v>
      </c>
      <c r="X9747" s="2">
        <f ca="1"/>
        <v>50.120680848161513</v>
      </c>
      <c r="AG9747" s="2">
        <f ca="1"/>
        <v>0.59192589319338951</v>
      </c>
      <c r="AH9747" s="2" t="str">
        <f ca="1"/>
        <v>Bad</v>
      </c>
    </row>
    <row r="9748" spans="2:34" x14ac:dyDescent="0.2">
      <c r="B9748" s="2">
        <f ca="1"/>
        <v>6.2754171639265888E-2</v>
      </c>
      <c r="O9748" s="2">
        <f ca="1"/>
        <v>9.6320938434692721E-2</v>
      </c>
      <c r="X9748" s="2">
        <f ca="1"/>
        <v>67.297038813564626</v>
      </c>
      <c r="AG9748" s="2">
        <f ca="1"/>
        <v>0.21904125339928293</v>
      </c>
      <c r="AH9748" s="2" t="str">
        <f ca="1"/>
        <v>OK</v>
      </c>
    </row>
    <row r="9749" spans="2:34" x14ac:dyDescent="0.2">
      <c r="B9749" s="2">
        <f ca="1"/>
        <v>0.93900326957397162</v>
      </c>
      <c r="O9749" s="2">
        <f ca="1"/>
        <v>3.201980915159341</v>
      </c>
      <c r="X9749" s="2">
        <f ca="1"/>
        <v>43.617837735399412</v>
      </c>
      <c r="AG9749" s="2">
        <f ca="1"/>
        <v>0.99220564376221732</v>
      </c>
      <c r="AH9749" s="2" t="str">
        <f ca="1"/>
        <v>Bad</v>
      </c>
    </row>
    <row r="9750" spans="2:34" x14ac:dyDescent="0.2">
      <c r="B9750" s="2">
        <f ca="1"/>
        <v>0.66607309232471512</v>
      </c>
      <c r="O9750" s="2">
        <f ca="1"/>
        <v>1.5119906337720135</v>
      </c>
      <c r="X9750" s="2">
        <f ca="1"/>
        <v>73.63745090767955</v>
      </c>
      <c r="AG9750" s="2">
        <f ca="1"/>
        <v>0.94668512692426465</v>
      </c>
      <c r="AH9750" s="2" t="str">
        <f ca="1"/>
        <v>Bad</v>
      </c>
    </row>
    <row r="9751" spans="2:34" x14ac:dyDescent="0.2">
      <c r="B9751" s="2">
        <f ca="1"/>
        <v>0.7862902648808392</v>
      </c>
      <c r="O9751" s="2">
        <f ca="1"/>
        <v>-1.6689717250584835</v>
      </c>
      <c r="X9751" s="2">
        <f ca="1"/>
        <v>54.596216847971483</v>
      </c>
      <c r="AG9751" s="2">
        <f ca="1"/>
        <v>0.44860561226003992</v>
      </c>
      <c r="AH9751" s="2" t="str">
        <f ca="1"/>
        <v>Bad</v>
      </c>
    </row>
    <row r="9752" spans="2:34" x14ac:dyDescent="0.2">
      <c r="B9752" s="2">
        <f ca="1"/>
        <v>0.24278879682683896</v>
      </c>
      <c r="O9752" s="2">
        <f ca="1"/>
        <v>1.1134974868213745</v>
      </c>
      <c r="X9752" s="2">
        <f ca="1"/>
        <v>71.451845402506152</v>
      </c>
      <c r="AG9752" s="2">
        <f ca="1"/>
        <v>7.9832171106404948E-2</v>
      </c>
      <c r="AH9752" s="2" t="str">
        <f ca="1"/>
        <v>OK</v>
      </c>
    </row>
    <row r="9753" spans="2:34" x14ac:dyDescent="0.2">
      <c r="B9753" s="2">
        <f ca="1"/>
        <v>0.63630661701690894</v>
      </c>
      <c r="O9753" s="2">
        <f ca="1"/>
        <v>-2.1936830088598596</v>
      </c>
      <c r="X9753" s="2">
        <f ca="1"/>
        <v>48.194986889060402</v>
      </c>
      <c r="AG9753" s="2">
        <f ca="1"/>
        <v>0.16534428993942552</v>
      </c>
      <c r="AH9753" s="2" t="str">
        <f ca="1"/>
        <v>OK</v>
      </c>
    </row>
    <row r="9754" spans="2:34" x14ac:dyDescent="0.2">
      <c r="B9754" s="2">
        <f ca="1"/>
        <v>0.86289653575196779</v>
      </c>
      <c r="O9754" s="2">
        <f ca="1"/>
        <v>0.20020613898013495</v>
      </c>
      <c r="X9754" s="2">
        <f ca="1"/>
        <v>40.300552423663454</v>
      </c>
      <c r="AG9754" s="2">
        <f ca="1"/>
        <v>0.77741117501608281</v>
      </c>
      <c r="AH9754" s="2" t="str">
        <f ca="1"/>
        <v>Bad</v>
      </c>
    </row>
    <row r="9755" spans="2:34" x14ac:dyDescent="0.2">
      <c r="B9755" s="2">
        <f ca="1"/>
        <v>0.63532823516798587</v>
      </c>
      <c r="O9755" s="2">
        <f ca="1"/>
        <v>0.46154130422292849</v>
      </c>
      <c r="X9755" s="2">
        <f ca="1"/>
        <v>31.464621952996868</v>
      </c>
      <c r="AG9755" s="2">
        <f ca="1"/>
        <v>0.48941753786719433</v>
      </c>
      <c r="AH9755" s="2" t="str">
        <f ca="1"/>
        <v>Bad</v>
      </c>
    </row>
    <row r="9756" spans="2:34" x14ac:dyDescent="0.2">
      <c r="B9756" s="2">
        <f ca="1"/>
        <v>0.54383854618454652</v>
      </c>
      <c r="O9756" s="2">
        <f ca="1"/>
        <v>0.41850406693716541</v>
      </c>
      <c r="X9756" s="2">
        <f ca="1"/>
        <v>72.294669552863539</v>
      </c>
      <c r="AG9756" s="2">
        <f ca="1"/>
        <v>0.91567977199265149</v>
      </c>
      <c r="AH9756" s="2" t="str">
        <f ca="1"/>
        <v>Bad</v>
      </c>
    </row>
    <row r="9757" spans="2:34" x14ac:dyDescent="0.2">
      <c r="B9757" s="2">
        <f ca="1"/>
        <v>0.57108732512968707</v>
      </c>
      <c r="O9757" s="2">
        <f ca="1"/>
        <v>0.79351687206591792</v>
      </c>
      <c r="X9757" s="2">
        <f ca="1"/>
        <v>81.30197553325857</v>
      </c>
      <c r="AG9757" s="2">
        <f ca="1"/>
        <v>9.0632057476189409E-2</v>
      </c>
      <c r="AH9757" s="2" t="str">
        <f ca="1"/>
        <v>OK</v>
      </c>
    </row>
    <row r="9758" spans="2:34" x14ac:dyDescent="0.2">
      <c r="B9758" s="2">
        <f ca="1"/>
        <v>0.50662836552008161</v>
      </c>
      <c r="O9758" s="2">
        <f ca="1"/>
        <v>0.43605921777521006</v>
      </c>
      <c r="X9758" s="2">
        <f ca="1"/>
        <v>40.652802154248974</v>
      </c>
      <c r="AG9758" s="2">
        <f ca="1"/>
        <v>4.1179971203013421E-2</v>
      </c>
      <c r="AH9758" s="2" t="str">
        <f ca="1"/>
        <v>Good</v>
      </c>
    </row>
    <row r="9759" spans="2:34" x14ac:dyDescent="0.2">
      <c r="B9759" s="2">
        <f ca="1"/>
        <v>0.99621789464745003</v>
      </c>
      <c r="O9759" s="2">
        <f ca="1"/>
        <v>1.5090348471044346</v>
      </c>
      <c r="X9759" s="2">
        <f ca="1"/>
        <v>63.654496240569394</v>
      </c>
      <c r="AG9759" s="2">
        <f ca="1"/>
        <v>0.32768143976598219</v>
      </c>
      <c r="AH9759" s="2" t="str">
        <f ca="1"/>
        <v>OK</v>
      </c>
    </row>
    <row r="9760" spans="2:34" x14ac:dyDescent="0.2">
      <c r="B9760" s="2">
        <f ca="1"/>
        <v>0.86308446492028179</v>
      </c>
      <c r="O9760" s="2">
        <f ca="1"/>
        <v>-1.8835964871115856</v>
      </c>
      <c r="X9760" s="2">
        <f ca="1"/>
        <v>27.263694591483979</v>
      </c>
      <c r="AG9760" s="2">
        <f ca="1"/>
        <v>0.34024684296605234</v>
      </c>
      <c r="AH9760" s="2" t="str">
        <f ca="1"/>
        <v>OK</v>
      </c>
    </row>
    <row r="9761" spans="2:34" x14ac:dyDescent="0.2">
      <c r="B9761" s="2">
        <f ca="1"/>
        <v>0.19408441527579878</v>
      </c>
      <c r="O9761" s="2">
        <f ca="1"/>
        <v>-1.396555561036275</v>
      </c>
      <c r="X9761" s="2">
        <f ca="1"/>
        <v>19.433806963893833</v>
      </c>
      <c r="AG9761" s="2">
        <f ca="1"/>
        <v>0.60262299675737285</v>
      </c>
      <c r="AH9761" s="2" t="str">
        <f ca="1"/>
        <v>Bad</v>
      </c>
    </row>
    <row r="9762" spans="2:34" x14ac:dyDescent="0.2">
      <c r="B9762" s="2">
        <f ca="1"/>
        <v>0.14949644590082878</v>
      </c>
      <c r="O9762" s="2">
        <f ca="1"/>
        <v>0.20649168376306254</v>
      </c>
      <c r="X9762" s="2">
        <f ca="1"/>
        <v>78.811615686893774</v>
      </c>
      <c r="AG9762" s="2">
        <f ca="1"/>
        <v>0.74555859585809547</v>
      </c>
      <c r="AH9762" s="2" t="str">
        <f ca="1"/>
        <v>Bad</v>
      </c>
    </row>
    <row r="9763" spans="2:34" x14ac:dyDescent="0.2">
      <c r="B9763" s="2">
        <f ca="1"/>
        <v>0.85702725921567025</v>
      </c>
      <c r="O9763" s="2">
        <f ca="1"/>
        <v>-0.55095707141355776</v>
      </c>
      <c r="X9763" s="2">
        <f ca="1"/>
        <v>27.815524842598553</v>
      </c>
      <c r="AG9763" s="2">
        <f ca="1"/>
        <v>0.40217186973451646</v>
      </c>
      <c r="AH9763" s="2" t="str">
        <f ca="1"/>
        <v>Bad</v>
      </c>
    </row>
    <row r="9764" spans="2:34" x14ac:dyDescent="0.2">
      <c r="B9764" s="2">
        <f ca="1"/>
        <v>0.90791824746365335</v>
      </c>
      <c r="O9764" s="2">
        <f ca="1"/>
        <v>0.90976252280009862</v>
      </c>
      <c r="X9764" s="2">
        <f ca="1"/>
        <v>32.1231415487484</v>
      </c>
      <c r="AG9764" s="2">
        <f ca="1"/>
        <v>0.79063509785318065</v>
      </c>
      <c r="AH9764" s="2" t="str">
        <f ca="1"/>
        <v>Bad</v>
      </c>
    </row>
    <row r="9765" spans="2:34" x14ac:dyDescent="0.2">
      <c r="B9765" s="2">
        <f ca="1"/>
        <v>0.51081094855063336</v>
      </c>
      <c r="O9765" s="2">
        <f ca="1"/>
        <v>0.21694500722869223</v>
      </c>
      <c r="X9765" s="2">
        <f ca="1"/>
        <v>78.577236008604643</v>
      </c>
      <c r="AG9765" s="2">
        <f ca="1"/>
        <v>0.15717781543681331</v>
      </c>
      <c r="AH9765" s="2" t="str">
        <f ca="1"/>
        <v>OK</v>
      </c>
    </row>
    <row r="9766" spans="2:34" x14ac:dyDescent="0.2">
      <c r="B9766" s="2">
        <f ca="1"/>
        <v>6.4537571122922799E-2</v>
      </c>
      <c r="O9766" s="2">
        <f ca="1"/>
        <v>0.14405542651389475</v>
      </c>
      <c r="X9766" s="2">
        <f ca="1"/>
        <v>24.834197079828776</v>
      </c>
      <c r="AG9766" s="2">
        <f ca="1"/>
        <v>0.11161870320078959</v>
      </c>
      <c r="AH9766" s="2" t="str">
        <f ca="1"/>
        <v>OK</v>
      </c>
    </row>
    <row r="9767" spans="2:34" x14ac:dyDescent="0.2">
      <c r="B9767" s="2">
        <f ca="1"/>
        <v>7.3033121492497299E-2</v>
      </c>
      <c r="O9767" s="2">
        <f ca="1"/>
        <v>-1.4943984021969134</v>
      </c>
      <c r="X9767" s="2">
        <f ca="1"/>
        <v>51.465713609559359</v>
      </c>
      <c r="AG9767" s="2">
        <f ca="1"/>
        <v>0.96958368057553046</v>
      </c>
      <c r="AH9767" s="2" t="str">
        <f ca="1"/>
        <v>Bad</v>
      </c>
    </row>
    <row r="9768" spans="2:34" x14ac:dyDescent="0.2">
      <c r="B9768" s="2">
        <f ca="1"/>
        <v>0.59690820276346179</v>
      </c>
      <c r="O9768" s="2">
        <f ca="1"/>
        <v>0.50148034076558412</v>
      </c>
      <c r="X9768" s="2">
        <f ca="1"/>
        <v>62.905933017339038</v>
      </c>
      <c r="AG9768" s="2">
        <f ca="1"/>
        <v>0.85944515662822085</v>
      </c>
      <c r="AH9768" s="2" t="str">
        <f ca="1"/>
        <v>Bad</v>
      </c>
    </row>
    <row r="9769" spans="2:34" x14ac:dyDescent="0.2">
      <c r="B9769" s="2">
        <f ca="1"/>
        <v>0.73824623009901602</v>
      </c>
      <c r="O9769" s="2">
        <f ca="1"/>
        <v>-0.36300079450350264</v>
      </c>
      <c r="X9769" s="2">
        <f ca="1"/>
        <v>56.39262268315661</v>
      </c>
      <c r="AG9769" s="2">
        <f ca="1"/>
        <v>0.49375033062163332</v>
      </c>
      <c r="AH9769" s="2" t="str">
        <f ca="1"/>
        <v>Bad</v>
      </c>
    </row>
    <row r="9770" spans="2:34" x14ac:dyDescent="0.2">
      <c r="B9770" s="2">
        <f ca="1"/>
        <v>0.83670072725375744</v>
      </c>
      <c r="O9770" s="2">
        <f ca="1"/>
        <v>-1.0909885395653469</v>
      </c>
      <c r="X9770" s="2">
        <f ca="1"/>
        <v>46.294176712395654</v>
      </c>
      <c r="AG9770" s="2">
        <f ca="1"/>
        <v>0.26441616096792253</v>
      </c>
      <c r="AH9770" s="2" t="str">
        <f ca="1"/>
        <v>OK</v>
      </c>
    </row>
    <row r="9771" spans="2:34" x14ac:dyDescent="0.2">
      <c r="B9771" s="2">
        <f ca="1"/>
        <v>0.61271770820420302</v>
      </c>
      <c r="O9771" s="2">
        <f ca="1"/>
        <v>-0.46403007083449704</v>
      </c>
      <c r="X9771" s="2">
        <f ca="1"/>
        <v>38.532759653012675</v>
      </c>
      <c r="AG9771" s="2">
        <f ca="1"/>
        <v>0.88228773771815505</v>
      </c>
      <c r="AH9771" s="2" t="str">
        <f ca="1"/>
        <v>Bad</v>
      </c>
    </row>
    <row r="9772" spans="2:34" x14ac:dyDescent="0.2">
      <c r="B9772" s="2">
        <f ca="1"/>
        <v>0.82949522148442933</v>
      </c>
      <c r="O9772" s="2">
        <f ca="1"/>
        <v>-1.0507971419052935</v>
      </c>
      <c r="X9772" s="2">
        <f ca="1"/>
        <v>87.516754080657094</v>
      </c>
      <c r="AG9772" s="2">
        <f ca="1"/>
        <v>0.54828702350242753</v>
      </c>
      <c r="AH9772" s="2" t="str">
        <f ca="1"/>
        <v>Bad</v>
      </c>
    </row>
    <row r="9773" spans="2:34" x14ac:dyDescent="0.2">
      <c r="B9773" s="2">
        <f ca="1"/>
        <v>0.22819111232596501</v>
      </c>
      <c r="O9773" s="2">
        <f ca="1"/>
        <v>-0.49789535034183202</v>
      </c>
      <c r="X9773" s="2">
        <f ca="1"/>
        <v>20.926735516030874</v>
      </c>
      <c r="AG9773" s="2">
        <f ca="1"/>
        <v>2.8425655308864206E-2</v>
      </c>
      <c r="AH9773" s="2" t="str">
        <f ca="1"/>
        <v>Good</v>
      </c>
    </row>
    <row r="9774" spans="2:34" x14ac:dyDescent="0.2">
      <c r="B9774" s="2">
        <f ca="1"/>
        <v>0.63714701247579741</v>
      </c>
      <c r="O9774" s="2">
        <f ca="1"/>
        <v>0.69549081586808448</v>
      </c>
      <c r="X9774" s="2">
        <f ca="1"/>
        <v>50.58698656212583</v>
      </c>
      <c r="AG9774" s="2">
        <f ca="1"/>
        <v>0.54179101668021068</v>
      </c>
      <c r="AH9774" s="2" t="str">
        <f ca="1"/>
        <v>Bad</v>
      </c>
    </row>
    <row r="9775" spans="2:34" x14ac:dyDescent="0.2">
      <c r="B9775" s="2">
        <f ca="1"/>
        <v>0.13100370022119368</v>
      </c>
      <c r="O9775" s="2">
        <f ca="1"/>
        <v>-0.50468229557746536</v>
      </c>
      <c r="X9775" s="2">
        <f ca="1"/>
        <v>31.950643662276278</v>
      </c>
      <c r="AG9775" s="2">
        <f ca="1"/>
        <v>0.13460662718765648</v>
      </c>
      <c r="AH9775" s="2" t="str">
        <f ca="1"/>
        <v>OK</v>
      </c>
    </row>
    <row r="9776" spans="2:34" x14ac:dyDescent="0.2">
      <c r="B9776" s="2">
        <f ca="1"/>
        <v>0.61166464696034528</v>
      </c>
      <c r="O9776" s="2">
        <f ca="1"/>
        <v>1.4566089181755819</v>
      </c>
      <c r="X9776" s="2">
        <f ca="1"/>
        <v>46.239478188583362</v>
      </c>
      <c r="AG9776" s="2">
        <f ca="1"/>
        <v>0.35085990526669231</v>
      </c>
      <c r="AH9776" s="2" t="str">
        <f ca="1"/>
        <v>OK</v>
      </c>
    </row>
    <row r="9777" spans="2:34" x14ac:dyDescent="0.2">
      <c r="B9777" s="2">
        <f ca="1"/>
        <v>0.43914099980032772</v>
      </c>
      <c r="O9777" s="2">
        <f ca="1"/>
        <v>0.16730043445429746</v>
      </c>
      <c r="X9777" s="2">
        <f ca="1"/>
        <v>65.6113832247364</v>
      </c>
      <c r="AG9777" s="2">
        <f ca="1"/>
        <v>0.29327728705111733</v>
      </c>
      <c r="AH9777" s="2" t="str">
        <f ca="1"/>
        <v>OK</v>
      </c>
    </row>
    <row r="9778" spans="2:34" x14ac:dyDescent="0.2">
      <c r="B9778" s="2">
        <f ca="1"/>
        <v>0.50746451066429832</v>
      </c>
      <c r="O9778" s="2">
        <f ca="1"/>
        <v>-0.15231183448931901</v>
      </c>
      <c r="X9778" s="2">
        <f ca="1"/>
        <v>31.424069329474527</v>
      </c>
      <c r="AG9778" s="2">
        <f ca="1"/>
        <v>0.64270128474433497</v>
      </c>
      <c r="AH9778" s="2" t="str">
        <f ca="1"/>
        <v>Bad</v>
      </c>
    </row>
    <row r="9779" spans="2:34" x14ac:dyDescent="0.2">
      <c r="B9779" s="2">
        <f ca="1"/>
        <v>0.88653208425976726</v>
      </c>
      <c r="O9779" s="2">
        <f ca="1"/>
        <v>2.1714481649390518E-2</v>
      </c>
      <c r="X9779" s="2">
        <f ca="1"/>
        <v>45.224703861483107</v>
      </c>
      <c r="AG9779" s="2">
        <f ca="1"/>
        <v>0.63228648884182825</v>
      </c>
      <c r="AH9779" s="2" t="str">
        <f ca="1"/>
        <v>Bad</v>
      </c>
    </row>
    <row r="9780" spans="2:34" x14ac:dyDescent="0.2">
      <c r="B9780" s="2">
        <f ca="1"/>
        <v>0.56797211480282406</v>
      </c>
      <c r="O9780" s="2">
        <f ca="1"/>
        <v>0.66563118329038129</v>
      </c>
      <c r="X9780" s="2">
        <f ca="1"/>
        <v>78.177962556402306</v>
      </c>
      <c r="AG9780" s="2">
        <f ca="1"/>
        <v>0.77892393986144093</v>
      </c>
      <c r="AH9780" s="2" t="str">
        <f ca="1"/>
        <v>Bad</v>
      </c>
    </row>
    <row r="9781" spans="2:34" x14ac:dyDescent="0.2">
      <c r="B9781" s="2">
        <f ca="1"/>
        <v>0.42880511252597131</v>
      </c>
      <c r="O9781" s="2">
        <f ca="1"/>
        <v>-1.7620270543964403</v>
      </c>
      <c r="X9781" s="2">
        <f ca="1"/>
        <v>77.39735391945166</v>
      </c>
      <c r="AG9781" s="2">
        <f ca="1"/>
        <v>0.13256454167100507</v>
      </c>
      <c r="AH9781" s="2" t="str">
        <f ca="1"/>
        <v>OK</v>
      </c>
    </row>
    <row r="9782" spans="2:34" x14ac:dyDescent="0.2">
      <c r="B9782" s="2">
        <f ca="1"/>
        <v>0.72262093376400838</v>
      </c>
      <c r="O9782" s="2">
        <f ca="1"/>
        <v>-0.15172892359368326</v>
      </c>
      <c r="X9782" s="2">
        <f ca="1"/>
        <v>27.583223109020452</v>
      </c>
      <c r="AG9782" s="2">
        <f ca="1"/>
        <v>0.44319642464932296</v>
      </c>
      <c r="AH9782" s="2" t="str">
        <f ca="1"/>
        <v>Bad</v>
      </c>
    </row>
    <row r="9783" spans="2:34" x14ac:dyDescent="0.2">
      <c r="B9783" s="2">
        <f ca="1"/>
        <v>0.33195160627819109</v>
      </c>
      <c r="O9783" s="2">
        <f ca="1"/>
        <v>-0.91107881855943373</v>
      </c>
      <c r="X9783" s="2">
        <f ca="1"/>
        <v>64.432211951886785</v>
      </c>
      <c r="AG9783" s="2">
        <f ca="1"/>
        <v>0.39435544669749834</v>
      </c>
      <c r="AH9783" s="2" t="str">
        <f ca="1"/>
        <v>OK</v>
      </c>
    </row>
    <row r="9784" spans="2:34" x14ac:dyDescent="0.2">
      <c r="B9784" s="2">
        <f ca="1"/>
        <v>6.0518528388285642E-2</v>
      </c>
      <c r="O9784" s="2">
        <f ca="1"/>
        <v>1.3595226546111743</v>
      </c>
      <c r="X9784" s="2">
        <f ca="1"/>
        <v>42.650747973954985</v>
      </c>
      <c r="AG9784" s="2">
        <f ca="1"/>
        <v>3.0803569935897057E-2</v>
      </c>
      <c r="AH9784" s="2" t="str">
        <f ca="1"/>
        <v>Good</v>
      </c>
    </row>
    <row r="9785" spans="2:34" x14ac:dyDescent="0.2">
      <c r="B9785" s="2">
        <f ca="1"/>
        <v>0.26210112751439962</v>
      </c>
      <c r="O9785" s="2">
        <f ca="1"/>
        <v>1.0411040773937166</v>
      </c>
      <c r="X9785" s="2">
        <f ca="1"/>
        <v>72.731966123180271</v>
      </c>
      <c r="AG9785" s="2">
        <f ca="1"/>
        <v>0.12683061501052073</v>
      </c>
      <c r="AH9785" s="2" t="str">
        <f ca="1"/>
        <v>OK</v>
      </c>
    </row>
    <row r="9786" spans="2:34" x14ac:dyDescent="0.2">
      <c r="B9786" s="2">
        <f ca="1"/>
        <v>0.25597534125153731</v>
      </c>
      <c r="O9786" s="2">
        <f ca="1"/>
        <v>0.42645392443625363</v>
      </c>
      <c r="X9786" s="2">
        <f ca="1"/>
        <v>98.219072737180895</v>
      </c>
      <c r="AG9786" s="2">
        <f ca="1"/>
        <v>4.3083171277932708E-2</v>
      </c>
      <c r="AH9786" s="2" t="str">
        <f ca="1"/>
        <v>Good</v>
      </c>
    </row>
    <row r="9787" spans="2:34" x14ac:dyDescent="0.2">
      <c r="B9787" s="2">
        <f ca="1"/>
        <v>0.1551113159380324</v>
      </c>
      <c r="O9787" s="2">
        <f ca="1"/>
        <v>0.34638535213106741</v>
      </c>
      <c r="X9787" s="2">
        <f ca="1"/>
        <v>32.50216344902384</v>
      </c>
      <c r="AG9787" s="2">
        <f ca="1"/>
        <v>0.67667236311436696</v>
      </c>
      <c r="AH9787" s="2" t="str">
        <f ca="1"/>
        <v>Bad</v>
      </c>
    </row>
    <row r="9788" spans="2:34" x14ac:dyDescent="0.2">
      <c r="B9788" s="2">
        <f ca="1"/>
        <v>0.5590197898961915</v>
      </c>
      <c r="O9788" s="2">
        <f ca="1"/>
        <v>0.33984499229075332</v>
      </c>
      <c r="X9788" s="2">
        <f ca="1"/>
        <v>43.201603520891453</v>
      </c>
      <c r="AG9788" s="2">
        <f ca="1"/>
        <v>0.20941508735616288</v>
      </c>
      <c r="AH9788" s="2" t="str">
        <f ca="1"/>
        <v>OK</v>
      </c>
    </row>
    <row r="9789" spans="2:34" x14ac:dyDescent="0.2">
      <c r="B9789" s="2">
        <f ca="1"/>
        <v>0.80024932786564418</v>
      </c>
      <c r="O9789" s="2">
        <f ca="1"/>
        <v>1.1042839612065194</v>
      </c>
      <c r="X9789" s="2">
        <f ca="1"/>
        <v>43.698009303067231</v>
      </c>
      <c r="AG9789" s="2">
        <f ca="1"/>
        <v>0.60556616533385865</v>
      </c>
      <c r="AH9789" s="2" t="str">
        <f ca="1"/>
        <v>Bad</v>
      </c>
    </row>
    <row r="9790" spans="2:34" x14ac:dyDescent="0.2">
      <c r="B9790" s="2">
        <f ca="1"/>
        <v>0.7246067391993547</v>
      </c>
      <c r="O9790" s="2">
        <f ca="1"/>
        <v>0.53669073734639716</v>
      </c>
      <c r="X9790" s="2">
        <f ca="1"/>
        <v>49.808293271885027</v>
      </c>
      <c r="AG9790" s="2">
        <f ca="1"/>
        <v>2.6579551471164642E-2</v>
      </c>
      <c r="AH9790" s="2" t="str">
        <f ca="1"/>
        <v>Good</v>
      </c>
    </row>
    <row r="9791" spans="2:34" x14ac:dyDescent="0.2">
      <c r="B9791" s="2">
        <f ca="1"/>
        <v>3.5572222056803104E-2</v>
      </c>
      <c r="O9791" s="2">
        <f ca="1"/>
        <v>0.21560391816670851</v>
      </c>
      <c r="X9791" s="2">
        <f ca="1"/>
        <v>35.569661657917059</v>
      </c>
      <c r="AG9791" s="2">
        <f ca="1"/>
        <v>0.79728912804005603</v>
      </c>
      <c r="AH9791" s="2" t="str">
        <f ca="1"/>
        <v>Bad</v>
      </c>
    </row>
    <row r="9792" spans="2:34" x14ac:dyDescent="0.2">
      <c r="B9792" s="2">
        <f ca="1"/>
        <v>0.62776975223260179</v>
      </c>
      <c r="O9792" s="2">
        <f ca="1"/>
        <v>-1.1675015159115365</v>
      </c>
      <c r="X9792" s="2">
        <f ca="1"/>
        <v>31.224552232366726</v>
      </c>
      <c r="AG9792" s="2">
        <f ca="1"/>
        <v>0.65929989096858321</v>
      </c>
      <c r="AH9792" s="2" t="str">
        <f ca="1"/>
        <v>Bad</v>
      </c>
    </row>
    <row r="9793" spans="2:34" x14ac:dyDescent="0.2">
      <c r="B9793" s="2">
        <f ca="1"/>
        <v>0.69431573756478504</v>
      </c>
      <c r="O9793" s="2">
        <f ca="1"/>
        <v>8.5162353425148232E-2</v>
      </c>
      <c r="X9793" s="2">
        <f ca="1"/>
        <v>47.243856165274146</v>
      </c>
      <c r="AG9793" s="2">
        <f ca="1"/>
        <v>0.55913323138173254</v>
      </c>
      <c r="AH9793" s="2" t="str">
        <f ca="1"/>
        <v>Bad</v>
      </c>
    </row>
    <row r="9794" spans="2:34" x14ac:dyDescent="0.2">
      <c r="B9794" s="2">
        <f ca="1"/>
        <v>0.2954658060525619</v>
      </c>
      <c r="O9794" s="2">
        <f ca="1"/>
        <v>0.27752670349097924</v>
      </c>
      <c r="X9794" s="2">
        <f ca="1"/>
        <v>31.125639652155805</v>
      </c>
      <c r="AG9794" s="2">
        <f ca="1"/>
        <v>0.520918428182366</v>
      </c>
      <c r="AH9794" s="2" t="str">
        <f ca="1"/>
        <v>Bad</v>
      </c>
    </row>
    <row r="9795" spans="2:34" x14ac:dyDescent="0.2">
      <c r="B9795" s="2">
        <f ca="1"/>
        <v>0.29131291520281688</v>
      </c>
      <c r="O9795" s="2">
        <f ca="1"/>
        <v>-0.33004593766999712</v>
      </c>
      <c r="X9795" s="2">
        <f ca="1"/>
        <v>63.284467004658005</v>
      </c>
      <c r="AG9795" s="2">
        <f ca="1"/>
        <v>0.41115388346539694</v>
      </c>
      <c r="AH9795" s="2" t="str">
        <f ca="1"/>
        <v>Bad</v>
      </c>
    </row>
    <row r="9796" spans="2:34" x14ac:dyDescent="0.2">
      <c r="B9796" s="2">
        <f ca="1"/>
        <v>0.76172691866304842</v>
      </c>
      <c r="O9796" s="2">
        <f ca="1"/>
        <v>-2.5550093026632723</v>
      </c>
      <c r="X9796" s="2">
        <f ca="1"/>
        <v>48.154552894805384</v>
      </c>
      <c r="AG9796" s="2">
        <f ca="1"/>
        <v>0.37233748608303685</v>
      </c>
      <c r="AH9796" s="2" t="str">
        <f ca="1"/>
        <v>OK</v>
      </c>
    </row>
    <row r="9797" spans="2:34" x14ac:dyDescent="0.2">
      <c r="B9797" s="2">
        <f ca="1"/>
        <v>0.62880432996584412</v>
      </c>
      <c r="O9797" s="2">
        <f ca="1"/>
        <v>0.37251301785752211</v>
      </c>
      <c r="X9797" s="2">
        <f ca="1"/>
        <v>34.266247529684257</v>
      </c>
      <c r="AG9797" s="2">
        <f ca="1"/>
        <v>0.18089068996431279</v>
      </c>
      <c r="AH9797" s="2" t="str">
        <f ca="1"/>
        <v>OK</v>
      </c>
    </row>
    <row r="9798" spans="2:34" x14ac:dyDescent="0.2">
      <c r="B9798" s="2">
        <f ca="1"/>
        <v>0.17790256701581852</v>
      </c>
      <c r="O9798" s="2">
        <f ca="1"/>
        <v>-1.1655761148599236E-2</v>
      </c>
      <c r="X9798" s="2">
        <f ca="1"/>
        <v>46.764723033623866</v>
      </c>
      <c r="AG9798" s="2">
        <f ca="1"/>
        <v>0.6912539552807111</v>
      </c>
      <c r="AH9798" s="2" t="str">
        <f ca="1"/>
        <v>Bad</v>
      </c>
    </row>
    <row r="9799" spans="2:34" x14ac:dyDescent="0.2">
      <c r="B9799" s="2">
        <f ca="1"/>
        <v>5.2085357749880545E-2</v>
      </c>
      <c r="O9799" s="2">
        <f ca="1"/>
        <v>2.7513501477304497E-2</v>
      </c>
      <c r="X9799" s="2">
        <f ca="1"/>
        <v>35.298279515786028</v>
      </c>
      <c r="AG9799" s="2">
        <f ca="1"/>
        <v>0.19588343051068313</v>
      </c>
      <c r="AH9799" s="2" t="str">
        <f ca="1"/>
        <v>OK</v>
      </c>
    </row>
    <row r="9800" spans="2:34" x14ac:dyDescent="0.2">
      <c r="B9800" s="2">
        <f ca="1"/>
        <v>0.80888024290219285</v>
      </c>
      <c r="O9800" s="2">
        <f ca="1"/>
        <v>0.99197837213522377</v>
      </c>
      <c r="X9800" s="2">
        <f ca="1"/>
        <v>62.150031755007468</v>
      </c>
      <c r="AG9800" s="2">
        <f ca="1"/>
        <v>0.75363777429749357</v>
      </c>
      <c r="AH9800" s="2" t="str">
        <f ca="1"/>
        <v>Bad</v>
      </c>
    </row>
    <row r="9801" spans="2:34" x14ac:dyDescent="0.2">
      <c r="B9801" s="2">
        <f ca="1"/>
        <v>6.7483551040514955E-2</v>
      </c>
      <c r="O9801" s="2">
        <f ca="1"/>
        <v>1.1275279209638027</v>
      </c>
      <c r="X9801" s="2">
        <f ca="1"/>
        <v>32.796885431484363</v>
      </c>
      <c r="AG9801" s="2">
        <f ca="1"/>
        <v>0.70260506627501851</v>
      </c>
      <c r="AH9801" s="2" t="str">
        <f ca="1"/>
        <v>Bad</v>
      </c>
    </row>
    <row r="9802" spans="2:34" x14ac:dyDescent="0.2">
      <c r="B9802" s="2">
        <f ca="1"/>
        <v>0.47372426084308983</v>
      </c>
      <c r="O9802" s="2">
        <f ca="1"/>
        <v>0.5309595633437294</v>
      </c>
      <c r="X9802" s="2">
        <f ca="1"/>
        <v>52.991662648228512</v>
      </c>
      <c r="AG9802" s="2">
        <f ca="1"/>
        <v>0.18491818352740697</v>
      </c>
      <c r="AH9802" s="2" t="str">
        <f ca="1"/>
        <v>OK</v>
      </c>
    </row>
    <row r="9803" spans="2:34" x14ac:dyDescent="0.2">
      <c r="B9803" s="2">
        <f ca="1"/>
        <v>0.52064323195955375</v>
      </c>
      <c r="O9803" s="2">
        <f ca="1"/>
        <v>-2.4176395304183877</v>
      </c>
      <c r="X9803" s="2">
        <f ca="1"/>
        <v>47.380716853961708</v>
      </c>
      <c r="AG9803" s="2">
        <f ca="1"/>
        <v>0.62854603203376302</v>
      </c>
      <c r="AH9803" s="2" t="str">
        <f ca="1"/>
        <v>Bad</v>
      </c>
    </row>
    <row r="9804" spans="2:34" x14ac:dyDescent="0.2">
      <c r="B9804" s="2">
        <f ca="1"/>
        <v>0.10861222836818052</v>
      </c>
      <c r="O9804" s="2">
        <f ca="1"/>
        <v>-0.19661056616266112</v>
      </c>
      <c r="X9804" s="2">
        <f ca="1"/>
        <v>54.375690916308287</v>
      </c>
      <c r="AG9804" s="2">
        <f ca="1"/>
        <v>0.22304598331694403</v>
      </c>
      <c r="AH9804" s="2" t="str">
        <f ca="1"/>
        <v>OK</v>
      </c>
    </row>
    <row r="9805" spans="2:34" x14ac:dyDescent="0.2">
      <c r="B9805" s="2">
        <f ca="1"/>
        <v>0.68946537529502194</v>
      </c>
      <c r="O9805" s="2">
        <f ca="1"/>
        <v>-1.4865095806615032</v>
      </c>
      <c r="X9805" s="2">
        <f ca="1"/>
        <v>39.524512380952295</v>
      </c>
      <c r="AG9805" s="2">
        <f ca="1"/>
        <v>0.83829672531170507</v>
      </c>
      <c r="AH9805" s="2" t="str">
        <f ca="1"/>
        <v>Bad</v>
      </c>
    </row>
    <row r="9806" spans="2:34" x14ac:dyDescent="0.2">
      <c r="B9806" s="2">
        <f ca="1"/>
        <v>6.2599394643956696E-2</v>
      </c>
      <c r="O9806" s="2">
        <f ca="1"/>
        <v>0.69595803775744236</v>
      </c>
      <c r="X9806" s="2">
        <f ca="1"/>
        <v>68.372013861148119</v>
      </c>
      <c r="AG9806" s="2">
        <f ca="1"/>
        <v>0.54994649587237143</v>
      </c>
      <c r="AH9806" s="2" t="str">
        <f ca="1"/>
        <v>Bad</v>
      </c>
    </row>
    <row r="9807" spans="2:34" x14ac:dyDescent="0.2">
      <c r="B9807" s="2">
        <f ca="1"/>
        <v>0.79913200363752868</v>
      </c>
      <c r="O9807" s="2">
        <f ca="1"/>
        <v>-0.65859044574775616</v>
      </c>
      <c r="X9807" s="2">
        <f ca="1"/>
        <v>30.21304652433626</v>
      </c>
      <c r="AG9807" s="2">
        <f ca="1"/>
        <v>0.50465874088893292</v>
      </c>
      <c r="AH9807" s="2" t="str">
        <f ca="1"/>
        <v>Bad</v>
      </c>
    </row>
    <row r="9808" spans="2:34" x14ac:dyDescent="0.2">
      <c r="B9808" s="2">
        <f ca="1"/>
        <v>7.9473563613891685E-2</v>
      </c>
      <c r="O9808" s="2">
        <f ca="1"/>
        <v>0.10763152242959577</v>
      </c>
      <c r="X9808" s="2">
        <f ca="1"/>
        <v>38.242645614414158</v>
      </c>
      <c r="AG9808" s="2">
        <f ca="1"/>
        <v>0.32959244045391944</v>
      </c>
      <c r="AH9808" s="2" t="str">
        <f ca="1"/>
        <v>OK</v>
      </c>
    </row>
    <row r="9809" spans="2:34" x14ac:dyDescent="0.2">
      <c r="B9809" s="2">
        <f ca="1"/>
        <v>0.98729873933372936</v>
      </c>
      <c r="O9809" s="2">
        <f ca="1"/>
        <v>-0.52421560202189332</v>
      </c>
      <c r="X9809" s="2">
        <f ca="1"/>
        <v>39.673862700849497</v>
      </c>
      <c r="AG9809" s="2">
        <f ca="1"/>
        <v>0.78441062939466732</v>
      </c>
      <c r="AH9809" s="2" t="str">
        <f ca="1"/>
        <v>Bad</v>
      </c>
    </row>
    <row r="9810" spans="2:34" x14ac:dyDescent="0.2">
      <c r="B9810" s="2">
        <f ca="1"/>
        <v>8.5201185663198897E-2</v>
      </c>
      <c r="O9810" s="2">
        <f ca="1"/>
        <v>-0.89651801311081991</v>
      </c>
      <c r="X9810" s="2">
        <f ca="1"/>
        <v>62.891968169601746</v>
      </c>
      <c r="AG9810" s="2">
        <f ca="1"/>
        <v>3.5520396968957479E-2</v>
      </c>
      <c r="AH9810" s="2" t="str">
        <f ca="1"/>
        <v>Good</v>
      </c>
    </row>
    <row r="9811" spans="2:34" x14ac:dyDescent="0.2">
      <c r="B9811" s="2">
        <f ca="1"/>
        <v>0.88641172471042107</v>
      </c>
      <c r="O9811" s="2">
        <f ca="1"/>
        <v>0.309015136000584</v>
      </c>
      <c r="X9811" s="2">
        <f ca="1"/>
        <v>27.562402215945117</v>
      </c>
      <c r="AG9811" s="2">
        <f ca="1"/>
        <v>0.94522356166606891</v>
      </c>
      <c r="AH9811" s="2" t="str">
        <f ca="1"/>
        <v>Bad</v>
      </c>
    </row>
    <row r="9812" spans="2:34" x14ac:dyDescent="0.2">
      <c r="B9812" s="2">
        <f ca="1"/>
        <v>0.26290575530590221</v>
      </c>
      <c r="O9812" s="2">
        <f ca="1"/>
        <v>-1.4587993985983572</v>
      </c>
      <c r="X9812" s="2">
        <f ca="1"/>
        <v>52.187042067615124</v>
      </c>
      <c r="AG9812" s="2">
        <f ca="1"/>
        <v>5.7739547325786011E-2</v>
      </c>
      <c r="AH9812" s="2" t="str">
        <f ca="1"/>
        <v>OK</v>
      </c>
    </row>
    <row r="9813" spans="2:34" x14ac:dyDescent="0.2">
      <c r="B9813" s="2">
        <f ca="1"/>
        <v>0.56235419872020787</v>
      </c>
      <c r="O9813" s="2">
        <f ca="1"/>
        <v>-0.13266688814253583</v>
      </c>
      <c r="X9813" s="2">
        <f ca="1"/>
        <v>35.393083679138478</v>
      </c>
      <c r="AG9813" s="2">
        <f ca="1"/>
        <v>0.93775093623056716</v>
      </c>
      <c r="AH9813" s="2" t="str">
        <f ca="1"/>
        <v>Bad</v>
      </c>
    </row>
    <row r="9814" spans="2:34" x14ac:dyDescent="0.2">
      <c r="B9814" s="2">
        <f ca="1"/>
        <v>0.94616355627938264</v>
      </c>
      <c r="O9814" s="2">
        <f ca="1"/>
        <v>-0.16699702804381172</v>
      </c>
      <c r="X9814" s="2">
        <f ca="1"/>
        <v>28.599951807280735</v>
      </c>
      <c r="AG9814" s="2">
        <f ca="1"/>
        <v>0.57788603469049415</v>
      </c>
      <c r="AH9814" s="2" t="str">
        <f ca="1"/>
        <v>Bad</v>
      </c>
    </row>
    <row r="9815" spans="2:34" x14ac:dyDescent="0.2">
      <c r="B9815" s="2">
        <f ca="1"/>
        <v>6.1095557794575539E-2</v>
      </c>
      <c r="O9815" s="2">
        <f ca="1"/>
        <v>1.0679600496636197</v>
      </c>
      <c r="X9815" s="2">
        <f ca="1"/>
        <v>47.121721283094288</v>
      </c>
      <c r="AG9815" s="2">
        <f ca="1"/>
        <v>2.3562999982792876E-2</v>
      </c>
      <c r="AH9815" s="2" t="str">
        <f ca="1"/>
        <v>Good</v>
      </c>
    </row>
    <row r="9816" spans="2:34" x14ac:dyDescent="0.2">
      <c r="B9816" s="2">
        <f ca="1"/>
        <v>0.21636838621499943</v>
      </c>
      <c r="O9816" s="2">
        <f ca="1"/>
        <v>-1.3065293260036688</v>
      </c>
      <c r="X9816" s="2">
        <f ca="1"/>
        <v>68.690956381624574</v>
      </c>
      <c r="AG9816" s="2">
        <f ca="1"/>
        <v>0.39860998779591017</v>
      </c>
      <c r="AH9816" s="2" t="str">
        <f ca="1"/>
        <v>OK</v>
      </c>
    </row>
    <row r="9817" spans="2:34" x14ac:dyDescent="0.2">
      <c r="B9817" s="2">
        <f ca="1"/>
        <v>9.5725154697571258E-2</v>
      </c>
      <c r="O9817" s="2">
        <f ca="1"/>
        <v>0.56558588775604746</v>
      </c>
      <c r="X9817" s="2">
        <f ca="1"/>
        <v>46.601315997019597</v>
      </c>
      <c r="AG9817" s="2">
        <f ca="1"/>
        <v>0.91981324454660318</v>
      </c>
      <c r="AH9817" s="2" t="str">
        <f ca="1"/>
        <v>Bad</v>
      </c>
    </row>
    <row r="9818" spans="2:34" x14ac:dyDescent="0.2">
      <c r="B9818" s="2">
        <f ca="1"/>
        <v>0.21871145458652252</v>
      </c>
      <c r="O9818" s="2">
        <f ca="1"/>
        <v>-1.1141683727138141</v>
      </c>
      <c r="X9818" s="2">
        <f ca="1"/>
        <v>44.706211075067657</v>
      </c>
      <c r="AG9818" s="2">
        <f ca="1"/>
        <v>0.99684111394315145</v>
      </c>
      <c r="AH9818" s="2" t="str">
        <f ca="1"/>
        <v>Bad</v>
      </c>
    </row>
    <row r="9819" spans="2:34" x14ac:dyDescent="0.2">
      <c r="B9819" s="2">
        <f ca="1"/>
        <v>0.93821815393959573</v>
      </c>
      <c r="O9819" s="2">
        <f ca="1"/>
        <v>-0.48653301893367201</v>
      </c>
      <c r="X9819" s="2">
        <f ca="1"/>
        <v>48.462332655582792</v>
      </c>
      <c r="AG9819" s="2">
        <f ca="1"/>
        <v>0.43717908881953371</v>
      </c>
      <c r="AH9819" s="2" t="str">
        <f ca="1"/>
        <v>Bad</v>
      </c>
    </row>
    <row r="9820" spans="2:34" x14ac:dyDescent="0.2">
      <c r="B9820" s="2">
        <f ca="1"/>
        <v>0.88236193594311163</v>
      </c>
      <c r="O9820" s="2">
        <f ca="1"/>
        <v>-0.74966511033039107</v>
      </c>
      <c r="X9820" s="2">
        <f ca="1"/>
        <v>107.59312783264947</v>
      </c>
      <c r="AG9820" s="2">
        <f ca="1"/>
        <v>0.16123878687601056</v>
      </c>
      <c r="AH9820" s="2" t="str">
        <f ca="1"/>
        <v>OK</v>
      </c>
    </row>
    <row r="9821" spans="2:34" x14ac:dyDescent="0.2">
      <c r="B9821" s="2">
        <f ca="1"/>
        <v>0.873990657081954</v>
      </c>
      <c r="O9821" s="2">
        <f ca="1"/>
        <v>-0.98834275612935318</v>
      </c>
      <c r="X9821" s="2">
        <f ca="1"/>
        <v>68.220011180572129</v>
      </c>
      <c r="AG9821" s="2">
        <f ca="1"/>
        <v>0.24743707885289656</v>
      </c>
      <c r="AH9821" s="2" t="str">
        <f ca="1"/>
        <v>OK</v>
      </c>
    </row>
    <row r="9822" spans="2:34" x14ac:dyDescent="0.2">
      <c r="B9822" s="2">
        <f ca="1"/>
        <v>0.1235960705143655</v>
      </c>
      <c r="O9822" s="2">
        <f ca="1"/>
        <v>1.5551978435211151</v>
      </c>
      <c r="X9822" s="2">
        <f ca="1"/>
        <v>52.284095731317002</v>
      </c>
      <c r="AG9822" s="2">
        <f ca="1"/>
        <v>0.58987018594566942</v>
      </c>
      <c r="AH9822" s="2" t="str">
        <f ca="1"/>
        <v>Bad</v>
      </c>
    </row>
    <row r="9823" spans="2:34" x14ac:dyDescent="0.2">
      <c r="B9823" s="2">
        <f ca="1"/>
        <v>0.23651218050662748</v>
      </c>
      <c r="O9823" s="2">
        <f ca="1"/>
        <v>-1.6618083267208172</v>
      </c>
      <c r="X9823" s="2">
        <f ca="1"/>
        <v>35.697697950687648</v>
      </c>
      <c r="AG9823" s="2">
        <f ca="1"/>
        <v>0.83408293744452244</v>
      </c>
      <c r="AH9823" s="2" t="str">
        <f ca="1"/>
        <v>Bad</v>
      </c>
    </row>
    <row r="9824" spans="2:34" x14ac:dyDescent="0.2">
      <c r="B9824" s="2">
        <f ca="1"/>
        <v>0.23419934065593129</v>
      </c>
      <c r="O9824" s="2">
        <f ca="1"/>
        <v>-0.15296416878007527</v>
      </c>
      <c r="X9824" s="2">
        <f ca="1"/>
        <v>49.383943062952866</v>
      </c>
      <c r="AG9824" s="2">
        <f ca="1"/>
        <v>0.77995909749227077</v>
      </c>
      <c r="AH9824" s="2" t="str">
        <f ca="1"/>
        <v>Bad</v>
      </c>
    </row>
    <row r="9825" spans="2:34" x14ac:dyDescent="0.2">
      <c r="B9825" s="2">
        <f ca="1"/>
        <v>0.32536057815969532</v>
      </c>
      <c r="O9825" s="2">
        <f ca="1"/>
        <v>0.67597493169325296</v>
      </c>
      <c r="X9825" s="2">
        <f ca="1"/>
        <v>50.689495607728531</v>
      </c>
      <c r="AG9825" s="2">
        <f ca="1"/>
        <v>0.32649147114440913</v>
      </c>
      <c r="AH9825" s="2" t="str">
        <f ca="1"/>
        <v>OK</v>
      </c>
    </row>
    <row r="9826" spans="2:34" x14ac:dyDescent="0.2">
      <c r="B9826" s="2">
        <f ca="1"/>
        <v>0.98054746073164512</v>
      </c>
      <c r="O9826" s="2">
        <f ca="1"/>
        <v>-0.85166437435330944</v>
      </c>
      <c r="X9826" s="2">
        <f ca="1"/>
        <v>69.185645323155583</v>
      </c>
      <c r="AG9826" s="2">
        <f ca="1"/>
        <v>0.12875553603396828</v>
      </c>
      <c r="AH9826" s="2" t="str">
        <f ca="1"/>
        <v>OK</v>
      </c>
    </row>
    <row r="9827" spans="2:34" x14ac:dyDescent="0.2">
      <c r="B9827" s="2">
        <f ca="1"/>
        <v>0.77887075946480011</v>
      </c>
      <c r="O9827" s="2">
        <f ca="1"/>
        <v>-0.27932683677699127</v>
      </c>
      <c r="X9827" s="2">
        <f ca="1"/>
        <v>54.408431549531144</v>
      </c>
      <c r="AG9827" s="2">
        <f ca="1"/>
        <v>0.34826083307332056</v>
      </c>
      <c r="AH9827" s="2" t="str">
        <f ca="1"/>
        <v>OK</v>
      </c>
    </row>
    <row r="9828" spans="2:34" x14ac:dyDescent="0.2">
      <c r="B9828" s="2">
        <f ca="1"/>
        <v>0.74657502408683851</v>
      </c>
      <c r="O9828" s="2">
        <f ca="1"/>
        <v>-0.90793756391337321</v>
      </c>
      <c r="X9828" s="2">
        <f ca="1"/>
        <v>76.390269438796111</v>
      </c>
      <c r="AG9828" s="2">
        <f ca="1"/>
        <v>0.78437194654863496</v>
      </c>
      <c r="AH9828" s="2" t="str">
        <f ca="1"/>
        <v>Bad</v>
      </c>
    </row>
    <row r="9829" spans="2:34" x14ac:dyDescent="0.2">
      <c r="B9829" s="2">
        <f ca="1"/>
        <v>0.32981673842506321</v>
      </c>
      <c r="O9829" s="2">
        <f ca="1"/>
        <v>-0.79611826623069348</v>
      </c>
      <c r="X9829" s="2">
        <f ca="1"/>
        <v>43.410082297536235</v>
      </c>
      <c r="AG9829" s="2">
        <f ca="1"/>
        <v>0.49161805094406441</v>
      </c>
      <c r="AH9829" s="2" t="str">
        <f ca="1"/>
        <v>Bad</v>
      </c>
    </row>
    <row r="9830" spans="2:34" x14ac:dyDescent="0.2">
      <c r="B9830" s="2">
        <f ca="1"/>
        <v>0.59707823770924429</v>
      </c>
      <c r="O9830" s="2">
        <f ca="1"/>
        <v>-0.49131781108997979</v>
      </c>
      <c r="X9830" s="2">
        <f ca="1"/>
        <v>40.78066925470069</v>
      </c>
      <c r="AG9830" s="2">
        <f ca="1"/>
        <v>0.98193987022645923</v>
      </c>
      <c r="AH9830" s="2" t="str">
        <f ca="1"/>
        <v>Bad</v>
      </c>
    </row>
    <row r="9831" spans="2:34" x14ac:dyDescent="0.2">
      <c r="B9831" s="2">
        <f ca="1"/>
        <v>0.24089446281294413</v>
      </c>
      <c r="O9831" s="2">
        <f ca="1"/>
        <v>-0.46580248798863394</v>
      </c>
      <c r="X9831" s="2">
        <f ca="1"/>
        <v>28.133538118487103</v>
      </c>
      <c r="AG9831" s="2">
        <f ca="1"/>
        <v>0.69425047579316335</v>
      </c>
      <c r="AH9831" s="2" t="str">
        <f ca="1"/>
        <v>Bad</v>
      </c>
    </row>
    <row r="9832" spans="2:34" x14ac:dyDescent="0.2">
      <c r="B9832" s="2">
        <f ca="1"/>
        <v>0.98562473329663436</v>
      </c>
      <c r="O9832" s="2">
        <f ca="1"/>
        <v>4.4284357349719382E-2</v>
      </c>
      <c r="X9832" s="2">
        <f ca="1"/>
        <v>49.686188771700408</v>
      </c>
      <c r="AG9832" s="2">
        <f ca="1"/>
        <v>0.35400005969059811</v>
      </c>
      <c r="AH9832" s="2" t="str">
        <f ca="1"/>
        <v>OK</v>
      </c>
    </row>
    <row r="9833" spans="2:34" x14ac:dyDescent="0.2">
      <c r="B9833" s="2">
        <f ca="1"/>
        <v>0.86173722789193419</v>
      </c>
      <c r="O9833" s="2">
        <f ca="1"/>
        <v>0.61944939830074941</v>
      </c>
      <c r="X9833" s="2">
        <f ca="1"/>
        <v>72.482588965806968</v>
      </c>
      <c r="AG9833" s="2">
        <f ca="1"/>
        <v>0.6639824785831463</v>
      </c>
      <c r="AH9833" s="2" t="str">
        <f ca="1"/>
        <v>Bad</v>
      </c>
    </row>
    <row r="9834" spans="2:34" x14ac:dyDescent="0.2">
      <c r="B9834" s="2">
        <f ca="1"/>
        <v>0.50688226340966991</v>
      </c>
      <c r="O9834" s="2">
        <f ca="1"/>
        <v>0.82446246007243484</v>
      </c>
      <c r="X9834" s="2">
        <f ca="1"/>
        <v>23.963079115944787</v>
      </c>
      <c r="AG9834" s="2">
        <f ca="1"/>
        <v>0.66745980752729106</v>
      </c>
      <c r="AH9834" s="2" t="str">
        <f ca="1"/>
        <v>Bad</v>
      </c>
    </row>
    <row r="9835" spans="2:34" x14ac:dyDescent="0.2">
      <c r="B9835" s="2">
        <f ca="1"/>
        <v>0.45253930490766536</v>
      </c>
      <c r="O9835" s="2">
        <f ca="1"/>
        <v>-0.1917678292710053</v>
      </c>
      <c r="X9835" s="2">
        <f ca="1"/>
        <v>57.895312829115973</v>
      </c>
      <c r="AG9835" s="2">
        <f ca="1"/>
        <v>0.6747865427401023</v>
      </c>
      <c r="AH9835" s="2" t="str">
        <f ca="1"/>
        <v>Bad</v>
      </c>
    </row>
    <row r="9836" spans="2:34" x14ac:dyDescent="0.2">
      <c r="B9836" s="2">
        <f ca="1"/>
        <v>0.5963987692407442</v>
      </c>
      <c r="O9836" s="2">
        <f ca="1"/>
        <v>0.42386074923890993</v>
      </c>
      <c r="X9836" s="2">
        <f ca="1"/>
        <v>42.644097789004896</v>
      </c>
      <c r="AG9836" s="2">
        <f ca="1"/>
        <v>0.35863097913179209</v>
      </c>
      <c r="AH9836" s="2" t="str">
        <f ca="1"/>
        <v>OK</v>
      </c>
    </row>
    <row r="9837" spans="2:34" x14ac:dyDescent="0.2">
      <c r="B9837" s="2">
        <f ca="1"/>
        <v>0.75419287206037589</v>
      </c>
      <c r="O9837" s="2">
        <f ca="1"/>
        <v>0.4017009649840006</v>
      </c>
      <c r="X9837" s="2">
        <f ca="1"/>
        <v>39.912876696210461</v>
      </c>
      <c r="AG9837" s="2">
        <f ca="1"/>
        <v>0.16627754075159484</v>
      </c>
      <c r="AH9837" s="2" t="str">
        <f ca="1"/>
        <v>OK</v>
      </c>
    </row>
    <row r="9838" spans="2:34" x14ac:dyDescent="0.2">
      <c r="B9838" s="2">
        <f ca="1"/>
        <v>0.52747519221601236</v>
      </c>
      <c r="O9838" s="2">
        <f ca="1"/>
        <v>0.79633746626353052</v>
      </c>
      <c r="X9838" s="2">
        <f ca="1"/>
        <v>43.851501274295543</v>
      </c>
      <c r="AG9838" s="2">
        <f ca="1"/>
        <v>0.74018979547136166</v>
      </c>
      <c r="AH9838" s="2" t="str">
        <f ca="1"/>
        <v>Bad</v>
      </c>
    </row>
    <row r="9839" spans="2:34" x14ac:dyDescent="0.2">
      <c r="B9839" s="2">
        <f ca="1"/>
        <v>0.48663027764695777</v>
      </c>
      <c r="O9839" s="2">
        <f ca="1"/>
        <v>-0.93748416321268968</v>
      </c>
      <c r="X9839" s="2">
        <f ca="1"/>
        <v>53.060492325316005</v>
      </c>
      <c r="AG9839" s="2">
        <f ca="1"/>
        <v>0.63998831016087498</v>
      </c>
      <c r="AH9839" s="2" t="str">
        <f ca="1"/>
        <v>Bad</v>
      </c>
    </row>
    <row r="9840" spans="2:34" x14ac:dyDescent="0.2">
      <c r="B9840" s="2">
        <f ca="1"/>
        <v>5.0755608445113065E-2</v>
      </c>
      <c r="O9840" s="2">
        <f ca="1"/>
        <v>-1.2904668689018204</v>
      </c>
      <c r="X9840" s="2">
        <f ca="1"/>
        <v>51.808375381777942</v>
      </c>
      <c r="AG9840" s="2">
        <f ca="1"/>
        <v>0.39708905570688491</v>
      </c>
      <c r="AH9840" s="2" t="str">
        <f ca="1"/>
        <v>OK</v>
      </c>
    </row>
    <row r="9841" spans="2:34" x14ac:dyDescent="0.2">
      <c r="B9841" s="2">
        <f ca="1"/>
        <v>0.54209748204824537</v>
      </c>
      <c r="O9841" s="2">
        <f ca="1"/>
        <v>0.35029091601797169</v>
      </c>
      <c r="X9841" s="2">
        <f ca="1"/>
        <v>37.208819876343291</v>
      </c>
      <c r="AG9841" s="2">
        <f ca="1"/>
        <v>0.91227041270758091</v>
      </c>
      <c r="AH9841" s="2" t="str">
        <f ca="1"/>
        <v>Bad</v>
      </c>
    </row>
    <row r="9842" spans="2:34" x14ac:dyDescent="0.2">
      <c r="B9842" s="2">
        <f ca="1"/>
        <v>0.57909804276712551</v>
      </c>
      <c r="O9842" s="2">
        <f ca="1"/>
        <v>1.951502673557008</v>
      </c>
      <c r="X9842" s="2">
        <f ca="1"/>
        <v>61.162668172603603</v>
      </c>
      <c r="AG9842" s="2">
        <f ca="1"/>
        <v>0.41145983736476066</v>
      </c>
      <c r="AH9842" s="2" t="str">
        <f ca="1"/>
        <v>Bad</v>
      </c>
    </row>
    <row r="9843" spans="2:34" x14ac:dyDescent="0.2">
      <c r="B9843" s="2">
        <f ca="1"/>
        <v>0.34371167719936158</v>
      </c>
      <c r="O9843" s="2">
        <f ca="1"/>
        <v>-8.2025929474988546E-2</v>
      </c>
      <c r="X9843" s="2">
        <f ca="1"/>
        <v>62.146385264692434</v>
      </c>
      <c r="AG9843" s="2">
        <f ca="1"/>
        <v>4.1487269548003747E-2</v>
      </c>
      <c r="AH9843" s="2" t="str">
        <f ca="1"/>
        <v>Good</v>
      </c>
    </row>
    <row r="9844" spans="2:34" x14ac:dyDescent="0.2">
      <c r="B9844" s="2">
        <f ca="1"/>
        <v>0.55770491004840061</v>
      </c>
      <c r="O9844" s="2">
        <f ca="1"/>
        <v>-1.5240780304262835</v>
      </c>
      <c r="X9844" s="2">
        <f ca="1"/>
        <v>45.356183723729828</v>
      </c>
      <c r="AG9844" s="2">
        <f ca="1"/>
        <v>0.80877445169141193</v>
      </c>
      <c r="AH9844" s="2" t="str">
        <f ca="1"/>
        <v>Bad</v>
      </c>
    </row>
    <row r="9845" spans="2:34" x14ac:dyDescent="0.2">
      <c r="B9845" s="2">
        <f ca="1"/>
        <v>0.76498898794481152</v>
      </c>
      <c r="O9845" s="2">
        <f ca="1"/>
        <v>1.8652318241177923</v>
      </c>
      <c r="X9845" s="2">
        <f ca="1"/>
        <v>32.954346343660703</v>
      </c>
      <c r="AG9845" s="2">
        <f ca="1"/>
        <v>0.52952755086239933</v>
      </c>
      <c r="AH9845" s="2" t="str">
        <f ca="1"/>
        <v>Bad</v>
      </c>
    </row>
    <row r="9846" spans="2:34" x14ac:dyDescent="0.2">
      <c r="B9846" s="2">
        <f ca="1"/>
        <v>0.22515368851370909</v>
      </c>
      <c r="O9846" s="2">
        <f ca="1"/>
        <v>-0.62192268239184945</v>
      </c>
      <c r="X9846" s="2">
        <f ca="1"/>
        <v>21.86361050693657</v>
      </c>
      <c r="AG9846" s="2">
        <f ca="1"/>
        <v>0.31288860895046744</v>
      </c>
      <c r="AH9846" s="2" t="str">
        <f ca="1"/>
        <v>OK</v>
      </c>
    </row>
    <row r="9847" spans="2:34" x14ac:dyDescent="0.2">
      <c r="B9847" s="2">
        <f ca="1"/>
        <v>0.1762353230968281</v>
      </c>
      <c r="O9847" s="2">
        <f ca="1"/>
        <v>-1.2532373843578961</v>
      </c>
      <c r="X9847" s="2">
        <f ca="1"/>
        <v>28.399568906363648</v>
      </c>
      <c r="AG9847" s="2">
        <f ca="1"/>
        <v>0.80620610421456873</v>
      </c>
      <c r="AH9847" s="2" t="str">
        <f ca="1"/>
        <v>Bad</v>
      </c>
    </row>
    <row r="9848" spans="2:34" x14ac:dyDescent="0.2">
      <c r="B9848" s="2">
        <f ca="1"/>
        <v>0.1654576371511518</v>
      </c>
      <c r="O9848" s="2">
        <f ca="1"/>
        <v>-0.56975963632895377</v>
      </c>
      <c r="X9848" s="2">
        <f ca="1"/>
        <v>66.700685148383684</v>
      </c>
      <c r="AG9848" s="2">
        <f ca="1"/>
        <v>4.4462890757684725E-2</v>
      </c>
      <c r="AH9848" s="2" t="str">
        <f ca="1"/>
        <v>Good</v>
      </c>
    </row>
    <row r="9849" spans="2:34" x14ac:dyDescent="0.2">
      <c r="B9849" s="2">
        <f ca="1"/>
        <v>0.73702166974408256</v>
      </c>
      <c r="O9849" s="2">
        <f ca="1"/>
        <v>4.7251155819453765E-2</v>
      </c>
      <c r="X9849" s="2">
        <f ca="1"/>
        <v>59.014038617316167</v>
      </c>
      <c r="AG9849" s="2">
        <f ca="1"/>
        <v>0.88839867027022046</v>
      </c>
      <c r="AH9849" s="2" t="str">
        <f ca="1"/>
        <v>Bad</v>
      </c>
    </row>
    <row r="9850" spans="2:34" x14ac:dyDescent="0.2">
      <c r="B9850" s="2">
        <f ca="1"/>
        <v>0.68798226720189914</v>
      </c>
      <c r="O9850" s="2">
        <f ca="1"/>
        <v>0.29489887971986295</v>
      </c>
      <c r="X9850" s="2">
        <f ca="1"/>
        <v>41.924284885522681</v>
      </c>
      <c r="AG9850" s="2">
        <f ca="1"/>
        <v>4.1930536011840491E-2</v>
      </c>
      <c r="AH9850" s="2" t="str">
        <f ca="1"/>
        <v>Good</v>
      </c>
    </row>
    <row r="9851" spans="2:34" x14ac:dyDescent="0.2">
      <c r="B9851" s="2">
        <f ca="1"/>
        <v>0.14541157474466448</v>
      </c>
      <c r="O9851" s="2">
        <f ca="1"/>
        <v>1.4089815388283644</v>
      </c>
      <c r="X9851" s="2">
        <f ca="1"/>
        <v>29.519467099043027</v>
      </c>
      <c r="AG9851" s="2">
        <f ca="1"/>
        <v>0.73791221069162738</v>
      </c>
      <c r="AH9851" s="2" t="str">
        <f ca="1"/>
        <v>Bad</v>
      </c>
    </row>
    <row r="9852" spans="2:34" x14ac:dyDescent="0.2">
      <c r="B9852" s="2">
        <f ca="1"/>
        <v>0.837372513075747</v>
      </c>
      <c r="O9852" s="2">
        <f ca="1"/>
        <v>1.5081910712488786</v>
      </c>
      <c r="X9852" s="2">
        <f ca="1"/>
        <v>72.825938450401381</v>
      </c>
      <c r="AG9852" s="2">
        <f ca="1"/>
        <v>0.9802948771729918</v>
      </c>
      <c r="AH9852" s="2" t="str">
        <f ca="1"/>
        <v>Bad</v>
      </c>
    </row>
    <row r="9853" spans="2:34" x14ac:dyDescent="0.2">
      <c r="B9853" s="2">
        <f ca="1"/>
        <v>0.14609973745154625</v>
      </c>
      <c r="O9853" s="2">
        <f ca="1"/>
        <v>0.41602262252526168</v>
      </c>
      <c r="X9853" s="2">
        <f ca="1"/>
        <v>29.902247501712846</v>
      </c>
      <c r="AG9853" s="2">
        <f ca="1"/>
        <v>0.77710695848791245</v>
      </c>
      <c r="AH9853" s="2" t="str">
        <f ca="1"/>
        <v>Bad</v>
      </c>
    </row>
    <row r="9854" spans="2:34" x14ac:dyDescent="0.2">
      <c r="B9854" s="2">
        <f ca="1"/>
        <v>0.61594252409294015</v>
      </c>
      <c r="O9854" s="2">
        <f ca="1"/>
        <v>-1.0286424232333675</v>
      </c>
      <c r="X9854" s="2">
        <f ca="1"/>
        <v>70.311119971026429</v>
      </c>
      <c r="AG9854" s="2">
        <f ca="1"/>
        <v>0.62117988112951839</v>
      </c>
      <c r="AH9854" s="2" t="str">
        <f ca="1"/>
        <v>Bad</v>
      </c>
    </row>
    <row r="9855" spans="2:34" x14ac:dyDescent="0.2">
      <c r="B9855" s="2">
        <f ca="1"/>
        <v>0.48145591406110344</v>
      </c>
      <c r="O9855" s="2">
        <f ca="1"/>
        <v>3.4039703916330648E-2</v>
      </c>
      <c r="X9855" s="2">
        <f ca="1"/>
        <v>85.054852943391012</v>
      </c>
      <c r="AG9855" s="2">
        <f ca="1"/>
        <v>0.17233000309106283</v>
      </c>
      <c r="AH9855" s="2" t="str">
        <f ca="1"/>
        <v>OK</v>
      </c>
    </row>
    <row r="9856" spans="2:34" x14ac:dyDescent="0.2">
      <c r="B9856" s="2">
        <f ca="1"/>
        <v>0.67560414795120094</v>
      </c>
      <c r="O9856" s="2">
        <f ca="1"/>
        <v>0.92484512527407647</v>
      </c>
      <c r="X9856" s="2">
        <f ca="1"/>
        <v>46.079721070822082</v>
      </c>
      <c r="AG9856" s="2">
        <f ca="1"/>
        <v>0.34537586549856991</v>
      </c>
      <c r="AH9856" s="2" t="str">
        <f ca="1"/>
        <v>OK</v>
      </c>
    </row>
    <row r="9857" spans="2:34" x14ac:dyDescent="0.2">
      <c r="B9857" s="2">
        <f ca="1"/>
        <v>0.41081068224796491</v>
      </c>
      <c r="O9857" s="2">
        <f ca="1"/>
        <v>-1.6436087969301489</v>
      </c>
      <c r="X9857" s="2">
        <f ca="1"/>
        <v>28.646199070592395</v>
      </c>
      <c r="AG9857" s="2">
        <f ca="1"/>
        <v>0.14225831327900496</v>
      </c>
      <c r="AH9857" s="2" t="str">
        <f ca="1"/>
        <v>OK</v>
      </c>
    </row>
    <row r="9858" spans="2:34" x14ac:dyDescent="0.2">
      <c r="B9858" s="2">
        <f ca="1"/>
        <v>0.47887685828756732</v>
      </c>
      <c r="O9858" s="2">
        <f ca="1"/>
        <v>2.4718772788335466</v>
      </c>
      <c r="X9858" s="2">
        <f ca="1"/>
        <v>36.687598184748211</v>
      </c>
      <c r="AG9858" s="2">
        <f ca="1"/>
        <v>0.24437263494248995</v>
      </c>
      <c r="AH9858" s="2" t="str">
        <f ca="1"/>
        <v>OK</v>
      </c>
    </row>
    <row r="9859" spans="2:34" x14ac:dyDescent="0.2">
      <c r="B9859" s="2">
        <f ca="1"/>
        <v>0.48947811696866839</v>
      </c>
      <c r="O9859" s="2">
        <f ca="1"/>
        <v>0.51968587968943269</v>
      </c>
      <c r="X9859" s="2">
        <f ca="1"/>
        <v>87.112333483590575</v>
      </c>
      <c r="AG9859" s="2">
        <f ca="1"/>
        <v>0.93474289624025908</v>
      </c>
      <c r="AH9859" s="2" t="str">
        <f ca="1"/>
        <v>Bad</v>
      </c>
    </row>
    <row r="9860" spans="2:34" x14ac:dyDescent="0.2">
      <c r="B9860" s="2">
        <f ca="1"/>
        <v>0.97599610794955871</v>
      </c>
      <c r="O9860" s="2">
        <f ca="1"/>
        <v>-0.14950610362171488</v>
      </c>
      <c r="X9860" s="2">
        <f ca="1"/>
        <v>42.953174532644383</v>
      </c>
      <c r="AG9860" s="2">
        <f ca="1"/>
        <v>0.47943315539762854</v>
      </c>
      <c r="AH9860" s="2" t="str">
        <f ca="1"/>
        <v>Bad</v>
      </c>
    </row>
    <row r="9861" spans="2:34" x14ac:dyDescent="0.2">
      <c r="B9861" s="2">
        <f ca="1"/>
        <v>7.0668678641500948E-2</v>
      </c>
      <c r="O9861" s="2">
        <f ca="1"/>
        <v>0.61753283691606164</v>
      </c>
      <c r="X9861" s="2">
        <f ca="1"/>
        <v>53.530172993002154</v>
      </c>
      <c r="AG9861" s="2">
        <f ca="1"/>
        <v>0.9444051749219653</v>
      </c>
      <c r="AH9861" s="2" t="str">
        <f ca="1"/>
        <v>Bad</v>
      </c>
    </row>
    <row r="9862" spans="2:34" x14ac:dyDescent="0.2">
      <c r="B9862" s="2">
        <f ca="1"/>
        <v>0.14965233072050665</v>
      </c>
      <c r="O9862" s="2">
        <f ca="1"/>
        <v>1.7563250241014812</v>
      </c>
      <c r="X9862" s="2">
        <f ca="1"/>
        <v>41.496127580383806</v>
      </c>
      <c r="AG9862" s="2">
        <f ca="1"/>
        <v>0.98679511663212915</v>
      </c>
      <c r="AH9862" s="2" t="str">
        <f ca="1"/>
        <v>Bad</v>
      </c>
    </row>
    <row r="9863" spans="2:34" x14ac:dyDescent="0.2">
      <c r="B9863" s="2">
        <f ca="1"/>
        <v>0.40025825102153223</v>
      </c>
      <c r="O9863" s="2">
        <f ca="1"/>
        <v>-0.5170174787106584</v>
      </c>
      <c r="X9863" s="2">
        <f ca="1"/>
        <v>51.4578364622583</v>
      </c>
      <c r="AG9863" s="2">
        <f ca="1"/>
        <v>0.91274584177581186</v>
      </c>
      <c r="AH9863" s="2" t="str">
        <f ca="1"/>
        <v>Bad</v>
      </c>
    </row>
    <row r="9864" spans="2:34" x14ac:dyDescent="0.2">
      <c r="B9864" s="2">
        <f ca="1"/>
        <v>0.78814783550923484</v>
      </c>
      <c r="O9864" s="2">
        <f ca="1"/>
        <v>0.13296159988095169</v>
      </c>
      <c r="X9864" s="2">
        <f ca="1"/>
        <v>58.778917754954954</v>
      </c>
      <c r="AG9864" s="2">
        <f ca="1"/>
        <v>0.61051568822625213</v>
      </c>
      <c r="AH9864" s="2" t="str">
        <f ca="1"/>
        <v>Bad</v>
      </c>
    </row>
    <row r="9865" spans="2:34" x14ac:dyDescent="0.2">
      <c r="B9865" s="2">
        <f ca="1"/>
        <v>0.49913743272541566</v>
      </c>
      <c r="O9865" s="2">
        <f ca="1"/>
        <v>1.0187314227461268</v>
      </c>
      <c r="X9865" s="2">
        <f ca="1"/>
        <v>45.966255962791251</v>
      </c>
      <c r="AG9865" s="2">
        <f ca="1"/>
        <v>4.7235269718168826E-2</v>
      </c>
      <c r="AH9865" s="2" t="str">
        <f ca="1"/>
        <v>Good</v>
      </c>
    </row>
    <row r="9866" spans="2:34" x14ac:dyDescent="0.2">
      <c r="B9866" s="2">
        <f ca="1"/>
        <v>0.99438606355105819</v>
      </c>
      <c r="O9866" s="2">
        <f ca="1"/>
        <v>0.41940195057055202</v>
      </c>
      <c r="X9866" s="2">
        <f ca="1"/>
        <v>35.900597357437405</v>
      </c>
      <c r="AG9866" s="2">
        <f ca="1"/>
        <v>0.17516946962852664</v>
      </c>
      <c r="AH9866" s="2" t="str">
        <f ca="1"/>
        <v>OK</v>
      </c>
    </row>
    <row r="9867" spans="2:34" x14ac:dyDescent="0.2">
      <c r="B9867" s="2">
        <f ca="1"/>
        <v>0.27964976309106171</v>
      </c>
      <c r="O9867" s="2">
        <f ca="1"/>
        <v>3.6298673726509439E-2</v>
      </c>
      <c r="X9867" s="2">
        <f ca="1"/>
        <v>67.886136403407718</v>
      </c>
      <c r="AG9867" s="2">
        <f ca="1"/>
        <v>0.25672408490460308</v>
      </c>
      <c r="AH9867" s="2" t="str">
        <f ca="1"/>
        <v>OK</v>
      </c>
    </row>
    <row r="9868" spans="2:34" x14ac:dyDescent="0.2">
      <c r="B9868" s="2">
        <f ca="1"/>
        <v>0.72870005158560214</v>
      </c>
      <c r="O9868" s="2">
        <f ca="1"/>
        <v>1.708028540751148</v>
      </c>
      <c r="X9868" s="2">
        <f ca="1"/>
        <v>45.593699678869982</v>
      </c>
      <c r="AG9868" s="2">
        <f ca="1"/>
        <v>0.36777206693071163</v>
      </c>
      <c r="AH9868" s="2" t="str">
        <f ca="1"/>
        <v>OK</v>
      </c>
    </row>
    <row r="9869" spans="2:34" x14ac:dyDescent="0.2">
      <c r="B9869" s="2">
        <f ca="1"/>
        <v>0.10006255476638359</v>
      </c>
      <c r="O9869" s="2">
        <f ca="1"/>
        <v>1.377747732337387</v>
      </c>
      <c r="X9869" s="2">
        <f ca="1"/>
        <v>49.775232298560105</v>
      </c>
      <c r="AG9869" s="2">
        <f ca="1"/>
        <v>0.60291173409644006</v>
      </c>
      <c r="AH9869" s="2" t="str">
        <f ca="1"/>
        <v>Bad</v>
      </c>
    </row>
    <row r="9870" spans="2:34" x14ac:dyDescent="0.2">
      <c r="B9870" s="2">
        <f ca="1"/>
        <v>0.29908047685512917</v>
      </c>
      <c r="O9870" s="2">
        <f ca="1"/>
        <v>-0.2442813651738692</v>
      </c>
      <c r="X9870" s="2">
        <f ca="1"/>
        <v>45.164607083439634</v>
      </c>
      <c r="AG9870" s="2">
        <f ca="1"/>
        <v>0.77942706082605007</v>
      </c>
      <c r="AH9870" s="2" t="str">
        <f ca="1"/>
        <v>Bad</v>
      </c>
    </row>
    <row r="9871" spans="2:34" x14ac:dyDescent="0.2">
      <c r="B9871" s="2">
        <f ca="1"/>
        <v>0.88789000288248032</v>
      </c>
      <c r="O9871" s="2">
        <f ca="1"/>
        <v>0.42689066793776315</v>
      </c>
      <c r="X9871" s="2">
        <f ca="1"/>
        <v>85.387654097554346</v>
      </c>
      <c r="AG9871" s="2">
        <f ca="1"/>
        <v>0.57906464954831649</v>
      </c>
      <c r="AH9871" s="2" t="str">
        <f ca="1"/>
        <v>Bad</v>
      </c>
    </row>
    <row r="9872" spans="2:34" x14ac:dyDescent="0.2">
      <c r="B9872" s="2">
        <f ca="1"/>
        <v>0.97562233305768875</v>
      </c>
      <c r="O9872" s="2">
        <f ca="1"/>
        <v>-0.56641222018742021</v>
      </c>
      <c r="X9872" s="2">
        <f ca="1"/>
        <v>50.01793006719555</v>
      </c>
      <c r="AG9872" s="2">
        <f ca="1"/>
        <v>6.565671640527948E-2</v>
      </c>
      <c r="AH9872" s="2" t="str">
        <f ca="1"/>
        <v>OK</v>
      </c>
    </row>
    <row r="9873" spans="2:34" x14ac:dyDescent="0.2">
      <c r="B9873" s="2">
        <f ca="1"/>
        <v>0.23280313565319366</v>
      </c>
      <c r="O9873" s="2">
        <f ca="1"/>
        <v>-1.0543177955603569</v>
      </c>
      <c r="X9873" s="2">
        <f ca="1"/>
        <v>61.844984188931676</v>
      </c>
      <c r="AG9873" s="2">
        <f ca="1"/>
        <v>9.9534973134220994E-2</v>
      </c>
      <c r="AH9873" s="2" t="str">
        <f ca="1"/>
        <v>OK</v>
      </c>
    </row>
    <row r="9874" spans="2:34" x14ac:dyDescent="0.2">
      <c r="B9874" s="2">
        <f ca="1"/>
        <v>0.76737120620815702</v>
      </c>
      <c r="O9874" s="2">
        <f ca="1"/>
        <v>-1.1328569233340466</v>
      </c>
      <c r="X9874" s="2">
        <f ca="1"/>
        <v>55.986071129644145</v>
      </c>
      <c r="AG9874" s="2">
        <f ca="1"/>
        <v>0.44548715216608525</v>
      </c>
      <c r="AH9874" s="2" t="str">
        <f ca="1"/>
        <v>Bad</v>
      </c>
    </row>
    <row r="9875" spans="2:34" x14ac:dyDescent="0.2">
      <c r="B9875" s="2">
        <f ca="1"/>
        <v>0.80763398974045564</v>
      </c>
      <c r="O9875" s="2">
        <f ca="1"/>
        <v>0.23947474342601988</v>
      </c>
      <c r="X9875" s="2">
        <f ca="1"/>
        <v>58.781347275096756</v>
      </c>
      <c r="AG9875" s="2">
        <f ca="1"/>
        <v>0.64448161179408925</v>
      </c>
      <c r="AH9875" s="2" t="str">
        <f ca="1"/>
        <v>Bad</v>
      </c>
    </row>
    <row r="9876" spans="2:34" x14ac:dyDescent="0.2">
      <c r="B9876" s="2">
        <f ca="1"/>
        <v>0.87488515156685032</v>
      </c>
      <c r="O9876" s="2">
        <f ca="1"/>
        <v>0.4294574498085959</v>
      </c>
      <c r="X9876" s="2">
        <f ca="1"/>
        <v>34.429781065312817</v>
      </c>
      <c r="AG9876" s="2">
        <f ca="1"/>
        <v>0.58532152264802129</v>
      </c>
      <c r="AH9876" s="2" t="str">
        <f ca="1"/>
        <v>Bad</v>
      </c>
    </row>
    <row r="9877" spans="2:34" x14ac:dyDescent="0.2">
      <c r="B9877" s="2">
        <f ca="1"/>
        <v>0.88182505199942018</v>
      </c>
      <c r="O9877" s="2">
        <f ca="1"/>
        <v>-1.074822827168211</v>
      </c>
      <c r="X9877" s="2">
        <f ca="1"/>
        <v>40.968898535275926</v>
      </c>
      <c r="AG9877" s="2">
        <f ca="1"/>
        <v>0.96465043400984585</v>
      </c>
      <c r="AH9877" s="2" t="str">
        <f ca="1"/>
        <v>Bad</v>
      </c>
    </row>
    <row r="9878" spans="2:34" x14ac:dyDescent="0.2">
      <c r="B9878" s="2">
        <f ca="1"/>
        <v>0.6268473299833599</v>
      </c>
      <c r="O9878" s="2">
        <f ca="1"/>
        <v>0.72391151323291469</v>
      </c>
      <c r="X9878" s="2">
        <f ca="1"/>
        <v>68.804239202782043</v>
      </c>
      <c r="AG9878" s="2">
        <f ca="1"/>
        <v>0.63315141715987133</v>
      </c>
      <c r="AH9878" s="2" t="str">
        <f ca="1"/>
        <v>Bad</v>
      </c>
    </row>
    <row r="9879" spans="2:34" x14ac:dyDescent="0.2">
      <c r="B9879" s="2">
        <f ca="1"/>
        <v>0.39066628917385149</v>
      </c>
      <c r="O9879" s="2">
        <f ca="1"/>
        <v>-0.64898636809345067</v>
      </c>
      <c r="X9879" s="2">
        <f ca="1"/>
        <v>47.500490245078282</v>
      </c>
      <c r="AG9879" s="2">
        <f ca="1"/>
        <v>0.46620349262811689</v>
      </c>
      <c r="AH9879" s="2" t="str">
        <f ca="1"/>
        <v>Bad</v>
      </c>
    </row>
    <row r="9880" spans="2:34" x14ac:dyDescent="0.2">
      <c r="B9880" s="2">
        <f ca="1"/>
        <v>0.7877809944006664</v>
      </c>
      <c r="O9880" s="2">
        <f ca="1"/>
        <v>-1.4941412380716557</v>
      </c>
      <c r="X9880" s="2">
        <f ca="1"/>
        <v>64.395309046304703</v>
      </c>
      <c r="AG9880" s="2">
        <f ca="1"/>
        <v>8.1410583437177886E-2</v>
      </c>
      <c r="AH9880" s="2" t="str">
        <f ca="1"/>
        <v>OK</v>
      </c>
    </row>
    <row r="9881" spans="2:34" x14ac:dyDescent="0.2">
      <c r="B9881" s="2">
        <f ca="1"/>
        <v>0.66786614409596567</v>
      </c>
      <c r="O9881" s="2">
        <f ca="1"/>
        <v>-0.83398214821570782</v>
      </c>
      <c r="X9881" s="2">
        <f ca="1"/>
        <v>30.201616714243894</v>
      </c>
      <c r="AG9881" s="2">
        <f ca="1"/>
        <v>0.3431732964387415</v>
      </c>
      <c r="AH9881" s="2" t="str">
        <f ca="1"/>
        <v>OK</v>
      </c>
    </row>
    <row r="9882" spans="2:34" x14ac:dyDescent="0.2">
      <c r="B9882" s="2">
        <f ca="1"/>
        <v>2.2952434329312599E-2</v>
      </c>
      <c r="O9882" s="2">
        <f ca="1"/>
        <v>2.8180845297043491</v>
      </c>
      <c r="X9882" s="2">
        <f ca="1"/>
        <v>27.63651349588968</v>
      </c>
      <c r="AG9882" s="2">
        <f ca="1"/>
        <v>0.1702205289497587</v>
      </c>
      <c r="AH9882" s="2" t="str">
        <f ca="1"/>
        <v>OK</v>
      </c>
    </row>
    <row r="9883" spans="2:34" x14ac:dyDescent="0.2">
      <c r="B9883" s="2">
        <f ca="1"/>
        <v>0.83264719781709751</v>
      </c>
      <c r="O9883" s="2">
        <f ca="1"/>
        <v>-1.1531086993948472</v>
      </c>
      <c r="X9883" s="2">
        <f ca="1"/>
        <v>52.108593796385435</v>
      </c>
      <c r="AG9883" s="2">
        <f ca="1"/>
        <v>0.95911166830475625</v>
      </c>
      <c r="AH9883" s="2" t="str">
        <f ca="1"/>
        <v>Bad</v>
      </c>
    </row>
    <row r="9884" spans="2:34" x14ac:dyDescent="0.2">
      <c r="B9884" s="2">
        <f ca="1"/>
        <v>0.31414399996978659</v>
      </c>
      <c r="O9884" s="2">
        <f ca="1"/>
        <v>1.9133575022299774</v>
      </c>
      <c r="X9884" s="2">
        <f ca="1"/>
        <v>55.769496734275577</v>
      </c>
      <c r="AG9884" s="2">
        <f ca="1"/>
        <v>0.96162962522828854</v>
      </c>
      <c r="AH9884" s="2" t="str">
        <f ca="1"/>
        <v>Bad</v>
      </c>
    </row>
    <row r="9885" spans="2:34" x14ac:dyDescent="0.2">
      <c r="B9885" s="2">
        <f ca="1"/>
        <v>0.7769262613814456</v>
      </c>
      <c r="O9885" s="2">
        <f ca="1"/>
        <v>1.2828925566141343</v>
      </c>
      <c r="X9885" s="2">
        <f ca="1"/>
        <v>48.8215186959291</v>
      </c>
      <c r="AG9885" s="2">
        <f ca="1"/>
        <v>0.84899434127423423</v>
      </c>
      <c r="AH9885" s="2" t="str">
        <f ca="1"/>
        <v>Bad</v>
      </c>
    </row>
    <row r="9886" spans="2:34" x14ac:dyDescent="0.2">
      <c r="B9886" s="2">
        <f ca="1"/>
        <v>0.35288074496380406</v>
      </c>
      <c r="O9886" s="2">
        <f ca="1"/>
        <v>-0.91324437116972046</v>
      </c>
      <c r="X9886" s="2">
        <f ca="1"/>
        <v>42.272149942749699</v>
      </c>
      <c r="AG9886" s="2">
        <f ca="1"/>
        <v>0.96277546835169603</v>
      </c>
      <c r="AH9886" s="2" t="str">
        <f ca="1"/>
        <v>Bad</v>
      </c>
    </row>
    <row r="9887" spans="2:34" x14ac:dyDescent="0.2">
      <c r="B9887" s="2">
        <f ca="1"/>
        <v>0.99649281310067228</v>
      </c>
      <c r="O9887" s="2">
        <f ca="1"/>
        <v>-9.0609140504950961E-2</v>
      </c>
      <c r="X9887" s="2">
        <f ca="1"/>
        <v>39.854180554397885</v>
      </c>
      <c r="AG9887" s="2">
        <f ca="1"/>
        <v>0.39854580006039275</v>
      </c>
      <c r="AH9887" s="2" t="str">
        <f ca="1"/>
        <v>OK</v>
      </c>
    </row>
    <row r="9888" spans="2:34" x14ac:dyDescent="0.2">
      <c r="B9888" s="2">
        <f ca="1"/>
        <v>0.5358287322298938</v>
      </c>
      <c r="O9888" s="2">
        <f ca="1"/>
        <v>1.7284805321957681</v>
      </c>
      <c r="X9888" s="2">
        <f ca="1"/>
        <v>60.997512184127565</v>
      </c>
      <c r="AG9888" s="2">
        <f ca="1"/>
        <v>5.7598603228137479E-2</v>
      </c>
      <c r="AH9888" s="2" t="str">
        <f ca="1"/>
        <v>OK</v>
      </c>
    </row>
    <row r="9889" spans="2:34" x14ac:dyDescent="0.2">
      <c r="B9889" s="2">
        <f ca="1"/>
        <v>0.13402811453585417</v>
      </c>
      <c r="O9889" s="2">
        <f ca="1"/>
        <v>1.3788177020469234</v>
      </c>
      <c r="X9889" s="2">
        <f ca="1"/>
        <v>46.244288826909177</v>
      </c>
      <c r="AG9889" s="2">
        <f ca="1"/>
        <v>0.9148736492581393</v>
      </c>
      <c r="AH9889" s="2" t="str">
        <f ca="1"/>
        <v>Bad</v>
      </c>
    </row>
    <row r="9890" spans="2:34" x14ac:dyDescent="0.2">
      <c r="B9890" s="2">
        <f ca="1"/>
        <v>0.40136148060488908</v>
      </c>
      <c r="O9890" s="2">
        <f ca="1"/>
        <v>-0.51219557580265429</v>
      </c>
      <c r="X9890" s="2">
        <f ca="1"/>
        <v>26.20501672663503</v>
      </c>
      <c r="AG9890" s="2">
        <f ca="1"/>
        <v>0.80464082290167482</v>
      </c>
      <c r="AH9890" s="2" t="str">
        <f ca="1"/>
        <v>Bad</v>
      </c>
    </row>
    <row r="9891" spans="2:34" x14ac:dyDescent="0.2">
      <c r="B9891" s="2">
        <f ca="1"/>
        <v>0.77511872816139027</v>
      </c>
      <c r="O9891" s="2">
        <f ca="1"/>
        <v>1.5333314092942267</v>
      </c>
      <c r="X9891" s="2">
        <f ca="1"/>
        <v>38.51123376156864</v>
      </c>
      <c r="AG9891" s="2">
        <f ca="1"/>
        <v>0.35618646084242256</v>
      </c>
      <c r="AH9891" s="2" t="str">
        <f ca="1"/>
        <v>OK</v>
      </c>
    </row>
    <row r="9892" spans="2:34" x14ac:dyDescent="0.2">
      <c r="B9892" s="2">
        <f ca="1"/>
        <v>0.99063961929481059</v>
      </c>
      <c r="O9892" s="2">
        <f ca="1"/>
        <v>1.1371843081931827</v>
      </c>
      <c r="X9892" s="2">
        <f ca="1"/>
        <v>47.180720521794925</v>
      </c>
      <c r="AG9892" s="2">
        <f ca="1"/>
        <v>7.3501375435525151E-2</v>
      </c>
      <c r="AH9892" s="2" t="str">
        <f ca="1"/>
        <v>OK</v>
      </c>
    </row>
    <row r="9893" spans="2:34" x14ac:dyDescent="0.2">
      <c r="B9893" s="2">
        <f ca="1"/>
        <v>0.69883708612702522</v>
      </c>
      <c r="O9893" s="2">
        <f ca="1"/>
        <v>-0.37185679426589657</v>
      </c>
      <c r="X9893" s="2">
        <f ca="1"/>
        <v>46.446488978797547</v>
      </c>
      <c r="AG9893" s="2">
        <f ca="1"/>
        <v>0.73860265072094955</v>
      </c>
      <c r="AH9893" s="2" t="str">
        <f ca="1"/>
        <v>Bad</v>
      </c>
    </row>
    <row r="9894" spans="2:34" x14ac:dyDescent="0.2">
      <c r="B9894" s="2">
        <f ca="1"/>
        <v>0.7791119256258241</v>
      </c>
      <c r="O9894" s="2">
        <f ca="1"/>
        <v>1.7930124718426315</v>
      </c>
      <c r="X9894" s="2">
        <f ca="1"/>
        <v>80.570846277915564</v>
      </c>
      <c r="AG9894" s="2">
        <f ca="1"/>
        <v>0.76769483571715025</v>
      </c>
      <c r="AH9894" s="2" t="str">
        <f ca="1"/>
        <v>Bad</v>
      </c>
    </row>
    <row r="9895" spans="2:34" x14ac:dyDescent="0.2">
      <c r="B9895" s="2">
        <f ca="1"/>
        <v>0.60600755621282754</v>
      </c>
      <c r="O9895" s="2">
        <f ca="1"/>
        <v>0.57194016746546283</v>
      </c>
      <c r="X9895" s="2">
        <f ca="1"/>
        <v>33.501168770430574</v>
      </c>
      <c r="AG9895" s="2">
        <f ca="1"/>
        <v>0.22159385113976948</v>
      </c>
      <c r="AH9895" s="2" t="str">
        <f ca="1"/>
        <v>OK</v>
      </c>
    </row>
    <row r="9896" spans="2:34" x14ac:dyDescent="0.2">
      <c r="B9896" s="2">
        <f ca="1"/>
        <v>0.94267290591865116</v>
      </c>
      <c r="O9896" s="2">
        <f ca="1"/>
        <v>-0.48044358796280928</v>
      </c>
      <c r="X9896" s="2">
        <f ca="1"/>
        <v>58.480579092267234</v>
      </c>
      <c r="AG9896" s="2">
        <f ca="1"/>
        <v>0.54248658014340534</v>
      </c>
      <c r="AH9896" s="2" t="str">
        <f ca="1"/>
        <v>Bad</v>
      </c>
    </row>
    <row r="9897" spans="2:34" x14ac:dyDescent="0.2">
      <c r="B9897" s="2">
        <f ca="1"/>
        <v>0.48635289448107244</v>
      </c>
      <c r="O9897" s="2">
        <f ca="1"/>
        <v>7.8016097839956236E-2</v>
      </c>
      <c r="X9897" s="2">
        <f ca="1"/>
        <v>45.190917104609966</v>
      </c>
      <c r="AG9897" s="2">
        <f ca="1"/>
        <v>0.83716758176912975</v>
      </c>
      <c r="AH9897" s="2" t="str">
        <f ca="1"/>
        <v>Bad</v>
      </c>
    </row>
    <row r="9898" spans="2:34" x14ac:dyDescent="0.2">
      <c r="B9898" s="2">
        <f ca="1"/>
        <v>0.88455227747305121</v>
      </c>
      <c r="O9898" s="2">
        <f ca="1"/>
        <v>0.4904893483788999</v>
      </c>
      <c r="X9898" s="2">
        <f ca="1"/>
        <v>27.521295041080684</v>
      </c>
      <c r="AG9898" s="2">
        <f ca="1"/>
        <v>0.19181741644764871</v>
      </c>
      <c r="AH9898" s="2" t="str">
        <f ca="1"/>
        <v>OK</v>
      </c>
    </row>
    <row r="9899" spans="2:34" x14ac:dyDescent="0.2">
      <c r="B9899" s="2">
        <f ca="1"/>
        <v>0.48700449029289028</v>
      </c>
      <c r="O9899" s="2">
        <f ca="1"/>
        <v>0.65687991198816398</v>
      </c>
      <c r="X9899" s="2">
        <f ca="1"/>
        <v>40.488647031068226</v>
      </c>
      <c r="AG9899" s="2">
        <f ca="1"/>
        <v>0.38658185920454469</v>
      </c>
      <c r="AH9899" s="2" t="str">
        <f ca="1"/>
        <v>OK</v>
      </c>
    </row>
    <row r="9900" spans="2:34" x14ac:dyDescent="0.2">
      <c r="B9900" s="2">
        <f ca="1"/>
        <v>0.21681718318579324</v>
      </c>
      <c r="O9900" s="2">
        <f ca="1"/>
        <v>1.2355972559390884</v>
      </c>
      <c r="X9900" s="2">
        <f ca="1"/>
        <v>31.062741701241869</v>
      </c>
      <c r="AG9900" s="2">
        <f ca="1"/>
        <v>0.38041429056670317</v>
      </c>
      <c r="AH9900" s="2" t="str">
        <f ca="1"/>
        <v>OK</v>
      </c>
    </row>
    <row r="9901" spans="2:34" x14ac:dyDescent="0.2">
      <c r="B9901" s="2">
        <f ca="1"/>
        <v>0.98869440818984833</v>
      </c>
      <c r="O9901" s="2">
        <f ca="1"/>
        <v>1.0270932466285803</v>
      </c>
      <c r="X9901" s="2">
        <f ca="1"/>
        <v>82.83049537463927</v>
      </c>
      <c r="AG9901" s="2">
        <f ca="1"/>
        <v>0.12185012873223822</v>
      </c>
      <c r="AH9901" s="2" t="str">
        <f ca="1"/>
        <v>OK</v>
      </c>
    </row>
    <row r="9902" spans="2:34" x14ac:dyDescent="0.2">
      <c r="B9902" s="2">
        <f ca="1"/>
        <v>0.44608465618947735</v>
      </c>
      <c r="O9902" s="2">
        <f ca="1"/>
        <v>-3.6563297272588668E-2</v>
      </c>
      <c r="X9902" s="2">
        <f ca="1"/>
        <v>61.652350881834757</v>
      </c>
      <c r="AG9902" s="2">
        <f ca="1"/>
        <v>0.22883240571666685</v>
      </c>
      <c r="AH9902" s="2" t="str">
        <f ca="1"/>
        <v>OK</v>
      </c>
    </row>
    <row r="9903" spans="2:34" x14ac:dyDescent="0.2">
      <c r="B9903" s="2">
        <f ca="1"/>
        <v>5.1425759061016985E-2</v>
      </c>
      <c r="O9903" s="2">
        <f ca="1"/>
        <v>-1.5533315414625446</v>
      </c>
      <c r="X9903" s="2">
        <f ca="1"/>
        <v>49.141908939437513</v>
      </c>
      <c r="AG9903" s="2">
        <f ca="1"/>
        <v>0.78871089769820002</v>
      </c>
      <c r="AH9903" s="2" t="str">
        <f ca="1"/>
        <v>Bad</v>
      </c>
    </row>
    <row r="9904" spans="2:34" x14ac:dyDescent="0.2">
      <c r="B9904" s="2">
        <f ca="1"/>
        <v>0.33860733633867945</v>
      </c>
      <c r="O9904" s="2">
        <f ca="1"/>
        <v>-0.35897634961374397</v>
      </c>
      <c r="X9904" s="2">
        <f ca="1"/>
        <v>44.166155037140214</v>
      </c>
      <c r="AG9904" s="2">
        <f ca="1"/>
        <v>0.91550705074866312</v>
      </c>
      <c r="AH9904" s="2" t="str">
        <f ca="1"/>
        <v>Bad</v>
      </c>
    </row>
    <row r="9905" spans="2:34" x14ac:dyDescent="0.2">
      <c r="B9905" s="2">
        <f ca="1"/>
        <v>0.37389414502955454</v>
      </c>
      <c r="O9905" s="2">
        <f ca="1"/>
        <v>1.3956994248462933</v>
      </c>
      <c r="X9905" s="2">
        <f ca="1"/>
        <v>55.714836836096111</v>
      </c>
      <c r="AG9905" s="2">
        <f ca="1"/>
        <v>0.90690128706309503</v>
      </c>
      <c r="AH9905" s="2" t="str">
        <f ca="1"/>
        <v>Bad</v>
      </c>
    </row>
    <row r="9906" spans="2:34" x14ac:dyDescent="0.2">
      <c r="B9906" s="2">
        <f ca="1"/>
        <v>5.6819584238631426E-2</v>
      </c>
      <c r="O9906" s="2">
        <f ca="1"/>
        <v>0.68942019479576266</v>
      </c>
      <c r="X9906" s="2">
        <f ca="1"/>
        <v>40.876700471908293</v>
      </c>
      <c r="AG9906" s="2">
        <f ca="1"/>
        <v>0.1570625572122033</v>
      </c>
      <c r="AH9906" s="2" t="str">
        <f ca="1"/>
        <v>OK</v>
      </c>
    </row>
    <row r="9907" spans="2:34" x14ac:dyDescent="0.2">
      <c r="B9907" s="2">
        <f ca="1"/>
        <v>0.92082784175997223</v>
      </c>
      <c r="O9907" s="2">
        <f ca="1"/>
        <v>-0.32940437620016932</v>
      </c>
      <c r="X9907" s="2">
        <f ca="1"/>
        <v>88.113721346318499</v>
      </c>
      <c r="AG9907" s="2">
        <f ca="1"/>
        <v>1.4408941138134068E-2</v>
      </c>
      <c r="AH9907" s="2" t="str">
        <f ca="1"/>
        <v>Good</v>
      </c>
    </row>
    <row r="9908" spans="2:34" x14ac:dyDescent="0.2">
      <c r="B9908" s="2">
        <f ca="1"/>
        <v>0.10595033591988479</v>
      </c>
      <c r="O9908" s="2">
        <f ca="1"/>
        <v>-1.1869975706965434</v>
      </c>
      <c r="X9908" s="2">
        <f ca="1"/>
        <v>13.721580190511762</v>
      </c>
      <c r="AG9908" s="2">
        <f ca="1"/>
        <v>0.98014090574982271</v>
      </c>
      <c r="AH9908" s="2" t="str">
        <f ca="1"/>
        <v>Bad</v>
      </c>
    </row>
    <row r="9909" spans="2:34" x14ac:dyDescent="0.2">
      <c r="B9909" s="2">
        <f ca="1"/>
        <v>1.1935676875740597E-4</v>
      </c>
      <c r="O9909" s="2">
        <f ca="1"/>
        <v>-3.4083475263635137</v>
      </c>
      <c r="X9909" s="2">
        <f ca="1"/>
        <v>36.084209752476404</v>
      </c>
      <c r="AG9909" s="2">
        <f ca="1"/>
        <v>0.21379919118410573</v>
      </c>
      <c r="AH9909" s="2" t="str">
        <f ca="1"/>
        <v>OK</v>
      </c>
    </row>
    <row r="9910" spans="2:34" x14ac:dyDescent="0.2">
      <c r="B9910" s="2">
        <f ca="1"/>
        <v>7.0823661867250198E-2</v>
      </c>
      <c r="O9910" s="2">
        <f ca="1"/>
        <v>-0.30756862247180894</v>
      </c>
      <c r="X9910" s="2">
        <f ca="1"/>
        <v>65.481590613130976</v>
      </c>
      <c r="AG9910" s="2">
        <f ca="1"/>
        <v>0.17226846232513826</v>
      </c>
      <c r="AH9910" s="2" t="str">
        <f ca="1"/>
        <v>OK</v>
      </c>
    </row>
    <row r="9911" spans="2:34" x14ac:dyDescent="0.2">
      <c r="B9911" s="2">
        <f ca="1"/>
        <v>7.1414600873588308E-2</v>
      </c>
      <c r="O9911" s="2">
        <f ca="1"/>
        <v>-1.1897217554438084</v>
      </c>
      <c r="X9911" s="2">
        <f ca="1"/>
        <v>55.069401704679521</v>
      </c>
      <c r="AG9911" s="2">
        <f ca="1"/>
        <v>0.30450101800073615</v>
      </c>
      <c r="AH9911" s="2" t="str">
        <f ca="1"/>
        <v>OK</v>
      </c>
    </row>
    <row r="9912" spans="2:34" x14ac:dyDescent="0.2">
      <c r="B9912" s="2">
        <f ca="1"/>
        <v>0.72971170155933884</v>
      </c>
      <c r="O9912" s="2">
        <f ca="1"/>
        <v>0.81297626693988279</v>
      </c>
      <c r="X9912" s="2">
        <f ca="1"/>
        <v>45.514336929784506</v>
      </c>
      <c r="AG9912" s="2">
        <f ca="1"/>
        <v>0.45205245445163733</v>
      </c>
      <c r="AH9912" s="2" t="str">
        <f ca="1"/>
        <v>Bad</v>
      </c>
    </row>
    <row r="9913" spans="2:34" x14ac:dyDescent="0.2">
      <c r="B9913" s="2">
        <f ca="1"/>
        <v>7.7137407331550722E-2</v>
      </c>
      <c r="O9913" s="2">
        <f ca="1"/>
        <v>0.54095528844903495</v>
      </c>
      <c r="X9913" s="2">
        <f ca="1"/>
        <v>51.309852529846864</v>
      </c>
      <c r="AG9913" s="2">
        <f ca="1"/>
        <v>0.77911747570203915</v>
      </c>
      <c r="AH9913" s="2" t="str">
        <f ca="1"/>
        <v>Bad</v>
      </c>
    </row>
    <row r="9914" spans="2:34" x14ac:dyDescent="0.2">
      <c r="B9914" s="2">
        <f ca="1"/>
        <v>0.17414631660377577</v>
      </c>
      <c r="O9914" s="2">
        <f ca="1"/>
        <v>-1.446456151154591</v>
      </c>
      <c r="X9914" s="2">
        <f ca="1"/>
        <v>41.790167573176305</v>
      </c>
      <c r="AG9914" s="2">
        <f ca="1"/>
        <v>0.31007502956790822</v>
      </c>
      <c r="AH9914" s="2" t="str">
        <f ca="1"/>
        <v>OK</v>
      </c>
    </row>
    <row r="9915" spans="2:34" x14ac:dyDescent="0.2">
      <c r="B9915" s="2">
        <f ca="1"/>
        <v>0.48054517472818303</v>
      </c>
      <c r="O9915" s="2">
        <f ca="1"/>
        <v>0.98106256931114499</v>
      </c>
      <c r="X9915" s="2">
        <f ca="1"/>
        <v>48.435512336596609</v>
      </c>
      <c r="AG9915" s="2">
        <f ca="1"/>
        <v>0.24033011054833953</v>
      </c>
      <c r="AH9915" s="2" t="str">
        <f ca="1"/>
        <v>OK</v>
      </c>
    </row>
    <row r="9916" spans="2:34" x14ac:dyDescent="0.2">
      <c r="B9916" s="2">
        <f ca="1"/>
        <v>1.5204848398967741E-2</v>
      </c>
      <c r="O9916" s="2">
        <f ca="1"/>
        <v>0.39291417161428144</v>
      </c>
      <c r="X9916" s="2">
        <f ca="1"/>
        <v>75.985912920035105</v>
      </c>
      <c r="AG9916" s="2">
        <f ca="1"/>
        <v>0.7547935517830906</v>
      </c>
      <c r="AH9916" s="2" t="str">
        <f ca="1"/>
        <v>Bad</v>
      </c>
    </row>
    <row r="9917" spans="2:34" x14ac:dyDescent="0.2">
      <c r="B9917" s="2">
        <f ca="1"/>
        <v>0.28617549483359905</v>
      </c>
      <c r="O9917" s="2">
        <f ca="1"/>
        <v>0.23375431439853991</v>
      </c>
      <c r="X9917" s="2">
        <f ca="1"/>
        <v>57.702084471013144</v>
      </c>
      <c r="AG9917" s="2">
        <f ca="1"/>
        <v>0.97732746910739166</v>
      </c>
      <c r="AH9917" s="2" t="str">
        <f ca="1"/>
        <v>Bad</v>
      </c>
    </row>
    <row r="9918" spans="2:34" x14ac:dyDescent="0.2">
      <c r="B9918" s="2">
        <f ca="1"/>
        <v>0.95905555455127534</v>
      </c>
      <c r="O9918" s="2">
        <f ca="1"/>
        <v>0.58603372672284881</v>
      </c>
      <c r="X9918" s="2">
        <f ca="1"/>
        <v>39.851568775541637</v>
      </c>
      <c r="AG9918" s="2">
        <f ca="1"/>
        <v>0.17846273298614901</v>
      </c>
      <c r="AH9918" s="2" t="str">
        <f ca="1"/>
        <v>OK</v>
      </c>
    </row>
    <row r="9919" spans="2:34" x14ac:dyDescent="0.2">
      <c r="B9919" s="2">
        <f ca="1"/>
        <v>0.4040036559348954</v>
      </c>
      <c r="O9919" s="2">
        <f ca="1"/>
        <v>0.16602986923174542</v>
      </c>
      <c r="X9919" s="2">
        <f ca="1"/>
        <v>26.229762002023541</v>
      </c>
      <c r="AG9919" s="2">
        <f ca="1"/>
        <v>0.67140282256840211</v>
      </c>
      <c r="AH9919" s="2" t="str">
        <f ca="1"/>
        <v>Bad</v>
      </c>
    </row>
    <row r="9920" spans="2:34" x14ac:dyDescent="0.2">
      <c r="B9920" s="2">
        <f ca="1"/>
        <v>0.77285472074088468</v>
      </c>
      <c r="O9920" s="2">
        <f ca="1"/>
        <v>0.9308182877587905</v>
      </c>
      <c r="X9920" s="2">
        <f ca="1"/>
        <v>38.040294629369313</v>
      </c>
      <c r="AG9920" s="2">
        <f ca="1"/>
        <v>0.10477203854016093</v>
      </c>
      <c r="AH9920" s="2" t="str">
        <f ca="1"/>
        <v>OK</v>
      </c>
    </row>
    <row r="9921" spans="2:34" x14ac:dyDescent="0.2">
      <c r="B9921" s="2">
        <f ca="1"/>
        <v>0.12297079542779144</v>
      </c>
      <c r="O9921" s="2">
        <f ca="1"/>
        <v>-1.0723045881936113</v>
      </c>
      <c r="X9921" s="2">
        <f ca="1"/>
        <v>48.228090566226278</v>
      </c>
      <c r="AG9921" s="2">
        <f ca="1"/>
        <v>0.76490409361869727</v>
      </c>
      <c r="AH9921" s="2" t="str">
        <f ca="1"/>
        <v>Bad</v>
      </c>
    </row>
    <row r="9922" spans="2:34" x14ac:dyDescent="0.2">
      <c r="B9922" s="2">
        <f ca="1"/>
        <v>0.35244842628574746</v>
      </c>
      <c r="O9922" s="2">
        <f ca="1"/>
        <v>-3.1052062869842962</v>
      </c>
      <c r="X9922" s="2">
        <f ca="1"/>
        <v>58.138159740051321</v>
      </c>
      <c r="AG9922" s="2">
        <f ca="1"/>
        <v>0.87149401521465752</v>
      </c>
      <c r="AH9922" s="2" t="str">
        <f ca="1"/>
        <v>Bad</v>
      </c>
    </row>
    <row r="9923" spans="2:34" x14ac:dyDescent="0.2">
      <c r="B9923" s="2">
        <f ca="1"/>
        <v>0.18746143282472416</v>
      </c>
      <c r="O9923" s="2">
        <f ca="1"/>
        <v>-0.82570072657605875</v>
      </c>
      <c r="X9923" s="2">
        <f ca="1"/>
        <v>28.360001377475086</v>
      </c>
      <c r="AG9923" s="2">
        <f ca="1"/>
        <v>0.46408676282455663</v>
      </c>
      <c r="AH9923" s="2" t="str">
        <f ca="1"/>
        <v>Bad</v>
      </c>
    </row>
    <row r="9924" spans="2:34" x14ac:dyDescent="0.2">
      <c r="B9924" s="2">
        <f ca="1"/>
        <v>0.92191026162860434</v>
      </c>
      <c r="O9924" s="2">
        <f ca="1"/>
        <v>-5.2598512461923867E-2</v>
      </c>
      <c r="X9924" s="2">
        <f ca="1"/>
        <v>43.534817120005663</v>
      </c>
      <c r="AG9924" s="2">
        <f ca="1"/>
        <v>0.14759119291288725</v>
      </c>
      <c r="AH9924" s="2" t="str">
        <f ca="1"/>
        <v>OK</v>
      </c>
    </row>
    <row r="9925" spans="2:34" x14ac:dyDescent="0.2">
      <c r="B9925" s="2">
        <f ca="1"/>
        <v>0.19044729767211566</v>
      </c>
      <c r="O9925" s="2">
        <f ca="1"/>
        <v>-8.7889538954979071E-2</v>
      </c>
      <c r="X9925" s="2">
        <f ca="1"/>
        <v>116.87252684859547</v>
      </c>
      <c r="AG9925" s="2">
        <f ca="1"/>
        <v>0.65397250199806756</v>
      </c>
      <c r="AH9925" s="2" t="str">
        <f ca="1"/>
        <v>Bad</v>
      </c>
    </row>
    <row r="9926" spans="2:34" x14ac:dyDescent="0.2">
      <c r="B9926" s="2">
        <f ca="1"/>
        <v>0.2473638574569379</v>
      </c>
      <c r="O9926" s="2">
        <f ca="1"/>
        <v>-0.22578393442705552</v>
      </c>
      <c r="X9926" s="2">
        <f ca="1"/>
        <v>57.414759052178958</v>
      </c>
      <c r="AG9926" s="2">
        <f ca="1"/>
        <v>0.75287643072756527</v>
      </c>
      <c r="AH9926" s="2" t="str">
        <f ca="1"/>
        <v>Bad</v>
      </c>
    </row>
    <row r="9927" spans="2:34" x14ac:dyDescent="0.2">
      <c r="B9927" s="2">
        <f ca="1"/>
        <v>0.56627359603540173</v>
      </c>
      <c r="O9927" s="2">
        <f ca="1"/>
        <v>-0.42945150006479321</v>
      </c>
      <c r="X9927" s="2">
        <f ca="1"/>
        <v>43.680367162636117</v>
      </c>
      <c r="AG9927" s="2">
        <f ca="1"/>
        <v>0.99805114322249167</v>
      </c>
      <c r="AH9927" s="2" t="str">
        <f ca="1"/>
        <v>Bad</v>
      </c>
    </row>
    <row r="9928" spans="2:34" x14ac:dyDescent="0.2">
      <c r="B9928" s="2">
        <f ca="1"/>
        <v>0.80554147624557104</v>
      </c>
      <c r="O9928" s="2">
        <f ca="1"/>
        <v>1.1900805182175587</v>
      </c>
      <c r="X9928" s="2">
        <f ca="1"/>
        <v>41.975821264690481</v>
      </c>
      <c r="AG9928" s="2">
        <f ca="1"/>
        <v>0.94581861627465913</v>
      </c>
      <c r="AH9928" s="2" t="str">
        <f ca="1"/>
        <v>Bad</v>
      </c>
    </row>
    <row r="9929" spans="2:34" x14ac:dyDescent="0.2">
      <c r="B9929" s="2">
        <f ca="1"/>
        <v>0.19727021729572081</v>
      </c>
      <c r="O9929" s="2">
        <f ca="1"/>
        <v>5.1376922173289208E-2</v>
      </c>
      <c r="X9929" s="2">
        <f ca="1"/>
        <v>55.110890413415689</v>
      </c>
      <c r="AG9929" s="2">
        <f ca="1"/>
        <v>0.53073760413653104</v>
      </c>
      <c r="AH9929" s="2" t="str">
        <f ca="1"/>
        <v>Bad</v>
      </c>
    </row>
    <row r="9930" spans="2:34" x14ac:dyDescent="0.2">
      <c r="B9930" s="2">
        <f ca="1"/>
        <v>0.88365690799724539</v>
      </c>
      <c r="O9930" s="2">
        <f ca="1"/>
        <v>3.6248218614711135E-2</v>
      </c>
      <c r="X9930" s="2">
        <f ca="1"/>
        <v>37.809724472182836</v>
      </c>
      <c r="AG9930" s="2">
        <f ca="1"/>
        <v>0.28788402618238984</v>
      </c>
      <c r="AH9930" s="2" t="str">
        <f ca="1"/>
        <v>OK</v>
      </c>
    </row>
    <row r="9931" spans="2:34" x14ac:dyDescent="0.2">
      <c r="B9931" s="2">
        <f ca="1"/>
        <v>0.6996345158814028</v>
      </c>
      <c r="O9931" s="2">
        <f ca="1"/>
        <v>0.1480612907094149</v>
      </c>
      <c r="X9931" s="2">
        <f ca="1"/>
        <v>61.491092353935485</v>
      </c>
      <c r="AG9931" s="2">
        <f ca="1"/>
        <v>0.64978058211442224</v>
      </c>
      <c r="AH9931" s="2" t="str">
        <f ca="1"/>
        <v>Bad</v>
      </c>
    </row>
    <row r="9932" spans="2:34" x14ac:dyDescent="0.2">
      <c r="B9932" s="2">
        <f ca="1"/>
        <v>0.14834125066142545</v>
      </c>
      <c r="O9932" s="2">
        <f ca="1"/>
        <v>-1.0063178323090212</v>
      </c>
      <c r="X9932" s="2">
        <f ca="1"/>
        <v>27.623246860255918</v>
      </c>
      <c r="AG9932" s="2">
        <f ca="1"/>
        <v>0.76592443569057322</v>
      </c>
      <c r="AH9932" s="2" t="str">
        <f ca="1"/>
        <v>Bad</v>
      </c>
    </row>
    <row r="9933" spans="2:34" x14ac:dyDescent="0.2">
      <c r="B9933" s="2">
        <f ca="1"/>
        <v>0.10811645601306852</v>
      </c>
      <c r="O9933" s="2">
        <f ca="1"/>
        <v>-0.10657496975070427</v>
      </c>
      <c r="X9933" s="2">
        <f ca="1"/>
        <v>56.017622168968728</v>
      </c>
      <c r="AG9933" s="2">
        <f ca="1"/>
        <v>0.10143972960038083</v>
      </c>
      <c r="AH9933" s="2" t="str">
        <f ca="1"/>
        <v>OK</v>
      </c>
    </row>
    <row r="9934" spans="2:34" x14ac:dyDescent="0.2">
      <c r="B9934" s="2">
        <f ca="1"/>
        <v>0.23022552087562875</v>
      </c>
      <c r="O9934" s="2">
        <f ca="1"/>
        <v>2.0116511096372256</v>
      </c>
      <c r="X9934" s="2">
        <f ca="1"/>
        <v>38.034034685733886</v>
      </c>
      <c r="AG9934" s="2">
        <f ca="1"/>
        <v>0.22468781830647844</v>
      </c>
      <c r="AH9934" s="2" t="str">
        <f ca="1"/>
        <v>OK</v>
      </c>
    </row>
    <row r="9935" spans="2:34" x14ac:dyDescent="0.2">
      <c r="B9935" s="2">
        <f ca="1"/>
        <v>0.95927775901547352</v>
      </c>
      <c r="O9935" s="2">
        <f ca="1"/>
        <v>-1.5794751964481724</v>
      </c>
      <c r="X9935" s="2">
        <f ca="1"/>
        <v>43.203121637301301</v>
      </c>
      <c r="AG9935" s="2">
        <f ca="1"/>
        <v>0.22940607391402179</v>
      </c>
      <c r="AH9935" s="2" t="str">
        <f ca="1"/>
        <v>OK</v>
      </c>
    </row>
    <row r="9936" spans="2:34" x14ac:dyDescent="0.2">
      <c r="B9936" s="2">
        <f ca="1"/>
        <v>0.14864684333731959</v>
      </c>
      <c r="O9936" s="2">
        <f ca="1"/>
        <v>0.78297482160952114</v>
      </c>
      <c r="X9936" s="2">
        <f ca="1"/>
        <v>50.268943526865762</v>
      </c>
      <c r="AG9936" s="2">
        <f ca="1"/>
        <v>3.0984367616974096E-2</v>
      </c>
      <c r="AH9936" s="2" t="str">
        <f ca="1"/>
        <v>Good</v>
      </c>
    </row>
    <row r="9937" spans="2:34" x14ac:dyDescent="0.2">
      <c r="B9937" s="2">
        <f ca="1"/>
        <v>0.31100751340261068</v>
      </c>
      <c r="O9937" s="2">
        <f ca="1"/>
        <v>0.24041054755885113</v>
      </c>
      <c r="X9937" s="2">
        <f ca="1"/>
        <v>38.551625212565803</v>
      </c>
      <c r="AG9937" s="2">
        <f ca="1"/>
        <v>0.61540580604339312</v>
      </c>
      <c r="AH9937" s="2" t="str">
        <f ca="1"/>
        <v>Bad</v>
      </c>
    </row>
    <row r="9938" spans="2:34" x14ac:dyDescent="0.2">
      <c r="B9938" s="2">
        <f ca="1"/>
        <v>0.35461964145189273</v>
      </c>
      <c r="O9938" s="2">
        <f ca="1"/>
        <v>0.83563099720596812</v>
      </c>
      <c r="X9938" s="2">
        <f ca="1"/>
        <v>45.334803527923754</v>
      </c>
      <c r="AG9938" s="2">
        <f ca="1"/>
        <v>0.50380778395634129</v>
      </c>
      <c r="AH9938" s="2" t="str">
        <f ca="1"/>
        <v>Bad</v>
      </c>
    </row>
    <row r="9939" spans="2:34" x14ac:dyDescent="0.2">
      <c r="B9939" s="2">
        <f ca="1"/>
        <v>0.69899754849806328</v>
      </c>
      <c r="O9939" s="2">
        <f ca="1"/>
        <v>1.9207003599692201</v>
      </c>
      <c r="X9939" s="2">
        <f ca="1"/>
        <v>54.961602132369421</v>
      </c>
      <c r="AG9939" s="2">
        <f ca="1"/>
        <v>0.78999191281381131</v>
      </c>
      <c r="AH9939" s="2" t="str">
        <f ca="1"/>
        <v>Bad</v>
      </c>
    </row>
    <row r="9940" spans="2:34" x14ac:dyDescent="0.2">
      <c r="B9940" s="2">
        <f ca="1"/>
        <v>0.21785745127568545</v>
      </c>
      <c r="O9940" s="2">
        <f ca="1"/>
        <v>1.104133032072891</v>
      </c>
      <c r="X9940" s="2">
        <f ca="1"/>
        <v>47.092072401262037</v>
      </c>
      <c r="AG9940" s="2">
        <f ca="1"/>
        <v>0.78829508898431411</v>
      </c>
      <c r="AH9940" s="2" t="str">
        <f ca="1"/>
        <v>Bad</v>
      </c>
    </row>
    <row r="9941" spans="2:34" x14ac:dyDescent="0.2">
      <c r="B9941" s="2">
        <f ca="1"/>
        <v>0.24801838978122337</v>
      </c>
      <c r="O9941" s="2">
        <f ca="1"/>
        <v>-0.74996128535892859</v>
      </c>
      <c r="X9941" s="2">
        <f ca="1"/>
        <v>43.782994447129809</v>
      </c>
      <c r="AG9941" s="2">
        <f ca="1"/>
        <v>0.35688823299946337</v>
      </c>
      <c r="AH9941" s="2" t="str">
        <f ca="1"/>
        <v>OK</v>
      </c>
    </row>
    <row r="9942" spans="2:34" x14ac:dyDescent="0.2">
      <c r="B9942" s="2">
        <f ca="1"/>
        <v>0.40434199726861064</v>
      </c>
      <c r="O9942" s="2">
        <f ca="1"/>
        <v>0.6763810272969355</v>
      </c>
      <c r="X9942" s="2">
        <f ca="1"/>
        <v>36.069665684542386</v>
      </c>
      <c r="AG9942" s="2">
        <f ca="1"/>
        <v>0.76033382244850478</v>
      </c>
      <c r="AH9942" s="2" t="str">
        <f ca="1"/>
        <v>Bad</v>
      </c>
    </row>
    <row r="9943" spans="2:34" x14ac:dyDescent="0.2">
      <c r="B9943" s="2">
        <f ca="1"/>
        <v>0.50559357596437482</v>
      </c>
      <c r="O9943" s="2">
        <f ca="1"/>
        <v>-0.13040863476793096</v>
      </c>
      <c r="X9943" s="2">
        <f ca="1"/>
        <v>74.252972820509783</v>
      </c>
      <c r="AG9943" s="2">
        <f ca="1"/>
        <v>0.96395844247809004</v>
      </c>
      <c r="AH9943" s="2" t="str">
        <f ca="1"/>
        <v>Bad</v>
      </c>
    </row>
    <row r="9944" spans="2:34" x14ac:dyDescent="0.2">
      <c r="B9944" s="2">
        <f ca="1"/>
        <v>0.18364781440907563</v>
      </c>
      <c r="O9944" s="2">
        <f ca="1"/>
        <v>-0.8217227018053378</v>
      </c>
      <c r="X9944" s="2">
        <f ca="1"/>
        <v>56.470502108942931</v>
      </c>
      <c r="AG9944" s="2">
        <f ca="1"/>
        <v>0.24574055212553647</v>
      </c>
      <c r="AH9944" s="2" t="str">
        <f ca="1"/>
        <v>OK</v>
      </c>
    </row>
    <row r="9945" spans="2:34" x14ac:dyDescent="0.2">
      <c r="B9945" s="2">
        <f ca="1"/>
        <v>0.77620875002967393</v>
      </c>
      <c r="O9945" s="2">
        <f ca="1"/>
        <v>-1.1127829827329829</v>
      </c>
      <c r="X9945" s="2">
        <f ca="1"/>
        <v>72.183654847403389</v>
      </c>
      <c r="AG9945" s="2">
        <f ca="1"/>
        <v>0.52270509116275177</v>
      </c>
      <c r="AH9945" s="2" t="str">
        <f ca="1"/>
        <v>Bad</v>
      </c>
    </row>
    <row r="9946" spans="2:34" x14ac:dyDescent="0.2">
      <c r="B9946" s="2">
        <f ca="1"/>
        <v>0.35471485408061243</v>
      </c>
      <c r="O9946" s="2">
        <f ca="1"/>
        <v>-0.53604210994180779</v>
      </c>
      <c r="X9946" s="2">
        <f ca="1"/>
        <v>54.04292441925417</v>
      </c>
      <c r="AG9946" s="2">
        <f ca="1"/>
        <v>0.42003728089506209</v>
      </c>
      <c r="AH9946" s="2" t="str">
        <f ca="1"/>
        <v>Bad</v>
      </c>
    </row>
    <row r="9947" spans="2:34" x14ac:dyDescent="0.2">
      <c r="B9947" s="2">
        <f ca="1"/>
        <v>0.24149922328331086</v>
      </c>
      <c r="O9947" s="2">
        <f ca="1"/>
        <v>-1.7753494732948092</v>
      </c>
      <c r="X9947" s="2">
        <f ca="1"/>
        <v>43.636251404996088</v>
      </c>
      <c r="AG9947" s="2">
        <f ca="1"/>
        <v>0.12466524048824001</v>
      </c>
      <c r="AH9947" s="2" t="str">
        <f ca="1"/>
        <v>OK</v>
      </c>
    </row>
    <row r="9948" spans="2:34" x14ac:dyDescent="0.2">
      <c r="B9948" s="2">
        <f ca="1"/>
        <v>0.73724549607351064</v>
      </c>
      <c r="O9948" s="2">
        <f ca="1"/>
        <v>-0.7158705881199805</v>
      </c>
      <c r="X9948" s="2">
        <f ca="1"/>
        <v>36.188169290560552</v>
      </c>
      <c r="AG9948" s="2">
        <f ca="1"/>
        <v>0.76731927895989371</v>
      </c>
      <c r="AH9948" s="2" t="str">
        <f ca="1"/>
        <v>Bad</v>
      </c>
    </row>
    <row r="9949" spans="2:34" x14ac:dyDescent="0.2">
      <c r="B9949" s="2">
        <f ca="1"/>
        <v>0.97360911653951554</v>
      </c>
      <c r="O9949" s="2">
        <f ca="1"/>
        <v>-0.82628783185531685</v>
      </c>
      <c r="X9949" s="2">
        <f ca="1"/>
        <v>27.673989435205414</v>
      </c>
      <c r="AG9949" s="2">
        <f ca="1"/>
        <v>0.81150854378025294</v>
      </c>
      <c r="AH9949" s="2" t="str">
        <f ca="1"/>
        <v>Bad</v>
      </c>
    </row>
    <row r="9950" spans="2:34" x14ac:dyDescent="0.2">
      <c r="B9950" s="2">
        <f ca="1"/>
        <v>0.38947046995132584</v>
      </c>
      <c r="O9950" s="2">
        <f ca="1"/>
        <v>-1.1089561030408299</v>
      </c>
      <c r="X9950" s="2">
        <f ca="1"/>
        <v>81.497617040671244</v>
      </c>
      <c r="AG9950" s="2">
        <f ca="1"/>
        <v>0.31907863881119547</v>
      </c>
      <c r="AH9950" s="2" t="str">
        <f ca="1"/>
        <v>OK</v>
      </c>
    </row>
    <row r="9951" spans="2:34" x14ac:dyDescent="0.2">
      <c r="B9951" s="2">
        <f ca="1"/>
        <v>6.5599719620530017E-2</v>
      </c>
      <c r="O9951" s="2">
        <f ca="1"/>
        <v>7.487585297736099E-2</v>
      </c>
      <c r="X9951" s="2">
        <f ca="1"/>
        <v>59.242723601185446</v>
      </c>
      <c r="AG9951" s="2">
        <f ca="1"/>
        <v>0.77217334164014129</v>
      </c>
      <c r="AH9951" s="2" t="str">
        <f ca="1"/>
        <v>Bad</v>
      </c>
    </row>
    <row r="9952" spans="2:34" x14ac:dyDescent="0.2">
      <c r="B9952" s="2">
        <f ca="1"/>
        <v>0.42979380050479921</v>
      </c>
      <c r="O9952" s="2">
        <f ca="1"/>
        <v>-0.91846955281436937</v>
      </c>
      <c r="X9952" s="2">
        <f ca="1"/>
        <v>37.447476758170126</v>
      </c>
      <c r="AG9952" s="2">
        <f ca="1"/>
        <v>0.6677075372065564</v>
      </c>
      <c r="AH9952" s="2" t="str">
        <f ca="1"/>
        <v>Bad</v>
      </c>
    </row>
    <row r="9953" spans="2:34" x14ac:dyDescent="0.2">
      <c r="B9953" s="2">
        <f ca="1"/>
        <v>0.46138936090610616</v>
      </c>
      <c r="O9953" s="2">
        <f ca="1"/>
        <v>1.1462707902525384</v>
      </c>
      <c r="X9953" s="2">
        <f ca="1"/>
        <v>51.243249501451579</v>
      </c>
      <c r="AG9953" s="2">
        <f ca="1"/>
        <v>0.18841306028591132</v>
      </c>
      <c r="AH9953" s="2" t="str">
        <f ca="1"/>
        <v>OK</v>
      </c>
    </row>
    <row r="9954" spans="2:34" x14ac:dyDescent="0.2">
      <c r="B9954" s="2">
        <f ca="1"/>
        <v>0.65002502902337578</v>
      </c>
      <c r="O9954" s="2">
        <f ca="1"/>
        <v>0.16202549433015992</v>
      </c>
      <c r="X9954" s="2">
        <f ca="1"/>
        <v>63.683452664905069</v>
      </c>
      <c r="AG9954" s="2">
        <f ca="1"/>
        <v>0.58441070278453511</v>
      </c>
      <c r="AH9954" s="2" t="str">
        <f ca="1"/>
        <v>Bad</v>
      </c>
    </row>
    <row r="9955" spans="2:34" x14ac:dyDescent="0.2">
      <c r="B9955" s="2">
        <f ca="1"/>
        <v>0.26212829425109163</v>
      </c>
      <c r="O9955" s="2">
        <f ca="1"/>
        <v>1.3795670898696233</v>
      </c>
      <c r="X9955" s="2">
        <f ca="1"/>
        <v>41.336934405437127</v>
      </c>
      <c r="AG9955" s="2">
        <f ca="1"/>
        <v>0.27173106480317033</v>
      </c>
      <c r="AH9955" s="2" t="str">
        <f ca="1"/>
        <v>OK</v>
      </c>
    </row>
    <row r="9956" spans="2:34" x14ac:dyDescent="0.2">
      <c r="B9956" s="2">
        <f ca="1"/>
        <v>0.43293155064146904</v>
      </c>
      <c r="O9956" s="2">
        <f ca="1"/>
        <v>-2.8890491906320693E-2</v>
      </c>
      <c r="X9956" s="2">
        <f ca="1"/>
        <v>47.494143345080538</v>
      </c>
      <c r="AG9956" s="2">
        <f ca="1"/>
        <v>0.63316374057467373</v>
      </c>
      <c r="AH9956" s="2" t="str">
        <f ca="1"/>
        <v>Bad</v>
      </c>
    </row>
    <row r="9957" spans="2:34" x14ac:dyDescent="0.2">
      <c r="B9957" s="2">
        <f ca="1"/>
        <v>0.29619777047272344</v>
      </c>
      <c r="O9957" s="2">
        <f ca="1"/>
        <v>1.3871645619673119</v>
      </c>
      <c r="X9957" s="2">
        <f ca="1"/>
        <v>50.653395284124869</v>
      </c>
      <c r="AG9957" s="2">
        <f ca="1"/>
        <v>0.18529865539325829</v>
      </c>
      <c r="AH9957" s="2" t="str">
        <f ca="1"/>
        <v>OK</v>
      </c>
    </row>
    <row r="9958" spans="2:34" x14ac:dyDescent="0.2">
      <c r="B9958" s="2">
        <f ca="1"/>
        <v>0.50757105952921489</v>
      </c>
      <c r="O9958" s="2">
        <f ca="1"/>
        <v>7.6001846029783021E-2</v>
      </c>
      <c r="X9958" s="2">
        <f ca="1"/>
        <v>65.873219211622029</v>
      </c>
      <c r="AG9958" s="2">
        <f ca="1"/>
        <v>0.46498648475608295</v>
      </c>
      <c r="AH9958" s="2" t="str">
        <f ca="1"/>
        <v>Bad</v>
      </c>
    </row>
    <row r="9959" spans="2:34" x14ac:dyDescent="0.2">
      <c r="B9959" s="2">
        <f ca="1"/>
        <v>0.73595530257531494</v>
      </c>
      <c r="O9959" s="2">
        <f ca="1"/>
        <v>-1.4296147000951147</v>
      </c>
      <c r="X9959" s="2">
        <f ca="1"/>
        <v>31.58758774750612</v>
      </c>
      <c r="AG9959" s="2">
        <f ca="1"/>
        <v>0.40034262125279785</v>
      </c>
      <c r="AH9959" s="2" t="str">
        <f ca="1"/>
        <v>Bad</v>
      </c>
    </row>
    <row r="9960" spans="2:34" x14ac:dyDescent="0.2">
      <c r="B9960" s="2">
        <f ca="1"/>
        <v>0.1218857376908824</v>
      </c>
      <c r="O9960" s="2">
        <f ca="1"/>
        <v>0.36108073983680539</v>
      </c>
      <c r="X9960" s="2">
        <f ca="1"/>
        <v>62.861847927389903</v>
      </c>
      <c r="AG9960" s="2">
        <f ca="1"/>
        <v>0.93297261731740178</v>
      </c>
      <c r="AH9960" s="2" t="str">
        <f ca="1"/>
        <v>Bad</v>
      </c>
    </row>
    <row r="9961" spans="2:34" x14ac:dyDescent="0.2">
      <c r="B9961" s="2">
        <f ca="1"/>
        <v>0.36132557224977235</v>
      </c>
      <c r="O9961" s="2">
        <f ca="1"/>
        <v>0.39668021130529119</v>
      </c>
      <c r="X9961" s="2">
        <f ca="1"/>
        <v>67.46578867632951</v>
      </c>
      <c r="AG9961" s="2">
        <f ca="1"/>
        <v>0.24609480815882545</v>
      </c>
      <c r="AH9961" s="2" t="str">
        <f ca="1"/>
        <v>OK</v>
      </c>
    </row>
    <row r="9962" spans="2:34" x14ac:dyDescent="0.2">
      <c r="B9962" s="2">
        <f ca="1"/>
        <v>0.45980326946830119</v>
      </c>
      <c r="O9962" s="2">
        <f ca="1"/>
        <v>-0.85203620734756369</v>
      </c>
      <c r="X9962" s="2">
        <f ca="1"/>
        <v>58.454265032001501</v>
      </c>
      <c r="AG9962" s="2">
        <f ca="1"/>
        <v>3.8904231577419068E-3</v>
      </c>
      <c r="AH9962" s="2" t="str">
        <f ca="1"/>
        <v>Good</v>
      </c>
    </row>
    <row r="9963" spans="2:34" x14ac:dyDescent="0.2">
      <c r="B9963" s="2">
        <f ca="1"/>
        <v>0.62827451182287719</v>
      </c>
      <c r="O9963" s="2">
        <f ca="1"/>
        <v>1.0108319597679569</v>
      </c>
      <c r="X9963" s="2">
        <f ca="1"/>
        <v>45.82211463120781</v>
      </c>
      <c r="AG9963" s="2">
        <f ca="1"/>
        <v>0.82339030369678157</v>
      </c>
      <c r="AH9963" s="2" t="str">
        <f ca="1"/>
        <v>Bad</v>
      </c>
    </row>
    <row r="9964" spans="2:34" x14ac:dyDescent="0.2">
      <c r="B9964" s="2">
        <f ca="1"/>
        <v>0.17904498722943063</v>
      </c>
      <c r="O9964" s="2">
        <f ca="1"/>
        <v>0.48454272262224157</v>
      </c>
      <c r="X9964" s="2">
        <f ca="1"/>
        <v>34.553791482533839</v>
      </c>
      <c r="AG9964" s="2">
        <f ca="1"/>
        <v>0.93493101366581199</v>
      </c>
      <c r="AH9964" s="2" t="str">
        <f ca="1"/>
        <v>Bad</v>
      </c>
    </row>
    <row r="9965" spans="2:34" x14ac:dyDescent="0.2">
      <c r="B9965" s="2">
        <f ca="1"/>
        <v>7.9057276783596198E-2</v>
      </c>
      <c r="O9965" s="2">
        <f ca="1"/>
        <v>0.90509961227352997</v>
      </c>
      <c r="X9965" s="2">
        <f ca="1"/>
        <v>50.877080196835621</v>
      </c>
      <c r="AG9965" s="2">
        <f ca="1"/>
        <v>0.91987250186475533</v>
      </c>
      <c r="AH9965" s="2" t="str">
        <f ca="1"/>
        <v>Bad</v>
      </c>
    </row>
    <row r="9966" spans="2:34" x14ac:dyDescent="0.2">
      <c r="B9966" s="2">
        <f ca="1"/>
        <v>0.83036773636658756</v>
      </c>
      <c r="O9966" s="2">
        <f ca="1"/>
        <v>-0.44421803704374258</v>
      </c>
      <c r="X9966" s="2">
        <f ca="1"/>
        <v>58.111641046526884</v>
      </c>
      <c r="AG9966" s="2">
        <f ca="1"/>
        <v>0.98116230267381188</v>
      </c>
      <c r="AH9966" s="2" t="str">
        <f ca="1"/>
        <v>Bad</v>
      </c>
    </row>
    <row r="9967" spans="2:34" x14ac:dyDescent="0.2">
      <c r="B9967" s="2">
        <f ca="1"/>
        <v>0.30604413782157347</v>
      </c>
      <c r="O9967" s="2">
        <f ca="1"/>
        <v>-0.72215583029490826</v>
      </c>
      <c r="X9967" s="2">
        <f ca="1"/>
        <v>66.158634853500303</v>
      </c>
      <c r="AG9967" s="2">
        <f ca="1"/>
        <v>0.19817663409738207</v>
      </c>
      <c r="AH9967" s="2" t="str">
        <f ca="1"/>
        <v>OK</v>
      </c>
    </row>
    <row r="9968" spans="2:34" x14ac:dyDescent="0.2">
      <c r="B9968" s="2">
        <f ca="1"/>
        <v>0.29675246403336275</v>
      </c>
      <c r="O9968" s="2">
        <f ca="1"/>
        <v>-1.8637274887968385</v>
      </c>
      <c r="X9968" s="2">
        <f ca="1"/>
        <v>56.448505381583935</v>
      </c>
      <c r="AG9968" s="2">
        <f ca="1"/>
        <v>0.40060081736200126</v>
      </c>
      <c r="AH9968" s="2" t="str">
        <f ca="1"/>
        <v>Bad</v>
      </c>
    </row>
    <row r="9969" spans="2:34" x14ac:dyDescent="0.2">
      <c r="B9969" s="2">
        <f ca="1"/>
        <v>0.55675219262816333</v>
      </c>
      <c r="O9969" s="2">
        <f ca="1"/>
        <v>-0.95036418747285212</v>
      </c>
      <c r="X9969" s="2">
        <f ca="1"/>
        <v>42.871758512647858</v>
      </c>
      <c r="AG9969" s="2">
        <f ca="1"/>
        <v>0.72981003105342457</v>
      </c>
      <c r="AH9969" s="2" t="str">
        <f ca="1"/>
        <v>Bad</v>
      </c>
    </row>
    <row r="9970" spans="2:34" x14ac:dyDescent="0.2">
      <c r="B9970" s="2">
        <f ca="1"/>
        <v>0.34816556641607765</v>
      </c>
      <c r="O9970" s="2">
        <f ca="1"/>
        <v>-6.2084682499021188E-2</v>
      </c>
      <c r="X9970" s="2">
        <f ca="1"/>
        <v>27.750886887836749</v>
      </c>
      <c r="AG9970" s="2">
        <f ca="1"/>
        <v>0.18516007476418572</v>
      </c>
      <c r="AH9970" s="2" t="str">
        <f ca="1"/>
        <v>OK</v>
      </c>
    </row>
    <row r="9971" spans="2:34" x14ac:dyDescent="0.2">
      <c r="B9971" s="2">
        <f ca="1"/>
        <v>0.58092309841938916</v>
      </c>
      <c r="O9971" s="2">
        <f ca="1"/>
        <v>0.74451010264817263</v>
      </c>
      <c r="X9971" s="2">
        <f ca="1"/>
        <v>32.569933537085426</v>
      </c>
      <c r="AG9971" s="2">
        <f ca="1"/>
        <v>1.4824249306315762E-2</v>
      </c>
      <c r="AH9971" s="2" t="str">
        <f ca="1"/>
        <v>Good</v>
      </c>
    </row>
    <row r="9972" spans="2:34" x14ac:dyDescent="0.2">
      <c r="B9972" s="2">
        <f ca="1"/>
        <v>0.34821226583991982</v>
      </c>
      <c r="O9972" s="2">
        <f ca="1"/>
        <v>-6.8232299836897409E-2</v>
      </c>
      <c r="X9972" s="2">
        <f ca="1"/>
        <v>40.230988958078846</v>
      </c>
      <c r="AG9972" s="2">
        <f ca="1"/>
        <v>0.97303184290495071</v>
      </c>
      <c r="AH9972" s="2" t="str">
        <f ca="1"/>
        <v>Bad</v>
      </c>
    </row>
    <row r="9973" spans="2:34" x14ac:dyDescent="0.2">
      <c r="B9973" s="2">
        <f ca="1"/>
        <v>0.51061601598615147</v>
      </c>
      <c r="O9973" s="2">
        <f ca="1"/>
        <v>-1.9409000566723791</v>
      </c>
      <c r="X9973" s="2">
        <f ca="1"/>
        <v>48.347921665110043</v>
      </c>
      <c r="AG9973" s="2">
        <f ca="1"/>
        <v>0.54857257533391546</v>
      </c>
      <c r="AH9973" s="2" t="str">
        <f ca="1"/>
        <v>Bad</v>
      </c>
    </row>
    <row r="9974" spans="2:34" x14ac:dyDescent="0.2">
      <c r="B9974" s="2">
        <f ca="1"/>
        <v>0.48719543849822067</v>
      </c>
      <c r="O9974" s="2">
        <f ca="1"/>
        <v>1.3244305688003919</v>
      </c>
      <c r="X9974" s="2">
        <f ca="1"/>
        <v>54.853052258749784</v>
      </c>
      <c r="AG9974" s="2">
        <f ca="1"/>
        <v>0.33431681596171892</v>
      </c>
      <c r="AH9974" s="2" t="str">
        <f ca="1"/>
        <v>OK</v>
      </c>
    </row>
    <row r="9975" spans="2:34" x14ac:dyDescent="0.2">
      <c r="B9975" s="2">
        <f ca="1"/>
        <v>0.2122474662969831</v>
      </c>
      <c r="O9975" s="2">
        <f ca="1"/>
        <v>1.090702697785971E-2</v>
      </c>
      <c r="X9975" s="2">
        <f ca="1"/>
        <v>33.514655486704356</v>
      </c>
      <c r="AG9975" s="2">
        <f ca="1"/>
        <v>0.45322994938950578</v>
      </c>
      <c r="AH9975" s="2" t="str">
        <f ca="1"/>
        <v>Bad</v>
      </c>
    </row>
    <row r="9976" spans="2:34" x14ac:dyDescent="0.2">
      <c r="B9976" s="2">
        <f ca="1"/>
        <v>0.30222291968363968</v>
      </c>
      <c r="O9976" s="2">
        <f ca="1"/>
        <v>0.25860724777978844</v>
      </c>
      <c r="X9976" s="2">
        <f ca="1"/>
        <v>22.672828882176152</v>
      </c>
      <c r="AG9976" s="2">
        <f ca="1"/>
        <v>0.52567686483307052</v>
      </c>
      <c r="AH9976" s="2" t="str">
        <f ca="1"/>
        <v>Bad</v>
      </c>
    </row>
    <row r="9977" spans="2:34" x14ac:dyDescent="0.2">
      <c r="B9977" s="2">
        <f ca="1"/>
        <v>0.34300629648145931</v>
      </c>
      <c r="O9977" s="2">
        <f ca="1"/>
        <v>0.61259054296483073</v>
      </c>
      <c r="X9977" s="2">
        <f ca="1"/>
        <v>62.280768425915852</v>
      </c>
      <c r="AG9977" s="2">
        <f ca="1"/>
        <v>0.96644800665890074</v>
      </c>
      <c r="AH9977" s="2" t="str">
        <f ca="1"/>
        <v>Bad</v>
      </c>
    </row>
    <row r="9978" spans="2:34" x14ac:dyDescent="0.2">
      <c r="B9978" s="2">
        <f ca="1"/>
        <v>0.50384379318767691</v>
      </c>
      <c r="O9978" s="2">
        <f ca="1"/>
        <v>1.067135110115093</v>
      </c>
      <c r="X9978" s="2">
        <f ca="1"/>
        <v>57.857651592396138</v>
      </c>
      <c r="AG9978" s="2">
        <f ca="1"/>
        <v>0.35107866846833158</v>
      </c>
      <c r="AH9978" s="2" t="str">
        <f ca="1"/>
        <v>OK</v>
      </c>
    </row>
    <row r="9979" spans="2:34" x14ac:dyDescent="0.2">
      <c r="B9979" s="2">
        <f ca="1"/>
        <v>2.3473590468843897E-2</v>
      </c>
      <c r="O9979" s="2">
        <f ca="1"/>
        <v>0.87682144564106901</v>
      </c>
      <c r="X9979" s="2">
        <f ca="1"/>
        <v>56.860853357470859</v>
      </c>
      <c r="AG9979" s="2">
        <f ca="1"/>
        <v>0.68298508137452507</v>
      </c>
      <c r="AH9979" s="2" t="str">
        <f ca="1"/>
        <v>Bad</v>
      </c>
    </row>
    <row r="9980" spans="2:34" x14ac:dyDescent="0.2">
      <c r="B9980" s="2">
        <f ca="1"/>
        <v>0.7982051513432229</v>
      </c>
      <c r="O9980" s="2">
        <f ca="1"/>
        <v>0.69625371968269445</v>
      </c>
      <c r="X9980" s="2">
        <f ca="1"/>
        <v>53.438760568746737</v>
      </c>
      <c r="AG9980" s="2">
        <f ca="1"/>
        <v>0.29400934263266776</v>
      </c>
      <c r="AH9980" s="2" t="str">
        <f ca="1"/>
        <v>OK</v>
      </c>
    </row>
    <row r="9981" spans="2:34" x14ac:dyDescent="0.2">
      <c r="B9981" s="2">
        <f ca="1"/>
        <v>0.12933944900330774</v>
      </c>
      <c r="O9981" s="2">
        <f ca="1"/>
        <v>0.55154311764018693</v>
      </c>
      <c r="X9981" s="2">
        <f ca="1"/>
        <v>59.978501188861799</v>
      </c>
      <c r="AG9981" s="2">
        <f ca="1"/>
        <v>0.31809723090035558</v>
      </c>
      <c r="AH9981" s="2" t="str">
        <f ca="1"/>
        <v>OK</v>
      </c>
    </row>
    <row r="9982" spans="2:34" x14ac:dyDescent="0.2">
      <c r="B9982" s="2">
        <f ca="1"/>
        <v>0.63512466462754924</v>
      </c>
      <c r="O9982" s="2">
        <f ca="1"/>
        <v>0.53543880583911763</v>
      </c>
      <c r="X9982" s="2">
        <f ca="1"/>
        <v>64.134818292906985</v>
      </c>
      <c r="AG9982" s="2">
        <f ca="1"/>
        <v>0.7349021130424005</v>
      </c>
      <c r="AH9982" s="2" t="str">
        <f ca="1"/>
        <v>Bad</v>
      </c>
    </row>
    <row r="9983" spans="2:34" x14ac:dyDescent="0.2">
      <c r="B9983" s="2">
        <f ca="1"/>
        <v>3.2224446342524748E-2</v>
      </c>
      <c r="O9983" s="2">
        <f ca="1"/>
        <v>1.1657881699421559</v>
      </c>
      <c r="X9983" s="2">
        <f ca="1"/>
        <v>78.886153629619841</v>
      </c>
      <c r="AG9983" s="2">
        <f ca="1"/>
        <v>0.32275737830064033</v>
      </c>
      <c r="AH9983" s="2" t="str">
        <f ca="1"/>
        <v>OK</v>
      </c>
    </row>
    <row r="9984" spans="2:34" x14ac:dyDescent="0.2">
      <c r="B9984" s="2">
        <f ca="1"/>
        <v>0.6420573514543455</v>
      </c>
      <c r="O9984" s="2">
        <f ca="1"/>
        <v>7.9145769247936176E-2</v>
      </c>
      <c r="X9984" s="2">
        <f ca="1"/>
        <v>69.008423151334526</v>
      </c>
      <c r="AG9984" s="2">
        <f ca="1"/>
        <v>0.19900769396736395</v>
      </c>
      <c r="AH9984" s="2" t="str">
        <f ca="1"/>
        <v>OK</v>
      </c>
    </row>
    <row r="9985" spans="2:34" x14ac:dyDescent="0.2">
      <c r="B9985" s="2">
        <f ca="1"/>
        <v>0.95681285419519702</v>
      </c>
      <c r="O9985" s="2">
        <f ca="1"/>
        <v>0.53010536392841312</v>
      </c>
      <c r="X9985" s="2">
        <f ca="1"/>
        <v>59.489495712785221</v>
      </c>
      <c r="AG9985" s="2">
        <f ca="1"/>
        <v>0.14873453833610162</v>
      </c>
      <c r="AH9985" s="2" t="str">
        <f ca="1"/>
        <v>OK</v>
      </c>
    </row>
    <row r="9986" spans="2:34" x14ac:dyDescent="0.2">
      <c r="B9986" s="2">
        <f ca="1"/>
        <v>0.14564150237282925</v>
      </c>
      <c r="O9986" s="2">
        <f ca="1"/>
        <v>-0.61819776279821681</v>
      </c>
      <c r="X9986" s="2">
        <f ca="1"/>
        <v>34.618733187267338</v>
      </c>
      <c r="AG9986" s="2">
        <f ca="1"/>
        <v>0.90126387100991612</v>
      </c>
      <c r="AH9986" s="2" t="str">
        <f ca="1"/>
        <v>Bad</v>
      </c>
    </row>
    <row r="9987" spans="2:34" x14ac:dyDescent="0.2">
      <c r="B9987" s="2">
        <f ca="1"/>
        <v>0.22589029844352759</v>
      </c>
      <c r="O9987" s="2">
        <f ca="1"/>
        <v>0.47021136491479615</v>
      </c>
      <c r="X9987" s="2">
        <f ca="1"/>
        <v>46.797695668150361</v>
      </c>
      <c r="AG9987" s="2">
        <f ca="1"/>
        <v>0.66299568553283139</v>
      </c>
      <c r="AH9987" s="2" t="str">
        <f ca="1"/>
        <v>Bad</v>
      </c>
    </row>
    <row r="9988" spans="2:34" x14ac:dyDescent="0.2">
      <c r="B9988" s="2">
        <f ca="1"/>
        <v>0.48595803796378734</v>
      </c>
      <c r="O9988" s="2">
        <f ca="1"/>
        <v>-0.96083345157845446</v>
      </c>
      <c r="X9988" s="2">
        <f ca="1"/>
        <v>39.209403083201479</v>
      </c>
      <c r="AG9988" s="2">
        <f ca="1"/>
        <v>0.26692562920188401</v>
      </c>
      <c r="AH9988" s="2" t="str">
        <f ca="1"/>
        <v>OK</v>
      </c>
    </row>
    <row r="9989" spans="2:34" x14ac:dyDescent="0.2">
      <c r="B9989" s="2">
        <f ca="1"/>
        <v>0.77796671952837682</v>
      </c>
      <c r="O9989" s="2">
        <f ca="1"/>
        <v>-0.22076878080499179</v>
      </c>
      <c r="X9989" s="2">
        <f ca="1"/>
        <v>42.244983568910506</v>
      </c>
      <c r="AG9989" s="2">
        <f ca="1"/>
        <v>6.817424446131426E-3</v>
      </c>
      <c r="AH9989" s="2" t="str">
        <f ca="1"/>
        <v>Good</v>
      </c>
    </row>
    <row r="9990" spans="2:34" x14ac:dyDescent="0.2">
      <c r="B9990" s="2">
        <f ca="1"/>
        <v>0.98890312044962636</v>
      </c>
      <c r="O9990" s="2">
        <f ca="1"/>
        <v>1.3569731353167094</v>
      </c>
      <c r="X9990" s="2">
        <f ca="1"/>
        <v>54.305822072099517</v>
      </c>
      <c r="AG9990" s="2">
        <f ca="1"/>
        <v>0.53507616798427526</v>
      </c>
      <c r="AH9990" s="2" t="str">
        <f ca="1"/>
        <v>Bad</v>
      </c>
    </row>
    <row r="9991" spans="2:34" x14ac:dyDescent="0.2">
      <c r="B9991" s="2">
        <f ca="1"/>
        <v>0.17293213734039581</v>
      </c>
      <c r="O9991" s="2">
        <f ca="1"/>
        <v>1.5186667940939242</v>
      </c>
      <c r="X9991" s="2">
        <f ca="1"/>
        <v>57.294485700184751</v>
      </c>
      <c r="AG9991" s="2">
        <f ca="1"/>
        <v>0.28747047591228725</v>
      </c>
      <c r="AH9991" s="2" t="str">
        <f ca="1"/>
        <v>OK</v>
      </c>
    </row>
    <row r="9992" spans="2:34" x14ac:dyDescent="0.2">
      <c r="B9992" s="2">
        <f ca="1"/>
        <v>0.16541596965579752</v>
      </c>
      <c r="O9992" s="2">
        <f ca="1"/>
        <v>0.18370237383279944</v>
      </c>
      <c r="X9992" s="2">
        <f ca="1"/>
        <v>53.42466893971082</v>
      </c>
      <c r="AG9992" s="2">
        <f ca="1"/>
        <v>0.4532118824676945</v>
      </c>
      <c r="AH9992" s="2" t="str">
        <f ca="1"/>
        <v>Bad</v>
      </c>
    </row>
    <row r="9993" spans="2:34" x14ac:dyDescent="0.2">
      <c r="B9993" s="2">
        <f ca="1"/>
        <v>0.29996319822027218</v>
      </c>
      <c r="O9993" s="2">
        <f ca="1"/>
        <v>0.6073935239545819</v>
      </c>
      <c r="X9993" s="2">
        <f ca="1"/>
        <v>70.727126602465532</v>
      </c>
      <c r="AG9993" s="2">
        <f ca="1"/>
        <v>0.87888283015700774</v>
      </c>
      <c r="AH9993" s="2" t="str">
        <f ca="1"/>
        <v>Bad</v>
      </c>
    </row>
    <row r="9994" spans="2:34" x14ac:dyDescent="0.2">
      <c r="B9994" s="2">
        <f ca="1"/>
        <v>0.17181015725411575</v>
      </c>
      <c r="O9994" s="2">
        <f ca="1"/>
        <v>0.31160355356955194</v>
      </c>
      <c r="X9994" s="2">
        <f ca="1"/>
        <v>37.638141623204724</v>
      </c>
      <c r="AG9994" s="2">
        <f ca="1"/>
        <v>0.95864069462527191</v>
      </c>
      <c r="AH9994" s="2" t="str">
        <f ca="1"/>
        <v>Bad</v>
      </c>
    </row>
    <row r="9995" spans="2:34" x14ac:dyDescent="0.2">
      <c r="B9995" s="2">
        <f ca="1"/>
        <v>0.2361092236510729</v>
      </c>
      <c r="O9995" s="2">
        <f ca="1"/>
        <v>0.2934825305068085</v>
      </c>
      <c r="X9995" s="2">
        <f ca="1"/>
        <v>49.564361342054156</v>
      </c>
      <c r="AG9995" s="2">
        <f ca="1"/>
        <v>0.17162615747076959</v>
      </c>
      <c r="AH9995" s="2" t="str">
        <f ca="1"/>
        <v>OK</v>
      </c>
    </row>
    <row r="9996" spans="2:34" x14ac:dyDescent="0.2">
      <c r="B9996" s="2">
        <f ca="1"/>
        <v>0.10355630564055951</v>
      </c>
      <c r="O9996" s="2">
        <f ca="1"/>
        <v>-2.2189672566206058</v>
      </c>
      <c r="X9996" s="2">
        <f ca="1"/>
        <v>50.6873067094878</v>
      </c>
      <c r="AG9996" s="2">
        <f ca="1"/>
        <v>0.99104614310438177</v>
      </c>
      <c r="AH9996" s="2" t="str">
        <f ca="1"/>
        <v>Bad</v>
      </c>
    </row>
    <row r="9997" spans="2:34" x14ac:dyDescent="0.2">
      <c r="B9997" s="2">
        <f ca="1"/>
        <v>0.81240672205235076</v>
      </c>
      <c r="O9997" s="2">
        <f ca="1"/>
        <v>-0.64732870816622856</v>
      </c>
      <c r="X9997" s="2">
        <f ca="1"/>
        <v>43.505551285148044</v>
      </c>
      <c r="AG9997" s="2">
        <f ca="1"/>
        <v>6.0880828762260641E-2</v>
      </c>
      <c r="AH9997" s="2" t="str">
        <f ca="1"/>
        <v>OK</v>
      </c>
    </row>
    <row r="9998" spans="2:34" x14ac:dyDescent="0.2">
      <c r="B9998" s="2">
        <f ca="1"/>
        <v>0.75659531221258103</v>
      </c>
      <c r="O9998" s="2">
        <f ca="1"/>
        <v>-1.0820897988613474</v>
      </c>
      <c r="X9998" s="2">
        <f ca="1"/>
        <v>70.055651176876296</v>
      </c>
      <c r="AG9998" s="2">
        <f ca="1"/>
        <v>0.52678028978268143</v>
      </c>
      <c r="AH9998" s="2" t="str">
        <f ca="1"/>
        <v>Bad</v>
      </c>
    </row>
    <row r="9999" spans="2:34" x14ac:dyDescent="0.2">
      <c r="B9999" s="2">
        <f ca="1"/>
        <v>0.81104391185079994</v>
      </c>
      <c r="O9999" s="2">
        <f ca="1"/>
        <v>1.1912629637885652</v>
      </c>
      <c r="X9999" s="2">
        <f ca="1"/>
        <v>44.277599807262213</v>
      </c>
      <c r="AG9999" s="2">
        <f ca="1"/>
        <v>0.64598610941740886</v>
      </c>
      <c r="AH9999" s="2" t="str">
        <f ca="1"/>
        <v>Bad</v>
      </c>
    </row>
    <row r="10000" spans="2:34" x14ac:dyDescent="0.2">
      <c r="B10000" s="2">
        <f ca="1"/>
        <v>0.66775364392655234</v>
      </c>
      <c r="O10000" s="2">
        <f ca="1"/>
        <v>-9.3344461725184836E-3</v>
      </c>
      <c r="X10000" s="2">
        <f ca="1"/>
        <v>61.669612571241188</v>
      </c>
      <c r="AG10000" s="2">
        <f ca="1"/>
        <v>0.32152352515731164</v>
      </c>
      <c r="AH10000" s="2" t="str">
        <f ca="1"/>
        <v>OK</v>
      </c>
    </row>
    <row r="10001" spans="2:34" x14ac:dyDescent="0.2">
      <c r="B10001" s="2">
        <f ca="1"/>
        <v>0.50024919651998268</v>
      </c>
      <c r="O10001" s="2">
        <f ca="1"/>
        <v>-1.3658150873750559</v>
      </c>
      <c r="X10001" s="2">
        <f ca="1"/>
        <v>47.674478618362635</v>
      </c>
      <c r="AG10001" s="2">
        <f ca="1"/>
        <v>0.77226890252613778</v>
      </c>
      <c r="AH10001" s="2" t="str">
        <f ca="1"/>
        <v>Bad</v>
      </c>
    </row>
    <row r="10002" spans="2:34" x14ac:dyDescent="0.2">
      <c r="B10002" s="2">
        <f ca="1"/>
        <v>0.71731357886497316</v>
      </c>
      <c r="O10002" s="2">
        <f ca="1"/>
        <v>0.87934271162815414</v>
      </c>
      <c r="X10002" s="2">
        <f ca="1"/>
        <v>69.709467716605317</v>
      </c>
      <c r="AG10002" s="2">
        <f ca="1"/>
        <v>0.28978169782127661</v>
      </c>
      <c r="AH10002" s="2" t="str">
        <f ca="1"/>
        <v>OK</v>
      </c>
    </row>
    <row r="10003" spans="2:34" x14ac:dyDescent="0.2">
      <c r="B10003" s="2">
        <f ca="1"/>
        <v>0.96800874710949003</v>
      </c>
      <c r="O10003" s="2">
        <f ca="1"/>
        <v>1.7249434261657393</v>
      </c>
      <c r="X10003" s="2">
        <f ca="1"/>
        <v>51.903200097818292</v>
      </c>
      <c r="AG10003" s="2">
        <f ca="1"/>
        <v>4.9369738747637948E-2</v>
      </c>
      <c r="AH10003" s="2" t="str">
        <f ca="1"/>
        <v>Good</v>
      </c>
    </row>
    <row r="10004" spans="2:34" x14ac:dyDescent="0.2">
      <c r="B10004" s="2">
        <f ca="1"/>
        <v>0.57699114878710556</v>
      </c>
      <c r="AG10004" s="2">
        <f ca="1"/>
        <v>8.9409479473045561E-2</v>
      </c>
      <c r="AH10004" s="2" t="str">
        <f ca="1"/>
        <v>OK</v>
      </c>
    </row>
    <row r="10005" spans="2:34" x14ac:dyDescent="0.2">
      <c r="B10005" s="2">
        <f ca="1"/>
        <v>0.44296866349897068</v>
      </c>
      <c r="AG10005" s="2">
        <f ca="1"/>
        <v>0.2507377117724805</v>
      </c>
      <c r="AH10005" s="2" t="str">
        <f ca="1"/>
        <v>OK</v>
      </c>
    </row>
    <row r="10006" spans="2:34" x14ac:dyDescent="0.2">
      <c r="B10006" s="2">
        <f ca="1"/>
        <v>0.95239463013732539</v>
      </c>
      <c r="AG10006" s="2">
        <f ca="1"/>
        <v>0.27252278050586742</v>
      </c>
      <c r="AH10006" s="2" t="str">
        <f ca="1"/>
        <v>OK</v>
      </c>
    </row>
    <row r="10007" spans="2:34" x14ac:dyDescent="0.2">
      <c r="B10007" s="2">
        <f ca="1"/>
        <v>0.29802474651065025</v>
      </c>
      <c r="AG10007" s="2">
        <f ca="1"/>
        <v>0.58795737097711287</v>
      </c>
      <c r="AH10007" s="2" t="str">
        <f ca="1"/>
        <v>Bad</v>
      </c>
    </row>
    <row r="10008" spans="2:34" x14ac:dyDescent="0.2">
      <c r="B10008" s="2">
        <f ca="1"/>
        <v>0.13925553752752395</v>
      </c>
    </row>
    <row r="10009" spans="2:34" x14ac:dyDescent="0.2">
      <c r="B10009" s="2">
        <f ca="1"/>
        <v>0.14435520555314496</v>
      </c>
    </row>
    <row r="10010" spans="2:34" x14ac:dyDescent="0.2">
      <c r="B10010" s="2">
        <f ca="1"/>
        <v>0.17235975439151519</v>
      </c>
    </row>
    <row r="10011" spans="2:34" x14ac:dyDescent="0.2">
      <c r="B10011" s="2">
        <f ca="1"/>
        <v>5.7713246911117899E-2</v>
      </c>
    </row>
    <row r="10012" spans="2:34" x14ac:dyDescent="0.2">
      <c r="B10012" s="2">
        <f ca="1"/>
        <v>4.349019653600994E-2</v>
      </c>
    </row>
    <row r="10013" spans="2:34" x14ac:dyDescent="0.2">
      <c r="B10013" s="2">
        <f ca="1"/>
        <v>0.21493406635428225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B44A3-47FF-42CC-871D-4995B392C4AA}">
  <sheetPr codeName="Sheet10"/>
  <dimension ref="A1:BA38"/>
  <sheetViews>
    <sheetView workbookViewId="0">
      <selection activeCell="M4" sqref="M4:P4"/>
    </sheetView>
  </sheetViews>
  <sheetFormatPr baseColWidth="10" defaultColWidth="8.83203125" defaultRowHeight="16" x14ac:dyDescent="0.2"/>
  <cols>
    <col min="2" max="2" width="9.5" customWidth="1"/>
    <col min="13" max="13" width="13.6640625" bestFit="1" customWidth="1"/>
  </cols>
  <sheetData>
    <row r="1" spans="1:53" x14ac:dyDescent="0.2">
      <c r="A1" s="102"/>
      <c r="B1" s="1"/>
      <c r="C1" s="1"/>
      <c r="D1" s="1"/>
      <c r="E1" s="1"/>
      <c r="F1" s="103"/>
      <c r="G1" s="102"/>
      <c r="H1" s="1"/>
      <c r="I1" s="1"/>
      <c r="J1" s="1"/>
      <c r="K1" s="1"/>
      <c r="L1" s="102"/>
      <c r="M1" s="1"/>
      <c r="N1" s="1"/>
      <c r="O1" s="1"/>
      <c r="P1" s="1"/>
      <c r="Q1" s="1"/>
      <c r="R1" s="1"/>
      <c r="S1" s="1"/>
      <c r="T1" s="1"/>
      <c r="U1" s="102"/>
      <c r="V1" s="1"/>
      <c r="W1" s="1"/>
      <c r="X1" s="1"/>
      <c r="Y1" s="1"/>
      <c r="Z1" s="1"/>
      <c r="AA1" s="103"/>
    </row>
    <row r="2" spans="1:53" x14ac:dyDescent="0.2">
      <c r="A2" s="104"/>
      <c r="B2" s="12" t="s">
        <v>288</v>
      </c>
      <c r="F2" s="105"/>
      <c r="G2" s="104"/>
      <c r="H2" s="12" t="s">
        <v>297</v>
      </c>
      <c r="L2" s="104"/>
      <c r="M2" s="12" t="s">
        <v>300</v>
      </c>
      <c r="U2" s="104"/>
      <c r="V2" s="12" t="s">
        <v>305</v>
      </c>
      <c r="AA2" s="105"/>
      <c r="AC2" s="12" t="s">
        <v>308</v>
      </c>
    </row>
    <row r="3" spans="1:53" x14ac:dyDescent="0.2">
      <c r="A3" s="104"/>
      <c r="F3" s="105"/>
      <c r="G3" s="104"/>
      <c r="L3" s="104"/>
      <c r="U3" s="104"/>
      <c r="AA3" s="105"/>
      <c r="AF3" s="117" t="s">
        <v>310</v>
      </c>
    </row>
    <row r="4" spans="1:53" x14ac:dyDescent="0.2">
      <c r="A4" s="104"/>
      <c r="B4" t="str" cm="1">
        <f t="array" ref="B4:E8">lossratios</f>
        <v>Loss ratios</v>
      </c>
      <c r="C4" t="str">
        <v>NSW</v>
      </c>
      <c r="D4" t="str">
        <v>VIC</v>
      </c>
      <c r="E4" t="str">
        <v>ACT</v>
      </c>
      <c r="F4" s="105"/>
      <c r="G4" s="104"/>
      <c r="L4" s="104"/>
      <c r="M4" t="str" cm="1">
        <f t="array" ref="M4:P8">lossratios</f>
        <v>Loss ratios</v>
      </c>
      <c r="N4" t="str">
        <v>NSW</v>
      </c>
      <c r="O4" t="str">
        <v>VIC</v>
      </c>
      <c r="P4" t="str">
        <v>ACT</v>
      </c>
      <c r="U4" s="104"/>
      <c r="V4" t="str" cm="1">
        <f t="array" ref="V4:W16">monthly_profit</f>
        <v>Month</v>
      </c>
      <c r="W4" t="str">
        <v>Profit</v>
      </c>
      <c r="AA4" s="105"/>
      <c r="AC4" s="2" t="s">
        <v>309</v>
      </c>
      <c r="AD4" s="2"/>
      <c r="AE4" s="2"/>
      <c r="AF4" s="2"/>
      <c r="AG4" s="2"/>
      <c r="AH4" s="2"/>
      <c r="AI4" s="2"/>
      <c r="AJ4" s="2"/>
      <c r="AL4" t="s">
        <v>311</v>
      </c>
    </row>
    <row r="5" spans="1:53" s="113" customFormat="1" ht="24" x14ac:dyDescent="0.3">
      <c r="A5" s="104"/>
      <c r="B5" t="str">
        <v>Motor</v>
      </c>
      <c r="C5">
        <v>0.92900000000000005</v>
      </c>
      <c r="D5">
        <v>0.76500000000000001</v>
      </c>
      <c r="E5">
        <v>0.94099999999999995</v>
      </c>
      <c r="F5" s="105"/>
      <c r="G5" s="104"/>
      <c r="H5" s="2" t="s">
        <v>298</v>
      </c>
      <c r="I5" s="2"/>
      <c r="J5" s="2"/>
      <c r="K5"/>
      <c r="L5" s="104"/>
      <c r="M5" t="str">
        <v>Motor</v>
      </c>
      <c r="N5">
        <v>0.92900000000000005</v>
      </c>
      <c r="O5">
        <v>0.76500000000000001</v>
      </c>
      <c r="P5">
        <v>0.94099999999999995</v>
      </c>
      <c r="U5" s="115"/>
      <c r="V5" t="str">
        <v>Jan</v>
      </c>
      <c r="W5">
        <v>624</v>
      </c>
      <c r="AA5" s="114"/>
      <c r="AB5"/>
      <c r="AC5" s="2"/>
      <c r="AD5" s="2"/>
      <c r="AE5" s="2"/>
      <c r="AF5" s="2"/>
      <c r="AG5" s="2"/>
      <c r="AH5" s="2"/>
      <c r="AI5" s="2"/>
      <c r="AJ5" s="2"/>
      <c r="AK5"/>
      <c r="AL5" s="2"/>
      <c r="AM5" s="2"/>
      <c r="AN5" s="2"/>
      <c r="AO5" s="2"/>
      <c r="AP5" s="2"/>
      <c r="AQ5" s="2"/>
      <c r="AR5" s="2"/>
      <c r="AS5"/>
      <c r="AT5"/>
      <c r="AU5"/>
      <c r="AV5"/>
      <c r="AW5"/>
      <c r="AX5"/>
      <c r="AY5"/>
      <c r="AZ5"/>
      <c r="BA5"/>
    </row>
    <row r="6" spans="1:53" ht="24" x14ac:dyDescent="0.3">
      <c r="A6" s="104"/>
      <c r="B6" t="str">
        <v>Liability</v>
      </c>
      <c r="C6">
        <v>0.61199999999999999</v>
      </c>
      <c r="D6">
        <v>0.76100000000000001</v>
      </c>
      <c r="E6">
        <v>1.093</v>
      </c>
      <c r="F6" s="114"/>
      <c r="G6" s="115"/>
      <c r="H6" s="113"/>
      <c r="I6" s="113"/>
      <c r="J6" s="113"/>
      <c r="K6" s="113"/>
      <c r="L6" s="115"/>
      <c r="M6" t="str">
        <v>Liability</v>
      </c>
      <c r="N6">
        <v>0.61199999999999999</v>
      </c>
      <c r="O6">
        <v>0.76100000000000001</v>
      </c>
      <c r="P6">
        <v>1.093</v>
      </c>
      <c r="U6" s="104"/>
      <c r="V6" t="str">
        <v>Feb</v>
      </c>
      <c r="W6">
        <v>390</v>
      </c>
      <c r="AA6" s="105"/>
      <c r="AE6" s="2"/>
      <c r="AF6" s="2"/>
      <c r="AG6" s="2"/>
      <c r="AH6" s="2"/>
      <c r="AI6" s="2"/>
      <c r="AJ6" s="2"/>
      <c r="AN6" s="2"/>
      <c r="AO6" s="2"/>
      <c r="AP6" s="2"/>
      <c r="AQ6" s="2"/>
      <c r="AR6" s="2"/>
    </row>
    <row r="7" spans="1:53" x14ac:dyDescent="0.2">
      <c r="A7" s="104"/>
      <c r="B7" t="str">
        <v>Life</v>
      </c>
      <c r="C7">
        <v>0.871</v>
      </c>
      <c r="D7">
        <v>0.92800000000000005</v>
      </c>
      <c r="E7">
        <v>0.65900000000000003</v>
      </c>
      <c r="F7" s="105"/>
      <c r="G7" s="104"/>
      <c r="L7" s="104"/>
      <c r="M7" t="str">
        <v>Life</v>
      </c>
      <c r="N7">
        <v>0.871</v>
      </c>
      <c r="O7">
        <v>0.92800000000000005</v>
      </c>
      <c r="P7">
        <v>0.65900000000000003</v>
      </c>
      <c r="U7" s="104"/>
      <c r="V7" t="str">
        <v>Mar</v>
      </c>
      <c r="W7">
        <v>1000</v>
      </c>
      <c r="AA7" s="105"/>
      <c r="AE7" s="2"/>
      <c r="AF7" s="2"/>
      <c r="AG7" s="2"/>
      <c r="AH7" s="2"/>
      <c r="AI7" s="2"/>
      <c r="AJ7" s="2"/>
      <c r="AN7" s="2"/>
      <c r="AO7" s="2"/>
      <c r="AP7" s="2"/>
      <c r="AQ7" s="2"/>
      <c r="AR7" s="2"/>
    </row>
    <row r="8" spans="1:53" ht="24" x14ac:dyDescent="0.3">
      <c r="A8" s="104"/>
      <c r="B8" t="str">
        <v>Property</v>
      </c>
      <c r="C8">
        <v>1.0489999999999999</v>
      </c>
      <c r="D8">
        <v>0.67500000000000004</v>
      </c>
      <c r="E8">
        <v>0.96699999999999997</v>
      </c>
      <c r="F8" s="114"/>
      <c r="G8" s="115"/>
      <c r="H8" s="113"/>
      <c r="I8" s="113"/>
      <c r="J8" s="113"/>
      <c r="K8" s="113"/>
      <c r="L8" s="115"/>
      <c r="M8" t="str">
        <v>Property</v>
      </c>
      <c r="N8">
        <v>1.0489999999999999</v>
      </c>
      <c r="O8">
        <v>0.67500000000000004</v>
      </c>
      <c r="P8">
        <v>0.96699999999999997</v>
      </c>
      <c r="U8" s="104"/>
      <c r="V8" t="str">
        <v>Apr</v>
      </c>
      <c r="W8">
        <v>250</v>
      </c>
      <c r="AA8" s="105"/>
      <c r="AE8" s="2"/>
      <c r="AF8" s="2"/>
      <c r="AG8" s="2"/>
      <c r="AH8" s="2"/>
      <c r="AI8" s="2"/>
      <c r="AJ8" s="2"/>
      <c r="AN8" s="2"/>
      <c r="AO8" s="2"/>
      <c r="AP8" s="2"/>
      <c r="AQ8" s="2"/>
      <c r="AR8" s="2"/>
    </row>
    <row r="9" spans="1:53" x14ac:dyDescent="0.2">
      <c r="A9" s="104"/>
      <c r="F9" s="105"/>
      <c r="G9" s="104"/>
      <c r="H9" s="2" t="s">
        <v>299</v>
      </c>
      <c r="I9" s="2"/>
      <c r="J9" s="2"/>
      <c r="L9" s="104"/>
      <c r="U9" s="104"/>
      <c r="V9" t="str">
        <v>May</v>
      </c>
      <c r="W9">
        <v>439</v>
      </c>
      <c r="AA9" s="105"/>
      <c r="AE9" s="2"/>
      <c r="AF9" s="2"/>
      <c r="AG9" s="2"/>
      <c r="AH9" s="2"/>
      <c r="AI9" s="2"/>
      <c r="AJ9" s="2"/>
      <c r="AN9" s="2"/>
      <c r="AO9" s="2"/>
      <c r="AP9" s="2"/>
      <c r="AQ9" s="2"/>
      <c r="AR9" s="2"/>
    </row>
    <row r="10" spans="1:53" x14ac:dyDescent="0.2">
      <c r="A10" s="104"/>
      <c r="B10" s="2" t="s">
        <v>289</v>
      </c>
      <c r="C10" s="2"/>
      <c r="D10" s="2"/>
      <c r="E10" s="2"/>
      <c r="F10" s="105"/>
      <c r="G10" s="104"/>
      <c r="L10" s="104"/>
      <c r="M10" s="2" t="s">
        <v>301</v>
      </c>
      <c r="N10" s="2"/>
      <c r="O10" s="2"/>
      <c r="P10" s="2"/>
      <c r="Q10" s="2"/>
      <c r="R10" s="2"/>
      <c r="S10" s="2"/>
      <c r="U10" s="104"/>
      <c r="V10" t="str">
        <v>Jun</v>
      </c>
      <c r="W10">
        <v>109</v>
      </c>
      <c r="AA10" s="105"/>
      <c r="AE10" s="2"/>
      <c r="AF10" s="2"/>
      <c r="AG10" s="2"/>
      <c r="AH10" s="2"/>
      <c r="AI10" s="2"/>
      <c r="AJ10" s="2"/>
      <c r="AN10" s="2"/>
      <c r="AO10" s="2"/>
      <c r="AP10" s="2"/>
      <c r="AQ10" s="2"/>
      <c r="AR10" s="2"/>
    </row>
    <row r="11" spans="1:53" x14ac:dyDescent="0.2">
      <c r="A11" s="106"/>
      <c r="B11" s="66"/>
      <c r="C11" s="66"/>
      <c r="D11" s="66"/>
      <c r="E11" s="66"/>
      <c r="F11" s="107"/>
      <c r="G11" s="106"/>
      <c r="H11" s="66"/>
      <c r="I11" s="66"/>
      <c r="J11" s="66"/>
      <c r="K11" s="66"/>
      <c r="L11" s="104"/>
      <c r="M11" s="2" t="s">
        <v>302</v>
      </c>
      <c r="N11" s="2"/>
      <c r="O11" s="2"/>
      <c r="P11" s="2"/>
      <c r="Q11" s="2"/>
      <c r="R11" s="2"/>
      <c r="S11" s="2"/>
      <c r="U11" s="104"/>
      <c r="V11" t="str">
        <v>Jul</v>
      </c>
      <c r="W11">
        <v>530</v>
      </c>
      <c r="AA11" s="105"/>
      <c r="AE11" s="2"/>
      <c r="AF11" s="2"/>
      <c r="AG11" s="2"/>
      <c r="AH11" s="2"/>
      <c r="AI11" s="2"/>
      <c r="AJ11" s="2"/>
      <c r="AN11" s="2"/>
      <c r="AO11" s="2"/>
      <c r="AP11" s="2"/>
      <c r="AQ11" s="2"/>
      <c r="AR11" s="2"/>
    </row>
    <row r="12" spans="1:53" x14ac:dyDescent="0.2">
      <c r="L12" s="104"/>
      <c r="M12" s="2"/>
      <c r="N12" s="2"/>
      <c r="O12" s="2"/>
      <c r="P12" s="2"/>
      <c r="Q12" s="2"/>
      <c r="R12" s="2"/>
      <c r="S12" s="2"/>
      <c r="U12" s="104"/>
      <c r="V12" t="str">
        <v>Aug</v>
      </c>
      <c r="W12">
        <v>123</v>
      </c>
      <c r="AA12" s="105"/>
      <c r="AE12" s="2"/>
      <c r="AF12" s="2"/>
      <c r="AG12" s="2"/>
      <c r="AH12" s="2"/>
      <c r="AI12" s="2"/>
      <c r="AJ12" s="2"/>
      <c r="AN12" s="2"/>
      <c r="AO12" s="2"/>
      <c r="AP12" s="2"/>
      <c r="AQ12" s="2"/>
      <c r="AR12" s="2"/>
    </row>
    <row r="13" spans="1:53" x14ac:dyDescent="0.2">
      <c r="A13" s="102"/>
      <c r="B13" s="112" t="s">
        <v>290</v>
      </c>
      <c r="C13" s="1"/>
      <c r="D13" s="1"/>
      <c r="E13" s="1"/>
      <c r="F13" s="1"/>
      <c r="G13" s="1"/>
      <c r="H13" s="1"/>
      <c r="I13" s="1"/>
      <c r="J13" s="1"/>
      <c r="K13" s="1"/>
      <c r="L13" s="104"/>
      <c r="M13" s="2"/>
      <c r="N13" s="2"/>
      <c r="O13" s="2"/>
      <c r="P13" s="2"/>
      <c r="Q13" s="2"/>
      <c r="R13" s="2"/>
      <c r="S13" s="2"/>
      <c r="U13" s="104"/>
      <c r="V13" t="str">
        <v>Sep</v>
      </c>
      <c r="W13">
        <v>5345</v>
      </c>
      <c r="AA13" s="105"/>
      <c r="AE13" s="2"/>
      <c r="AF13" s="2"/>
      <c r="AG13" s="2"/>
      <c r="AH13" s="2"/>
      <c r="AI13" s="2"/>
      <c r="AJ13" s="2"/>
      <c r="AN13" s="2"/>
      <c r="AO13" s="2"/>
      <c r="AP13" s="2"/>
      <c r="AQ13" s="2"/>
      <c r="AR13" s="2"/>
    </row>
    <row r="14" spans="1:53" x14ac:dyDescent="0.2">
      <c r="A14" s="104"/>
      <c r="L14" s="104"/>
      <c r="U14" s="104"/>
      <c r="V14" t="str">
        <v>Oct</v>
      </c>
      <c r="W14">
        <v>312</v>
      </c>
      <c r="AA14" s="105"/>
      <c r="AE14" s="2"/>
      <c r="AF14" s="2"/>
      <c r="AG14" s="2"/>
      <c r="AH14" s="2"/>
      <c r="AI14" s="2"/>
      <c r="AJ14" s="2"/>
      <c r="AN14" s="2"/>
      <c r="AO14" s="2"/>
      <c r="AP14" s="2"/>
      <c r="AQ14" s="2"/>
      <c r="AR14" s="2"/>
    </row>
    <row r="15" spans="1:53" ht="24" x14ac:dyDescent="0.3">
      <c r="A15" s="104"/>
      <c r="B15" t="str" cm="1">
        <f t="array" ref="B15:C27">monthly_profit</f>
        <v>Month</v>
      </c>
      <c r="C15" t="str">
        <v>Profit</v>
      </c>
      <c r="E15" t="s">
        <v>304</v>
      </c>
      <c r="K15" s="114"/>
      <c r="L15" s="115"/>
      <c r="M15" s="116" t="s">
        <v>303</v>
      </c>
      <c r="N15" s="2"/>
      <c r="O15" s="2"/>
      <c r="P15" s="2"/>
      <c r="Q15" s="2"/>
      <c r="R15" s="2"/>
      <c r="S15" s="2"/>
      <c r="U15" s="104"/>
      <c r="V15" t="str">
        <v>Nov</v>
      </c>
      <c r="W15">
        <v>98</v>
      </c>
      <c r="AA15" s="105"/>
      <c r="AE15" s="2"/>
      <c r="AF15" s="2"/>
      <c r="AG15" s="2"/>
      <c r="AH15" s="2"/>
      <c r="AI15" s="2"/>
      <c r="AJ15" s="2"/>
      <c r="AN15" s="2"/>
      <c r="AO15" s="2"/>
      <c r="AP15" s="2"/>
      <c r="AQ15" s="2"/>
      <c r="AR15" s="2"/>
    </row>
    <row r="16" spans="1:53" x14ac:dyDescent="0.2">
      <c r="A16" s="104"/>
      <c r="B16" t="str">
        <v>Jan</v>
      </c>
      <c r="C16">
        <v>624</v>
      </c>
      <c r="K16" s="105"/>
      <c r="L16" s="104"/>
      <c r="M16" s="2"/>
      <c r="N16" s="2"/>
      <c r="O16" s="2"/>
      <c r="P16" s="2"/>
      <c r="Q16" s="2"/>
      <c r="R16" s="2"/>
      <c r="S16" s="2"/>
      <c r="U16" s="104"/>
      <c r="V16" t="str">
        <v>Dec</v>
      </c>
      <c r="W16">
        <v>672</v>
      </c>
      <c r="AA16" s="105"/>
      <c r="AN16" s="2"/>
      <c r="AO16" s="2"/>
      <c r="AP16" s="2"/>
      <c r="AQ16" s="2"/>
      <c r="AR16" s="2"/>
    </row>
    <row r="17" spans="1:44" ht="24" x14ac:dyDescent="0.3">
      <c r="A17" s="115"/>
      <c r="B17" t="str">
        <v>Feb</v>
      </c>
      <c r="C17">
        <v>390</v>
      </c>
      <c r="K17" s="105"/>
      <c r="L17" s="104"/>
      <c r="M17" s="2"/>
      <c r="N17" s="2"/>
      <c r="O17" s="2"/>
      <c r="P17" s="2"/>
      <c r="Q17" s="2"/>
      <c r="R17" s="2"/>
      <c r="S17" s="2"/>
      <c r="U17" s="104"/>
      <c r="AA17" s="105"/>
      <c r="AN17" s="2"/>
      <c r="AO17" s="2"/>
      <c r="AP17" s="2"/>
      <c r="AQ17" s="2"/>
      <c r="AR17" s="2"/>
    </row>
    <row r="18" spans="1:44" s="113" customFormat="1" ht="24" x14ac:dyDescent="0.3">
      <c r="A18" s="104"/>
      <c r="B18" t="str">
        <v>Mar</v>
      </c>
      <c r="C18">
        <v>1000</v>
      </c>
      <c r="D18"/>
      <c r="E18"/>
      <c r="F18"/>
      <c r="G18"/>
      <c r="H18"/>
      <c r="I18"/>
      <c r="J18"/>
      <c r="K18" s="114"/>
      <c r="L18" s="115"/>
      <c r="M18" s="116"/>
      <c r="N18" s="116"/>
      <c r="O18" s="116"/>
      <c r="P18" s="116"/>
      <c r="Q18" s="116"/>
      <c r="R18" s="116"/>
      <c r="S18" s="116"/>
      <c r="U18" s="115"/>
      <c r="V18" s="2" t="s">
        <v>306</v>
      </c>
      <c r="W18" s="2"/>
      <c r="X18" s="2"/>
      <c r="Y18" s="2"/>
      <c r="Z18" s="2"/>
      <c r="AA18" s="114"/>
      <c r="AB18"/>
      <c r="AC18"/>
      <c r="AL18"/>
      <c r="AN18" s="116"/>
      <c r="AO18" s="116"/>
      <c r="AP18" s="116"/>
      <c r="AQ18" s="116"/>
      <c r="AR18" s="116"/>
    </row>
    <row r="19" spans="1:44" x14ac:dyDescent="0.2">
      <c r="A19" s="104"/>
      <c r="B19" t="str">
        <v>Apr</v>
      </c>
      <c r="C19">
        <v>250</v>
      </c>
      <c r="K19" s="105"/>
      <c r="L19" s="104"/>
      <c r="M19" s="2"/>
      <c r="N19" s="2"/>
      <c r="O19" s="2"/>
      <c r="P19" s="2"/>
      <c r="Q19" s="2"/>
      <c r="R19" s="2"/>
      <c r="S19" s="2"/>
      <c r="U19" s="104"/>
      <c r="V19" s="2" t="s">
        <v>307</v>
      </c>
      <c r="W19" s="2"/>
      <c r="X19" s="2"/>
      <c r="Y19" s="2"/>
      <c r="Z19" s="2"/>
      <c r="AA19" s="105"/>
    </row>
    <row r="20" spans="1:44" x14ac:dyDescent="0.2">
      <c r="A20" s="104"/>
      <c r="B20" t="str">
        <v>May</v>
      </c>
      <c r="C20">
        <v>439</v>
      </c>
      <c r="K20" s="105"/>
      <c r="L20" s="104"/>
      <c r="M20" s="2"/>
      <c r="N20" s="2"/>
      <c r="O20" s="2"/>
      <c r="P20" s="2"/>
      <c r="Q20" s="2"/>
      <c r="R20" s="2"/>
      <c r="S20" s="2"/>
      <c r="U20" s="104"/>
      <c r="V20" s="2"/>
      <c r="W20" s="2"/>
      <c r="X20" s="2"/>
      <c r="Y20" s="2"/>
      <c r="Z20" s="2"/>
      <c r="AA20" s="105"/>
    </row>
    <row r="21" spans="1:44" x14ac:dyDescent="0.2">
      <c r="A21" s="104"/>
      <c r="B21" t="str">
        <v>Jun</v>
      </c>
      <c r="C21">
        <v>109</v>
      </c>
      <c r="K21" s="105"/>
      <c r="L21" s="104"/>
      <c r="M21" s="2"/>
      <c r="N21" s="2"/>
      <c r="O21" s="2"/>
      <c r="P21" s="2"/>
      <c r="Q21" s="2"/>
      <c r="R21" s="2"/>
      <c r="S21" s="2"/>
      <c r="U21" s="104"/>
      <c r="V21" s="2"/>
      <c r="W21" s="2"/>
      <c r="X21" s="2"/>
      <c r="Y21" s="2"/>
      <c r="Z21" s="2"/>
      <c r="AA21" s="105"/>
    </row>
    <row r="22" spans="1:44" x14ac:dyDescent="0.2">
      <c r="A22" s="104"/>
      <c r="B22" t="str">
        <v>Jul</v>
      </c>
      <c r="C22">
        <v>530</v>
      </c>
      <c r="K22" s="105"/>
      <c r="L22" s="104"/>
      <c r="M22" s="2"/>
      <c r="N22" s="2"/>
      <c r="O22" s="2"/>
      <c r="P22" s="2"/>
      <c r="Q22" s="2"/>
      <c r="R22" s="2"/>
      <c r="S22" s="2"/>
      <c r="U22" s="104"/>
      <c r="V22" s="2"/>
      <c r="W22" s="2"/>
      <c r="X22" s="2"/>
      <c r="Y22" s="2"/>
      <c r="Z22" s="2"/>
      <c r="AA22" s="105"/>
    </row>
    <row r="23" spans="1:44" x14ac:dyDescent="0.2">
      <c r="A23" s="104"/>
      <c r="B23" t="str">
        <v>Aug</v>
      </c>
      <c r="C23">
        <v>123</v>
      </c>
      <c r="K23" s="105"/>
      <c r="L23" s="104"/>
      <c r="M23" s="2"/>
      <c r="N23" s="2"/>
      <c r="O23" s="2"/>
      <c r="P23" s="2"/>
      <c r="Q23" s="2"/>
      <c r="R23" s="2"/>
      <c r="S23" s="2"/>
      <c r="U23" s="104"/>
      <c r="V23" s="2"/>
      <c r="W23" s="2"/>
      <c r="X23" s="2"/>
      <c r="Y23" s="2"/>
      <c r="Z23" s="2"/>
      <c r="AA23" s="105"/>
    </row>
    <row r="24" spans="1:44" x14ac:dyDescent="0.2">
      <c r="A24" s="104"/>
      <c r="B24" t="str">
        <v>Sep</v>
      </c>
      <c r="C24">
        <v>5345</v>
      </c>
      <c r="K24" s="105"/>
      <c r="L24" s="104"/>
      <c r="M24" s="2"/>
      <c r="N24" s="2"/>
      <c r="O24" s="2"/>
      <c r="P24" s="2"/>
      <c r="Q24" s="2"/>
      <c r="R24" s="2"/>
      <c r="S24" s="2"/>
      <c r="U24" s="104"/>
      <c r="V24" s="2"/>
      <c r="W24" s="2"/>
      <c r="X24" s="2"/>
      <c r="Y24" s="2"/>
      <c r="Z24" s="2"/>
      <c r="AA24" s="105"/>
    </row>
    <row r="25" spans="1:44" x14ac:dyDescent="0.2">
      <c r="A25" s="104"/>
      <c r="B25" t="str">
        <v>Oct</v>
      </c>
      <c r="C25">
        <v>312</v>
      </c>
      <c r="K25" s="105"/>
      <c r="L25" s="104"/>
      <c r="M25" s="2"/>
      <c r="N25" s="2"/>
      <c r="O25" s="2"/>
      <c r="P25" s="2"/>
      <c r="Q25" s="2"/>
      <c r="R25" s="2"/>
      <c r="S25" s="2"/>
      <c r="U25" s="104"/>
      <c r="V25" s="2"/>
      <c r="W25" s="2"/>
      <c r="X25" s="2"/>
      <c r="Y25" s="2"/>
      <c r="Z25" s="2"/>
      <c r="AA25" s="105"/>
    </row>
    <row r="26" spans="1:44" x14ac:dyDescent="0.2">
      <c r="A26" s="104"/>
      <c r="B26" t="str">
        <v>Nov</v>
      </c>
      <c r="C26">
        <v>98</v>
      </c>
      <c r="K26" s="105"/>
      <c r="L26" s="106"/>
      <c r="M26" s="66"/>
      <c r="N26" s="66"/>
      <c r="O26" s="66"/>
      <c r="P26" s="66"/>
      <c r="Q26" s="66"/>
      <c r="R26" s="66"/>
      <c r="S26" s="66"/>
      <c r="T26" s="66"/>
      <c r="U26" s="104"/>
      <c r="V26" s="2"/>
      <c r="W26" s="2"/>
      <c r="X26" s="2"/>
      <c r="Y26" s="2"/>
      <c r="Z26" s="2"/>
      <c r="AA26" s="105"/>
    </row>
    <row r="27" spans="1:44" x14ac:dyDescent="0.2">
      <c r="A27" s="104"/>
      <c r="B27" t="str">
        <v>Dec</v>
      </c>
      <c r="C27">
        <v>672</v>
      </c>
      <c r="K27" s="105"/>
      <c r="U27" s="104"/>
      <c r="V27" s="2"/>
      <c r="W27" s="2"/>
      <c r="X27" s="2"/>
      <c r="Y27" s="2"/>
      <c r="Z27" s="2"/>
      <c r="AA27" s="105"/>
    </row>
    <row r="28" spans="1:44" x14ac:dyDescent="0.2">
      <c r="A28" s="104"/>
      <c r="C28" s="108"/>
      <c r="D28" s="109"/>
      <c r="K28" s="105"/>
      <c r="U28" s="104"/>
      <c r="V28" s="2"/>
      <c r="W28" s="2"/>
      <c r="X28" s="2"/>
      <c r="Y28" s="2"/>
      <c r="Z28" s="2"/>
      <c r="AA28" s="105"/>
    </row>
    <row r="29" spans="1:44" x14ac:dyDescent="0.2">
      <c r="A29" s="104"/>
      <c r="B29" s="2" t="s">
        <v>291</v>
      </c>
      <c r="C29" s="110"/>
      <c r="D29" s="111"/>
      <c r="E29" s="2"/>
      <c r="F29" s="2"/>
      <c r="G29" s="2"/>
      <c r="H29" s="2"/>
      <c r="I29" s="2"/>
      <c r="J29" s="2"/>
      <c r="K29" s="105"/>
      <c r="U29" s="104"/>
      <c r="V29" s="2"/>
      <c r="W29" s="2"/>
      <c r="X29" s="2"/>
      <c r="Y29" s="2"/>
      <c r="Z29" s="2"/>
      <c r="AA29" s="105"/>
    </row>
    <row r="30" spans="1:44" x14ac:dyDescent="0.2">
      <c r="A30" s="104"/>
      <c r="B30" s="2"/>
      <c r="C30" s="2"/>
      <c r="D30" s="2"/>
      <c r="E30" s="2"/>
      <c r="F30" s="2"/>
      <c r="G30" s="2"/>
      <c r="H30" s="2"/>
      <c r="I30" s="2"/>
      <c r="J30" s="2"/>
      <c r="K30" s="105"/>
      <c r="U30" s="104"/>
      <c r="V30" s="2"/>
      <c r="W30" s="2"/>
      <c r="X30" s="2"/>
      <c r="Y30" s="2"/>
      <c r="Z30" s="2"/>
      <c r="AA30" s="105"/>
    </row>
    <row r="31" spans="1:44" x14ac:dyDescent="0.2">
      <c r="A31" s="104"/>
      <c r="B31" s="2" t="s">
        <v>292</v>
      </c>
      <c r="C31" s="2"/>
      <c r="D31" s="2"/>
      <c r="E31" s="2"/>
      <c r="F31" s="2"/>
      <c r="G31" s="2"/>
      <c r="H31" s="2"/>
      <c r="I31" s="2"/>
      <c r="J31" s="2"/>
      <c r="K31" s="105"/>
      <c r="U31" s="104"/>
      <c r="V31" s="2"/>
      <c r="W31" s="2"/>
      <c r="X31" s="2"/>
      <c r="Y31" s="2"/>
      <c r="Z31" s="2"/>
      <c r="AA31" s="105"/>
    </row>
    <row r="32" spans="1:44" x14ac:dyDescent="0.2">
      <c r="A32" s="104"/>
      <c r="B32" s="2" t="s">
        <v>293</v>
      </c>
      <c r="C32" s="2"/>
      <c r="D32" s="2"/>
      <c r="E32" s="2"/>
      <c r="F32" s="2"/>
      <c r="G32" s="2"/>
      <c r="H32" s="2"/>
      <c r="I32" s="2"/>
      <c r="J32" s="2"/>
      <c r="K32" s="105"/>
      <c r="U32" s="104"/>
      <c r="AA32" s="105"/>
    </row>
    <row r="33" spans="1:27" x14ac:dyDescent="0.2">
      <c r="A33" s="104"/>
      <c r="B33" s="2"/>
      <c r="C33" s="2"/>
      <c r="D33" s="2"/>
      <c r="E33" s="2"/>
      <c r="F33" s="2"/>
      <c r="G33" s="2"/>
      <c r="H33" s="2"/>
      <c r="I33" s="2"/>
      <c r="J33" s="2"/>
      <c r="K33" s="105"/>
      <c r="U33" s="106"/>
      <c r="V33" s="66"/>
      <c r="W33" s="66"/>
      <c r="X33" s="66"/>
      <c r="Y33" s="66"/>
      <c r="Z33" s="66"/>
      <c r="AA33" s="107"/>
    </row>
    <row r="34" spans="1:27" x14ac:dyDescent="0.2">
      <c r="A34" s="104"/>
      <c r="B34" s="2" t="s">
        <v>294</v>
      </c>
      <c r="C34" s="2"/>
      <c r="D34" s="2"/>
      <c r="E34" s="2"/>
      <c r="F34" s="2"/>
      <c r="G34" s="2"/>
      <c r="H34" s="2"/>
      <c r="I34" s="2"/>
      <c r="J34" s="2"/>
      <c r="K34" s="105"/>
    </row>
    <row r="35" spans="1:27" x14ac:dyDescent="0.2">
      <c r="A35" s="104"/>
      <c r="B35" s="2" t="s">
        <v>295</v>
      </c>
      <c r="C35" s="2"/>
      <c r="D35" s="2"/>
      <c r="E35" s="2"/>
      <c r="F35" s="2"/>
      <c r="G35" s="2"/>
      <c r="H35" s="2"/>
      <c r="I35" s="2"/>
      <c r="J35" s="2"/>
      <c r="K35" s="105"/>
    </row>
    <row r="36" spans="1:27" x14ac:dyDescent="0.2">
      <c r="A36" s="104"/>
      <c r="B36" s="2"/>
      <c r="C36" s="2"/>
      <c r="D36" s="2"/>
      <c r="E36" s="2"/>
      <c r="F36" s="2"/>
      <c r="G36" s="2"/>
      <c r="H36" s="2"/>
      <c r="I36" s="2"/>
      <c r="J36" s="2"/>
      <c r="K36" s="105"/>
    </row>
    <row r="37" spans="1:27" x14ac:dyDescent="0.2">
      <c r="A37" s="104"/>
      <c r="B37" s="2" t="s">
        <v>296</v>
      </c>
      <c r="C37" s="2"/>
      <c r="D37" s="2"/>
      <c r="E37" s="2"/>
      <c r="F37" s="2"/>
      <c r="G37" s="2"/>
      <c r="H37" s="2"/>
      <c r="I37" s="2"/>
      <c r="J37" s="2"/>
      <c r="K37" s="105"/>
    </row>
    <row r="38" spans="1:27" x14ac:dyDescent="0.2">
      <c r="A38" s="106"/>
      <c r="B38" s="66"/>
      <c r="C38" s="66"/>
      <c r="D38" s="66"/>
      <c r="E38" s="66"/>
      <c r="F38" s="66"/>
      <c r="G38" s="66"/>
      <c r="H38" s="66"/>
      <c r="I38" s="66"/>
      <c r="J38" s="66"/>
      <c r="K38" s="10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recorded_example1">
                <anchor moveWithCells="1">
                  <from>
                    <xdr:col>7</xdr:col>
                    <xdr:colOff>304800</xdr:colOff>
                    <xdr:row>2</xdr:row>
                    <xdr:rowOff>63500</xdr:rowOff>
                  </from>
                  <to>
                    <xdr:col>9</xdr:col>
                    <xdr:colOff>279400</xdr:colOff>
                    <xdr:row>3</xdr:row>
                    <xdr:rowOff>101600</xdr:rowOff>
                  </to>
                </anchor>
              </controlPr>
            </control>
          </mc:Choice>
        </mc:AlternateContent>
        <mc:AlternateContent xmlns:mc="http://schemas.openxmlformats.org/markup-compatibility/2006">
          <mc:Choice Requires="x14">
            <control shapeId="11266" r:id="rId4" name="Button 2">
              <controlPr defaultSize="0" print="0" autoFill="0" autoPict="0" macro="[0]!recorded_example1_edit">
                <anchor moveWithCells="1">
                  <from>
                    <xdr:col>14</xdr:col>
                    <xdr:colOff>0</xdr:colOff>
                    <xdr:row>11</xdr:row>
                    <xdr:rowOff>50800</xdr:rowOff>
                  </from>
                  <to>
                    <xdr:col>16</xdr:col>
                    <xdr:colOff>406400</xdr:colOff>
                    <xdr:row>12</xdr:row>
                    <xdr:rowOff>101600</xdr:rowOff>
                  </to>
                </anchor>
              </controlPr>
            </control>
          </mc:Choice>
        </mc:AlternateContent>
        <mc:AlternateContent xmlns:mc="http://schemas.openxmlformats.org/markup-compatibility/2006">
          <mc:Choice Requires="x14">
            <control shapeId="11267" r:id="rId5" name="Button 3">
              <controlPr defaultSize="0" print="0" autoFill="0" autoPict="0" macro="[0]!clear_formats">
                <anchor moveWithCells="1">
                  <from>
                    <xdr:col>8</xdr:col>
                    <xdr:colOff>317500</xdr:colOff>
                    <xdr:row>12</xdr:row>
                    <xdr:rowOff>139700</xdr:rowOff>
                  </from>
                  <to>
                    <xdr:col>10</xdr:col>
                    <xdr:colOff>520700</xdr:colOff>
                    <xdr:row>17</xdr:row>
                    <xdr:rowOff>228600</xdr:rowOff>
                  </to>
                </anchor>
              </controlPr>
            </control>
          </mc:Choice>
        </mc:AlternateContent>
        <mc:AlternateContent xmlns:mc="http://schemas.openxmlformats.org/markup-compatibility/2006">
          <mc:Choice Requires="x14">
            <control shapeId="11268" r:id="rId6" name="Button 4">
              <controlPr defaultSize="0" print="0" autoFill="0" autoPict="0" macro="[0]!high_profit">
                <anchor moveWithCells="1">
                  <from>
                    <xdr:col>23</xdr:col>
                    <xdr:colOff>228600</xdr:colOff>
                    <xdr:row>14</xdr:row>
                    <xdr:rowOff>177800</xdr:rowOff>
                  </from>
                  <to>
                    <xdr:col>24</xdr:col>
                    <xdr:colOff>596900</xdr:colOff>
                    <xdr:row>15</xdr:row>
                    <xdr:rowOff>127000</xdr:rowOff>
                  </to>
                </anchor>
              </controlPr>
            </control>
          </mc:Choice>
        </mc:AlternateContent>
        <mc:AlternateContent xmlns:mc="http://schemas.openxmlformats.org/markup-compatibility/2006">
          <mc:Choice Requires="x14">
            <control shapeId="11269" r:id="rId7" name="Button 5">
              <controlPr defaultSize="0" print="0" autoFill="0" autoPict="0" macro="[0]!recorded_relative">
                <anchor moveWithCells="1">
                  <from>
                    <xdr:col>7</xdr:col>
                    <xdr:colOff>25400</xdr:colOff>
                    <xdr:row>16</xdr:row>
                    <xdr:rowOff>25400</xdr:rowOff>
                  </from>
                  <to>
                    <xdr:col>7</xdr:col>
                    <xdr:colOff>596900</xdr:colOff>
                    <xdr:row>16</xdr:row>
                    <xdr:rowOff>266700</xdr:rowOff>
                  </to>
                </anchor>
              </controlPr>
            </control>
          </mc:Choice>
        </mc:AlternateContent>
        <mc:AlternateContent xmlns:mc="http://schemas.openxmlformats.org/markup-compatibility/2006">
          <mc:Choice Requires="x14">
            <control shapeId="11270" r:id="rId8" name="Button 6">
              <controlPr defaultSize="0" print="0" autoFill="0" autoPict="0" macro="[0]!recorded_absolute_example">
                <anchor moveWithCells="1">
                  <from>
                    <xdr:col>6</xdr:col>
                    <xdr:colOff>660400</xdr:colOff>
                    <xdr:row>14</xdr:row>
                    <xdr:rowOff>76200</xdr:rowOff>
                  </from>
                  <to>
                    <xdr:col>7</xdr:col>
                    <xdr:colOff>673100</xdr:colOff>
                    <xdr:row>15</xdr:row>
                    <xdr:rowOff>25400</xdr:rowOff>
                  </to>
                </anchor>
              </controlPr>
            </control>
          </mc:Choice>
        </mc:AlternateContent>
        <mc:AlternateContent xmlns:mc="http://schemas.openxmlformats.org/markup-compatibility/2006">
          <mc:Choice Requires="x14">
            <control shapeId="11271" r:id="rId9" name="Button 7">
              <controlPr defaultSize="0" print="0" autoFill="0" autoPict="0" macro="[0]!print_numbers">
                <anchor moveWithCells="1">
                  <from>
                    <xdr:col>28</xdr:col>
                    <xdr:colOff>50800</xdr:colOff>
                    <xdr:row>4</xdr:row>
                    <xdr:rowOff>25400</xdr:rowOff>
                  </from>
                  <to>
                    <xdr:col>29</xdr:col>
                    <xdr:colOff>520700</xdr:colOff>
                    <xdr:row>4</xdr:row>
                    <xdr:rowOff>266700</xdr:rowOff>
                  </to>
                </anchor>
              </controlPr>
            </control>
          </mc:Choice>
        </mc:AlternateContent>
        <mc:AlternateContent xmlns:mc="http://schemas.openxmlformats.org/markup-compatibility/2006">
          <mc:Choice Requires="x14">
            <control shapeId="11272" r:id="rId10" name="Button 8">
              <controlPr defaultSize="0" print="0" autoFill="0" autoPict="0" macro="[0]!print_numbers_while">
                <anchor moveWithCells="1">
                  <from>
                    <xdr:col>37</xdr:col>
                    <xdr:colOff>190500</xdr:colOff>
                    <xdr:row>4</xdr:row>
                    <xdr:rowOff>25400</xdr:rowOff>
                  </from>
                  <to>
                    <xdr:col>39</xdr:col>
                    <xdr:colOff>292100</xdr:colOff>
                    <xdr:row>4</xdr:row>
                    <xdr:rowOff>266700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Pokemon data</vt:lpstr>
      <vt:lpstr>FIFA WWC</vt:lpstr>
      <vt:lpstr>M6.1 - Assumed Knowledge</vt:lpstr>
      <vt:lpstr>M6.2 - Pivot table</vt:lpstr>
      <vt:lpstr>M6.2 - Pivot chart</vt:lpstr>
      <vt:lpstr>M6.3 - Dynamic arrays</vt:lpstr>
      <vt:lpstr>M6.4 - Dynamic references</vt:lpstr>
      <vt:lpstr>M6.5 - Dependents</vt:lpstr>
      <vt:lpstr>M6.6 Simulations</vt:lpstr>
      <vt:lpstr>M6.6 Macros and VBA</vt:lpstr>
      <vt:lpstr>age</vt:lpstr>
      <vt:lpstr>assists</vt:lpstr>
      <vt:lpstr>assists_per_90</vt:lpstr>
      <vt:lpstr>Attacking</vt:lpstr>
      <vt:lpstr>Bug</vt:lpstr>
      <vt:lpstr>Dark</vt:lpstr>
      <vt:lpstr>Dragon</vt:lpstr>
      <vt:lpstr>Electric</vt:lpstr>
      <vt:lpstr>Fairy</vt:lpstr>
      <vt:lpstr>FiFA</vt:lpstr>
      <vt:lpstr>Fighting</vt:lpstr>
      <vt:lpstr>Fire</vt:lpstr>
      <vt:lpstr>Flying</vt:lpstr>
      <vt:lpstr>Ghost</vt:lpstr>
      <vt:lpstr>goals</vt:lpstr>
      <vt:lpstr>goals_minus_penalty_kicks_per_90</vt:lpstr>
      <vt:lpstr>goals_per_90</vt:lpstr>
      <vt:lpstr>goals_plus_assists_minus_penalty_kicks_per_90</vt:lpstr>
      <vt:lpstr>goals_plus_assists_per_90</vt:lpstr>
      <vt:lpstr>Grass</vt:lpstr>
      <vt:lpstr>Ground</vt:lpstr>
      <vt:lpstr>Ice</vt:lpstr>
      <vt:lpstr>id</vt:lpstr>
      <vt:lpstr>loss_ratios</vt:lpstr>
      <vt:lpstr>lossratios</vt:lpstr>
      <vt:lpstr>matches_played</vt:lpstr>
      <vt:lpstr>min_playing_time</vt:lpstr>
      <vt:lpstr>minutes_played_90s</vt:lpstr>
      <vt:lpstr>monthly_profit</vt:lpstr>
      <vt:lpstr>months</vt:lpstr>
      <vt:lpstr>non_penalty_goals</vt:lpstr>
      <vt:lpstr>Normal</vt:lpstr>
      <vt:lpstr>penalty_kicks_attempted</vt:lpstr>
      <vt:lpstr>penalty_kicks_made</vt:lpstr>
      <vt:lpstr>players</vt:lpstr>
      <vt:lpstr>Poison</vt:lpstr>
      <vt:lpstr>pokemon</vt:lpstr>
      <vt:lpstr>possesion</vt:lpstr>
      <vt:lpstr>products</vt:lpstr>
      <vt:lpstr>Psychic</vt:lpstr>
      <vt:lpstr>red_cards</vt:lpstr>
      <vt:lpstr>Rock</vt:lpstr>
      <vt:lpstr>squad</vt:lpstr>
      <vt:lpstr>starts</vt:lpstr>
      <vt:lpstr>Steel</vt:lpstr>
      <vt:lpstr>tblProduct</vt:lpstr>
      <vt:lpstr>Water</vt:lpstr>
      <vt:lpstr>weekly_profit</vt:lpstr>
      <vt:lpstr>year</vt:lpstr>
      <vt:lpstr>yellow_cards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Benjamin Avanzi</cp:lastModifiedBy>
  <cp:revision/>
  <dcterms:created xsi:type="dcterms:W3CDTF">2023-08-17T06:53:41Z</dcterms:created>
  <dcterms:modified xsi:type="dcterms:W3CDTF">2024-07-19T06:20:25Z</dcterms:modified>
  <cp:category/>
  <cp:contentStatus/>
</cp:coreProperties>
</file>